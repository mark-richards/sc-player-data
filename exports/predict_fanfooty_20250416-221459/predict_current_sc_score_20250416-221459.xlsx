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ecegroup-my.sharepoint.com/personal/mark_richards_reece_com_au/Documents/projects/sc-player-data/exports/predict_fanfooty_20250416-221459/"/>
    </mc:Choice>
  </mc:AlternateContent>
  <xr:revisionPtr revIDLastSave="0" documentId="8_{7271D213-4A3A-466C-A727-6CC6C97F584C}" xr6:coauthVersionLast="47" xr6:coauthVersionMax="47" xr10:uidLastSave="{00000000-0000-0000-0000-000000000000}"/>
  <bookViews>
    <workbookView xWindow="-120" yWindow="-120" windowWidth="38640" windowHeight="21240" xr2:uid="{B3A710FC-A582-4C8B-9CAB-8BAAF93B1E0F}"/>
  </bookViews>
  <sheets>
    <sheet name="predict_current_sc_score_202504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DG2" i="1" l="1"/>
  <c r="DG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02" i="1"/>
  <c r="DG203" i="1"/>
  <c r="DG204" i="1"/>
  <c r="DG205" i="1"/>
  <c r="DG206" i="1"/>
  <c r="DG207" i="1"/>
  <c r="DG208" i="1"/>
  <c r="DG209" i="1"/>
  <c r="DG210" i="1"/>
  <c r="DG211" i="1"/>
  <c r="DG212" i="1"/>
  <c r="DG213" i="1"/>
  <c r="DG214" i="1"/>
  <c r="DG215" i="1"/>
  <c r="DG216" i="1"/>
  <c r="DG217" i="1"/>
  <c r="DG218" i="1"/>
  <c r="DG219" i="1"/>
  <c r="DG220" i="1"/>
  <c r="DG221" i="1"/>
  <c r="DG222" i="1"/>
  <c r="DG223" i="1"/>
  <c r="DG224" i="1"/>
  <c r="DG225" i="1"/>
  <c r="DG226" i="1"/>
  <c r="DG227" i="1"/>
  <c r="DG228" i="1"/>
  <c r="DG229" i="1"/>
  <c r="DG230" i="1"/>
  <c r="DG231" i="1"/>
  <c r="DG232" i="1"/>
  <c r="DG233" i="1"/>
  <c r="DG234" i="1"/>
  <c r="DG235" i="1"/>
  <c r="DG236" i="1"/>
  <c r="DG237" i="1"/>
  <c r="DG238" i="1"/>
  <c r="DG239" i="1"/>
  <c r="DG240" i="1"/>
  <c r="DG241" i="1"/>
  <c r="DG242" i="1"/>
  <c r="DG243" i="1"/>
  <c r="DG244" i="1"/>
  <c r="DG245" i="1"/>
  <c r="DG246" i="1"/>
  <c r="DG247" i="1"/>
  <c r="DG248" i="1"/>
  <c r="DG249" i="1"/>
  <c r="DG250" i="1"/>
  <c r="DG251" i="1"/>
  <c r="DG252" i="1"/>
  <c r="DG253" i="1"/>
  <c r="DG254" i="1"/>
  <c r="DG255" i="1"/>
  <c r="DG256" i="1"/>
  <c r="DG257" i="1"/>
  <c r="DG258" i="1"/>
  <c r="DG259" i="1"/>
  <c r="DG260" i="1"/>
  <c r="DG261" i="1"/>
  <c r="DG262" i="1"/>
  <c r="DG263" i="1"/>
  <c r="DG264" i="1"/>
  <c r="DG265" i="1"/>
  <c r="DG266" i="1"/>
  <c r="DG267" i="1"/>
  <c r="DG268" i="1"/>
  <c r="DG269" i="1"/>
  <c r="DG270" i="1"/>
  <c r="DG271" i="1"/>
  <c r="DG272" i="1"/>
  <c r="DG273" i="1"/>
  <c r="DG274" i="1"/>
  <c r="DG275" i="1"/>
  <c r="DG276" i="1"/>
  <c r="DG277" i="1"/>
  <c r="DG278" i="1"/>
  <c r="DG279" i="1"/>
  <c r="DG280" i="1"/>
  <c r="DG281" i="1"/>
  <c r="DG282" i="1"/>
  <c r="DG283" i="1"/>
  <c r="DG284" i="1"/>
  <c r="DG285" i="1"/>
  <c r="DG286" i="1"/>
  <c r="DG287" i="1"/>
  <c r="DG288" i="1"/>
  <c r="DG289" i="1"/>
  <c r="DG290" i="1"/>
  <c r="DG291" i="1"/>
  <c r="DG292" i="1"/>
  <c r="DG293" i="1"/>
  <c r="DG294" i="1"/>
  <c r="DG295" i="1"/>
  <c r="DG296" i="1"/>
  <c r="DG297" i="1"/>
  <c r="DG298" i="1"/>
  <c r="DG299" i="1"/>
  <c r="DG300" i="1"/>
  <c r="DG301" i="1"/>
  <c r="DG302" i="1"/>
  <c r="DG303" i="1"/>
  <c r="DG304" i="1"/>
  <c r="DG305" i="1"/>
  <c r="DG306" i="1"/>
  <c r="DG307" i="1"/>
  <c r="DG308" i="1"/>
  <c r="DG309" i="1"/>
  <c r="DG310" i="1"/>
  <c r="DG311" i="1"/>
  <c r="DG312" i="1"/>
  <c r="DG313" i="1"/>
  <c r="DG314" i="1"/>
  <c r="DG315" i="1"/>
  <c r="DG316" i="1"/>
  <c r="DG317" i="1"/>
  <c r="DG318" i="1"/>
  <c r="DG319" i="1"/>
  <c r="DG320" i="1"/>
  <c r="DG321" i="1"/>
  <c r="DG322" i="1"/>
  <c r="DG323" i="1"/>
  <c r="DG324" i="1"/>
  <c r="DG325" i="1"/>
  <c r="DG326" i="1"/>
  <c r="DG327" i="1"/>
  <c r="DG328" i="1"/>
  <c r="DG329" i="1"/>
  <c r="DG330" i="1"/>
  <c r="DG331" i="1"/>
  <c r="DG332" i="1"/>
  <c r="DG333" i="1"/>
  <c r="DG334" i="1"/>
  <c r="DG335" i="1"/>
  <c r="DG336" i="1"/>
  <c r="DG337" i="1"/>
  <c r="DG338" i="1"/>
  <c r="DG339" i="1"/>
  <c r="DG340" i="1"/>
  <c r="DG341" i="1"/>
  <c r="DG342" i="1"/>
  <c r="DG343" i="1"/>
  <c r="DG344" i="1"/>
  <c r="DG345" i="1"/>
  <c r="DG346" i="1"/>
  <c r="DG347" i="1"/>
  <c r="DG348" i="1"/>
  <c r="DG349" i="1"/>
  <c r="DG350" i="1"/>
  <c r="DG351" i="1"/>
  <c r="DG352" i="1"/>
  <c r="DG353" i="1"/>
  <c r="DG354" i="1"/>
  <c r="DG355" i="1"/>
  <c r="DG356" i="1"/>
  <c r="DG357" i="1"/>
  <c r="DG358" i="1"/>
  <c r="DG359" i="1"/>
  <c r="DG360" i="1"/>
  <c r="DG361" i="1"/>
  <c r="DG362" i="1"/>
  <c r="DG363" i="1"/>
  <c r="DG364" i="1"/>
  <c r="DG365" i="1"/>
  <c r="DG366" i="1"/>
  <c r="DG367" i="1"/>
  <c r="DG368" i="1"/>
  <c r="DG369" i="1"/>
  <c r="DG370" i="1"/>
  <c r="DG371" i="1"/>
  <c r="DG372" i="1"/>
  <c r="DG373" i="1"/>
  <c r="DG374" i="1"/>
  <c r="DG375" i="1"/>
  <c r="DG376" i="1"/>
  <c r="DG377" i="1"/>
  <c r="DG378" i="1"/>
  <c r="DG379" i="1"/>
  <c r="DG380" i="1"/>
  <c r="DG381" i="1"/>
  <c r="DG382" i="1"/>
  <c r="DG383" i="1"/>
  <c r="DG384" i="1"/>
  <c r="DG385" i="1"/>
  <c r="DG386" i="1"/>
  <c r="DG387" i="1"/>
  <c r="DG388" i="1"/>
  <c r="DG389" i="1"/>
  <c r="DG390" i="1"/>
  <c r="DG391" i="1"/>
  <c r="DG392" i="1"/>
  <c r="DG393" i="1"/>
  <c r="DG394" i="1"/>
  <c r="DG395" i="1"/>
  <c r="DG396" i="1"/>
  <c r="DG397" i="1"/>
  <c r="DG398" i="1"/>
  <c r="DG399" i="1"/>
  <c r="DG400" i="1"/>
  <c r="DG401" i="1"/>
  <c r="DG402" i="1"/>
  <c r="DG403" i="1"/>
  <c r="DG404" i="1"/>
  <c r="DG405" i="1"/>
  <c r="DG406" i="1"/>
  <c r="DG407" i="1"/>
  <c r="DG408" i="1"/>
  <c r="DG409" i="1"/>
  <c r="DG410" i="1"/>
  <c r="DG411" i="1"/>
  <c r="DG412" i="1"/>
  <c r="DG413" i="1"/>
  <c r="DG414" i="1"/>
  <c r="DG415" i="1"/>
  <c r="DG416" i="1"/>
  <c r="DG417" i="1"/>
  <c r="DG418" i="1"/>
  <c r="DG419" i="1"/>
  <c r="DG420" i="1"/>
  <c r="DG421" i="1"/>
  <c r="DG422" i="1"/>
  <c r="DG423" i="1"/>
  <c r="DG424" i="1"/>
  <c r="DG425" i="1"/>
  <c r="DG426" i="1"/>
  <c r="DG427" i="1"/>
  <c r="DG428" i="1"/>
  <c r="DG429" i="1"/>
  <c r="DG430" i="1"/>
  <c r="DG431" i="1"/>
  <c r="DG432" i="1"/>
  <c r="DG433" i="1"/>
  <c r="DG434" i="1"/>
  <c r="DG435" i="1"/>
  <c r="DG436" i="1"/>
  <c r="DG437" i="1"/>
  <c r="DG438" i="1"/>
  <c r="DG439" i="1"/>
  <c r="DG440" i="1"/>
  <c r="DG441" i="1"/>
  <c r="DG442" i="1"/>
  <c r="DG443" i="1"/>
  <c r="DG444" i="1"/>
  <c r="DG445" i="1"/>
  <c r="DG446" i="1"/>
  <c r="DG447" i="1"/>
  <c r="DG448" i="1"/>
  <c r="DG449" i="1"/>
  <c r="DG450" i="1"/>
  <c r="DG451" i="1"/>
  <c r="DG452" i="1"/>
  <c r="DG453" i="1"/>
  <c r="DG454" i="1"/>
  <c r="DG455" i="1"/>
  <c r="DG456" i="1"/>
  <c r="DG457" i="1"/>
  <c r="DG458" i="1"/>
  <c r="DG459" i="1"/>
  <c r="DG460" i="1"/>
  <c r="DG461" i="1"/>
  <c r="DG462" i="1"/>
  <c r="DG463" i="1"/>
  <c r="DG464" i="1"/>
  <c r="DG465" i="1"/>
  <c r="DG466" i="1"/>
  <c r="DG467" i="1"/>
  <c r="DG468" i="1"/>
  <c r="DG469" i="1"/>
  <c r="DG470" i="1"/>
  <c r="DG471" i="1"/>
  <c r="DG472" i="1"/>
  <c r="DG473" i="1"/>
  <c r="DG474" i="1"/>
  <c r="DG475" i="1"/>
  <c r="DG476" i="1"/>
  <c r="DG477" i="1"/>
  <c r="DG478" i="1"/>
  <c r="DG479" i="1"/>
  <c r="DG480" i="1"/>
  <c r="DG481" i="1"/>
  <c r="DG482" i="1"/>
  <c r="DG483" i="1"/>
  <c r="DG484" i="1"/>
  <c r="DG485" i="1"/>
  <c r="DG486" i="1"/>
  <c r="DG487" i="1"/>
  <c r="DG488" i="1"/>
  <c r="DG489" i="1"/>
  <c r="DG490" i="1"/>
  <c r="DG491" i="1"/>
  <c r="DG492" i="1"/>
  <c r="DG493" i="1"/>
  <c r="DG494" i="1"/>
  <c r="DG495" i="1"/>
  <c r="DG496" i="1"/>
  <c r="DG497" i="1"/>
  <c r="DG498" i="1"/>
  <c r="DG499" i="1"/>
  <c r="DG500" i="1"/>
  <c r="DG501" i="1"/>
  <c r="DG502" i="1"/>
  <c r="DG503" i="1"/>
  <c r="DG504" i="1"/>
  <c r="DG505" i="1"/>
  <c r="DG506" i="1"/>
  <c r="DG507" i="1"/>
  <c r="DG508" i="1"/>
  <c r="DG509" i="1"/>
  <c r="DG510" i="1"/>
  <c r="DG511" i="1"/>
  <c r="DG512" i="1"/>
  <c r="DG513" i="1"/>
  <c r="DG514" i="1"/>
  <c r="DG515" i="1"/>
  <c r="DG516" i="1"/>
  <c r="DG517" i="1"/>
  <c r="DG518" i="1"/>
  <c r="DG519" i="1"/>
  <c r="DG520" i="1"/>
  <c r="DG521" i="1"/>
  <c r="DG522" i="1"/>
  <c r="DG523" i="1"/>
  <c r="DG524" i="1"/>
  <c r="DG525" i="1"/>
  <c r="DG526" i="1"/>
  <c r="DG527" i="1"/>
  <c r="DG528" i="1"/>
  <c r="DG529" i="1"/>
  <c r="DG530" i="1"/>
  <c r="DG531" i="1"/>
  <c r="DG532" i="1"/>
  <c r="DG533" i="1"/>
  <c r="DG534" i="1"/>
  <c r="DG535" i="1"/>
  <c r="DG536" i="1"/>
  <c r="DG537" i="1"/>
  <c r="DG538" i="1"/>
  <c r="DG539" i="1"/>
  <c r="DG540" i="1"/>
  <c r="DG541" i="1"/>
  <c r="DG542" i="1"/>
  <c r="DG543" i="1"/>
  <c r="DG544" i="1"/>
  <c r="DG545" i="1"/>
  <c r="DG546" i="1"/>
  <c r="DG547" i="1"/>
  <c r="DG548" i="1"/>
  <c r="DG549" i="1"/>
  <c r="DG550" i="1"/>
  <c r="DG551" i="1"/>
  <c r="DG552" i="1"/>
  <c r="DG553" i="1"/>
  <c r="DG554" i="1"/>
  <c r="DG555" i="1"/>
  <c r="DG556" i="1"/>
  <c r="DG557" i="1"/>
  <c r="DG558" i="1"/>
  <c r="DG559" i="1"/>
  <c r="DG560" i="1"/>
  <c r="DG561" i="1"/>
  <c r="DG562" i="1"/>
  <c r="DG563" i="1"/>
  <c r="DG564" i="1"/>
  <c r="DG565" i="1"/>
  <c r="DG566" i="1"/>
  <c r="DG567" i="1"/>
  <c r="DG568" i="1"/>
  <c r="DG569" i="1"/>
  <c r="DG570" i="1"/>
  <c r="DG571" i="1"/>
  <c r="DG572" i="1"/>
  <c r="DG573" i="1"/>
  <c r="DG574" i="1"/>
  <c r="DG575" i="1"/>
  <c r="DG576" i="1"/>
  <c r="DG577" i="1"/>
  <c r="DG578" i="1"/>
  <c r="DG579" i="1"/>
  <c r="DG580" i="1"/>
  <c r="DG581" i="1"/>
  <c r="DG582" i="1"/>
  <c r="DG583" i="1"/>
  <c r="DG584" i="1"/>
  <c r="DG585" i="1"/>
  <c r="DG586" i="1"/>
  <c r="DG587" i="1"/>
  <c r="DG588" i="1"/>
  <c r="DG589" i="1"/>
  <c r="DG590" i="1"/>
  <c r="DG591" i="1"/>
  <c r="DG592" i="1"/>
  <c r="DG593" i="1"/>
  <c r="DG594" i="1"/>
  <c r="DG595" i="1"/>
  <c r="DG596" i="1"/>
  <c r="DG597" i="1"/>
  <c r="DG598" i="1"/>
  <c r="DG599" i="1"/>
  <c r="DG600" i="1"/>
  <c r="DG601" i="1"/>
  <c r="DG602" i="1"/>
  <c r="DG603" i="1"/>
  <c r="DG604" i="1"/>
  <c r="DG605" i="1"/>
  <c r="DG606" i="1"/>
  <c r="DG607" i="1"/>
  <c r="DG608" i="1"/>
  <c r="DG609" i="1"/>
  <c r="DG610" i="1"/>
  <c r="DG611" i="1"/>
  <c r="DG612" i="1"/>
  <c r="DG613" i="1"/>
  <c r="DG614" i="1"/>
  <c r="DG615" i="1"/>
  <c r="DG616" i="1"/>
  <c r="DG617" i="1"/>
  <c r="DG618" i="1"/>
  <c r="DG619" i="1"/>
  <c r="DG620" i="1"/>
  <c r="DG621" i="1"/>
  <c r="DG622" i="1"/>
  <c r="DG623" i="1"/>
  <c r="DG624" i="1"/>
  <c r="DG625" i="1"/>
  <c r="DG626" i="1"/>
  <c r="DG627" i="1"/>
  <c r="DG628" i="1"/>
  <c r="DG629" i="1"/>
  <c r="DG630" i="1"/>
  <c r="DG631" i="1"/>
  <c r="DG632" i="1"/>
  <c r="DG633" i="1"/>
  <c r="DG634" i="1"/>
  <c r="DG635" i="1"/>
  <c r="DG636" i="1"/>
  <c r="DG637" i="1"/>
  <c r="DG638" i="1"/>
  <c r="DG639" i="1"/>
  <c r="DG640" i="1"/>
  <c r="DG641" i="1"/>
  <c r="DG642" i="1"/>
  <c r="DG643" i="1"/>
  <c r="DG644" i="1"/>
  <c r="DG645" i="1"/>
  <c r="DG646" i="1"/>
  <c r="DG647" i="1"/>
  <c r="DG648" i="1"/>
  <c r="DG649" i="1"/>
  <c r="DG650" i="1"/>
  <c r="DG651" i="1"/>
  <c r="DG652" i="1"/>
  <c r="DG653" i="1"/>
  <c r="DG654" i="1"/>
  <c r="DG655" i="1"/>
  <c r="DG656" i="1"/>
  <c r="DG657" i="1"/>
  <c r="DG658" i="1"/>
  <c r="DG659" i="1"/>
  <c r="DG660" i="1"/>
  <c r="DG661" i="1"/>
  <c r="DG662" i="1"/>
  <c r="DG663" i="1"/>
  <c r="DG664" i="1"/>
  <c r="DG665" i="1"/>
  <c r="DG666" i="1"/>
  <c r="DG667" i="1"/>
  <c r="DG668" i="1"/>
  <c r="DG669" i="1"/>
  <c r="DG670" i="1"/>
  <c r="DG671" i="1"/>
  <c r="DG672" i="1"/>
  <c r="DG673" i="1"/>
  <c r="DG674" i="1"/>
  <c r="DG675" i="1"/>
  <c r="DG676" i="1"/>
  <c r="DG677" i="1"/>
  <c r="DG678" i="1"/>
  <c r="DG679" i="1"/>
  <c r="DG680" i="1"/>
  <c r="DG681" i="1"/>
  <c r="DG682" i="1"/>
  <c r="DG683" i="1"/>
  <c r="DG685" i="1"/>
  <c r="DG690" i="1"/>
  <c r="DG686" i="1"/>
  <c r="DG687" i="1"/>
  <c r="DG688" i="1"/>
  <c r="DG693" i="1"/>
  <c r="DG695" i="1"/>
  <c r="DG691" i="1"/>
  <c r="DG692" i="1"/>
  <c r="DG698" i="1"/>
  <c r="DG694" i="1"/>
  <c r="DG699" i="1"/>
  <c r="DG696" i="1"/>
  <c r="DG697" i="1"/>
  <c r="DG703" i="1"/>
  <c r="DG705" i="1"/>
  <c r="DG700" i="1"/>
  <c r="DG701" i="1"/>
  <c r="DG702" i="1"/>
  <c r="DG708" i="1"/>
  <c r="DG704" i="1"/>
  <c r="DG710" i="1"/>
  <c r="DG706" i="1"/>
  <c r="DG707" i="1"/>
  <c r="DG712" i="1"/>
  <c r="DG709" i="1"/>
  <c r="DG713" i="1"/>
  <c r="DG711" i="1"/>
  <c r="DG714" i="1"/>
  <c r="DG716" i="1"/>
  <c r="DG724" i="1"/>
  <c r="DG725" i="1"/>
  <c r="DG727" i="1"/>
  <c r="DG717" i="1"/>
  <c r="DG718" i="1"/>
  <c r="DG719" i="1"/>
  <c r="DG720" i="1"/>
  <c r="DG721" i="1"/>
  <c r="DG722" i="1"/>
  <c r="DG723" i="1"/>
  <c r="DG728" i="1"/>
  <c r="DG729" i="1"/>
  <c r="DG726" i="1"/>
  <c r="DG730" i="1"/>
  <c r="DG731" i="1"/>
  <c r="DG734" i="1"/>
  <c r="DG735" i="1"/>
  <c r="DG736" i="1"/>
  <c r="DG737" i="1"/>
  <c r="DG743" i="1"/>
  <c r="DG744" i="1"/>
  <c r="DG747" i="1"/>
  <c r="DG748" i="1"/>
  <c r="DG749" i="1"/>
  <c r="DG738" i="1"/>
  <c r="DG739" i="1"/>
  <c r="DG740" i="1"/>
  <c r="DG741" i="1"/>
  <c r="DG742" i="1"/>
  <c r="DG750" i="1"/>
  <c r="DG751" i="1"/>
  <c r="DG752" i="1"/>
  <c r="DG746" i="1"/>
  <c r="DG753" i="1"/>
  <c r="DG754" i="1"/>
  <c r="DG759" i="1"/>
  <c r="DG761" i="1"/>
  <c r="DG764" i="1"/>
  <c r="DG767" i="1"/>
  <c r="DG768" i="1"/>
  <c r="DG769" i="1"/>
  <c r="DG755" i="1"/>
  <c r="DG756" i="1"/>
  <c r="DG757" i="1"/>
  <c r="DG758" i="1"/>
  <c r="DG770" i="1"/>
  <c r="DG760" i="1"/>
  <c r="DG771" i="1"/>
  <c r="DG762" i="1"/>
  <c r="DG763" i="1"/>
  <c r="DG772" i="1"/>
  <c r="DG765" i="1"/>
  <c r="DG766" i="1"/>
  <c r="DG773" i="1"/>
  <c r="DG774" i="1"/>
  <c r="DG785" i="1"/>
  <c r="DG789" i="1"/>
  <c r="DG790" i="1"/>
  <c r="DG791" i="1"/>
  <c r="DG792" i="1"/>
  <c r="DG796" i="1"/>
  <c r="DG775" i="1"/>
  <c r="DG776" i="1"/>
  <c r="DG777" i="1"/>
  <c r="DG778" i="1"/>
  <c r="DG779" i="1"/>
  <c r="DG780" i="1"/>
  <c r="DG781" i="1"/>
  <c r="DG782" i="1"/>
  <c r="DG783" i="1"/>
  <c r="DG804" i="1"/>
  <c r="DG806" i="1"/>
  <c r="DG786" i="1"/>
  <c r="DG787" i="1"/>
  <c r="DG807" i="1"/>
  <c r="DG810" i="1"/>
  <c r="DG811" i="1"/>
  <c r="DG812" i="1"/>
  <c r="DG817" i="1"/>
  <c r="DG793" i="1"/>
  <c r="DG794" i="1"/>
  <c r="DG795" i="1"/>
  <c r="DG818" i="1"/>
  <c r="DG797" i="1"/>
  <c r="DG820" i="1"/>
  <c r="DG821" i="1"/>
  <c r="DG800" i="1"/>
  <c r="DG801" i="1"/>
  <c r="DG822" i="1"/>
  <c r="DG823" i="1"/>
  <c r="DG824" i="1"/>
  <c r="DG805" i="1"/>
  <c r="DG825" i="1"/>
  <c r="DG826" i="1"/>
  <c r="DG808" i="1"/>
  <c r="DG809" i="1"/>
  <c r="DG827" i="1"/>
  <c r="DG831" i="1"/>
  <c r="DG835" i="1"/>
  <c r="DG813" i="1"/>
  <c r="DG814" i="1"/>
  <c r="DG815" i="1"/>
  <c r="DG816" i="1"/>
  <c r="DG836" i="1"/>
  <c r="DG837" i="1"/>
  <c r="DG819" i="1"/>
  <c r="DG839" i="1"/>
  <c r="DG840" i="1"/>
  <c r="DG841" i="1"/>
  <c r="DG842" i="1"/>
  <c r="DG843" i="1"/>
  <c r="DG844" i="1"/>
  <c r="DG853" i="1"/>
  <c r="DG855" i="1"/>
  <c r="DG828" i="1"/>
  <c r="DG829" i="1"/>
  <c r="DG830" i="1"/>
  <c r="DG856" i="1"/>
  <c r="DG857" i="1"/>
  <c r="DG833" i="1"/>
  <c r="DG834" i="1"/>
  <c r="DG858" i="1"/>
  <c r="DG862" i="1"/>
  <c r="DG863" i="1"/>
  <c r="DG838" i="1"/>
  <c r="DG864" i="1"/>
  <c r="DG872" i="1"/>
  <c r="DG873" i="1"/>
  <c r="DG874" i="1"/>
  <c r="DG875" i="1"/>
  <c r="DG877" i="1"/>
  <c r="DG845" i="1"/>
  <c r="DG846" i="1"/>
  <c r="DG879" i="1"/>
  <c r="DG848" i="1"/>
  <c r="DG849" i="1"/>
  <c r="DG850" i="1"/>
  <c r="DG851" i="1"/>
  <c r="DG852" i="1"/>
  <c r="DG880" i="1"/>
  <c r="DG854" i="1"/>
  <c r="DG882" i="1"/>
  <c r="DG883" i="1"/>
  <c r="DG884" i="1"/>
  <c r="DG891" i="1"/>
  <c r="DG859" i="1"/>
  <c r="DG860" i="1"/>
  <c r="DG861" i="1"/>
  <c r="DG893" i="1"/>
  <c r="DG896" i="1"/>
  <c r="DG897" i="1"/>
  <c r="DG865" i="1"/>
  <c r="DG866" i="1"/>
  <c r="DG867" i="1"/>
  <c r="DG868" i="1"/>
  <c r="DG869" i="1"/>
  <c r="DG870" i="1"/>
  <c r="DG871" i="1"/>
  <c r="DG898" i="1"/>
  <c r="DG899" i="1"/>
  <c r="DG900" i="1"/>
  <c r="DG901" i="1"/>
  <c r="DG876" i="1"/>
  <c r="DG905" i="1"/>
  <c r="DG878" i="1"/>
  <c r="DG907" i="1"/>
  <c r="DG909" i="1"/>
  <c r="DG910" i="1"/>
  <c r="DG912" i="1"/>
  <c r="DG913" i="1"/>
  <c r="DG914" i="1"/>
  <c r="DG885" i="1"/>
  <c r="DG886" i="1"/>
  <c r="DG887" i="1"/>
  <c r="DG888" i="1"/>
  <c r="DG889" i="1"/>
  <c r="DG890" i="1"/>
  <c r="DG915" i="1"/>
  <c r="DG892" i="1"/>
  <c r="DG916" i="1"/>
  <c r="DG894" i="1"/>
  <c r="DG895" i="1"/>
  <c r="DG917" i="1"/>
  <c r="DG918" i="1"/>
  <c r="DG921" i="1"/>
  <c r="DG926" i="1"/>
  <c r="DG927" i="1"/>
  <c r="DG928" i="1"/>
  <c r="DG902" i="1"/>
  <c r="DG903" i="1"/>
  <c r="DG904" i="1"/>
  <c r="DG929" i="1"/>
  <c r="DG906" i="1"/>
  <c r="DG930" i="1"/>
  <c r="DG908" i="1"/>
  <c r="DG934" i="1"/>
  <c r="DG935" i="1"/>
  <c r="DG936" i="1"/>
  <c r="DG940" i="1"/>
  <c r="DG945" i="1"/>
  <c r="DG946" i="1"/>
  <c r="DG949" i="1"/>
  <c r="DG950" i="1"/>
  <c r="DG951" i="1"/>
  <c r="DG952" i="1"/>
  <c r="DG919" i="1"/>
  <c r="DG920" i="1"/>
  <c r="DG953" i="1"/>
  <c r="DG922" i="1"/>
  <c r="DG923" i="1"/>
  <c r="DG924" i="1"/>
  <c r="DG925" i="1"/>
  <c r="DG954" i="1"/>
  <c r="DG957" i="1"/>
  <c r="DG959" i="1"/>
  <c r="DG965" i="1"/>
  <c r="DG966" i="1"/>
  <c r="DG931" i="1"/>
  <c r="DG932" i="1"/>
  <c r="DG933" i="1"/>
  <c r="DG970" i="1"/>
  <c r="DG971" i="1"/>
  <c r="DG972" i="1"/>
  <c r="DG937" i="1"/>
  <c r="DG938" i="1"/>
  <c r="DG939" i="1"/>
  <c r="DG982" i="1"/>
  <c r="DG941" i="1"/>
  <c r="DG942" i="1"/>
  <c r="DG943" i="1"/>
  <c r="DG944" i="1"/>
  <c r="DG983" i="1"/>
  <c r="DG984" i="1"/>
  <c r="DG947" i="1"/>
  <c r="DG948" i="1"/>
  <c r="DG986" i="1"/>
  <c r="DG989" i="1"/>
  <c r="DG991" i="1"/>
  <c r="DG992" i="1"/>
  <c r="DG995" i="1"/>
  <c r="DG1000" i="1"/>
  <c r="DG955" i="1"/>
  <c r="DG956" i="1"/>
  <c r="DG1002" i="1"/>
  <c r="DG958" i="1"/>
  <c r="DG1003" i="1"/>
  <c r="DG960" i="1"/>
  <c r="DG961" i="1"/>
  <c r="DG962" i="1"/>
  <c r="DG963" i="1"/>
  <c r="DG964" i="1"/>
  <c r="DG1004" i="1"/>
  <c r="DG1006" i="1"/>
  <c r="DG967" i="1"/>
  <c r="DG968" i="1"/>
  <c r="DG1008" i="1"/>
  <c r="DG1009" i="1"/>
  <c r="DG1010" i="1"/>
  <c r="DG1011" i="1"/>
  <c r="DG973" i="1"/>
  <c r="DG974" i="1"/>
  <c r="DG975" i="1"/>
  <c r="DG976" i="1"/>
  <c r="DG977" i="1"/>
  <c r="DG978" i="1"/>
  <c r="DG979" i="1"/>
  <c r="DG980" i="1"/>
  <c r="DG981" i="1"/>
  <c r="DG1012" i="1"/>
  <c r="DG1013" i="1"/>
  <c r="DG1014" i="1"/>
  <c r="DG985" i="1"/>
  <c r="DG684" i="1"/>
  <c r="DG689" i="1"/>
  <c r="DG988" i="1"/>
  <c r="DG715" i="1"/>
  <c r="DG990" i="1"/>
  <c r="DG732" i="1"/>
  <c r="DG733" i="1"/>
  <c r="DG993" i="1"/>
  <c r="DG994" i="1"/>
  <c r="DG745" i="1"/>
  <c r="DG996" i="1"/>
  <c r="DG997" i="1"/>
  <c r="DG998" i="1"/>
  <c r="DG999" i="1"/>
  <c r="DG784" i="1"/>
  <c r="DG1001" i="1"/>
  <c r="DG788" i="1"/>
  <c r="DG798" i="1"/>
  <c r="DG799" i="1"/>
  <c r="DG1005" i="1"/>
  <c r="DG802" i="1"/>
  <c r="DG1007" i="1"/>
  <c r="DG803" i="1"/>
  <c r="DG832" i="1"/>
  <c r="DG847" i="1"/>
  <c r="DG881" i="1"/>
  <c r="DG911" i="1"/>
  <c r="DG969" i="1"/>
  <c r="DG987" i="1"/>
  <c r="DF2" i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200" i="1"/>
  <c r="DF201" i="1"/>
  <c r="DF202" i="1"/>
  <c r="DF203" i="1"/>
  <c r="DF204" i="1"/>
  <c r="DF205" i="1"/>
  <c r="DF206" i="1"/>
  <c r="DF207" i="1"/>
  <c r="DF208" i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F221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5" i="1"/>
  <c r="DF236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49" i="1"/>
  <c r="DF250" i="1"/>
  <c r="DF251" i="1"/>
  <c r="DF252" i="1"/>
  <c r="DF253" i="1"/>
  <c r="DF254" i="1"/>
  <c r="DF255" i="1"/>
  <c r="DF256" i="1"/>
  <c r="DF257" i="1"/>
  <c r="DF258" i="1"/>
  <c r="DF259" i="1"/>
  <c r="DF260" i="1"/>
  <c r="DF261" i="1"/>
  <c r="DF262" i="1"/>
  <c r="DF263" i="1"/>
  <c r="DF264" i="1"/>
  <c r="DF265" i="1"/>
  <c r="DF266" i="1"/>
  <c r="DF267" i="1"/>
  <c r="DF268" i="1"/>
  <c r="DF269" i="1"/>
  <c r="DF270" i="1"/>
  <c r="DF271" i="1"/>
  <c r="DF272" i="1"/>
  <c r="DF273" i="1"/>
  <c r="DF274" i="1"/>
  <c r="DF275" i="1"/>
  <c r="DF276" i="1"/>
  <c r="DF277" i="1"/>
  <c r="DF278" i="1"/>
  <c r="DF279" i="1"/>
  <c r="DF280" i="1"/>
  <c r="DF281" i="1"/>
  <c r="DF282" i="1"/>
  <c r="DF283" i="1"/>
  <c r="DF284" i="1"/>
  <c r="DF285" i="1"/>
  <c r="DF286" i="1"/>
  <c r="DF287" i="1"/>
  <c r="DF288" i="1"/>
  <c r="DF289" i="1"/>
  <c r="DF290" i="1"/>
  <c r="DF291" i="1"/>
  <c r="DF292" i="1"/>
  <c r="DF293" i="1"/>
  <c r="DF294" i="1"/>
  <c r="DF295" i="1"/>
  <c r="DF296" i="1"/>
  <c r="DF297" i="1"/>
  <c r="DF298" i="1"/>
  <c r="DF299" i="1"/>
  <c r="DF300" i="1"/>
  <c r="DF301" i="1"/>
  <c r="DF302" i="1"/>
  <c r="DF303" i="1"/>
  <c r="DF304" i="1"/>
  <c r="DF305" i="1"/>
  <c r="DF306" i="1"/>
  <c r="DF307" i="1"/>
  <c r="DF308" i="1"/>
  <c r="DF309" i="1"/>
  <c r="DF310" i="1"/>
  <c r="DF311" i="1"/>
  <c r="DF312" i="1"/>
  <c r="DF313" i="1"/>
  <c r="DF314" i="1"/>
  <c r="DF315" i="1"/>
  <c r="DF316" i="1"/>
  <c r="DF317" i="1"/>
  <c r="DF318" i="1"/>
  <c r="DF319" i="1"/>
  <c r="DF320" i="1"/>
  <c r="DF321" i="1"/>
  <c r="DF322" i="1"/>
  <c r="DF323" i="1"/>
  <c r="DF324" i="1"/>
  <c r="DF325" i="1"/>
  <c r="DF326" i="1"/>
  <c r="DF327" i="1"/>
  <c r="DF328" i="1"/>
  <c r="DF329" i="1"/>
  <c r="DF330" i="1"/>
  <c r="DF331" i="1"/>
  <c r="DF332" i="1"/>
  <c r="DF333" i="1"/>
  <c r="DF334" i="1"/>
  <c r="DF335" i="1"/>
  <c r="DF336" i="1"/>
  <c r="DF337" i="1"/>
  <c r="DF338" i="1"/>
  <c r="DF339" i="1"/>
  <c r="DF340" i="1"/>
  <c r="DF341" i="1"/>
  <c r="DF342" i="1"/>
  <c r="DF343" i="1"/>
  <c r="DF344" i="1"/>
  <c r="DF345" i="1"/>
  <c r="DF346" i="1"/>
  <c r="DF347" i="1"/>
  <c r="DF348" i="1"/>
  <c r="DF349" i="1"/>
  <c r="DF350" i="1"/>
  <c r="DF351" i="1"/>
  <c r="DF352" i="1"/>
  <c r="DF353" i="1"/>
  <c r="DF354" i="1"/>
  <c r="DF355" i="1"/>
  <c r="DF356" i="1"/>
  <c r="DF357" i="1"/>
  <c r="DF358" i="1"/>
  <c r="DF359" i="1"/>
  <c r="DF360" i="1"/>
  <c r="DF361" i="1"/>
  <c r="DF362" i="1"/>
  <c r="DF363" i="1"/>
  <c r="DF364" i="1"/>
  <c r="DF365" i="1"/>
  <c r="DF366" i="1"/>
  <c r="DF367" i="1"/>
  <c r="DF368" i="1"/>
  <c r="DF369" i="1"/>
  <c r="DF370" i="1"/>
  <c r="DF371" i="1"/>
  <c r="DF372" i="1"/>
  <c r="DF373" i="1"/>
  <c r="DF374" i="1"/>
  <c r="DF375" i="1"/>
  <c r="DF376" i="1"/>
  <c r="DF377" i="1"/>
  <c r="DF378" i="1"/>
  <c r="DF379" i="1"/>
  <c r="DF380" i="1"/>
  <c r="DF381" i="1"/>
  <c r="DF382" i="1"/>
  <c r="DF383" i="1"/>
  <c r="DF384" i="1"/>
  <c r="DF385" i="1"/>
  <c r="DF386" i="1"/>
  <c r="DF387" i="1"/>
  <c r="DF388" i="1"/>
  <c r="DF389" i="1"/>
  <c r="DF390" i="1"/>
  <c r="DF391" i="1"/>
  <c r="DF392" i="1"/>
  <c r="DF393" i="1"/>
  <c r="DF394" i="1"/>
  <c r="DF395" i="1"/>
  <c r="DF396" i="1"/>
  <c r="DF397" i="1"/>
  <c r="DF398" i="1"/>
  <c r="DF399" i="1"/>
  <c r="DF400" i="1"/>
  <c r="DF401" i="1"/>
  <c r="DF402" i="1"/>
  <c r="DF403" i="1"/>
  <c r="DF404" i="1"/>
  <c r="DF405" i="1"/>
  <c r="DF406" i="1"/>
  <c r="DF407" i="1"/>
  <c r="DF408" i="1"/>
  <c r="DF409" i="1"/>
  <c r="DF410" i="1"/>
  <c r="DF411" i="1"/>
  <c r="DF412" i="1"/>
  <c r="DF413" i="1"/>
  <c r="DF414" i="1"/>
  <c r="DF415" i="1"/>
  <c r="DF416" i="1"/>
  <c r="DF417" i="1"/>
  <c r="DF418" i="1"/>
  <c r="DF419" i="1"/>
  <c r="DF420" i="1"/>
  <c r="DF421" i="1"/>
  <c r="DF422" i="1"/>
  <c r="DF423" i="1"/>
  <c r="DF424" i="1"/>
  <c r="DF425" i="1"/>
  <c r="DF426" i="1"/>
  <c r="DF427" i="1"/>
  <c r="DF428" i="1"/>
  <c r="DF429" i="1"/>
  <c r="DF430" i="1"/>
  <c r="DF431" i="1"/>
  <c r="DF432" i="1"/>
  <c r="DF433" i="1"/>
  <c r="DF434" i="1"/>
  <c r="DF435" i="1"/>
  <c r="DF436" i="1"/>
  <c r="DF437" i="1"/>
  <c r="DF438" i="1"/>
  <c r="DF439" i="1"/>
  <c r="DF440" i="1"/>
  <c r="DF441" i="1"/>
  <c r="DF442" i="1"/>
  <c r="DF443" i="1"/>
  <c r="DF444" i="1"/>
  <c r="DF445" i="1"/>
  <c r="DF446" i="1"/>
  <c r="DF447" i="1"/>
  <c r="DF448" i="1"/>
  <c r="DF449" i="1"/>
  <c r="DF450" i="1"/>
  <c r="DF451" i="1"/>
  <c r="DF452" i="1"/>
  <c r="DF453" i="1"/>
  <c r="DF454" i="1"/>
  <c r="DF455" i="1"/>
  <c r="DF456" i="1"/>
  <c r="DF457" i="1"/>
  <c r="DF458" i="1"/>
  <c r="DF459" i="1"/>
  <c r="DF460" i="1"/>
  <c r="DF461" i="1"/>
  <c r="DF462" i="1"/>
  <c r="DF463" i="1"/>
  <c r="DF464" i="1"/>
  <c r="DF465" i="1"/>
  <c r="DF466" i="1"/>
  <c r="DF467" i="1"/>
  <c r="DF468" i="1"/>
  <c r="DF469" i="1"/>
  <c r="DF470" i="1"/>
  <c r="DF471" i="1"/>
  <c r="DF472" i="1"/>
  <c r="DF473" i="1"/>
  <c r="DF474" i="1"/>
  <c r="DF475" i="1"/>
  <c r="DF476" i="1"/>
  <c r="DF477" i="1"/>
  <c r="DF478" i="1"/>
  <c r="DF479" i="1"/>
  <c r="DF480" i="1"/>
  <c r="DF481" i="1"/>
  <c r="DF482" i="1"/>
  <c r="DF483" i="1"/>
  <c r="DF484" i="1"/>
  <c r="DF485" i="1"/>
  <c r="DF486" i="1"/>
  <c r="DF487" i="1"/>
  <c r="DF488" i="1"/>
  <c r="DF489" i="1"/>
  <c r="DF490" i="1"/>
  <c r="DF491" i="1"/>
  <c r="DF492" i="1"/>
  <c r="DF493" i="1"/>
  <c r="DF494" i="1"/>
  <c r="DF495" i="1"/>
  <c r="DF496" i="1"/>
  <c r="DF497" i="1"/>
  <c r="DF498" i="1"/>
  <c r="DF499" i="1"/>
  <c r="DF500" i="1"/>
  <c r="DF501" i="1"/>
  <c r="DF502" i="1"/>
  <c r="DF503" i="1"/>
  <c r="DF504" i="1"/>
  <c r="DF505" i="1"/>
  <c r="DF506" i="1"/>
  <c r="DF507" i="1"/>
  <c r="DF508" i="1"/>
  <c r="DF509" i="1"/>
  <c r="DF510" i="1"/>
  <c r="DF511" i="1"/>
  <c r="DF512" i="1"/>
  <c r="DF513" i="1"/>
  <c r="DF514" i="1"/>
  <c r="DF515" i="1"/>
  <c r="DF516" i="1"/>
  <c r="DF517" i="1"/>
  <c r="DF518" i="1"/>
  <c r="DF519" i="1"/>
  <c r="DF520" i="1"/>
  <c r="DF521" i="1"/>
  <c r="DF522" i="1"/>
  <c r="DF523" i="1"/>
  <c r="DF524" i="1"/>
  <c r="DF525" i="1"/>
  <c r="DF526" i="1"/>
  <c r="DF527" i="1"/>
  <c r="DF528" i="1"/>
  <c r="DF529" i="1"/>
  <c r="DF530" i="1"/>
  <c r="DF531" i="1"/>
  <c r="DF532" i="1"/>
  <c r="DF533" i="1"/>
  <c r="DF534" i="1"/>
  <c r="DF535" i="1"/>
  <c r="DF536" i="1"/>
  <c r="DF537" i="1"/>
  <c r="DF538" i="1"/>
  <c r="DF539" i="1"/>
  <c r="DF540" i="1"/>
  <c r="DF541" i="1"/>
  <c r="DF542" i="1"/>
  <c r="DF543" i="1"/>
  <c r="DF544" i="1"/>
  <c r="DF545" i="1"/>
  <c r="DF546" i="1"/>
  <c r="DF547" i="1"/>
  <c r="DF548" i="1"/>
  <c r="DF549" i="1"/>
  <c r="DF550" i="1"/>
  <c r="DF551" i="1"/>
  <c r="DF552" i="1"/>
  <c r="DF553" i="1"/>
  <c r="DF554" i="1"/>
  <c r="DF555" i="1"/>
  <c r="DF556" i="1"/>
  <c r="DF557" i="1"/>
  <c r="DF558" i="1"/>
  <c r="DF559" i="1"/>
  <c r="DF560" i="1"/>
  <c r="DF561" i="1"/>
  <c r="DF562" i="1"/>
  <c r="DF563" i="1"/>
  <c r="DF564" i="1"/>
  <c r="DF565" i="1"/>
  <c r="DF566" i="1"/>
  <c r="DF567" i="1"/>
  <c r="DF568" i="1"/>
  <c r="DF569" i="1"/>
  <c r="DF570" i="1"/>
  <c r="DF571" i="1"/>
  <c r="DF572" i="1"/>
  <c r="DF573" i="1"/>
  <c r="DF574" i="1"/>
  <c r="DF575" i="1"/>
  <c r="DF576" i="1"/>
  <c r="DF577" i="1"/>
  <c r="DF578" i="1"/>
  <c r="DF579" i="1"/>
  <c r="DF580" i="1"/>
  <c r="DF581" i="1"/>
  <c r="DF582" i="1"/>
  <c r="DF583" i="1"/>
  <c r="DF584" i="1"/>
  <c r="DF585" i="1"/>
  <c r="DF586" i="1"/>
  <c r="DF587" i="1"/>
  <c r="DF588" i="1"/>
  <c r="DF589" i="1"/>
  <c r="DF590" i="1"/>
  <c r="DF591" i="1"/>
  <c r="DF592" i="1"/>
  <c r="DF593" i="1"/>
  <c r="DF594" i="1"/>
  <c r="DF595" i="1"/>
  <c r="DF596" i="1"/>
  <c r="DF597" i="1"/>
  <c r="DF598" i="1"/>
  <c r="DF599" i="1"/>
  <c r="DF600" i="1"/>
  <c r="DF601" i="1"/>
  <c r="DF602" i="1"/>
  <c r="DF603" i="1"/>
  <c r="DF604" i="1"/>
  <c r="DF605" i="1"/>
  <c r="DF606" i="1"/>
  <c r="DF607" i="1"/>
  <c r="DF608" i="1"/>
  <c r="DF609" i="1"/>
  <c r="DF610" i="1"/>
  <c r="DF611" i="1"/>
  <c r="DF612" i="1"/>
  <c r="DF613" i="1"/>
  <c r="DF614" i="1"/>
  <c r="DF615" i="1"/>
  <c r="DF616" i="1"/>
  <c r="DF617" i="1"/>
  <c r="DF618" i="1"/>
  <c r="DF619" i="1"/>
  <c r="DF620" i="1"/>
  <c r="DF621" i="1"/>
  <c r="DF622" i="1"/>
  <c r="DF623" i="1"/>
  <c r="DF624" i="1"/>
  <c r="DF625" i="1"/>
  <c r="DF626" i="1"/>
  <c r="DF627" i="1"/>
  <c r="DF628" i="1"/>
  <c r="DF629" i="1"/>
  <c r="DF630" i="1"/>
  <c r="DF631" i="1"/>
  <c r="DF632" i="1"/>
  <c r="DF633" i="1"/>
  <c r="DF634" i="1"/>
  <c r="DF635" i="1"/>
  <c r="DF636" i="1"/>
  <c r="DF637" i="1"/>
  <c r="DF638" i="1"/>
  <c r="DF639" i="1"/>
  <c r="DF640" i="1"/>
  <c r="DF641" i="1"/>
  <c r="DF642" i="1"/>
  <c r="DF643" i="1"/>
  <c r="DF644" i="1"/>
  <c r="DF645" i="1"/>
  <c r="DF646" i="1"/>
  <c r="DF647" i="1"/>
  <c r="DF648" i="1"/>
  <c r="DF649" i="1"/>
  <c r="DF650" i="1"/>
  <c r="DF651" i="1"/>
  <c r="DF652" i="1"/>
  <c r="DF653" i="1"/>
  <c r="DF654" i="1"/>
  <c r="DF655" i="1"/>
  <c r="DF656" i="1"/>
  <c r="DF657" i="1"/>
  <c r="DF658" i="1"/>
  <c r="DF659" i="1"/>
  <c r="DF660" i="1"/>
  <c r="DF661" i="1"/>
  <c r="DF662" i="1"/>
  <c r="DF663" i="1"/>
  <c r="DF664" i="1"/>
  <c r="DF665" i="1"/>
  <c r="DF666" i="1"/>
  <c r="DF667" i="1"/>
  <c r="DF668" i="1"/>
  <c r="DF669" i="1"/>
  <c r="DF670" i="1"/>
  <c r="DF671" i="1"/>
  <c r="DF672" i="1"/>
  <c r="DF673" i="1"/>
  <c r="DF674" i="1"/>
  <c r="DF675" i="1"/>
  <c r="DF676" i="1"/>
  <c r="DF677" i="1"/>
  <c r="DF678" i="1"/>
  <c r="DF679" i="1"/>
  <c r="DF680" i="1"/>
  <c r="DF681" i="1"/>
  <c r="DF682" i="1"/>
  <c r="DF683" i="1"/>
  <c r="DF910" i="1"/>
  <c r="DF690" i="1"/>
  <c r="DF686" i="1"/>
  <c r="DF687" i="1"/>
  <c r="DF688" i="1"/>
  <c r="DF803" i="1"/>
  <c r="DF736" i="1"/>
  <c r="DF691" i="1"/>
  <c r="DF692" i="1"/>
  <c r="DF807" i="1"/>
  <c r="DF694" i="1"/>
  <c r="DF729" i="1"/>
  <c r="DF696" i="1"/>
  <c r="DF697" i="1"/>
  <c r="DF991" i="1"/>
  <c r="DF825" i="1"/>
  <c r="DF700" i="1"/>
  <c r="DF701" i="1"/>
  <c r="DF702" i="1"/>
  <c r="DF749" i="1"/>
  <c r="DF704" i="1"/>
  <c r="DF898" i="1"/>
  <c r="DF706" i="1"/>
  <c r="DF707" i="1"/>
  <c r="DF730" i="1"/>
  <c r="DF709" i="1"/>
  <c r="DF862" i="1"/>
  <c r="DF711" i="1"/>
  <c r="DF708" i="1"/>
  <c r="DF913" i="1"/>
  <c r="DF874" i="1"/>
  <c r="DF773" i="1"/>
  <c r="DF844" i="1"/>
  <c r="DF717" i="1"/>
  <c r="DF718" i="1"/>
  <c r="DF719" i="1"/>
  <c r="DF720" i="1"/>
  <c r="DF721" i="1"/>
  <c r="DF722" i="1"/>
  <c r="DF723" i="1"/>
  <c r="DF695" i="1"/>
  <c r="DF832" i="1"/>
  <c r="DF726" i="1"/>
  <c r="DF881" i="1"/>
  <c r="DF972" i="1"/>
  <c r="DF732" i="1"/>
  <c r="DF875" i="1"/>
  <c r="DF858" i="1"/>
  <c r="DF847" i="1"/>
  <c r="DF856" i="1"/>
  <c r="DF863" i="1"/>
  <c r="DF699" i="1"/>
  <c r="DF1013" i="1"/>
  <c r="DF748" i="1"/>
  <c r="DF738" i="1"/>
  <c r="DF739" i="1"/>
  <c r="DF740" i="1"/>
  <c r="DF741" i="1"/>
  <c r="DF742" i="1"/>
  <c r="DF714" i="1"/>
  <c r="DF731" i="1"/>
  <c r="DF855" i="1"/>
  <c r="DF746" i="1"/>
  <c r="DF911" i="1"/>
  <c r="DF735" i="1"/>
  <c r="DF971" i="1"/>
  <c r="DF927" i="1"/>
  <c r="DF744" i="1"/>
  <c r="DF772" i="1"/>
  <c r="DF768" i="1"/>
  <c r="DF810" i="1"/>
  <c r="DF755" i="1"/>
  <c r="DF756" i="1"/>
  <c r="DF757" i="1"/>
  <c r="DF758" i="1"/>
  <c r="DF969" i="1"/>
  <c r="DF760" i="1"/>
  <c r="DF820" i="1"/>
  <c r="DF762" i="1"/>
  <c r="DF763" i="1"/>
  <c r="DF774" i="1"/>
  <c r="DF765" i="1"/>
  <c r="DF766" i="1"/>
  <c r="DF796" i="1"/>
  <c r="DF802" i="1"/>
  <c r="DF935" i="1"/>
  <c r="DF918" i="1"/>
  <c r="DF737" i="1"/>
  <c r="DF725" i="1"/>
  <c r="DF684" i="1"/>
  <c r="DF792" i="1"/>
  <c r="DF775" i="1"/>
  <c r="DF776" i="1"/>
  <c r="DF777" i="1"/>
  <c r="DF778" i="1"/>
  <c r="DF779" i="1"/>
  <c r="DF780" i="1"/>
  <c r="DF781" i="1"/>
  <c r="DF782" i="1"/>
  <c r="DF783" i="1"/>
  <c r="DF880" i="1"/>
  <c r="DF689" i="1"/>
  <c r="DF786" i="1"/>
  <c r="DF787" i="1"/>
  <c r="DF785" i="1"/>
  <c r="DF836" i="1"/>
  <c r="DF912" i="1"/>
  <c r="DF873" i="1"/>
  <c r="DF965" i="1"/>
  <c r="DF793" i="1"/>
  <c r="DF794" i="1"/>
  <c r="DF795" i="1"/>
  <c r="DF841" i="1"/>
  <c r="DF797" i="1"/>
  <c r="DF710" i="1"/>
  <c r="DF728" i="1"/>
  <c r="DF800" i="1"/>
  <c r="DF801" i="1"/>
  <c r="DF705" i="1"/>
  <c r="DF843" i="1"/>
  <c r="DF986" i="1"/>
  <c r="DF805" i="1"/>
  <c r="DF949" i="1"/>
  <c r="DF839" i="1"/>
  <c r="DF808" i="1"/>
  <c r="DF809" i="1"/>
  <c r="DF917" i="1"/>
  <c r="DF982" i="1"/>
  <c r="DF989" i="1"/>
  <c r="DF813" i="1"/>
  <c r="DF814" i="1"/>
  <c r="DF815" i="1"/>
  <c r="DF816" i="1"/>
  <c r="DF747" i="1"/>
  <c r="DF812" i="1"/>
  <c r="DF819" i="1"/>
  <c r="DF877" i="1"/>
  <c r="DF900" i="1"/>
  <c r="DF901" i="1"/>
  <c r="DF893" i="1"/>
  <c r="DF1009" i="1"/>
  <c r="DF753" i="1"/>
  <c r="DF750" i="1"/>
  <c r="DF884" i="1"/>
  <c r="DF828" i="1"/>
  <c r="DF829" i="1"/>
  <c r="DF830" i="1"/>
  <c r="DF698" i="1"/>
  <c r="DF811" i="1"/>
  <c r="DF833" i="1"/>
  <c r="DF834" i="1"/>
  <c r="DF882" i="1"/>
  <c r="DF817" i="1"/>
  <c r="DF733" i="1"/>
  <c r="DF838" i="1"/>
  <c r="DF909" i="1"/>
  <c r="DF1010" i="1"/>
  <c r="DF905" i="1"/>
  <c r="DF959" i="1"/>
  <c r="DF703" i="1"/>
  <c r="DF1008" i="1"/>
  <c r="DF845" i="1"/>
  <c r="DF846" i="1"/>
  <c r="DF693" i="1"/>
  <c r="DF848" i="1"/>
  <c r="DF849" i="1"/>
  <c r="DF850" i="1"/>
  <c r="DF851" i="1"/>
  <c r="DF852" i="1"/>
  <c r="DF822" i="1"/>
  <c r="DF854" i="1"/>
  <c r="DF769" i="1"/>
  <c r="DF907" i="1"/>
  <c r="DF926" i="1"/>
  <c r="DF953" i="1"/>
  <c r="DF859" i="1"/>
  <c r="DF860" i="1"/>
  <c r="DF861" i="1"/>
  <c r="DF835" i="1"/>
  <c r="DF724" i="1"/>
  <c r="DF946" i="1"/>
  <c r="DF865" i="1"/>
  <c r="DF866" i="1"/>
  <c r="DF867" i="1"/>
  <c r="DF868" i="1"/>
  <c r="DF869" i="1"/>
  <c r="DF870" i="1"/>
  <c r="DF871" i="1"/>
  <c r="DF831" i="1"/>
  <c r="DF840" i="1"/>
  <c r="DF891" i="1"/>
  <c r="DF857" i="1"/>
  <c r="DF876" i="1"/>
  <c r="DF727" i="1"/>
  <c r="DF878" i="1"/>
  <c r="DF759" i="1"/>
  <c r="DF950" i="1"/>
  <c r="DF970" i="1"/>
  <c r="DF804" i="1"/>
  <c r="DF771" i="1"/>
  <c r="DF1012" i="1"/>
  <c r="DF885" i="1"/>
  <c r="DF886" i="1"/>
  <c r="DF887" i="1"/>
  <c r="DF888" i="1"/>
  <c r="DF889" i="1"/>
  <c r="DF890" i="1"/>
  <c r="DF1003" i="1"/>
  <c r="DF892" i="1"/>
  <c r="DF897" i="1"/>
  <c r="DF894" i="1"/>
  <c r="DF895" i="1"/>
  <c r="DF899" i="1"/>
  <c r="DF751" i="1"/>
  <c r="DF754" i="1"/>
  <c r="DF823" i="1"/>
  <c r="DF936" i="1"/>
  <c r="DF951" i="1"/>
  <c r="DF902" i="1"/>
  <c r="DF903" i="1"/>
  <c r="DF904" i="1"/>
  <c r="DF914" i="1"/>
  <c r="DF906" i="1"/>
  <c r="DF715" i="1"/>
  <c r="DF908" i="1"/>
  <c r="DF1004" i="1"/>
  <c r="DF957" i="1"/>
  <c r="DF934" i="1"/>
  <c r="DF966" i="1"/>
  <c r="DF940" i="1"/>
  <c r="DF1011" i="1"/>
  <c r="DF743" i="1"/>
  <c r="DF791" i="1"/>
  <c r="DF995" i="1"/>
  <c r="DF929" i="1"/>
  <c r="DF919" i="1"/>
  <c r="DF920" i="1"/>
  <c r="DF767" i="1"/>
  <c r="DF922" i="1"/>
  <c r="DF923" i="1"/>
  <c r="DF924" i="1"/>
  <c r="DF925" i="1"/>
  <c r="DF837" i="1"/>
  <c r="DF984" i="1"/>
  <c r="DF930" i="1"/>
  <c r="DF945" i="1"/>
  <c r="DF916" i="1"/>
  <c r="DF931" i="1"/>
  <c r="DF932" i="1"/>
  <c r="DF933" i="1"/>
  <c r="DF915" i="1"/>
  <c r="DF1014" i="1"/>
  <c r="DF784" i="1"/>
  <c r="DF937" i="1"/>
  <c r="DF938" i="1"/>
  <c r="DF939" i="1"/>
  <c r="DF712" i="1"/>
  <c r="DF941" i="1"/>
  <c r="DF942" i="1"/>
  <c r="DF943" i="1"/>
  <c r="DF944" i="1"/>
  <c r="DF826" i="1"/>
  <c r="DF789" i="1"/>
  <c r="DF947" i="1"/>
  <c r="DF948" i="1"/>
  <c r="DF827" i="1"/>
  <c r="DF987" i="1"/>
  <c r="DF821" i="1"/>
  <c r="DF883" i="1"/>
  <c r="DF896" i="1"/>
  <c r="DF928" i="1"/>
  <c r="DF955" i="1"/>
  <c r="DF956" i="1"/>
  <c r="DF734" i="1"/>
  <c r="DF958" i="1"/>
  <c r="DF1000" i="1"/>
  <c r="DF960" i="1"/>
  <c r="DF961" i="1"/>
  <c r="DF962" i="1"/>
  <c r="DF963" i="1"/>
  <c r="DF964" i="1"/>
  <c r="DF921" i="1"/>
  <c r="DF954" i="1"/>
  <c r="DF967" i="1"/>
  <c r="DF968" i="1"/>
  <c r="DF952" i="1"/>
  <c r="DF770" i="1"/>
  <c r="DF806" i="1"/>
  <c r="DF818" i="1"/>
  <c r="DF973" i="1"/>
  <c r="DF974" i="1"/>
  <c r="DF975" i="1"/>
  <c r="DF976" i="1"/>
  <c r="DF977" i="1"/>
  <c r="DF978" i="1"/>
  <c r="DF979" i="1"/>
  <c r="DF980" i="1"/>
  <c r="DF981" i="1"/>
  <c r="DF764" i="1"/>
  <c r="DF853" i="1"/>
  <c r="DF798" i="1"/>
  <c r="DF985" i="1"/>
  <c r="DF992" i="1"/>
  <c r="DF790" i="1"/>
  <c r="DF988" i="1"/>
  <c r="DF745" i="1"/>
  <c r="DF990" i="1"/>
  <c r="DF983" i="1"/>
  <c r="DF1002" i="1"/>
  <c r="DF993" i="1"/>
  <c r="DF994" i="1"/>
  <c r="DF842" i="1"/>
  <c r="DF996" i="1"/>
  <c r="DF997" i="1"/>
  <c r="DF998" i="1"/>
  <c r="DF999" i="1"/>
  <c r="DF685" i="1"/>
  <c r="DF1001" i="1"/>
  <c r="DF788" i="1"/>
  <c r="DF864" i="1"/>
  <c r="DF872" i="1"/>
  <c r="DF1005" i="1"/>
  <c r="DF713" i="1"/>
  <c r="DF1007" i="1"/>
  <c r="DF1006" i="1"/>
  <c r="DF824" i="1"/>
  <c r="DF761" i="1"/>
  <c r="DF752" i="1"/>
  <c r="DF716" i="1"/>
  <c r="DF799" i="1"/>
  <c r="DF879" i="1"/>
</calcChain>
</file>

<file path=xl/sharedStrings.xml><?xml version="1.0" encoding="utf-8"?>
<sst xmlns="http://schemas.openxmlformats.org/spreadsheetml/2006/main" count="44432" uniqueCount="9336">
  <si>
    <t>Fanfooty Match ID</t>
  </si>
  <si>
    <t>Fanfooty Match URL</t>
  </si>
  <si>
    <t>Round</t>
  </si>
  <si>
    <t>Year</t>
  </si>
  <si>
    <t>Player ID</t>
  </si>
  <si>
    <t>First Name</t>
  </si>
  <si>
    <t>Surname</t>
  </si>
  <si>
    <t>Team</t>
  </si>
  <si>
    <t>null</t>
  </si>
  <si>
    <t>DT</t>
  </si>
  <si>
    <t>SC</t>
  </si>
  <si>
    <t>null2</t>
  </si>
  <si>
    <t>null3</t>
  </si>
  <si>
    <t>null4</t>
  </si>
  <si>
    <t>Kicks</t>
  </si>
  <si>
    <t>Handballs</t>
  </si>
  <si>
    <t>Marks</t>
  </si>
  <si>
    <t>Tackles</t>
  </si>
  <si>
    <t>Hitouts</t>
  </si>
  <si>
    <t>Frees for</t>
  </si>
  <si>
    <t>Frees against</t>
  </si>
  <si>
    <t>Goals</t>
  </si>
  <si>
    <t>Behinds</t>
  </si>
  <si>
    <t>Not sure</t>
  </si>
  <si>
    <t>Tag</t>
  </si>
  <si>
    <t>Tag Notes</t>
  </si>
  <si>
    <t>Tag 2</t>
  </si>
  <si>
    <t>Tag 2 Notes</t>
  </si>
  <si>
    <t>null5</t>
  </si>
  <si>
    <t>null6</t>
  </si>
  <si>
    <t>null7</t>
  </si>
  <si>
    <t>null8</t>
  </si>
  <si>
    <t>Position</t>
  </si>
  <si>
    <t>Jumper Number</t>
  </si>
  <si>
    <t>null9</t>
  </si>
  <si>
    <t>null10</t>
  </si>
  <si>
    <t>null11</t>
  </si>
  <si>
    <t>DT own %</t>
  </si>
  <si>
    <t>SC own %</t>
  </si>
  <si>
    <t>AF own %</t>
  </si>
  <si>
    <t>null12</t>
  </si>
  <si>
    <t>AF Breakeven</t>
  </si>
  <si>
    <t>null13</t>
  </si>
  <si>
    <t>Contested Possessions</t>
  </si>
  <si>
    <t>Clearances</t>
  </si>
  <si>
    <t>Clangers</t>
  </si>
  <si>
    <t>Disposal efficiency</t>
  </si>
  <si>
    <t>Time on ground</t>
  </si>
  <si>
    <t>Metres gained</t>
  </si>
  <si>
    <t>Bench staus</t>
  </si>
  <si>
    <t>Injured</t>
  </si>
  <si>
    <t>Opposition_team_SC</t>
  </si>
  <si>
    <t>My_team_SC</t>
  </si>
  <si>
    <t>Round Order</t>
  </si>
  <si>
    <t>match_identifier</t>
  </si>
  <si>
    <t>80th_percentile</t>
  </si>
  <si>
    <t>top_20</t>
  </si>
  <si>
    <t>50th_percentile</t>
  </si>
  <si>
    <t>top_50</t>
  </si>
  <si>
    <t>3_rd_rolling_Kicks</t>
  </si>
  <si>
    <t>15_rd_rolling_Kicks</t>
  </si>
  <si>
    <t>3_rd_rolling_Handballs</t>
  </si>
  <si>
    <t>15_rd_rolling_Handballs</t>
  </si>
  <si>
    <t>3_rd_rolling_Marks</t>
  </si>
  <si>
    <t>15_rd_rolling_Marks</t>
  </si>
  <si>
    <t>3_rd_rolling_Tackles</t>
  </si>
  <si>
    <t>15_rd_rolling_Tackles</t>
  </si>
  <si>
    <t>3_rd_rolling_Hitouts</t>
  </si>
  <si>
    <t>15_rd_rolling_Hitouts</t>
  </si>
  <si>
    <t>3_rd_rolling_Frees for</t>
  </si>
  <si>
    <t>15_rd_rolling_Frees for</t>
  </si>
  <si>
    <t>3_rd_rolling_Frees against</t>
  </si>
  <si>
    <t>15_rd_rolling_Frees against</t>
  </si>
  <si>
    <t>3_rd_rolling_Goals</t>
  </si>
  <si>
    <t>15_rd_rolling_Goals</t>
  </si>
  <si>
    <t>3_rd_rolling_Behinds</t>
  </si>
  <si>
    <t>15_rd_rolling_Behinds</t>
  </si>
  <si>
    <t>3_rd_rolling_DT own %</t>
  </si>
  <si>
    <t>15_rd_rolling_DT own %</t>
  </si>
  <si>
    <t>3_rd_rolling_SC own %</t>
  </si>
  <si>
    <t>15_rd_rolling_SC own %</t>
  </si>
  <si>
    <t>3_rd_rolling_AF own %</t>
  </si>
  <si>
    <t>15_rd_rolling_AF own %</t>
  </si>
  <si>
    <t>3_rd_rolling_Contested Possessions</t>
  </si>
  <si>
    <t>15_rd_rolling_Contested Possessions</t>
  </si>
  <si>
    <t>3_rd_rolling_Clearances</t>
  </si>
  <si>
    <t>15_rd_rolling_Clearances</t>
  </si>
  <si>
    <t>3_rd_rolling_Clangers</t>
  </si>
  <si>
    <t>15_rd_rolling_Clangers</t>
  </si>
  <si>
    <t>3_rd_rolling_Disposal efficiency</t>
  </si>
  <si>
    <t>15_rd_rolling_Disposal efficiency</t>
  </si>
  <si>
    <t>3_rd_rolling_Time on ground</t>
  </si>
  <si>
    <t>15_rd_rolling_Time on ground</t>
  </si>
  <si>
    <t>3_rd_rolling_Metres gained</t>
  </si>
  <si>
    <t>15_rd_rolling_Metres gained</t>
  </si>
  <si>
    <t>3_rd_rolling_My_team_SC</t>
  </si>
  <si>
    <t>15_rd_rolling_My_team_SC</t>
  </si>
  <si>
    <t>3_rd_rolling_Opposition_team_SC</t>
  </si>
  <si>
    <t>15_rd_rolling_Opposition_team_SC</t>
  </si>
  <si>
    <t>rolling 20 round average</t>
  </si>
  <si>
    <t>rolling 10 round average</t>
  </si>
  <si>
    <t>rolling 5 round average</t>
  </si>
  <si>
    <t>rolling 3 round average</t>
  </si>
  <si>
    <t>recent_round_rank</t>
  </si>
  <si>
    <t>previous_tag</t>
  </si>
  <si>
    <t>actual</t>
  </si>
  <si>
    <t>predicted</t>
  </si>
  <si>
    <t>diff</t>
  </si>
  <si>
    <t>http://live.fanfooty.com.au/game/matchcentre.html?id=5381</t>
  </si>
  <si>
    <t>R22</t>
  </si>
  <si>
    <t>Dane</t>
  </si>
  <si>
    <t>Swan</t>
  </si>
  <si>
    <t>CO</t>
  </si>
  <si>
    <t>Full Time</t>
  </si>
  <si>
    <t>injured</t>
  </si>
  <si>
    <t>Racked up the stats in Q1 as the Pies got off to a flier... right knee and ankle twisted under him in a tackle by Selwood in Q2... likely ligament damage meaning his season is over... %O and %M plus %s</t>
  </si>
  <si>
    <t>subbed</t>
  </si>
  <si>
    <t>Subbed off at HT for Marsh</t>
  </si>
  <si>
    <t>Midfielder</t>
  </si>
  <si>
    <t>5381_CO</t>
  </si>
  <si>
    <t>100.80000000000001</t>
  </si>
  <si>
    <t>13.333333333333334</t>
  </si>
  <si>
    <t>13.666666666666666</t>
  </si>
  <si>
    <t>14.333333333333334</t>
  </si>
  <si>
    <t>5.666666666666667</t>
  </si>
  <si>
    <t>3.6666666666666665</t>
  </si>
  <si>
    <t>1.3333333333333333</t>
  </si>
  <si>
    <t>1.0666666666666667</t>
  </si>
  <si>
    <t>0.6666666666666666</t>
  </si>
  <si>
    <t>0.3333333333333333</t>
  </si>
  <si>
    <t>0.7333333333333333</t>
  </si>
  <si>
    <t>1.1499999999999997</t>
  </si>
  <si>
    <t>1.6053333333333333</t>
  </si>
  <si>
    <t>59.053333333333335</t>
  </si>
  <si>
    <t>58.05733333333333</t>
  </si>
  <si>
    <t>57.556666666666665</t>
  </si>
  <si>
    <t>55.96333333333334</t>
  </si>
  <si>
    <t>8.666666666666666</t>
  </si>
  <si>
    <t>3.3333333333333335</t>
  </si>
  <si>
    <t>6.066666666666666</t>
  </si>
  <si>
    <t>2.8666666666666667</t>
  </si>
  <si>
    <t>68.33333333333333</t>
  </si>
  <si>
    <t>82.66666666666667</t>
  </si>
  <si>
    <t>1639.2666666666667</t>
  </si>
  <si>
    <t>1637.6666666666667</t>
  </si>
  <si>
    <t>1633.4666666666667</t>
  </si>
  <si>
    <t>99.33333333333333</t>
  </si>
  <si>
    <t>80.12257332616034</t>
  </si>
  <si>
    <t>2.8774266738396648</t>
  </si>
  <si>
    <t>http://live.fanfooty.com.au/game/matchcentre.html?id=5388</t>
  </si>
  <si>
    <t>Adam</t>
  </si>
  <si>
    <t>Schneider</t>
  </si>
  <si>
    <t>SK</t>
  </si>
  <si>
    <t>news</t>
  </si>
  <si>
    <t>Smith running with him... %s from %O and %M plus %T</t>
  </si>
  <si>
    <t>Forward</t>
  </si>
  <si>
    <t>5388_SK</t>
  </si>
  <si>
    <t>10.666666666666666</t>
  </si>
  <si>
    <t>8.533333333333333</t>
  </si>
  <si>
    <t>2.3333333333333335</t>
  </si>
  <si>
    <t>4.666666666666667</t>
  </si>
  <si>
    <t>1.6666666666666667</t>
  </si>
  <si>
    <t>0.9333333333333333</t>
  </si>
  <si>
    <t>0.43666666666666654</t>
  </si>
  <si>
    <t>0.4533333333333333</t>
  </si>
  <si>
    <t>0.44599999999999995</t>
  </si>
  <si>
    <t>0.6266666666666666</t>
  </si>
  <si>
    <t>0.7653333333333333</t>
  </si>
  <si>
    <t>7.133333333333334</t>
  </si>
  <si>
    <t>2.6666666666666665</t>
  </si>
  <si>
    <t>2.2666666666666666</t>
  </si>
  <si>
    <t>60.333333333333336</t>
  </si>
  <si>
    <t>67.46666666666667</t>
  </si>
  <si>
    <t>1637.2666666666667</t>
  </si>
  <si>
    <t>82.22320947114011</t>
  </si>
  <si>
    <t>http://live.fanfooty.com.au/game/matchcentre.html?id=5389</t>
  </si>
  <si>
    <t>Luke</t>
  </si>
  <si>
    <t>McPharlin</t>
  </si>
  <si>
    <t>FR</t>
  </si>
  <si>
    <t>job</t>
  </si>
  <si>
    <t>Takes the resting ruck which is mostly Gawn... %P and %M plus %T</t>
  </si>
  <si>
    <t>Back</t>
  </si>
  <si>
    <t>5389_FR</t>
  </si>
  <si>
    <t>7.666666666666667</t>
  </si>
  <si>
    <t>0.26666666666666666</t>
  </si>
  <si>
    <t>0.2946666666666666</t>
  </si>
  <si>
    <t>0.6366666666666667</t>
  </si>
  <si>
    <t>1.2333333333333334</t>
  </si>
  <si>
    <t>1.0613333333333332</t>
  </si>
  <si>
    <t>3.7333333333333334</t>
  </si>
  <si>
    <t>81.73333333333333</t>
  </si>
  <si>
    <t>1738.6666666666667</t>
  </si>
  <si>
    <t>1693.5333333333333</t>
  </si>
  <si>
    <t>1541.6666666666667</t>
  </si>
  <si>
    <t>1578.6666666666667</t>
  </si>
  <si>
    <t>57.333333333333336</t>
  </si>
  <si>
    <t>27.782927753699802</t>
  </si>
  <si>
    <t>http://live.fanfooty.com.au/game/matchcentre.html?id=5392</t>
  </si>
  <si>
    <t>R23</t>
  </si>
  <si>
    <t>Justin</t>
  </si>
  <si>
    <t>Clarke</t>
  </si>
  <si>
    <t>BL</t>
  </si>
  <si>
    <t>Stringer is his man... %O with %k by foot... also %M</t>
  </si>
  <si>
    <t>5392_BL</t>
  </si>
  <si>
    <t>6.666666666666667</t>
  </si>
  <si>
    <t>5.133333333333334</t>
  </si>
  <si>
    <t>1.4666666666666666</t>
  </si>
  <si>
    <t>0.5766666666666667</t>
  </si>
  <si>
    <t>0.6886666666666666</t>
  </si>
  <si>
    <t>0.6466666666666666</t>
  </si>
  <si>
    <t>0.6226666666666667</t>
  </si>
  <si>
    <t>4.333333333333333</t>
  </si>
  <si>
    <t>4.133333333333334</t>
  </si>
  <si>
    <t>0.13333333333333333</t>
  </si>
  <si>
    <t>2.1333333333333333</t>
  </si>
  <si>
    <t>73.66666666666667</t>
  </si>
  <si>
    <t>77.93333333333334</t>
  </si>
  <si>
    <t>92.33333333333333</t>
  </si>
  <si>
    <t>96.13333333333334</t>
  </si>
  <si>
    <t>1681.3333333333333</t>
  </si>
  <si>
    <t>53.412207002007094</t>
  </si>
  <si>
    <t>19.587792997992906</t>
  </si>
  <si>
    <t>http://live.fanfooty.com.au/game/matchcentre.html?id=5393</t>
  </si>
  <si>
    <t>Paul</t>
  </si>
  <si>
    <t>Duffield</t>
  </si>
  <si>
    <t>%M and %P</t>
  </si>
  <si>
    <t>guard</t>
  </si>
  <si>
    <t>Got a fair bit of the ball playing halfback</t>
  </si>
  <si>
    <t>5393_FR</t>
  </si>
  <si>
    <t>4.933333333333334</t>
  </si>
  <si>
    <t>4.266666666666667</t>
  </si>
  <si>
    <t>0.4666666666666667</t>
  </si>
  <si>
    <t>0.1466666666666667</t>
  </si>
  <si>
    <t>0.7999999999999999</t>
  </si>
  <si>
    <t>1.0986666666666667</t>
  </si>
  <si>
    <t>0.8333333333333334</t>
  </si>
  <si>
    <t>1.1759999999999997</t>
  </si>
  <si>
    <t>3.066666666666667</t>
  </si>
  <si>
    <t>0.5333333333333333</t>
  </si>
  <si>
    <t>83.33333333333333</t>
  </si>
  <si>
    <t>83.53333333333333</t>
  </si>
  <si>
    <t>75.33333333333333</t>
  </si>
  <si>
    <t>1548.3333333333333</t>
  </si>
  <si>
    <t>1681.5333333333333</t>
  </si>
  <si>
    <t>1736.3333333333333</t>
  </si>
  <si>
    <t>18.307562119469594</t>
  </si>
  <si>
    <t>http://live.fanfooty.com.au/game/matchcentre.html?id=5394</t>
  </si>
  <si>
    <t>Andrew</t>
  </si>
  <si>
    <t>Carrazzo</t>
  </si>
  <si>
    <t>CA</t>
  </si>
  <si>
    <t>magnet</t>
  </si>
  <si>
    <t>His final game... %P with %b by hand... also %T and %M</t>
  </si>
  <si>
    <t>5394_CA</t>
  </si>
  <si>
    <t>7.333333333333333</t>
  </si>
  <si>
    <t>7.933333333333334</t>
  </si>
  <si>
    <t>2.533333333333333</t>
  </si>
  <si>
    <t>4.066666666666666</t>
  </si>
  <si>
    <t>1.2666666666666666</t>
  </si>
  <si>
    <t>0.29666666666666663</t>
  </si>
  <si>
    <t>0.3346666666666667</t>
  </si>
  <si>
    <t>5.933333333333334</t>
  </si>
  <si>
    <t>74.33333333333333</t>
  </si>
  <si>
    <t>78.46666666666667</t>
  </si>
  <si>
    <t>72.33333333333333</t>
  </si>
  <si>
    <t>1580.6666666666667</t>
  </si>
  <si>
    <t>1584.8666666666666</t>
  </si>
  <si>
    <t>1707.6666666666667</t>
  </si>
  <si>
    <t>1691.4666666666667</t>
  </si>
  <si>
    <t>83.66666666666667</t>
  </si>
  <si>
    <t>79.74582237878295</t>
  </si>
  <si>
    <t>16.254177621217053</t>
  </si>
  <si>
    <t>Cameron</t>
  </si>
  <si>
    <t>Wood</t>
  </si>
  <si>
    <t>Lake manning him when forward... %H... also %P and %T</t>
  </si>
  <si>
    <t>Ruck</t>
  </si>
  <si>
    <t>1.8666666666666667</t>
  </si>
  <si>
    <t>11.666666666666666</t>
  </si>
  <si>
    <t>18.066666666666666</t>
  </si>
  <si>
    <t>0.5966666666666666</t>
  </si>
  <si>
    <t>1.3433333333333333</t>
  </si>
  <si>
    <t>3.5766666666666667</t>
  </si>
  <si>
    <t>4.237333333333334</t>
  </si>
  <si>
    <t>61.46666666666667</t>
  </si>
  <si>
    <t>50.333333333333336</t>
  </si>
  <si>
    <t>1542.0666666666666</t>
  </si>
  <si>
    <t>1833.6666666666667</t>
  </si>
  <si>
    <t>1723.6666666666667</t>
  </si>
  <si>
    <t>73.78082947833744</t>
  </si>
  <si>
    <t>http://live.fanfooty.com.au/game/matchcentre.html?id=5397</t>
  </si>
  <si>
    <t>Daniel</t>
  </si>
  <si>
    <t>Cross</t>
  </si>
  <si>
    <t>ME</t>
  </si>
  <si>
    <t>Stretchered off after falling awkwardly in a marking contest in Q4... %P including %B... also %M and %T</t>
  </si>
  <si>
    <t>5397_ME</t>
  </si>
  <si>
    <t>9.333333333333334</t>
  </si>
  <si>
    <t>8.933333333333334</t>
  </si>
  <si>
    <t>17.333333333333332</t>
  </si>
  <si>
    <t>13.933333333333334</t>
  </si>
  <si>
    <t>1.1333333333333333</t>
  </si>
  <si>
    <t>0.19866666666666669</t>
  </si>
  <si>
    <t>0.27599999999999997</t>
  </si>
  <si>
    <t>1.0733333333333333</t>
  </si>
  <si>
    <t>0.6300000000000001</t>
  </si>
  <si>
    <t>8.866666666666667</t>
  </si>
  <si>
    <t>1.7333333333333334</t>
  </si>
  <si>
    <t>77.33333333333333</t>
  </si>
  <si>
    <t>87.33333333333333</t>
  </si>
  <si>
    <t>1566.6666666666667</t>
  </si>
  <si>
    <t>1590.4666666666667</t>
  </si>
  <si>
    <t>1687.8666666666666</t>
  </si>
  <si>
    <t>89.66666666666667</t>
  </si>
  <si>
    <t>71.99672107886903</t>
  </si>
  <si>
    <t>33.00327892113097</t>
  </si>
  <si>
    <t>http://live.fanfooty.com.au/game/matchcentre.html?id=5404</t>
  </si>
  <si>
    <t>EF</t>
  </si>
  <si>
    <t>Chris</t>
  </si>
  <si>
    <t>Newman</t>
  </si>
  <si>
    <t>RI</t>
  </si>
  <si>
    <t>First goal... starting at half forward... %O including %K... also %M... and booted %s</t>
  </si>
  <si>
    <t>5404_RI</t>
  </si>
  <si>
    <t>97.80000000000001</t>
  </si>
  <si>
    <t>3.466666666666667</t>
  </si>
  <si>
    <t>2.466666666666667</t>
  </si>
  <si>
    <t>7.582666666666667</t>
  </si>
  <si>
    <t>0.4546666666666666</t>
  </si>
  <si>
    <t>3.4333333333333336</t>
  </si>
  <si>
    <t>3.3860000000000006</t>
  </si>
  <si>
    <t>1.5333333333333334</t>
  </si>
  <si>
    <t>66.86666666666666</t>
  </si>
  <si>
    <t>58.333333333333336</t>
  </si>
  <si>
    <t>1678.6666666666667</t>
  </si>
  <si>
    <t>1688.8666666666666</t>
  </si>
  <si>
    <t>1602.3333333333333</t>
  </si>
  <si>
    <t>62.333333333333336</t>
  </si>
  <si>
    <t>67.94209894609031</t>
  </si>
  <si>
    <t>http://live.fanfooty.com.au/game/matchcentre.html?id=5406</t>
  </si>
  <si>
    <t>SF</t>
  </si>
  <si>
    <t>Goodes</t>
  </si>
  <si>
    <t>SY</t>
  </si>
  <si>
    <t>hot</t>
  </si>
  <si>
    <t>First goal... starting at half forward... %s from %O and %M plus %T</t>
  </si>
  <si>
    <t>5406_SY</t>
  </si>
  <si>
    <t>10.733333333333333</t>
  </si>
  <si>
    <t>6.533333333333333</t>
  </si>
  <si>
    <t>0.9733333333333333</t>
  </si>
  <si>
    <t>1.5433333333333332</t>
  </si>
  <si>
    <t>1688.3333333333333</t>
  </si>
  <si>
    <t>1696.2666666666667</t>
  </si>
  <si>
    <t>1591.6666666666667</t>
  </si>
  <si>
    <t>1558.9333333333334</t>
  </si>
  <si>
    <t>76.33333333333333</t>
  </si>
  <si>
    <t>13.109965114210098</t>
  </si>
  <si>
    <t>Rhyce</t>
  </si>
  <si>
    <t>Shaw</t>
  </si>
  <si>
    <t>%O and %M plus %T</t>
  </si>
  <si>
    <t>Playing at halfback</t>
  </si>
  <si>
    <t>11.333333333333334</t>
  </si>
  <si>
    <t>11.533333333333333</t>
  </si>
  <si>
    <t>7.733333333333333</t>
  </si>
  <si>
    <t>1.8633333333333342</t>
  </si>
  <si>
    <t>1.8373333333333335</t>
  </si>
  <si>
    <t>1.3726666666666667</t>
  </si>
  <si>
    <t>1.7166666666666668</t>
  </si>
  <si>
    <t>1.5453333333333332</t>
  </si>
  <si>
    <t>80.66666666666667</t>
  </si>
  <si>
    <t>83.06666666666666</t>
  </si>
  <si>
    <t>70.53333333333333</t>
  </si>
  <si>
    <t>1718.7333333333333</t>
  </si>
  <si>
    <t>77.45187716953986</t>
  </si>
  <si>
    <t>Mike</t>
  </si>
  <si>
    <t>Pyke</t>
  </si>
  <si>
    <t>canada</t>
  </si>
  <si>
    <t>Starting at FF on Thompson then interchanging in ruck with Tippett... %H... also %D and %T... conceded %F</t>
  </si>
  <si>
    <t>2.7333333333333334</t>
  </si>
  <si>
    <t>5.466666666666667</t>
  </si>
  <si>
    <t>2.066666666666667</t>
  </si>
  <si>
    <t>26.733333333333334</t>
  </si>
  <si>
    <t>1.6033333333333335</t>
  </si>
  <si>
    <t>1.0006666666666666</t>
  </si>
  <si>
    <t>1.9533333333333331</t>
  </si>
  <si>
    <t>2.5933333333333333</t>
  </si>
  <si>
    <t>2.2960000000000003</t>
  </si>
  <si>
    <t>74.86666666666666</t>
  </si>
  <si>
    <t>71.53333333333333</t>
  </si>
  <si>
    <t>1515.5333333333333</t>
  </si>
  <si>
    <t>43.666666666666664</t>
  </si>
  <si>
    <t>62.00169018831777</t>
  </si>
  <si>
    <t>http://live.fanfooty.com.au/game/matchcentre.html?id=5409</t>
  </si>
  <si>
    <t>GF</t>
  </si>
  <si>
    <t>Brian</t>
  </si>
  <si>
    <t>Lake</t>
  </si>
  <si>
    <t>HW</t>
  </si>
  <si>
    <t>%P including %K... also %M and %T</t>
  </si>
  <si>
    <t>Standing Darling</t>
  </si>
  <si>
    <t>5409_HW</t>
  </si>
  <si>
    <t>12.666666666666666</t>
  </si>
  <si>
    <t>9.066666666666666</t>
  </si>
  <si>
    <t>6.333333333333333</t>
  </si>
  <si>
    <t>6.866666666666666</t>
  </si>
  <si>
    <t>0.8666666666666667</t>
  </si>
  <si>
    <t>1.5180000000000002</t>
  </si>
  <si>
    <t>1.8013333333333335</t>
  </si>
  <si>
    <t>2.1559999999999997</t>
  </si>
  <si>
    <t>85.66666666666667</t>
  </si>
  <si>
    <t>1870.6666666666667</t>
  </si>
  <si>
    <t>1761.5333333333333</t>
  </si>
  <si>
    <t>82.33333333333333</t>
  </si>
  <si>
    <t>81.24320867258022</t>
  </si>
  <si>
    <t>20.756791327419776</t>
  </si>
  <si>
    <t>David</t>
  </si>
  <si>
    <t>Hale</t>
  </si>
  <si>
    <t>Started at CHF on McGovern with stints in ruck... %D and %T</t>
  </si>
  <si>
    <t>Subbed off in Q3 for Hale</t>
  </si>
  <si>
    <t>15.733333333333333</t>
  </si>
  <si>
    <t>1.2826666666666668</t>
  </si>
  <si>
    <t>2.530666666666667</t>
  </si>
  <si>
    <t>5.266666666666667</t>
  </si>
  <si>
    <t>70.66666666666667</t>
  </si>
  <si>
    <t>63.666666666666664</t>
  </si>
  <si>
    <t>1487.7333333333333</t>
  </si>
  <si>
    <t>36.666666666666664</t>
  </si>
  <si>
    <t>http://live.fanfooty.com.au/game/matchcentre.html?id=5611</t>
  </si>
  <si>
    <t>R2</t>
  </si>
  <si>
    <t>Alipate</t>
  </si>
  <si>
    <t>Carlile</t>
  </si>
  <si>
    <t>PA</t>
  </si>
  <si>
    <t>witcheshat</t>
  </si>
  <si>
    <t>No touches in the first term... Largely responsible for Lynch... %D and %T plus %s</t>
  </si>
  <si>
    <t>5611_PA</t>
  </si>
  <si>
    <t>6.133333333333334</t>
  </si>
  <si>
    <t>6.933333333333334</t>
  </si>
  <si>
    <t>3.1333333333333333</t>
  </si>
  <si>
    <t>0.4366666666666667</t>
  </si>
  <si>
    <t>0.6880000000000001</t>
  </si>
  <si>
    <t>0.2633333333333333</t>
  </si>
  <si>
    <t>0.3033333333333334</t>
  </si>
  <si>
    <t>4.466666666666667</t>
  </si>
  <si>
    <t>84.33333333333333</t>
  </si>
  <si>
    <t>88.53333333333333</t>
  </si>
  <si>
    <t>1629.5333333333333</t>
  </si>
  <si>
    <t>1732.3333333333333</t>
  </si>
  <si>
    <t>50.09224492238473</t>
  </si>
  <si>
    <t>http://live.fanfooty.com.au/game/matchcentre.html?id=5647</t>
  </si>
  <si>
    <t>R6</t>
  </si>
  <si>
    <t>Heritier</t>
  </si>
  <si>
    <t>Lumumba</t>
  </si>
  <si>
    <t>%O including %B... also %T and %M</t>
  </si>
  <si>
    <t>5647_ME</t>
  </si>
  <si>
    <t>7.466666666666667</t>
  </si>
  <si>
    <t>5.333333333333333</t>
  </si>
  <si>
    <t>6.5153333333333325</t>
  </si>
  <si>
    <t>0.5066666666666667</t>
  </si>
  <si>
    <t>9.963333333333335</t>
  </si>
  <si>
    <t>0.5466666666666667</t>
  </si>
  <si>
    <t>14.449333333333332</t>
  </si>
  <si>
    <t>1618.3333333333333</t>
  </si>
  <si>
    <t>1581.6666666666667</t>
  </si>
  <si>
    <t>1593.6666666666667</t>
  </si>
  <si>
    <t>1685.6666666666667</t>
  </si>
  <si>
    <t>http://live.fanfooty.com.au/game/matchcentre.html?id=5670</t>
  </si>
  <si>
    <t>R8</t>
  </si>
  <si>
    <t>Michael</t>
  </si>
  <si>
    <t>Jamison</t>
  </si>
  <si>
    <t>%D with %k by foot... also %M... In defence on Westhoff</t>
  </si>
  <si>
    <t>5670_CA</t>
  </si>
  <si>
    <t>0.10666666666666667</t>
  </si>
  <si>
    <t>0.24666666666666665</t>
  </si>
  <si>
    <t>0.14333333333333334</t>
  </si>
  <si>
    <t>0.31666666666666665</t>
  </si>
  <si>
    <t>1628.6666666666667</t>
  </si>
  <si>
    <t>1529.8666666666666</t>
  </si>
  <si>
    <t>1641.3333333333333</t>
  </si>
  <si>
    <t>1724.3333333333333</t>
  </si>
  <si>
    <t>42.05172628159784</t>
  </si>
  <si>
    <t>http://live.fanfooty.com.au/game/matchcentre.html?id=5678</t>
  </si>
  <si>
    <t>R9</t>
  </si>
  <si>
    <t>Clancee</t>
  </si>
  <si>
    <t>Pearce</t>
  </si>
  <si>
    <t>5678_FR</t>
  </si>
  <si>
    <t>9.451333333333332</t>
  </si>
  <si>
    <t>0.22999999999999998</t>
  </si>
  <si>
    <t>7.263333333333334</t>
  </si>
  <si>
    <t>0.2833333333333333</t>
  </si>
  <si>
    <t>75.66666666666667</t>
  </si>
  <si>
    <t>79.26666666666667</t>
  </si>
  <si>
    <t>1520.6666666666667</t>
  </si>
  <si>
    <t>1594.1333333333334</t>
  </si>
  <si>
    <t>1742.3333333333333</t>
  </si>
  <si>
    <t>1673.1333333333334</t>
  </si>
  <si>
    <t>80.77604772820787</t>
  </si>
  <si>
    <t>http://live.fanfooty.com.au/game/matchcentre.html?id=5684</t>
  </si>
  <si>
    <t>R10</t>
  </si>
  <si>
    <t>Colin</t>
  </si>
  <si>
    <t>Garland</t>
  </si>
  <si>
    <t>concussed</t>
  </si>
  <si>
    <t>Accidental elbow by Dixon to his face in Q4 left him woozy... %O and %M plus %T</t>
  </si>
  <si>
    <t>Starting at CHB on Westhoff</t>
  </si>
  <si>
    <t>5684_ME</t>
  </si>
  <si>
    <t>7.866666666666666</t>
  </si>
  <si>
    <t>4.733333333333333</t>
  </si>
  <si>
    <t>0.19933333333333333</t>
  </si>
  <si>
    <t>0.37333333333333335</t>
  </si>
  <si>
    <t>0.18733333333333332</t>
  </si>
  <si>
    <t>1582.0666666666666</t>
  </si>
  <si>
    <t>1597.3333333333333</t>
  </si>
  <si>
    <t>1685.0666666666666</t>
  </si>
  <si>
    <t>72.65493084056959</t>
  </si>
  <si>
    <t>http://live.fanfooty.com.au/game/matchcentre.html?id=5687</t>
  </si>
  <si>
    <t>Nathan</t>
  </si>
  <si>
    <t>van Berlo</t>
  </si>
  <si>
    <t>AD</t>
  </si>
  <si>
    <t>%P and %T</t>
  </si>
  <si>
    <t>5687_AD</t>
  </si>
  <si>
    <t>0.48133333333333334</t>
  </si>
  <si>
    <t>0.7400000000000001</t>
  </si>
  <si>
    <t>0.6066666666666667</t>
  </si>
  <si>
    <t>80.33333333333333</t>
  </si>
  <si>
    <t>76.53333333333333</t>
  </si>
  <si>
    <t>1642.6666666666667</t>
  </si>
  <si>
    <t>1584.3333333333333</t>
  </si>
  <si>
    <t>1639.0666666666666</t>
  </si>
  <si>
    <t>69.94132009726786</t>
  </si>
  <si>
    <t>http://live.fanfooty.com.au/game/matchcentre.html?id=5690</t>
  </si>
  <si>
    <t>Russell</t>
  </si>
  <si>
    <t>GC</t>
  </si>
  <si>
    <t>wing</t>
  </si>
  <si>
    <t>%s from %O and %M... Starting on a HFF</t>
  </si>
  <si>
    <t>5690_GC</t>
  </si>
  <si>
    <t>2.933333333333333</t>
  </si>
  <si>
    <t>8.097333333333333</t>
  </si>
  <si>
    <t>0.15133333333333335</t>
  </si>
  <si>
    <t>73.26666666666667</t>
  </si>
  <si>
    <t>1472.3333333333333</t>
  </si>
  <si>
    <t>1478.2666666666667</t>
  </si>
  <si>
    <t>1754.6666666666667</t>
  </si>
  <si>
    <t>1773.3333333333333</t>
  </si>
  <si>
    <t>35.333333333333336</t>
  </si>
  <si>
    <t>49.84998496373046</t>
  </si>
  <si>
    <t>http://live.fanfooty.com.au/game/matchcentre.html?id=5691</t>
  </si>
  <si>
    <t>R11</t>
  </si>
  <si>
    <t>Troy</t>
  </si>
  <si>
    <t>Chaplin</t>
  </si>
  <si>
    <t>in</t>
  </si>
  <si>
    <t>%P with %k by foot... also %M and %T... Late replacement for Dylan Grimes</t>
  </si>
  <si>
    <t>5691_RI</t>
  </si>
  <si>
    <t>8.333333333333334</t>
  </si>
  <si>
    <t>0.21333333333333335</t>
  </si>
  <si>
    <t>1.9066666666666665</t>
  </si>
  <si>
    <t>0.3233333333333334</t>
  </si>
  <si>
    <t>0.4026666666666667</t>
  </si>
  <si>
    <t>0.21666666666666667</t>
  </si>
  <si>
    <t>0.30533333333333335</t>
  </si>
  <si>
    <t>88.66666666666667</t>
  </si>
  <si>
    <t>85.53333333333333</t>
  </si>
  <si>
    <t>91.33333333333333</t>
  </si>
  <si>
    <t>1653.6666666666667</t>
  </si>
  <si>
    <t>1640.8666666666666</t>
  </si>
  <si>
    <t>1624.3333333333333</t>
  </si>
  <si>
    <t>61.666666666666664</t>
  </si>
  <si>
    <t>61.51539887298051</t>
  </si>
  <si>
    <t>http://live.fanfooty.com.au/game/matchcentre.html?id=5697</t>
  </si>
  <si>
    <t>Alan</t>
  </si>
  <si>
    <t>Toovey</t>
  </si>
  <si>
    <t>%O and %T... Playing a BP role</t>
  </si>
  <si>
    <t>5697_CO</t>
  </si>
  <si>
    <t>4.533333333333333</t>
  </si>
  <si>
    <t>1.9333333333333333</t>
  </si>
  <si>
    <t>0.4033333333333333</t>
  </si>
  <si>
    <t>0.2866666666666667</t>
  </si>
  <si>
    <t>0.7586666666666666</t>
  </si>
  <si>
    <t>0.2833333333333334</t>
  </si>
  <si>
    <t>0.6573333333333334</t>
  </si>
  <si>
    <t>70.33333333333333</t>
  </si>
  <si>
    <t>82.06666666666666</t>
  </si>
  <si>
    <t>1635.4666666666667</t>
  </si>
  <si>
    <t>1635.0666666666666</t>
  </si>
  <si>
    <t>37.666666666666664</t>
  </si>
  <si>
    <t>75.84580002958376</t>
  </si>
  <si>
    <t>http://live.fanfooty.com.au/game/matchcentre.html?id=5704</t>
  </si>
  <si>
    <t>R12</t>
  </si>
  <si>
    <t>Xavier</t>
  </si>
  <si>
    <t>Ellis</t>
  </si>
  <si>
    <t>WC</t>
  </si>
  <si>
    <t>%D and %M with %T... Late replacement for Sam Butler</t>
  </si>
  <si>
    <t>5704_WC</t>
  </si>
  <si>
    <t>96.80000000000001</t>
  </si>
  <si>
    <t>9.866666666666667</t>
  </si>
  <si>
    <t>3.933333333333333</t>
  </si>
  <si>
    <t>0.37999999999999995</t>
  </si>
  <si>
    <t>0.8186666666666667</t>
  </si>
  <si>
    <t>0.17000000000000118</t>
  </si>
  <si>
    <t>0.35000000000000003</t>
  </si>
  <si>
    <t>0.8406666666666667</t>
  </si>
  <si>
    <t>69.33333333333333</t>
  </si>
  <si>
    <t>1659.8666666666666</t>
  </si>
  <si>
    <t>1699.3333333333333</t>
  </si>
  <si>
    <t>49.13562161694996</t>
  </si>
  <si>
    <t>0.8643783830500382</t>
  </si>
  <si>
    <t>http://live.fanfooty.com.au/game/matchcentre.html?id=5722</t>
  </si>
  <si>
    <t>R15</t>
  </si>
  <si>
    <t>Ivan</t>
  </si>
  <si>
    <t>Maric</t>
  </si>
  <si>
    <t>ruck</t>
  </si>
  <si>
    <t>%H... also %D and %T... First ruck</t>
  </si>
  <si>
    <t>5722_RI</t>
  </si>
  <si>
    <t>97.60000000000002</t>
  </si>
  <si>
    <t>0.42333333333333334</t>
  </si>
  <si>
    <t>7.184666666666667</t>
  </si>
  <si>
    <t>39.666666666666664</t>
  </si>
  <si>
    <t>63.333333333333336</t>
  </si>
  <si>
    <t>77.66666666666667</t>
  </si>
  <si>
    <t>1546.3333333333333</t>
  </si>
  <si>
    <t>1653.5333333333333</t>
  </si>
  <si>
    <t>1602.7333333333333</t>
  </si>
  <si>
    <t>88.94005234984107</t>
  </si>
  <si>
    <t>http://live.fanfooty.com.au/game/matchcentre.html?id=5735</t>
  </si>
  <si>
    <t>R16</t>
  </si>
  <si>
    <t>James</t>
  </si>
  <si>
    <t>Gwilt</t>
  </si>
  <si>
    <t>ES</t>
  </si>
  <si>
    <t>%M and %O... Spending time on Membrey</t>
  </si>
  <si>
    <t>5735_ES</t>
  </si>
  <si>
    <t>14.666666666666666</t>
  </si>
  <si>
    <t>13.133333333333333</t>
  </si>
  <si>
    <t>7.066666666666666</t>
  </si>
  <si>
    <t>0.2733333333333334</t>
  </si>
  <si>
    <t>0.25666666666666665</t>
  </si>
  <si>
    <t>0.22533333333333333</t>
  </si>
  <si>
    <t>0.38066666666666665</t>
  </si>
  <si>
    <t>79.86666666666666</t>
  </si>
  <si>
    <t>91.66666666666667</t>
  </si>
  <si>
    <t>88.93333333333334</t>
  </si>
  <si>
    <t>1569.6666666666667</t>
  </si>
  <si>
    <t>1691.6666666666667</t>
  </si>
  <si>
    <t>1705.0666666666666</t>
  </si>
  <si>
    <t>68.87233924520885</t>
  </si>
  <si>
    <t>12.127660754791151</t>
  </si>
  <si>
    <t>Delaney</t>
  </si>
  <si>
    <t>%D and %M with %T... Has Daniher</t>
  </si>
  <si>
    <t>5735_SK</t>
  </si>
  <si>
    <t>3.2666666666666666</t>
  </si>
  <si>
    <t>0.2333333333333333</t>
  </si>
  <si>
    <t>0.21600000000000003</t>
  </si>
  <si>
    <t>0.23333333333333336</t>
  </si>
  <si>
    <t>1.3886666666666667</t>
  </si>
  <si>
    <t>95.66666666666667</t>
  </si>
  <si>
    <t>92.93333333333334</t>
  </si>
  <si>
    <t>1541.3333333333333</t>
  </si>
  <si>
    <t>1612.7333333333333</t>
  </si>
  <si>
    <t>50.666666666666664</t>
  </si>
  <si>
    <t>41.36444258264938</t>
  </si>
  <si>
    <t>6.635557417350618</t>
  </si>
  <si>
    <t>http://live.fanfooty.com.au/game/matchcentre.html?id=5736</t>
  </si>
  <si>
    <t>R17</t>
  </si>
  <si>
    <t>Ted</t>
  </si>
  <si>
    <t>Richards</t>
  </si>
  <si>
    <t>spearhead</t>
  </si>
  <si>
    <t>%M and %O... At FF on Frawley</t>
  </si>
  <si>
    <t>5736_SY</t>
  </si>
  <si>
    <t>0.3866666666666667</t>
  </si>
  <si>
    <t>3.2706666666666666</t>
  </si>
  <si>
    <t>0.7026666666666667</t>
  </si>
  <si>
    <t>0.8826666666666667</t>
  </si>
  <si>
    <t>81.53333333333333</t>
  </si>
  <si>
    <t>1611.6666666666667</t>
  </si>
  <si>
    <t>1682.9333333333334</t>
  </si>
  <si>
    <t>1575.2666666666667</t>
  </si>
  <si>
    <t>41.666666666666664</t>
  </si>
  <si>
    <t>60.983220806736185</t>
  </si>
  <si>
    <t>http://live.fanfooty.com.au/game/matchcentre.html?id=5743</t>
  </si>
  <si>
    <t>Ben</t>
  </si>
  <si>
    <t>Kennedy</t>
  </si>
  <si>
    <t>%s from %D and %M... Playing wing and half forward</t>
  </si>
  <si>
    <t>5743_ME</t>
  </si>
  <si>
    <t>8.733333333333333</t>
  </si>
  <si>
    <t>6.403333333333333</t>
  </si>
  <si>
    <t>11.084666666666665</t>
  </si>
  <si>
    <t>16.183333333333334</t>
  </si>
  <si>
    <t>25.515333333333334</t>
  </si>
  <si>
    <t>11.963333333333333</t>
  </si>
  <si>
    <t>6.466666666666667</t>
  </si>
  <si>
    <t>60.666666666666664</t>
  </si>
  <si>
    <t>66.26666666666667</t>
  </si>
  <si>
    <t>76.66666666666667</t>
  </si>
  <si>
    <t>76.93333333333334</t>
  </si>
  <si>
    <t>1563.3333333333333</t>
  </si>
  <si>
    <t>1613.2666666666667</t>
  </si>
  <si>
    <t>53.666666666666664</t>
  </si>
  <si>
    <t>62.00057039356841</t>
  </si>
  <si>
    <t>http://live.fanfooty.com.au/game/matchcentre.html?id=5745</t>
  </si>
  <si>
    <t>R18</t>
  </si>
  <si>
    <t>Sinclair</t>
  </si>
  <si>
    <t>Copped a heavy knock in Q1 in a clash with Anderson which lead to a concussion test... did not return</t>
  </si>
  <si>
    <t>Coming off halfback</t>
  </si>
  <si>
    <t>5745_CO</t>
  </si>
  <si>
    <t>0.3766666666666667</t>
  </si>
  <si>
    <t>0.4793333333333333</t>
  </si>
  <si>
    <t>0.4633333333333333</t>
  </si>
  <si>
    <t>0.3233333333333333</t>
  </si>
  <si>
    <t>0.5666666666666668</t>
  </si>
  <si>
    <t>0.3506666666666666</t>
  </si>
  <si>
    <t>73.73333333333333</t>
  </si>
  <si>
    <t>1636.3333333333333</t>
  </si>
  <si>
    <t>1611.3333333333333</t>
  </si>
  <si>
    <t>1616.6666666666667</t>
  </si>
  <si>
    <t>1657.2666666666667</t>
  </si>
  <si>
    <t>56.333333333333336</t>
  </si>
  <si>
    <t>43.39134884266997</t>
  </si>
  <si>
    <t>http://live.fanfooty.com.au/game/matchcentre.html?id=5754</t>
  </si>
  <si>
    <t>R19</t>
  </si>
  <si>
    <t>Jed</t>
  </si>
  <si>
    <t>Adcock</t>
  </si>
  <si>
    <t>WB</t>
  </si>
  <si>
    <t>%P including %K... also %M and %T... Starting on a wing</t>
  </si>
  <si>
    <t>5754_WB</t>
  </si>
  <si>
    <t>0.7166666666666668</t>
  </si>
  <si>
    <t>0.9073333333333334</t>
  </si>
  <si>
    <t>0.9933333333333333</t>
  </si>
  <si>
    <t>1.0873333333333335</t>
  </si>
  <si>
    <t>1.0779999999999998</t>
  </si>
  <si>
    <t>83.26666666666667</t>
  </si>
  <si>
    <t>1692.3333333333333</t>
  </si>
  <si>
    <t>1618.9333333333334</t>
  </si>
  <si>
    <t>64.48775929532668</t>
  </si>
  <si>
    <t>6.512240704673317</t>
  </si>
  <si>
    <t>http://live.fanfooty.com.au/game/matchcentre.html?id=5760</t>
  </si>
  <si>
    <t>Dawes</t>
  </si>
  <si>
    <t>%s from %P and %M plus %T... Up forward on Thompson</t>
  </si>
  <si>
    <t>5760_ME</t>
  </si>
  <si>
    <t>7.266666666666667</t>
  </si>
  <si>
    <t>3.3273333333333337</t>
  </si>
  <si>
    <t>0.20666666666666667</t>
  </si>
  <si>
    <t>0.16266666666666665</t>
  </si>
  <si>
    <t>81.46666666666667</t>
  </si>
  <si>
    <t>1698.6666666666667</t>
  </si>
  <si>
    <t>1595.6666666666667</t>
  </si>
  <si>
    <t>1542.3333333333333</t>
  </si>
  <si>
    <t>1670.3333333333333</t>
  </si>
  <si>
    <t>59.54696259095378</t>
  </si>
  <si>
    <t>5.4530374090462175</t>
  </si>
  <si>
    <t>Nick</t>
  </si>
  <si>
    <t>Malceski</t>
  </si>
  <si>
    <t>cactus</t>
  </si>
  <si>
    <t>Looks set for the knackery at this rate... %D and %M plus %s</t>
  </si>
  <si>
    <t>Playing in defence</t>
  </si>
  <si>
    <t>5760_GC</t>
  </si>
  <si>
    <t>12.266666666666667</t>
  </si>
  <si>
    <t>2.7359999999999998</t>
  </si>
  <si>
    <t>5.259999999999999</t>
  </si>
  <si>
    <t>4.715333333333334</t>
  </si>
  <si>
    <t>4.953333333333333</t>
  </si>
  <si>
    <t>4.328666666666666</t>
  </si>
  <si>
    <t>5.066666666666666</t>
  </si>
  <si>
    <t>70.46666666666667</t>
  </si>
  <si>
    <t>74.66666666666667</t>
  </si>
  <si>
    <t>78.33333333333333</t>
  </si>
  <si>
    <t>1536.3333333333333</t>
  </si>
  <si>
    <t>1519.1333333333334</t>
  </si>
  <si>
    <t>1725.3333333333333</t>
  </si>
  <si>
    <t>59.333333333333336</t>
  </si>
  <si>
    <t>51.939127614219714</t>
  </si>
  <si>
    <t>http://live.fanfooty.com.au/game/matchcentre.html?id=5764</t>
  </si>
  <si>
    <t>R20</t>
  </si>
  <si>
    <t>Stewart</t>
  </si>
  <si>
    <t>%D including %K... also %M and %T... not helped by %F... Spending time on Towers</t>
  </si>
  <si>
    <t>5764_PA</t>
  </si>
  <si>
    <t>3.533333333333333</t>
  </si>
  <si>
    <t>0.12733333333333333</t>
  </si>
  <si>
    <t>0.19333333333333333</t>
  </si>
  <si>
    <t>1586.3333333333333</t>
  </si>
  <si>
    <t>1615.5333333333333</t>
  </si>
  <si>
    <t>1639.8666666666666</t>
  </si>
  <si>
    <t>64.33333333333333</t>
  </si>
  <si>
    <t>47.972188759876914</t>
  </si>
  <si>
    <t>16.027811240123086</t>
  </si>
  <si>
    <t>http://live.fanfooty.com.au/game/matchcentre.html?id=5766</t>
  </si>
  <si>
    <t>Tom</t>
  </si>
  <si>
    <t>Nicholls</t>
  </si>
  <si>
    <t>sore</t>
  </si>
  <si>
    <t>Limping late Q2 and onwards with a left knee issue... %H... also %D and %M with %T... %s as well</t>
  </si>
  <si>
    <t>5766_GC</t>
  </si>
  <si>
    <t>4.866666666666666</t>
  </si>
  <si>
    <t>0.7266666666666666</t>
  </si>
  <si>
    <t>0.9206666666666666</t>
  </si>
  <si>
    <t>0.5000000000000001</t>
  </si>
  <si>
    <t>0.3739999999999995</t>
  </si>
  <si>
    <t>0.7926666666666667</t>
  </si>
  <si>
    <t>66.66666666666667</t>
  </si>
  <si>
    <t>70.26666666666667</t>
  </si>
  <si>
    <t>80.26666666666667</t>
  </si>
  <si>
    <t>1615.3333333333333</t>
  </si>
  <si>
    <t>1583.0666666666666</t>
  </si>
  <si>
    <t>1684.1333333333334</t>
  </si>
  <si>
    <t>http://live.fanfooty.com.au/game/matchcentre.html?id=5769</t>
  </si>
  <si>
    <t>Walker</t>
  </si>
  <si>
    <t>%O with %b by hand... also %M... Third tall forward on Gilbert</t>
  </si>
  <si>
    <t>5769_CA</t>
  </si>
  <si>
    <t>0.8633333333333327</t>
  </si>
  <si>
    <t>0.7546666666666666</t>
  </si>
  <si>
    <t>1.4000000000000001</t>
  </si>
  <si>
    <t>0.9633333333333333</t>
  </si>
  <si>
    <t>8.123333333333333</t>
  </si>
  <si>
    <t>5.561999999999999</t>
  </si>
  <si>
    <t>76.46666666666667</t>
  </si>
  <si>
    <t>1477.6666666666667</t>
  </si>
  <si>
    <t>1567.0666666666666</t>
  </si>
  <si>
    <t>1682.3333333333333</t>
  </si>
  <si>
    <t>37.333333333333336</t>
  </si>
  <si>
    <t>61.439908790535085</t>
  </si>
  <si>
    <t>http://live.fanfooty.com.au/game/matchcentre.html?id=5774</t>
  </si>
  <si>
    <t>R21</t>
  </si>
  <si>
    <t>Robbie</t>
  </si>
  <si>
    <t>Nahas</t>
  </si>
  <si>
    <t>NM</t>
  </si>
  <si>
    <t>lebanon</t>
  </si>
  <si>
    <t>%s from %P and %M plus %T</t>
  </si>
  <si>
    <t>Rotating forward</t>
  </si>
  <si>
    <t>5774_NM</t>
  </si>
  <si>
    <t>6.733333333333333</t>
  </si>
  <si>
    <t>0.11333333333333333</t>
  </si>
  <si>
    <t>0.2826666666666667</t>
  </si>
  <si>
    <t>0.21533333333333332</t>
  </si>
  <si>
    <t>69.66666666666667</t>
  </si>
  <si>
    <t>1684.6666666666667</t>
  </si>
  <si>
    <t>1624.8666666666666</t>
  </si>
  <si>
    <t>45.666666666666664</t>
  </si>
  <si>
    <t>82.56289241277508</t>
  </si>
  <si>
    <t>http://live.fanfooty.com.au/game/matchcentre.html?id=5782</t>
  </si>
  <si>
    <t>Brad</t>
  </si>
  <si>
    <t>McKenzie</t>
  </si>
  <si>
    <t>%D and %M with %T... %s as well</t>
  </si>
  <si>
    <t>5782_NM</t>
  </si>
  <si>
    <t>0.31933333333333336</t>
  </si>
  <si>
    <t>0.7773333333333333</t>
  </si>
  <si>
    <t>0.7493333333333333</t>
  </si>
  <si>
    <t>1623.6666666666667</t>
  </si>
  <si>
    <t>1628.9333333333334</t>
  </si>
  <si>
    <t>1640.7333333333333</t>
  </si>
  <si>
    <t>88.37665600401242</t>
  </si>
  <si>
    <t>http://live.fanfooty.com.au/game/matchcentre.html?id=5787</t>
  </si>
  <si>
    <t>Andrejs</t>
  </si>
  <si>
    <t>Everitt</t>
  </si>
  <si>
    <t>%O and %M plus %s... Late replacement for Jack Silvagni</t>
  </si>
  <si>
    <t>5787_CA</t>
  </si>
  <si>
    <t>0.1533333333333334</t>
  </si>
  <si>
    <t>0.12333333333333334</t>
  </si>
  <si>
    <t>0.2466666666666667</t>
  </si>
  <si>
    <t>0.35400000000000004</t>
  </si>
  <si>
    <t>3.1933333333333334</t>
  </si>
  <si>
    <t>3.542666666666667</t>
  </si>
  <si>
    <t>77.53333333333333</t>
  </si>
  <si>
    <t>1577.3333333333333</t>
  </si>
  <si>
    <t>1573.8666666666666</t>
  </si>
  <si>
    <t>1679.3333333333333</t>
  </si>
  <si>
    <t>1670.9333333333334</t>
  </si>
  <si>
    <t>56.58273521008306</t>
  </si>
  <si>
    <t>14.417264789916942</t>
  </si>
  <si>
    <t>http://live.fanfooty.com.au/game/matchcentre.html?id=5789</t>
  </si>
  <si>
    <t>Mathew</t>
  </si>
  <si>
    <t>Stokes</t>
  </si>
  <si>
    <t>%P and %M plus %T... %s as well</t>
  </si>
  <si>
    <t>pocket</t>
  </si>
  <si>
    <t>Starting deep forward</t>
  </si>
  <si>
    <t>5789_ES</t>
  </si>
  <si>
    <t>10.066666666666666</t>
  </si>
  <si>
    <t>0.6900000000000001</t>
  </si>
  <si>
    <t>3.1060000000000003</t>
  </si>
  <si>
    <t>1.0599999999999998</t>
  </si>
  <si>
    <t>0.7373333333333334</t>
  </si>
  <si>
    <t>0.7153333333333333</t>
  </si>
  <si>
    <t>75.86666666666666</t>
  </si>
  <si>
    <t>1567.3333333333333</t>
  </si>
  <si>
    <t>1613.4666666666667</t>
  </si>
  <si>
    <t>1691.3333333333333</t>
  </si>
  <si>
    <t>1638.3333333333333</t>
  </si>
  <si>
    <t>30.388997133169198</t>
  </si>
  <si>
    <t>Cooney</t>
  </si>
  <si>
    <t>shovel</t>
  </si>
  <si>
    <t>%P and %M plus %T... %s as well... Playing in midfield</t>
  </si>
  <si>
    <t>9.933333333333334</t>
  </si>
  <si>
    <t>0.5933333333333334</t>
  </si>
  <si>
    <t>0.8066666666666666</t>
  </si>
  <si>
    <t>0.8133333333333334</t>
  </si>
  <si>
    <t>68.66666666666667</t>
  </si>
  <si>
    <t>1594.3333333333333</t>
  </si>
  <si>
    <t>1536.0666666666666</t>
  </si>
  <si>
    <t>65.81819063442678</t>
  </si>
  <si>
    <t>9.181809365573216</t>
  </si>
  <si>
    <t>http://live.fanfooty.com.au/game/matchcentre.html?id=5791</t>
  </si>
  <si>
    <t>Matt</t>
  </si>
  <si>
    <t>Jones</t>
  </si>
  <si>
    <t>Just the one touch in the first term... %P and %M plus %T</t>
  </si>
  <si>
    <t>Late inclusion for Dean Kent</t>
  </si>
  <si>
    <t>5791_ME</t>
  </si>
  <si>
    <t>0.32666666666666666</t>
  </si>
  <si>
    <t>0.21066666666666667</t>
  </si>
  <si>
    <t>0.35999999999999993</t>
  </si>
  <si>
    <t>0.14133333333333334</t>
  </si>
  <si>
    <t>5.866666666666666</t>
  </si>
  <si>
    <t>1596.3333333333333</t>
  </si>
  <si>
    <t>1575.3333333333333</t>
  </si>
  <si>
    <t>1645.6666666666667</t>
  </si>
  <si>
    <t>63.49123494645899</t>
  </si>
  <si>
    <t>http://live.fanfooty.com.au/game/matchcentre.html?id=5792</t>
  </si>
  <si>
    <t>Courtenay</t>
  </si>
  <si>
    <t>Dempsey</t>
  </si>
  <si>
    <t>%D including %K... also %M... and booted %s... Starting at half forward</t>
  </si>
  <si>
    <t>5792_ES</t>
  </si>
  <si>
    <t>1.4100000000000001</t>
  </si>
  <si>
    <t>1.3366666666666667</t>
  </si>
  <si>
    <t>2.603333333333333</t>
  </si>
  <si>
    <t>2.6026666666666665</t>
  </si>
  <si>
    <t>1557.6666666666667</t>
  </si>
  <si>
    <t>1523.6666666666667</t>
  </si>
  <si>
    <t>1706.6666666666667</t>
  </si>
  <si>
    <t>60.19387202848802</t>
  </si>
  <si>
    <t>http://live.fanfooty.com.au/game/matchcentre.html?id=5793</t>
  </si>
  <si>
    <t>Shaun</t>
  </si>
  <si>
    <t>Hampson</t>
  </si>
  <si>
    <t>%H... also %P and %T... and kicked %s</t>
  </si>
  <si>
    <t>5793_RI</t>
  </si>
  <si>
    <t>26.666666666666668</t>
  </si>
  <si>
    <t>34.666666666666664</t>
  </si>
  <si>
    <t>1.0066666666666666</t>
  </si>
  <si>
    <t>0.9446666666666665</t>
  </si>
  <si>
    <t>1.2633333333333334</t>
  </si>
  <si>
    <t>3.0433333333333334</t>
  </si>
  <si>
    <t>3.3493333333333335</t>
  </si>
  <si>
    <t>80.46666666666667</t>
  </si>
  <si>
    <t>1775.6666666666667</t>
  </si>
  <si>
    <t>78.66666666666667</t>
  </si>
  <si>
    <t>82.45529996090161</t>
  </si>
  <si>
    <t>http://live.fanfooty.com.au/game/matchcentre.html?id=5794</t>
  </si>
  <si>
    <t>Jay</t>
  </si>
  <si>
    <t>Schulz</t>
  </si>
  <si>
    <t>%s from %P and %M... Playing FF on Clurey</t>
  </si>
  <si>
    <t>5794_PA</t>
  </si>
  <si>
    <t>0.17666666666666667</t>
  </si>
  <si>
    <t>0.25333333333333335</t>
  </si>
  <si>
    <t>0.7646666666666666</t>
  </si>
  <si>
    <t>0.8586666666666667</t>
  </si>
  <si>
    <t>88.33333333333333</t>
  </si>
  <si>
    <t>1624.6666666666667</t>
  </si>
  <si>
    <t>1647.4666666666667</t>
  </si>
  <si>
    <t>46.666666666666664</t>
  </si>
  <si>
    <t>64.29350348964986</t>
  </si>
  <si>
    <t>12.706496510350135</t>
  </si>
  <si>
    <t>Krakouer</t>
  </si>
  <si>
    <t>%D including %K... also %M and %T... Floating at halfback</t>
  </si>
  <si>
    <t>10.533333333333333</t>
  </si>
  <si>
    <t>0.24666666666666667</t>
  </si>
  <si>
    <t>0.24000000000000002</t>
  </si>
  <si>
    <t>0.22333333333333336</t>
  </si>
  <si>
    <t>1565.6666666666667</t>
  </si>
  <si>
    <t>1615.6666666666667</t>
  </si>
  <si>
    <t>1687.6666666666667</t>
  </si>
  <si>
    <t>87.88479430727989</t>
  </si>
  <si>
    <t>http://live.fanfooty.com.au/game/matchcentre.html?id=5796</t>
  </si>
  <si>
    <t>Sam</t>
  </si>
  <si>
    <t>Fisher</t>
  </si>
  <si>
    <t>%O and %M plus %s... Standing Walker</t>
  </si>
  <si>
    <t>5796_SK</t>
  </si>
  <si>
    <t>10.133333333333333</t>
  </si>
  <si>
    <t>5.533333333333333</t>
  </si>
  <si>
    <t>6.266666666666667</t>
  </si>
  <si>
    <t>0.15200000000000002</t>
  </si>
  <si>
    <t>0.48466666666666663</t>
  </si>
  <si>
    <t>0.40800000000000003</t>
  </si>
  <si>
    <t>81.33333333333333</t>
  </si>
  <si>
    <t>79.73333333333333</t>
  </si>
  <si>
    <t>1622.2666666666667</t>
  </si>
  <si>
    <t>56.666666666666664</t>
  </si>
  <si>
    <t>58.73917726884588</t>
  </si>
  <si>
    <t>13.260822731154121</t>
  </si>
  <si>
    <t>Sean</t>
  </si>
  <si>
    <t>Dempster</t>
  </si>
  <si>
    <t>%D and %M with %T... Has Clayton</t>
  </si>
  <si>
    <t>9.666666666666666</t>
  </si>
  <si>
    <t>0.44000000000000017</t>
  </si>
  <si>
    <t>0.31799999999999995</t>
  </si>
  <si>
    <t>0.4599999999999998</t>
  </si>
  <si>
    <t>0.3073333333333333</t>
  </si>
  <si>
    <t>1688.6666666666667</t>
  </si>
  <si>
    <t>1626.7333333333333</t>
  </si>
  <si>
    <t>57.641676237617254</t>
  </si>
  <si>
    <t>22.358323762382746</t>
  </si>
  <si>
    <t>Merrett</t>
  </si>
  <si>
    <t>switch</t>
  </si>
  <si>
    <t>%D with %k by foot... also %M and %T... and booted %s... At FB on Bruce... switched forward in Q3</t>
  </si>
  <si>
    <t>5796_BL</t>
  </si>
  <si>
    <t>3.8666666666666667</t>
  </si>
  <si>
    <t>0.39399999999999996</t>
  </si>
  <si>
    <t>1.7266666666666666</t>
  </si>
  <si>
    <t>0.9979999999999999</t>
  </si>
  <si>
    <t>79.33333333333333</t>
  </si>
  <si>
    <t>97.66666666666667</t>
  </si>
  <si>
    <t>96.53333333333333</t>
  </si>
  <si>
    <t>1143.3333333333333</t>
  </si>
  <si>
    <t>1644.8666666666666</t>
  </si>
  <si>
    <t>41.333333333333336</t>
  </si>
  <si>
    <t>73.97905362904453</t>
  </si>
  <si>
    <t>http://live.fanfooty.com.au/game/matchcentre.html?id=5798</t>
  </si>
  <si>
    <t>Matthew</t>
  </si>
  <si>
    <t>Pavlich</t>
  </si>
  <si>
    <t>superpav</t>
  </si>
  <si>
    <t>%s from %O and %M plus %T</t>
  </si>
  <si>
    <t>His last game at FF on Hamling</t>
  </si>
  <si>
    <t>5798_FR</t>
  </si>
  <si>
    <t>10.333333333333334</t>
  </si>
  <si>
    <t>0.45466666666666666</t>
  </si>
  <si>
    <t>0.7133333333333333</t>
  </si>
  <si>
    <t>0.7446666666666666</t>
  </si>
  <si>
    <t>66.33333333333333</t>
  </si>
  <si>
    <t>90.33333333333333</t>
  </si>
  <si>
    <t>89.13333333333334</t>
  </si>
  <si>
    <t>1594.6666666666667</t>
  </si>
  <si>
    <t>1687.7333333333333</t>
  </si>
  <si>
    <t>17.366602950934606</t>
  </si>
  <si>
    <t>http://live.fanfooty.com.au/game/matchcentre.html?id=5804</t>
  </si>
  <si>
    <t>Brent</t>
  </si>
  <si>
    <t>Harvey</t>
  </si>
  <si>
    <t>%s from %D and %M... Starting in a FP</t>
  </si>
  <si>
    <t>5804_NM</t>
  </si>
  <si>
    <t>98.80000000000001</t>
  </si>
  <si>
    <t>2.2600000000000002</t>
  </si>
  <si>
    <t>3.1999999999999997</t>
  </si>
  <si>
    <t>2.695333333333333</t>
  </si>
  <si>
    <t>2.6966666666666668</t>
  </si>
  <si>
    <t>93.33333333333333</t>
  </si>
  <si>
    <t>1587.6666666666667</t>
  </si>
  <si>
    <t>1669.6666666666667</t>
  </si>
  <si>
    <t>1647.8666666666666</t>
  </si>
  <si>
    <t>91.21212807028144</t>
  </si>
  <si>
    <t>Dal Santo</t>
  </si>
  <si>
    <t>%B among %D... Playing outside midfield</t>
  </si>
  <si>
    <t>15.266666666666667</t>
  </si>
  <si>
    <t>0.6333333333333332</t>
  </si>
  <si>
    <t>0.6626666666666667</t>
  </si>
  <si>
    <t>0.9033333333333334</t>
  </si>
  <si>
    <t>1.1333333333333326</t>
  </si>
  <si>
    <t>1.1320000000000001</t>
  </si>
  <si>
    <t>8.266666666666667</t>
  </si>
  <si>
    <t>84.46666666666667</t>
  </si>
  <si>
    <t>1637.8666666666666</t>
  </si>
  <si>
    <t>88.60151282340924</t>
  </si>
  <si>
    <t>20.398487176590763</t>
  </si>
  <si>
    <t>Firrito</t>
  </si>
  <si>
    <t>%M and %P... Standing Jenkins at FB</t>
  </si>
  <si>
    <t>0.5033333333333334</t>
  </si>
  <si>
    <t>0.43533333333333335</t>
  </si>
  <si>
    <t>0.7666666666666666</t>
  </si>
  <si>
    <t>0.9266666666666667</t>
  </si>
  <si>
    <t>0.7606666666666667</t>
  </si>
  <si>
    <t>71.33333333333333</t>
  </si>
  <si>
    <t>89.73333333333333</t>
  </si>
  <si>
    <t>53.642680032626956</t>
  </si>
  <si>
    <t>28.357319967373044</t>
  </si>
  <si>
    <t>http://live.fanfooty.com.au/game/matchcentre.html?id=5807</t>
  </si>
  <si>
    <t>PF</t>
  </si>
  <si>
    <t>Jimmy</t>
  </si>
  <si>
    <t>Bartel</t>
  </si>
  <si>
    <t>GE</t>
  </si>
  <si>
    <t>%D and %M with %T... %s as well... Starting on a HFF</t>
  </si>
  <si>
    <t>5807_GE</t>
  </si>
  <si>
    <t>20.041999999999998</t>
  </si>
  <si>
    <t>17.01066666666667</t>
  </si>
  <si>
    <t>8.066666666666666</t>
  </si>
  <si>
    <t>87.73333333333333</t>
  </si>
  <si>
    <t>1689.3333333333333</t>
  </si>
  <si>
    <t>1581.3333333333333</t>
  </si>
  <si>
    <t>82.99223628241555</t>
  </si>
  <si>
    <t>3.007763717584453</t>
  </si>
  <si>
    <t>Corey</t>
  </si>
  <si>
    <t>Enright</t>
  </si>
  <si>
    <t>plusone</t>
  </si>
  <si>
    <t>%D and %M with %T... Loose in defence</t>
  </si>
  <si>
    <t>3.5106666666666664</t>
  </si>
  <si>
    <t>3.8126666666666664</t>
  </si>
  <si>
    <t>3.0300000000000002</t>
  </si>
  <si>
    <t>7.533333333333333</t>
  </si>
  <si>
    <t>73.33333333333333</t>
  </si>
  <si>
    <t>89.26666666666667</t>
  </si>
  <si>
    <t>1580.3333333333333</t>
  </si>
  <si>
    <t>1461.6666666666667</t>
  </si>
  <si>
    <t>91.56203175892077</t>
  </si>
  <si>
    <t>7.437968241079233</t>
  </si>
  <si>
    <t>http://live.fanfooty.com.au/game/matchcentre.html?id=5808</t>
  </si>
  <si>
    <t>Joel</t>
  </si>
  <si>
    <t>Patfull</t>
  </si>
  <si>
    <t>WS</t>
  </si>
  <si>
    <t>%P and %T... Responsible for Stringer</t>
  </si>
  <si>
    <t>5808_WS</t>
  </si>
  <si>
    <t>5.733333333333333</t>
  </si>
  <si>
    <t>0.4766666666666666</t>
  </si>
  <si>
    <t>0.6986666666666667</t>
  </si>
  <si>
    <t>0.5546666666666666</t>
  </si>
  <si>
    <t>86.86666666666666</t>
  </si>
  <si>
    <t>1637.3333333333333</t>
  </si>
  <si>
    <t>1712.9333333333334</t>
  </si>
  <si>
    <t>1550.0666666666666</t>
  </si>
  <si>
    <t>49.666666666666664</t>
  </si>
  <si>
    <t>42.73255472118552</t>
  </si>
  <si>
    <t>http://live.fanfooty.com.au/game/matchcentre.html?id=5809</t>
  </si>
  <si>
    <t>McGlynn</t>
  </si>
  <si>
    <t>%D including %K... also %M and %T... and booted %s... Starting forward</t>
  </si>
  <si>
    <t>5809_SY</t>
  </si>
  <si>
    <t>9.266666666666667</t>
  </si>
  <si>
    <t>0.16066666666666668</t>
  </si>
  <si>
    <t>0.17466666666666666</t>
  </si>
  <si>
    <t>72.86666666666666</t>
  </si>
  <si>
    <t>81.66666666666667</t>
  </si>
  <si>
    <t>1749.3333333333333</t>
  </si>
  <si>
    <t>1519.6666666666667</t>
  </si>
  <si>
    <t>1548.1333333333334</t>
  </si>
  <si>
    <t>65.78332954308303</t>
  </si>
  <si>
    <t>http://live.fanfooty.com.au/game/matchcentre.html?id=6010</t>
  </si>
  <si>
    <t>Griffiths</t>
  </si>
  <si>
    <t>Copped a heavy knock in Q3... Kicked %s from %G and %O... gave away %F</t>
  </si>
  <si>
    <t>Playing a ruck/forward role on Reid</t>
  </si>
  <si>
    <t>6010_RI</t>
  </si>
  <si>
    <t>0.11933333333333333</t>
  </si>
  <si>
    <t>0.15066666666666664</t>
  </si>
  <si>
    <t>2.6593333333333335</t>
  </si>
  <si>
    <t>84.66666666666667</t>
  </si>
  <si>
    <t>1588.5333333333333</t>
  </si>
  <si>
    <t>71.31783135622982</t>
  </si>
  <si>
    <t>http://live.fanfooty.com.au/game/matchcentre.html?id=6014</t>
  </si>
  <si>
    <t>Jack</t>
  </si>
  <si>
    <t>Frost</t>
  </si>
  <si>
    <t>Manning Hooker... %O</t>
  </si>
  <si>
    <t>6014_BL</t>
  </si>
  <si>
    <t>1.7466666666666668</t>
  </si>
  <si>
    <t>1.2999999999999998</t>
  </si>
  <si>
    <t>1.6026666666666667</t>
  </si>
  <si>
    <t>1.9800000000000002</t>
  </si>
  <si>
    <t>2.344666666666667</t>
  </si>
  <si>
    <t>1522.6666666666667</t>
  </si>
  <si>
    <t>1677.4666666666667</t>
  </si>
  <si>
    <t>http://live.fanfooty.com.au/game/matchcentre.html?id=6018</t>
  </si>
  <si>
    <t>Zac</t>
  </si>
  <si>
    <t>Dawson</t>
  </si>
  <si>
    <t>%D and %M with %T... Standing Dixon</t>
  </si>
  <si>
    <t>6018_FR</t>
  </si>
  <si>
    <t>1.5113333333333332</t>
  </si>
  <si>
    <t>0.3566666666666667</t>
  </si>
  <si>
    <t>0.8426666666666666</t>
  </si>
  <si>
    <t>0.7566666666666667</t>
  </si>
  <si>
    <t>1.7806666666666666</t>
  </si>
  <si>
    <t>92.73333333333333</t>
  </si>
  <si>
    <t>1575.6666666666667</t>
  </si>
  <si>
    <t>1565.9333333333334</t>
  </si>
  <si>
    <t>1690.6666666666667</t>
  </si>
  <si>
    <t>1694.6666666666667</t>
  </si>
  <si>
    <t>38.26888395265212</t>
  </si>
  <si>
    <t>http://live.fanfooty.com.au/game/matchcentre.html?id=6022</t>
  </si>
  <si>
    <t>R3</t>
  </si>
  <si>
    <t>Ruggles</t>
  </si>
  <si>
    <t>%M and %O... Rotating on Kent and Garlett</t>
  </si>
  <si>
    <t>6022_GE</t>
  </si>
  <si>
    <t>9.466666666666667</t>
  </si>
  <si>
    <t>13.944666666666668</t>
  </si>
  <si>
    <t>11.388666666666667</t>
  </si>
  <si>
    <t>11.878000000000002</t>
  </si>
  <si>
    <t>64.93333333333334</t>
  </si>
  <si>
    <t>1631.3333333333333</t>
  </si>
  <si>
    <t>1632.6666666666667</t>
  </si>
  <si>
    <t>61.333333333333336</t>
  </si>
  <si>
    <t>57.88145680685543</t>
  </si>
  <si>
    <t>http://live.fanfooty.com.au/game/matchcentre.html?id=6026</t>
  </si>
  <si>
    <t>Rhys</t>
  </si>
  <si>
    <t>Palmer</t>
  </si>
  <si>
    <t>Late inclusion for Charlie Curnow... %P and %M plus %T... conceded %F</t>
  </si>
  <si>
    <t>6026_CA</t>
  </si>
  <si>
    <t>0.9306666666666668</t>
  </si>
  <si>
    <t>0.10333333333333333</t>
  </si>
  <si>
    <t>0.12066666666666667</t>
  </si>
  <si>
    <t>65.66666666666667</t>
  </si>
  <si>
    <t>76.26666666666667</t>
  </si>
  <si>
    <t>1599.6666666666667</t>
  </si>
  <si>
    <t>1719.6666666666667</t>
  </si>
  <si>
    <t>1553.5333333333333</t>
  </si>
  <si>
    <t>56.62975315030529</t>
  </si>
  <si>
    <t>http://live.fanfooty.com.au/game/matchcentre.html?id=6034</t>
  </si>
  <si>
    <t>R4</t>
  </si>
  <si>
    <t>Jesse</t>
  </si>
  <si>
    <t>White</t>
  </si>
  <si>
    <t>%s from %O and %M... Playing forward</t>
  </si>
  <si>
    <t>6034_CO</t>
  </si>
  <si>
    <t>0.12466666666666666</t>
  </si>
  <si>
    <t>0.15533333333333335</t>
  </si>
  <si>
    <t>0.11800000000000001</t>
  </si>
  <si>
    <t>1630.6666666666667</t>
  </si>
  <si>
    <t>1634.3333333333333</t>
  </si>
  <si>
    <t>1604.5333333333333</t>
  </si>
  <si>
    <t>69.18838874421022</t>
  </si>
  <si>
    <t>http://live.fanfooty.com.au/game/matchcentre.html?id=6048</t>
  </si>
  <si>
    <t>Jeremy</t>
  </si>
  <si>
    <t>Laidler</t>
  </si>
  <si>
    <t>%O and %M plus %T... Seventh defender</t>
  </si>
  <si>
    <t>6048_SY</t>
  </si>
  <si>
    <t>0.12666666666666668</t>
  </si>
  <si>
    <t>0.46199999999999997</t>
  </si>
  <si>
    <t>0.5346666666666666</t>
  </si>
  <si>
    <t>0.41466666666666663</t>
  </si>
  <si>
    <t>77.13333333333334</t>
  </si>
  <si>
    <t>1534.6666666666667</t>
  </si>
  <si>
    <t>1656.0666666666666</t>
  </si>
  <si>
    <t>1608.1333333333334</t>
  </si>
  <si>
    <t>69.60563179138833</t>
  </si>
  <si>
    <t>2.3943682086116667</t>
  </si>
  <si>
    <t>http://live.fanfooty.com.au/game/matchcentre.html?id=6054</t>
  </si>
  <si>
    <t>Steven</t>
  </si>
  <si>
    <t>Morris</t>
  </si>
  <si>
    <t>%O and %T... Playing small defender</t>
  </si>
  <si>
    <t>6054_RI</t>
  </si>
  <si>
    <t>0.5866666666666667</t>
  </si>
  <si>
    <t>0.5133333333333333</t>
  </si>
  <si>
    <t>0.9833333333333334</t>
  </si>
  <si>
    <t>1.1300000000000001</t>
  </si>
  <si>
    <t>1671.9333333333334</t>
  </si>
  <si>
    <t>1580.7333333333333</t>
  </si>
  <si>
    <t>82.20959753781406</t>
  </si>
  <si>
    <t>http://live.fanfooty.com.au/game/matchcentre.html?id=6069</t>
  </si>
  <si>
    <t>Menzel</t>
  </si>
  <si>
    <t>%s from %P and %M plus %T... Rotating between forward and wing</t>
  </si>
  <si>
    <t>6069_AD</t>
  </si>
  <si>
    <t>1.2100000000000002</t>
  </si>
  <si>
    <t>1.2246666666666668</t>
  </si>
  <si>
    <t>1.9746666666666666</t>
  </si>
  <si>
    <t>2.2433333333333336</t>
  </si>
  <si>
    <t>5.013333333333333</t>
  </si>
  <si>
    <t>65.26666666666667</t>
  </si>
  <si>
    <t>1619.6666666666667</t>
  </si>
  <si>
    <t>49.09953837478984</t>
  </si>
  <si>
    <t>http://live.fanfooty.com.au/game/matchcentre.html?id=6070</t>
  </si>
  <si>
    <t>Jake</t>
  </si>
  <si>
    <t>Batchelor</t>
  </si>
  <si>
    <t>%P and %M plus %T... Following Taberner</t>
  </si>
  <si>
    <t>6070_RI</t>
  </si>
  <si>
    <t>8.466666666666667</t>
  </si>
  <si>
    <t>0.15666666666666665</t>
  </si>
  <si>
    <t>2.0946666666666665</t>
  </si>
  <si>
    <t>64.66666666666667</t>
  </si>
  <si>
    <t>74.93333333333334</t>
  </si>
  <si>
    <t>1671.4666666666667</t>
  </si>
  <si>
    <t>44.333333333333336</t>
  </si>
  <si>
    <t>46.403468936204234</t>
  </si>
  <si>
    <t>0.5965310637957657</t>
  </si>
  <si>
    <t>http://live.fanfooty.com.au/game/matchcentre.html?id=6077</t>
  </si>
  <si>
    <t>Henry</t>
  </si>
  <si>
    <t>Schade</t>
  </si>
  <si>
    <t>Minding Sicily</t>
  </si>
  <si>
    <t>6077_CO</t>
  </si>
  <si>
    <t>0.38666666666666666</t>
  </si>
  <si>
    <t>0.42133333333333334</t>
  </si>
  <si>
    <t>0.6099999999999998</t>
  </si>
  <si>
    <t>0.5299999999999999</t>
  </si>
  <si>
    <t>0.8520000000000001</t>
  </si>
  <si>
    <t>79.66666666666667</t>
  </si>
  <si>
    <t>82.73333333333333</t>
  </si>
  <si>
    <t>1651.3333333333333</t>
  </si>
  <si>
    <t>54.38239658053282</t>
  </si>
  <si>
    <t>http://live.fanfooty.com.au/game/matchcentre.html?id=6086</t>
  </si>
  <si>
    <t>Garrick</t>
  </si>
  <si>
    <t>Ibbotson</t>
  </si>
  <si>
    <t>%M and %O</t>
  </si>
  <si>
    <t>6086_FR</t>
  </si>
  <si>
    <t>0.3033333333333333</t>
  </si>
  <si>
    <t>0.2313333333333333</t>
  </si>
  <si>
    <t>0.23866666666666667</t>
  </si>
  <si>
    <t>0.33333333333333276</t>
  </si>
  <si>
    <t>0.39133333333333337</t>
  </si>
  <si>
    <t>79.06666666666666</t>
  </si>
  <si>
    <t>86.66666666666667</t>
  </si>
  <si>
    <t>89.46666666666667</t>
  </si>
  <si>
    <t>1695.6666666666667</t>
  </si>
  <si>
    <t>1720.3333333333333</t>
  </si>
  <si>
    <t>54.97276433555574</t>
  </si>
  <si>
    <t>1.0272356644442624</t>
  </si>
  <si>
    <t>http://live.fanfooty.com.au/game/matchcentre.html?id=6090</t>
  </si>
  <si>
    <t>Tyrone</t>
  </si>
  <si>
    <t>Vickery</t>
  </si>
  <si>
    <t>%s from %O and %M plus %T... helped out by %4FF... Playing a ruck/forward role on Clurey</t>
  </si>
  <si>
    <t>6090_HW</t>
  </si>
  <si>
    <t>0.3666666666666667</t>
  </si>
  <si>
    <t>0.35200000000000004</t>
  </si>
  <si>
    <t>0.5433333333333333</t>
  </si>
  <si>
    <t>0.38466666666666666</t>
  </si>
  <si>
    <t>70.86666666666666</t>
  </si>
  <si>
    <t>73.86666666666666</t>
  </si>
  <si>
    <t>1613.3333333333333</t>
  </si>
  <si>
    <t>54.666666666666664</t>
  </si>
  <si>
    <t>63.11465450306174</t>
  </si>
  <si>
    <t>4.885345496938257</t>
  </si>
  <si>
    <t>http://live.fanfooty.com.au/game/matchcentre.html?id=6092</t>
  </si>
  <si>
    <t>Butler</t>
  </si>
  <si>
    <t>%M and %P... Playing small defender</t>
  </si>
  <si>
    <t>6092_WC</t>
  </si>
  <si>
    <t>0.21066666666666664</t>
  </si>
  <si>
    <t>0.22133333333333333</t>
  </si>
  <si>
    <t>0.3313333333333333</t>
  </si>
  <si>
    <t>82.53333333333333</t>
  </si>
  <si>
    <t>1481.3333333333333</t>
  </si>
  <si>
    <t>1596.2666666666667</t>
  </si>
  <si>
    <t>1665.7333333333333</t>
  </si>
  <si>
    <t>88.63921934173149</t>
  </si>
  <si>
    <t>http://live.fanfooty.com.au/game/matchcentre.html?id=6093</t>
  </si>
  <si>
    <t>Stanton</t>
  </si>
  <si>
    <t>%P including %K... also %T and %M... Seventh defender</t>
  </si>
  <si>
    <t>6093_ES</t>
  </si>
  <si>
    <t>0.3166666666666673</t>
  </si>
  <si>
    <t>0.4586666666666667</t>
  </si>
  <si>
    <t>0.23333333333333342</t>
  </si>
  <si>
    <t>1554.3333333333333</t>
  </si>
  <si>
    <t>1598.7333333333333</t>
  </si>
  <si>
    <t>1661.9333333333334</t>
  </si>
  <si>
    <t>55.333333333333336</t>
  </si>
  <si>
    <t>http://live.fanfooty.com.au/game/matchcentre.html?id=6098</t>
  </si>
  <si>
    <t>Josh</t>
  </si>
  <si>
    <t>Gibson</t>
  </si>
  <si>
    <t>Right groin soreness in Q2... did not reappear after 3QT... %P including %B</t>
  </si>
  <si>
    <t>At CHB on Wright</t>
  </si>
  <si>
    <t>6098_HW</t>
  </si>
  <si>
    <t>4.862666666666667</t>
  </si>
  <si>
    <t>1.3233333333333335</t>
  </si>
  <si>
    <t>7.437333333333334</t>
  </si>
  <si>
    <t>4.790666666666667</t>
  </si>
  <si>
    <t>94.73333333333333</t>
  </si>
  <si>
    <t>1578.9333333333334</t>
  </si>
  <si>
    <t>1683.2666666666667</t>
  </si>
  <si>
    <t>48.956985671551635</t>
  </si>
  <si>
    <t>http://live.fanfooty.com.au/game/matchcentre.html?id=6099</t>
  </si>
  <si>
    <t>Ryan</t>
  </si>
  <si>
    <t>Harwood</t>
  </si>
  <si>
    <t>%D and %M with %T... Playing small forward today</t>
  </si>
  <si>
    <t>6099_BL</t>
  </si>
  <si>
    <t>0.16666666666666666</t>
  </si>
  <si>
    <t>2.7060000000000004</t>
  </si>
  <si>
    <t>0.15666666666666668</t>
  </si>
  <si>
    <t>5.559333333333333</t>
  </si>
  <si>
    <t>71.93333333333334</t>
  </si>
  <si>
    <t>1527.5333333333333</t>
  </si>
  <si>
    <t>1643.6666666666667</t>
  </si>
  <si>
    <t>1735.4666666666667</t>
  </si>
  <si>
    <t>59.00467316928648</t>
  </si>
  <si>
    <t>5.995326830713523</t>
  </si>
  <si>
    <t>http://live.fanfooty.com.au/game/matchcentre.html?id=6100</t>
  </si>
  <si>
    <t>Toumpas</t>
  </si>
  <si>
    <t>%P and %M plus %T... Playing an outside game</t>
  </si>
  <si>
    <t>6100_PA</t>
  </si>
  <si>
    <t>0.5820000000000001</t>
  </si>
  <si>
    <t>0.36999999999999994</t>
  </si>
  <si>
    <t>1.0973333333333335</t>
  </si>
  <si>
    <t>75.73333333333333</t>
  </si>
  <si>
    <t>68.26666666666667</t>
  </si>
  <si>
    <t>1612.6666666666667</t>
  </si>
  <si>
    <t>1606.4666666666667</t>
  </si>
  <si>
    <t>48.333333333333336</t>
  </si>
  <si>
    <t>60.168236053755464</t>
  </si>
  <si>
    <t>http://live.fanfooty.com.au/game/matchcentre.html?id=6106</t>
  </si>
  <si>
    <t>R13</t>
  </si>
  <si>
    <t>Marco</t>
  </si>
  <si>
    <t>Paparone</t>
  </si>
  <si>
    <t>%P with %k by foot... also %M and %T... Zoning off Trengove</t>
  </si>
  <si>
    <t>6106_BL</t>
  </si>
  <si>
    <t>99.20000000000005</t>
  </si>
  <si>
    <t>10.866666666666667</t>
  </si>
  <si>
    <t>1.843333333333333</t>
  </si>
  <si>
    <t>0.9186666666666667</t>
  </si>
  <si>
    <t>1.4773333333333334</t>
  </si>
  <si>
    <t>0.7433333333333333</t>
  </si>
  <si>
    <t>0.8846666666666667</t>
  </si>
  <si>
    <t>87.06666666666666</t>
  </si>
  <si>
    <t>1587.3333333333333</t>
  </si>
  <si>
    <t>58.931238855089354</t>
  </si>
  <si>
    <t>23.068761144910646</t>
  </si>
  <si>
    <t>http://live.fanfooty.com.au/game/matchcentre.html?id=6114</t>
  </si>
  <si>
    <t>R14</t>
  </si>
  <si>
    <t>Hill</t>
  </si>
  <si>
    <t>%s from %O and %T... Starting in a FP</t>
  </si>
  <si>
    <t>6114_WC</t>
  </si>
  <si>
    <t>0.26466666666666666</t>
  </si>
  <si>
    <t>0.27999999999999997</t>
  </si>
  <si>
    <t>0.2853333333333333</t>
  </si>
  <si>
    <t>0.38000000000000006</t>
  </si>
  <si>
    <t>0.34400000000000003</t>
  </si>
  <si>
    <t>66.93333333333334</t>
  </si>
  <si>
    <t>77.73333333333333</t>
  </si>
  <si>
    <t>1570.3333333333333</t>
  </si>
  <si>
    <t>1645.7333333333333</t>
  </si>
  <si>
    <t>1695.3333333333333</t>
  </si>
  <si>
    <t>62.666666666666664</t>
  </si>
  <si>
    <t>62.96682933639959</t>
  </si>
  <si>
    <t>http://live.fanfooty.com.au/game/matchcentre.html?id=6127</t>
  </si>
  <si>
    <t>Scott</t>
  </si>
  <si>
    <t>Thompson</t>
  </si>
  <si>
    <t>%D and %T... not helped by %F... Matched up on Liberatore</t>
  </si>
  <si>
    <t>6127_AD</t>
  </si>
  <si>
    <t>10.933333333333334</t>
  </si>
  <si>
    <t>1.4466666666666665</t>
  </si>
  <si>
    <t>0.8233333333333333</t>
  </si>
  <si>
    <t>1.4133333333333333</t>
  </si>
  <si>
    <t>2.2733333333333334</t>
  </si>
  <si>
    <t>1696.3333333333333</t>
  </si>
  <si>
    <t>1707.0666666666666</t>
  </si>
  <si>
    <t>1549.0666666666666</t>
  </si>
  <si>
    <t>71.66666666666667</t>
  </si>
  <si>
    <t>65.51479503903545</t>
  </si>
  <si>
    <t>http://live.fanfooty.com.au/game/matchcentre.html?id=6130</t>
  </si>
  <si>
    <t>Davis</t>
  </si>
  <si>
    <t>6130_GC</t>
  </si>
  <si>
    <t>4.583333333333333</t>
  </si>
  <si>
    <t>19.634666666666668</t>
  </si>
  <si>
    <t>3.7100000000000004</t>
  </si>
  <si>
    <t>15.603333333333332</t>
  </si>
  <si>
    <t>5.746666666666667</t>
  </si>
  <si>
    <t>19.679333333333332</t>
  </si>
  <si>
    <t>74.26666666666667</t>
  </si>
  <si>
    <t>1648.3333333333333</t>
  </si>
  <si>
    <t>1702.0666666666666</t>
  </si>
  <si>
    <t>10.269744433964497</t>
  </si>
  <si>
    <t>http://live.fanfooty.com.au/game/matchcentre.html?id=6131</t>
  </si>
  <si>
    <t>Taylor</t>
  </si>
  <si>
    <t>Hunt</t>
  </si>
  <si>
    <t>%M and %D... Playing an outside role... On Billings</t>
  </si>
  <si>
    <t>6131_RI</t>
  </si>
  <si>
    <t>9.733333333333333</t>
  </si>
  <si>
    <t>0.16333333333333333</t>
  </si>
  <si>
    <t>0.16533333333333333</t>
  </si>
  <si>
    <t>0.3933333333333333</t>
  </si>
  <si>
    <t>0.43333333333333335</t>
  </si>
  <si>
    <t>3.6500000000000004</t>
  </si>
  <si>
    <t>3.5533333333333332</t>
  </si>
  <si>
    <t>84.26666666666667</t>
  </si>
  <si>
    <t>1872.6666666666667</t>
  </si>
  <si>
    <t>1666.7333333333333</t>
  </si>
  <si>
    <t>http://live.fanfooty.com.au/game/matchcentre.html?id=6140</t>
  </si>
  <si>
    <t>Tendai</t>
  </si>
  <si>
    <t>Mzungu</t>
  </si>
  <si>
    <t>%l Jeremy Cameron... %O and %s</t>
  </si>
  <si>
    <t>Playing an outside game</t>
  </si>
  <si>
    <t>6140_WS</t>
  </si>
  <si>
    <t>8.133333333333333</t>
  </si>
  <si>
    <t>0.32133333333333336</t>
  </si>
  <si>
    <t>0.33666666666666667</t>
  </si>
  <si>
    <t>0.2986666666666667</t>
  </si>
  <si>
    <t>1593.8666666666666</t>
  </si>
  <si>
    <t>1667.7333333333333</t>
  </si>
  <si>
    <t>56.57929562134136</t>
  </si>
  <si>
    <t>http://live.fanfooty.com.au/game/matchcentre.html?id=6143</t>
  </si>
  <si>
    <t>Alex</t>
  </si>
  <si>
    <t>Silvagni</t>
  </si>
  <si>
    <t>Left knee injury midway through the fourth... %O and %M plus %T</t>
  </si>
  <si>
    <t>Spending time on Stringer</t>
  </si>
  <si>
    <t>6143_CA</t>
  </si>
  <si>
    <t>0.28333333333333327</t>
  </si>
  <si>
    <t>1.1566666666666667</t>
  </si>
  <si>
    <t>0.8586666666666666</t>
  </si>
  <si>
    <t>0.6866666666666665</t>
  </si>
  <si>
    <t>58.666666666666664</t>
  </si>
  <si>
    <t>76.73333333333333</t>
  </si>
  <si>
    <t>1647.5333333333333</t>
  </si>
  <si>
    <t>41.76890300716304</t>
  </si>
  <si>
    <t>20.23109699283696</t>
  </si>
  <si>
    <t>Liam</t>
  </si>
  <si>
    <t>Sumner</t>
  </si>
  <si>
    <t>%l Dale Thomas... %D</t>
  </si>
  <si>
    <t>0.1366666666666667</t>
  </si>
  <si>
    <t>3.798666666666667</t>
  </si>
  <si>
    <t>3.0253333333333337</t>
  </si>
  <si>
    <t>11.981333333333334</t>
  </si>
  <si>
    <t>70.13333333333334</t>
  </si>
  <si>
    <t>71.73333333333333</t>
  </si>
  <si>
    <t>1632.3333333333333</t>
  </si>
  <si>
    <t>1592.2666666666667</t>
  </si>
  <si>
    <t>1673.8666666666666</t>
  </si>
  <si>
    <t>27.666666666666668</t>
  </si>
  <si>
    <t>38.540274120791594</t>
  </si>
  <si>
    <t>http://live.fanfooty.com.au/game/matchcentre.html?id=6149</t>
  </si>
  <si>
    <t>Leigh</t>
  </si>
  <si>
    <t>Montagna</t>
  </si>
  <si>
    <t>Right hamstring pulled in Q3... %O and %M plus %T</t>
  </si>
  <si>
    <t>Playing a half back role</t>
  </si>
  <si>
    <t>6149_SK</t>
  </si>
  <si>
    <t>14.866666666666667</t>
  </si>
  <si>
    <t>4.633333333333333</t>
  </si>
  <si>
    <t>2.5133333333333336</t>
  </si>
  <si>
    <t>2.2399999999999998</t>
  </si>
  <si>
    <t>4.010000000000001</t>
  </si>
  <si>
    <t>2.850666666666667</t>
  </si>
  <si>
    <t>78.06666666666666</t>
  </si>
  <si>
    <t>85.33333333333333</t>
  </si>
  <si>
    <t>1651.6666666666667</t>
  </si>
  <si>
    <t>1663.8666666666666</t>
  </si>
  <si>
    <t>70.79484724553505</t>
  </si>
  <si>
    <t>20.205152754464947</t>
  </si>
  <si>
    <t>http://live.fanfooty.com.au/game/matchcentre.html?id=6150</t>
  </si>
  <si>
    <t>Lee</t>
  </si>
  <si>
    <t>Spurr</t>
  </si>
  <si>
    <t>cold</t>
  </si>
  <si>
    <t>Just the one touch in the first term... %M and %D</t>
  </si>
  <si>
    <t>On Breust</t>
  </si>
  <si>
    <t>6150_FR</t>
  </si>
  <si>
    <t>1.1933333333333334</t>
  </si>
  <si>
    <t>0.8473333333333334</t>
  </si>
  <si>
    <t>0.7000000000000001</t>
  </si>
  <si>
    <t>0.5666666666666667</t>
  </si>
  <si>
    <t>0.8906666666666667</t>
  </si>
  <si>
    <t>1534.3333333333333</t>
  </si>
  <si>
    <t>1551.9333333333334</t>
  </si>
  <si>
    <t>1722.6666666666667</t>
  </si>
  <si>
    <t>1724.2666666666667</t>
  </si>
  <si>
    <t>69.48310783013723</t>
  </si>
  <si>
    <t>http://live.fanfooty.com.au/game/matchcentre.html?id=6157</t>
  </si>
  <si>
    <t>%O and %M plus %T... Providing drive from the wing</t>
  </si>
  <si>
    <t>6157_PA</t>
  </si>
  <si>
    <t>3.4933333333333336</t>
  </si>
  <si>
    <t>3.525333333333333</t>
  </si>
  <si>
    <t>2.4873333333333334</t>
  </si>
  <si>
    <t>1.4033333333333333</t>
  </si>
  <si>
    <t>71.06666666666666</t>
  </si>
  <si>
    <t>72.26666666666667</t>
  </si>
  <si>
    <t>1630.3333333333333</t>
  </si>
  <si>
    <t>1648.5333333333333</t>
  </si>
  <si>
    <t>48.666666666666664</t>
  </si>
  <si>
    <t>59.453360276308366</t>
  </si>
  <si>
    <t>http://live.fanfooty.com.au/game/matchcentre.html?id=6158</t>
  </si>
  <si>
    <t>Simon</t>
  </si>
  <si>
    <t>%O and %M plus %T... Starting at half back</t>
  </si>
  <si>
    <t>6158_CA</t>
  </si>
  <si>
    <t>0.17066666666666666</t>
  </si>
  <si>
    <t>0.12333333333333336</t>
  </si>
  <si>
    <t>73.93333333333334</t>
  </si>
  <si>
    <t>1623.3333333333333</t>
  </si>
  <si>
    <t>1676.2666666666667</t>
  </si>
  <si>
    <t>84.63689662982769</t>
  </si>
  <si>
    <t>http://live.fanfooty.com.au/game/matchcentre.html?id=6166</t>
  </si>
  <si>
    <t>Clay</t>
  </si>
  <si>
    <t>Smith</t>
  </si>
  <si>
    <t>6166_WB</t>
  </si>
  <si>
    <t>0.15333333333333335</t>
  </si>
  <si>
    <t>0.29000000000000004</t>
  </si>
  <si>
    <t>2.570666666666667</t>
  </si>
  <si>
    <t>1645.0666666666666</t>
  </si>
  <si>
    <t>1694.3333333333333</t>
  </si>
  <si>
    <t>1624.7333333333333</t>
  </si>
  <si>
    <t>68.82086967852666</t>
  </si>
  <si>
    <t>http://live.fanfooty.com.au/game/matchcentre.html?id=6168</t>
  </si>
  <si>
    <t>Jarrad</t>
  </si>
  <si>
    <t>Grant</t>
  </si>
  <si>
    <t>%l David Swallow... %s from %P and %M plus %T</t>
  </si>
  <si>
    <t>6168_GC</t>
  </si>
  <si>
    <t>0.20866666666666667</t>
  </si>
  <si>
    <t>0.19066666666666665</t>
  </si>
  <si>
    <t>79.53333333333333</t>
  </si>
  <si>
    <t>1478.3333333333333</t>
  </si>
  <si>
    <t>1482.1333333333334</t>
  </si>
  <si>
    <t>1790.3333333333333</t>
  </si>
  <si>
    <t>54.34846895181426</t>
  </si>
  <si>
    <t>9.651531048185738</t>
  </si>
  <si>
    <t>http://live.fanfooty.com.au/game/matchcentre.html?id=6171</t>
  </si>
  <si>
    <t>Angus</t>
  </si>
  <si>
    <t>Monfries</t>
  </si>
  <si>
    <t>tagger</t>
  </si>
  <si>
    <t>%O including %B... Forward tag role on Smith</t>
  </si>
  <si>
    <t>6171_PA</t>
  </si>
  <si>
    <t>0.18133333333333335</t>
  </si>
  <si>
    <t>0.7800000000000001</t>
  </si>
  <si>
    <t>1.0979999999999999</t>
  </si>
  <si>
    <t>0.7900000000000001</t>
  </si>
  <si>
    <t>70.93333333333334</t>
  </si>
  <si>
    <t>1596.6666666666667</t>
  </si>
  <si>
    <t>1632.8666666666666</t>
  </si>
  <si>
    <t>75.83680170512511</t>
  </si>
  <si>
    <t>http://live.fanfooty.com.au/game/matchcentre.html?id=6176</t>
  </si>
  <si>
    <t>Howlett</t>
  </si>
  <si>
    <t>%D and %M with %T... Rotating midfield and forward</t>
  </si>
  <si>
    <t>6176_ES</t>
  </si>
  <si>
    <t>0.1633333333333339</t>
  </si>
  <si>
    <t>0.26333333333333336</t>
  </si>
  <si>
    <t>0.6506666666666666</t>
  </si>
  <si>
    <t>http://live.fanfooty.com.au/game/matchcentre.html?id=6182</t>
  </si>
  <si>
    <t>Travis</t>
  </si>
  <si>
    <t>Cloke</t>
  </si>
  <si>
    <t>%s from %P and %T... Clurey following him</t>
  </si>
  <si>
    <t>6182_WB</t>
  </si>
  <si>
    <t>95.80000000000001</t>
  </si>
  <si>
    <t>9.533333333333333</t>
  </si>
  <si>
    <t>0.2886666666666667</t>
  </si>
  <si>
    <t>0.7333333333333335</t>
  </si>
  <si>
    <t>62.266666666666666</t>
  </si>
  <si>
    <t>1627.6666666666667</t>
  </si>
  <si>
    <t>71.57353590648279</t>
  </si>
  <si>
    <t>http://live.fanfooty.com.au/game/matchcentre.html?id=6186</t>
  </si>
  <si>
    <t>Craig</t>
  </si>
  <si>
    <t>Bird</t>
  </si>
  <si>
    <t>%D and %M with %T... Starting in midfield</t>
  </si>
  <si>
    <t>6186_ES</t>
  </si>
  <si>
    <t>0.7766666666666667</t>
  </si>
  <si>
    <t>1.3413333333333335</t>
  </si>
  <si>
    <t>3.0700000000000003</t>
  </si>
  <si>
    <t>1458.6666666666667</t>
  </si>
  <si>
    <t>76.55759372804039</t>
  </si>
  <si>
    <t>3.4424062719596122</t>
  </si>
  <si>
    <t>http://live.fanfooty.com.au/game/matchcentre.html?id=6190</t>
  </si>
  <si>
    <t>Boyd</t>
  </si>
  <si>
    <t>A great DT career comes to an end... %O and %M plus %s</t>
  </si>
  <si>
    <t>In defence</t>
  </si>
  <si>
    <t>6190_WB</t>
  </si>
  <si>
    <t>16.333333333333332</t>
  </si>
  <si>
    <t>1.2499999999999976</t>
  </si>
  <si>
    <t>12.384666666666668</t>
  </si>
  <si>
    <t>1.4666666666666668</t>
  </si>
  <si>
    <t>6.6259999999999994</t>
  </si>
  <si>
    <t>6.647333333333333</t>
  </si>
  <si>
    <t>67.66666666666667</t>
  </si>
  <si>
    <t>73.06666666666666</t>
  </si>
  <si>
    <t>1633.5333333333333</t>
  </si>
  <si>
    <t>1638.2666666666667</t>
  </si>
  <si>
    <t>95.33333333333333</t>
  </si>
  <si>
    <t>83.63152646483955</t>
  </si>
  <si>
    <t>35.36847353516045</t>
  </si>
  <si>
    <t>Picken</t>
  </si>
  <si>
    <t>First goal... %D and %M with %T... %s as well... Up forward</t>
  </si>
  <si>
    <t>1.1726666666666667</t>
  </si>
  <si>
    <t>1.8733333333333333</t>
  </si>
  <si>
    <t>2.0533333333333332</t>
  </si>
  <si>
    <t>1.5133333333333334</t>
  </si>
  <si>
    <t>1487.3333333333333</t>
  </si>
  <si>
    <t>1603.4666666666667</t>
  </si>
  <si>
    <t>1779.3333333333333</t>
  </si>
  <si>
    <t>1662.5333333333333</t>
  </si>
  <si>
    <t>73.39319461895295</t>
  </si>
  <si>
    <t>10.606805381047053</t>
  </si>
  <si>
    <t>Robert</t>
  </si>
  <si>
    <t>Murphy</t>
  </si>
  <si>
    <t>%D and %M plus %s... In defence</t>
  </si>
  <si>
    <t>2.126666666666667</t>
  </si>
  <si>
    <t>7.963333333333334</t>
  </si>
  <si>
    <t>6.226666666666667</t>
  </si>
  <si>
    <t>8.031333333333333</t>
  </si>
  <si>
    <t>76.06666666666666</t>
  </si>
  <si>
    <t>81.26666666666667</t>
  </si>
  <si>
    <t>1626.5333333333333</t>
  </si>
  <si>
    <t>98.92814086734691</t>
  </si>
  <si>
    <t>http://live.fanfooty.com.au/game/matchcentre.html?id=6192</t>
  </si>
  <si>
    <t>Claye</t>
  </si>
  <si>
    <t>Beams</t>
  </si>
  <si>
    <t>%O and %M plus %s... Starting at half forward today</t>
  </si>
  <si>
    <t>6192_BL</t>
  </si>
  <si>
    <t>0.4066666666666667</t>
  </si>
  <si>
    <t>0.4873333333333333</t>
  </si>
  <si>
    <t>0.43266666666666664</t>
  </si>
  <si>
    <t>1610.6666666666667</t>
  </si>
  <si>
    <t>1540.0666666666666</t>
  </si>
  <si>
    <t>1728.0666666666666</t>
  </si>
  <si>
    <t>55.831256525067936</t>
  </si>
  <si>
    <t>12.168743474932064</t>
  </si>
  <si>
    <t>Lachlan</t>
  </si>
  <si>
    <t>Hansen</t>
  </si>
  <si>
    <t>%M and %O... In defence</t>
  </si>
  <si>
    <t>6192_NM</t>
  </si>
  <si>
    <t>0.2799999999999999</t>
  </si>
  <si>
    <t>0.20533333333333334</t>
  </si>
  <si>
    <t>0.47000000000000003</t>
  </si>
  <si>
    <t>89.33333333333333</t>
  </si>
  <si>
    <t>1657.6666666666667</t>
  </si>
  <si>
    <t>1657.5333333333333</t>
  </si>
  <si>
    <t>59.899331868092695</t>
  </si>
  <si>
    <t>7.100668131907305</t>
  </si>
  <si>
    <t>Swallow</t>
  </si>
  <si>
    <t>%O and %M... Leading the inside midfield</t>
  </si>
  <si>
    <t>11.266666666666667</t>
  </si>
  <si>
    <t>0.48333333333333334</t>
  </si>
  <si>
    <t>0.44866666666666666</t>
  </si>
  <si>
    <t>0.33999999999999997</t>
  </si>
  <si>
    <t>1689.6666666666667</t>
  </si>
  <si>
    <t>68.57532371922177</t>
  </si>
  <si>
    <t>2.424676280778229</t>
  </si>
  <si>
    <t>http://live.fanfooty.com.au/game/matchcentre.html?id=6193</t>
  </si>
  <si>
    <t>Kurt</t>
  </si>
  <si>
    <t>Tippett</t>
  </si>
  <si>
    <t>First goal... Left ankle injury midway through the first term... Struggled thereafter... Mothballed in the fourth... %H... also %D and %M... and booted %s</t>
  </si>
  <si>
    <t>Weitering on him when forward</t>
  </si>
  <si>
    <t>6193_SY</t>
  </si>
  <si>
    <t>15.466666666666667</t>
  </si>
  <si>
    <t>0.4666666666666666</t>
  </si>
  <si>
    <t>1.8586666666666667</t>
  </si>
  <si>
    <t>0.6833333333333332</t>
  </si>
  <si>
    <t>1.859333333333333</t>
  </si>
  <si>
    <t>1.3066666666666666</t>
  </si>
  <si>
    <t>3.445333333333333</t>
  </si>
  <si>
    <t>64.73333333333333</t>
  </si>
  <si>
    <t>70.06666666666666</t>
  </si>
  <si>
    <t>1803.3333333333333</t>
  </si>
  <si>
    <t>1468.6666666666667</t>
  </si>
  <si>
    <t>56.64604455330509</t>
  </si>
  <si>
    <t>Blaine</t>
  </si>
  <si>
    <t>Boekhorst</t>
  </si>
  <si>
    <t>%O with %k by foot... also %M... and kicked %s... Splitting time between forward and wing</t>
  </si>
  <si>
    <t>6193_CA</t>
  </si>
  <si>
    <t>0.24333333333333332</t>
  </si>
  <si>
    <t>0.22866666666666668</t>
  </si>
  <si>
    <t>0.3433333333333333</t>
  </si>
  <si>
    <t>2.360666666666667</t>
  </si>
  <si>
    <t>1566.4666666666667</t>
  </si>
  <si>
    <t>67.64704105294128</t>
  </si>
  <si>
    <t>17.352958947058724</t>
  </si>
  <si>
    <t>Dennis</t>
  </si>
  <si>
    <t>Armfield</t>
  </si>
  <si>
    <t>%O with %k by foot... also %M</t>
  </si>
  <si>
    <t>3.1733333333333333</t>
  </si>
  <si>
    <t>0.7520000000000001</t>
  </si>
  <si>
    <t>74.06666666666666</t>
  </si>
  <si>
    <t>1691.5333333333333</t>
  </si>
  <si>
    <t>49.333333333333336</t>
  </si>
  <si>
    <t>86.60004663556359</t>
  </si>
  <si>
    <t>http://live.fanfooty.com.au/game/matchcentre.html?id=6195</t>
  </si>
  <si>
    <t>Mitch</t>
  </si>
  <si>
    <t>Hallahan</t>
  </si>
  <si>
    <t>%O and %M plus %T... In the midfield</t>
  </si>
  <si>
    <t>6195_GC</t>
  </si>
  <si>
    <t>0.23666666666666672</t>
  </si>
  <si>
    <t>0.5593333333333333</t>
  </si>
  <si>
    <t>0.1000000000000006</t>
  </si>
  <si>
    <t>59.733333333333334</t>
  </si>
  <si>
    <t>1451.6666666666667</t>
  </si>
  <si>
    <t>1806.3333333333333</t>
  </si>
  <si>
    <t>1792.1333333333334</t>
  </si>
  <si>
    <t>61.73473087770185</t>
  </si>
  <si>
    <t>http://live.fanfooty.com.au/game/matchcentre.html?id=6196</t>
  </si>
  <si>
    <t>Jonathon</t>
  </si>
  <si>
    <t>Griffin</t>
  </si>
  <si>
    <t>%H... also %D and %T... and booted %s... First ruck</t>
  </si>
  <si>
    <t>6196_FR</t>
  </si>
  <si>
    <t>0.6726666666666666</t>
  </si>
  <si>
    <t>0.5093333333333333</t>
  </si>
  <si>
    <t>0.2966666666666667</t>
  </si>
  <si>
    <t>1.1233333333333333</t>
  </si>
  <si>
    <t>92.66666666666667</t>
  </si>
  <si>
    <t>84.73333333333333</t>
  </si>
  <si>
    <t>1496.7333333333333</t>
  </si>
  <si>
    <t>1762.6666666666667</t>
  </si>
  <si>
    <t>76.69124136046464</t>
  </si>
  <si>
    <t>13.308758639535355</t>
  </si>
  <si>
    <t>Suban</t>
  </si>
  <si>
    <t>%P and %M plus %T... Doing jobs in midfield</t>
  </si>
  <si>
    <t>0.3633333333333333</t>
  </si>
  <si>
    <t>0.3413333333333333</t>
  </si>
  <si>
    <t>0.23666666666666666</t>
  </si>
  <si>
    <t>0.2806666666666667</t>
  </si>
  <si>
    <t>0.33133333333333337</t>
  </si>
  <si>
    <t>70.73333333333333</t>
  </si>
  <si>
    <t>80.06666666666666</t>
  </si>
  <si>
    <t>1493.1333333333334</t>
  </si>
  <si>
    <t>http://live.fanfooty.com.au/game/matchcentre.html?id=6197</t>
  </si>
  <si>
    <t>Riewoldt</t>
  </si>
  <si>
    <t>heart</t>
  </si>
  <si>
    <t>Playing his final game... %s from %P and %M plus %T</t>
  </si>
  <si>
    <t>Astbury following him</t>
  </si>
  <si>
    <t>6197_SK</t>
  </si>
  <si>
    <t>10.266666666666667</t>
  </si>
  <si>
    <t>7.580000000000001</t>
  </si>
  <si>
    <t>5.609999999999999</t>
  </si>
  <si>
    <t>6.791333333333333</t>
  </si>
  <si>
    <t>4.336666666666667</t>
  </si>
  <si>
    <t>5.216666666666667</t>
  </si>
  <si>
    <t>90.06666666666666</t>
  </si>
  <si>
    <t>1550.3333333333333</t>
  </si>
  <si>
    <t>1583.3333333333333</t>
  </si>
  <si>
    <t>85.51419938357563</t>
  </si>
  <si>
    <t>http://live.fanfooty.com.au/game/matchcentre.html?id=6202</t>
  </si>
  <si>
    <t>Lonergan</t>
  </si>
  <si>
    <t>%D and %M with %T... At FB on Riewoldt</t>
  </si>
  <si>
    <t>6202_GE</t>
  </si>
  <si>
    <t>0.6966666666666664</t>
  </si>
  <si>
    <t>1.4266666666666667</t>
  </si>
  <si>
    <t>1.4426666666666665</t>
  </si>
  <si>
    <t>0.9226666666666666</t>
  </si>
  <si>
    <t>79.93333333333334</t>
  </si>
  <si>
    <t>1672.3333333333333</t>
  </si>
  <si>
    <t>1599.3333333333333</t>
  </si>
  <si>
    <t>1594.9333333333334</t>
  </si>
  <si>
    <t>54.820761385436484</t>
  </si>
  <si>
    <t>17.179238614563516</t>
  </si>
  <si>
    <t>http://live.fanfooty.com.au/game/matchcentre.html?id=6203</t>
  </si>
  <si>
    <t>Kelly</t>
  </si>
  <si>
    <t>%D and %M with %T... Lurking at half back</t>
  </si>
  <si>
    <t>6203_ES</t>
  </si>
  <si>
    <t>1.2646666666666666</t>
  </si>
  <si>
    <t>0.9300000000000003</t>
  </si>
  <si>
    <t>0.8233333333333334</t>
  </si>
  <si>
    <t>1.1046666666666667</t>
  </si>
  <si>
    <t>1687.4666666666667</t>
  </si>
  <si>
    <t>1576.4666666666667</t>
  </si>
  <si>
    <t>78.88132302909878</t>
  </si>
  <si>
    <t>Jobe</t>
  </si>
  <si>
    <t>Watson</t>
  </si>
  <si>
    <t>%O and %M plus %T... Rotating midfield and forward</t>
  </si>
  <si>
    <t>6.420000000000001</t>
  </si>
  <si>
    <t>10.413333333333334</t>
  </si>
  <si>
    <t>5.163333333333334</t>
  </si>
  <si>
    <t>7.351333333333334</t>
  </si>
  <si>
    <t>5.736666666666665</t>
  </si>
  <si>
    <t>8.297333333333333</t>
  </si>
  <si>
    <t>71.13333333333334</t>
  </si>
  <si>
    <t>74.13333333333334</t>
  </si>
  <si>
    <t>1606.3333333333333</t>
  </si>
  <si>
    <t>1664.1333333333334</t>
  </si>
  <si>
    <t>1600.4666666666667</t>
  </si>
  <si>
    <t>66.20774555251927</t>
  </si>
  <si>
    <t>http://live.fanfooty.com.au/game/matchcentre.html?id=6206</t>
  </si>
  <si>
    <t>Mitchell</t>
  </si>
  <si>
    <t>gun</t>
  </si>
  <si>
    <t>Playing inside midfield</t>
  </si>
  <si>
    <t>6206_WC</t>
  </si>
  <si>
    <t>12.933333333333334</t>
  </si>
  <si>
    <t>14.133333333333333</t>
  </si>
  <si>
    <t>3.033333333333333</t>
  </si>
  <si>
    <t>3.4179999999999997</t>
  </si>
  <si>
    <t>3.966666666666667</t>
  </si>
  <si>
    <t>4.286666666666666</t>
  </si>
  <si>
    <t>4.450666666666667</t>
  </si>
  <si>
    <t>1579.2666666666667</t>
  </si>
  <si>
    <t>1687.5333333333333</t>
  </si>
  <si>
    <t>91.22594718675496</t>
  </si>
  <si>
    <t>Priddis</t>
  </si>
  <si>
    <t>%P and %M plus %T</t>
  </si>
  <si>
    <t>Leading the inside midfield</t>
  </si>
  <si>
    <t>12.333333333333334</t>
  </si>
  <si>
    <t>15.333333333333334</t>
  </si>
  <si>
    <t>14.733333333333333</t>
  </si>
  <si>
    <t>1.4433333333333334</t>
  </si>
  <si>
    <t>1.9953333333333336</t>
  </si>
  <si>
    <t>1.8433333333333335</t>
  </si>
  <si>
    <t>2.555333333333334</t>
  </si>
  <si>
    <t>1.8266666666666662</t>
  </si>
  <si>
    <t>2.194666666666667</t>
  </si>
  <si>
    <t>67.33333333333333</t>
  </si>
  <si>
    <t>68.53333333333333</t>
  </si>
  <si>
    <t>78.26666666666667</t>
  </si>
  <si>
    <t>90.67275624298047</t>
  </si>
  <si>
    <t>Drew</t>
  </si>
  <si>
    <t>Petrie</t>
  </si>
  <si>
    <t>Booted %s from %G and %P... Playing a forward/ruck role on Davis</t>
  </si>
  <si>
    <t>0.46666666666666634</t>
  </si>
  <si>
    <t>0.3973333333333333</t>
  </si>
  <si>
    <t>0.34666666666666673</t>
  </si>
  <si>
    <t>0.31733333333333336</t>
  </si>
  <si>
    <t>0.4726666666666667</t>
  </si>
  <si>
    <t>70.58196002686479</t>
  </si>
  <si>
    <t>Sharrod</t>
  </si>
  <si>
    <t>Wellingham</t>
  </si>
  <si>
    <t>%D with %k by foot... also %M... Starting on a HFF... switched back in Q4 to stem the bleeding</t>
  </si>
  <si>
    <t>1.5333333333333332</t>
  </si>
  <si>
    <t>1.5753333333333333</t>
  </si>
  <si>
    <t>3.9793333333333334</t>
  </si>
  <si>
    <t>57.666666666666664</t>
  </si>
  <si>
    <t>1516.6666666666667</t>
  </si>
  <si>
    <t>1644.2666666666667</t>
  </si>
  <si>
    <t>1619.8666666666666</t>
  </si>
  <si>
    <t>46.333333333333336</t>
  </si>
  <si>
    <t>79.15223355009644</t>
  </si>
  <si>
    <t>Eric</t>
  </si>
  <si>
    <t>Mackenzie</t>
  </si>
  <si>
    <t>%D with %b by hand... also %M... At FB on Patton</t>
  </si>
  <si>
    <t>2.2173333333333334</t>
  </si>
  <si>
    <t>84.86666666666666</t>
  </si>
  <si>
    <t>1576.3333333333333</t>
  </si>
  <si>
    <t>1689.0666666666666</t>
  </si>
  <si>
    <t>50.739529987214006</t>
  </si>
  <si>
    <t>http://live.fanfooty.com.au/game/matchcentre.html?id=6207</t>
  </si>
  <si>
    <t>Mackie</t>
  </si>
  <si>
    <t>6207_GE</t>
  </si>
  <si>
    <t>13.866666666666667</t>
  </si>
  <si>
    <t>2.9246666666666665</t>
  </si>
  <si>
    <t>1656.6666666666667</t>
  </si>
  <si>
    <t>1716.1333333333334</t>
  </si>
  <si>
    <t>1550.9333333333334</t>
  </si>
  <si>
    <t>http://live.fanfooty.com.au/game/matchcentre.html?id=6208</t>
  </si>
  <si>
    <t>Steve</t>
  </si>
  <si>
    <t>Johnson</t>
  </si>
  <si>
    <t>His last game and it showed... %P and %M</t>
  </si>
  <si>
    <t>6208_WS</t>
  </si>
  <si>
    <t>0.36333333333333445</t>
  </si>
  <si>
    <t>0.47200000000000003</t>
  </si>
  <si>
    <t>0.5233333333333324</t>
  </si>
  <si>
    <t>0.5459999999999999</t>
  </si>
  <si>
    <t>63.46666666666667</t>
  </si>
  <si>
    <t>78.13333333333334</t>
  </si>
  <si>
    <t>1695.8666666666666</t>
  </si>
  <si>
    <t>41.514211645446196</t>
  </si>
  <si>
    <t>http://live.fanfooty.com.au/game/matchcentre.html?id=6503</t>
  </si>
  <si>
    <t>R1</t>
  </si>
  <si>
    <t>Bell</t>
  </si>
  <si>
    <t>%s from %O... conceded %F</t>
  </si>
  <si>
    <t>6503_BL</t>
  </si>
  <si>
    <t>0.2906666666666667</t>
  </si>
  <si>
    <t>0.11333333333333363</t>
  </si>
  <si>
    <t>0.2793333333333333</t>
  </si>
  <si>
    <t>58.06666666666667</t>
  </si>
  <si>
    <t>1780.3333333333333</t>
  </si>
  <si>
    <t>http://live.fanfooty.com.au/game/matchcentre.html?id=6511</t>
  </si>
  <si>
    <t>Koby</t>
  </si>
  <si>
    <t>Stevens</t>
  </si>
  <si>
    <t>%P and %M plus %T... %s as well... Drifting forward from midfield</t>
  </si>
  <si>
    <t>6511_SK</t>
  </si>
  <si>
    <t>1.6433333333333333</t>
  </si>
  <si>
    <t>3.3973333333333335</t>
  </si>
  <si>
    <t>0.4566666666666666</t>
  </si>
  <si>
    <t>1.0226666666666666</t>
  </si>
  <si>
    <t>0.5399999999999999</t>
  </si>
  <si>
    <t>2.432666666666667</t>
  </si>
  <si>
    <t>1636.6666666666667</t>
  </si>
  <si>
    <t>1665.5333333333333</t>
  </si>
  <si>
    <t>1649.3333333333333</t>
  </si>
  <si>
    <t>1607.5333333333333</t>
  </si>
  <si>
    <t>http://live.fanfooty.com.au/game/matchcentre.html?id=6513</t>
  </si>
  <si>
    <t>Tim</t>
  </si>
  <si>
    <t>Broomhead</t>
  </si>
  <si>
    <t>longterminjured</t>
  </si>
  <si>
    <t>Broke his left leg on a goalpost throwing a boot at a loose ball in Q1</t>
  </si>
  <si>
    <t>Late replacement for Ben Reid... starting at half forward</t>
  </si>
  <si>
    <t>6513_CO</t>
  </si>
  <si>
    <t>0.4433333333333333</t>
  </si>
  <si>
    <t>0.9199999999999999</t>
  </si>
  <si>
    <t>51.333333333333336</t>
  </si>
  <si>
    <t>51.666666666666664</t>
  </si>
  <si>
    <t>72.46666666666667</t>
  </si>
  <si>
    <t>1646.8666666666666</t>
  </si>
  <si>
    <t>51.54856518747134</t>
  </si>
  <si>
    <t>http://live.fanfooty.com.au/game/matchcentre.html?id=6530</t>
  </si>
  <si>
    <t>Rohan</t>
  </si>
  <si>
    <t>Bewick</t>
  </si>
  <si>
    <t>6530_BL</t>
  </si>
  <si>
    <t>0.15466666666666665</t>
  </si>
  <si>
    <t>0.13999999999999993</t>
  </si>
  <si>
    <t>0.13733333333333334</t>
  </si>
  <si>
    <t>1505.6666666666667</t>
  </si>
  <si>
    <t>1514.9333333333334</t>
  </si>
  <si>
    <t>1763.3333333333333</t>
  </si>
  <si>
    <t>1751.9333333333334</t>
  </si>
  <si>
    <t>66.89092896789417</t>
  </si>
  <si>
    <t>2.109071032105831</t>
  </si>
  <si>
    <t>http://live.fanfooty.com.au/game/matchcentre.html?id=6531</t>
  </si>
  <si>
    <t>Redpath</t>
  </si>
  <si>
    <t>Moved to be the spare man in front of Buddy during a dominant Q3... Kicked %s from %G and %O</t>
  </si>
  <si>
    <t>At FF on Grundy</t>
  </si>
  <si>
    <t>6531_WB</t>
  </si>
  <si>
    <t>0.27266666666666667</t>
  </si>
  <si>
    <t>0.7546666666666667</t>
  </si>
  <si>
    <t>81.86666666666666</t>
  </si>
  <si>
    <t>1703.6666666666667</t>
  </si>
  <si>
    <t>1545.6666666666667</t>
  </si>
  <si>
    <t>77.70076713203741</t>
  </si>
  <si>
    <t>http://live.fanfooty.com.au/game/matchcentre.html?id=6535</t>
  </si>
  <si>
    <t>Cyril</t>
  </si>
  <si>
    <t>Rioli</t>
  </si>
  <si>
    <t>%O and %T... In the forward line</t>
  </si>
  <si>
    <t>Medial ligament in Q2 and didn't return</t>
  </si>
  <si>
    <t>6535_HW</t>
  </si>
  <si>
    <t>0.7033333333333335</t>
  </si>
  <si>
    <t>1.1380000000000001</t>
  </si>
  <si>
    <t>2.0933333333333333</t>
  </si>
  <si>
    <t>2.686666666666667</t>
  </si>
  <si>
    <t>1.1066666666666667</t>
  </si>
  <si>
    <t>2.284666666666667</t>
  </si>
  <si>
    <t>1619.0666666666666</t>
  </si>
  <si>
    <t>1646.1333333333334</t>
  </si>
  <si>
    <t>52.666666666666664</t>
  </si>
  <si>
    <t>70.85257415262735</t>
  </si>
  <si>
    <t>Tomas</t>
  </si>
  <si>
    <t>Bugg</t>
  </si>
  <si>
    <t>%O and %M plus %T... %s as well... In defence... umps paid him %4FF</t>
  </si>
  <si>
    <t>6535_ME</t>
  </si>
  <si>
    <t>0.30666666666666664</t>
  </si>
  <si>
    <t>0.1533333333333332</t>
  </si>
  <si>
    <t>0.38999999999999996</t>
  </si>
  <si>
    <t>0.18000000000000002</t>
  </si>
  <si>
    <t>65.33333333333333</t>
  </si>
  <si>
    <t>78.93333333333334</t>
  </si>
  <si>
    <t>1684.3333333333333</t>
  </si>
  <si>
    <t>1632.2666666666667</t>
  </si>
  <si>
    <t>68.66447543413054</t>
  </si>
  <si>
    <t>5.335524565869463</t>
  </si>
  <si>
    <t>http://live.fanfooty.com.au/game/matchcentre.html?id=6536</t>
  </si>
  <si>
    <t>Dylan</t>
  </si>
  <si>
    <t>Roberton</t>
  </si>
  <si>
    <t>Collapsed without being touched in Q2 but ran off... complained of dizziness and sent to hospital... %P and %T plus %s</t>
  </si>
  <si>
    <t>Seventh defender</t>
  </si>
  <si>
    <t>6536_SK</t>
  </si>
  <si>
    <t>1.626666666666667</t>
  </si>
  <si>
    <t>10.299333333333333</t>
  </si>
  <si>
    <t>1.493333333333334</t>
  </si>
  <si>
    <t>6.6146666666666665</t>
  </si>
  <si>
    <t>1.8766666666666667</t>
  </si>
  <si>
    <t>6.5040000000000004</t>
  </si>
  <si>
    <t>1535.6666666666667</t>
  </si>
  <si>
    <t>1658.3333333333333</t>
  </si>
  <si>
    <t>1732.6666666666667</t>
  </si>
  <si>
    <t>1614.7333333333333</t>
  </si>
  <si>
    <t>57.08512925679655</t>
  </si>
  <si>
    <t>http://live.fanfooty.com.au/game/matchcentre.html?id=6552</t>
  </si>
  <si>
    <t>Jackson</t>
  </si>
  <si>
    <t>%P... Starting deep forward</t>
  </si>
  <si>
    <t>6552_ES</t>
  </si>
  <si>
    <t>0.13333333333333452</t>
  </si>
  <si>
    <t>0.16933333333333336</t>
  </si>
  <si>
    <t>0.14666666666666667</t>
  </si>
  <si>
    <t>0.3473333333333333</t>
  </si>
  <si>
    <t>0.29133333333333333</t>
  </si>
  <si>
    <t>1603.3333333333333</t>
  </si>
  <si>
    <t>1674.1333333333334</t>
  </si>
  <si>
    <t>47.666666666666664</t>
  </si>
  <si>
    <t>60.489624697380904</t>
  </si>
  <si>
    <t>http://live.fanfooty.com.au/game/matchcentre.html?id=6563</t>
  </si>
  <si>
    <t>R7</t>
  </si>
  <si>
    <t>Jarryd</t>
  </si>
  <si>
    <t>Blair</t>
  </si>
  <si>
    <t>%D and %M with %T... Rotating forward and midfield</t>
  </si>
  <si>
    <t>6563_CO</t>
  </si>
  <si>
    <t>0.10866666666666668</t>
  </si>
  <si>
    <t>0.21933333333333335</t>
  </si>
  <si>
    <t>1667.6666666666667</t>
  </si>
  <si>
    <t>1548.2666666666667</t>
  </si>
  <si>
    <t>1.6366761825001959</t>
  </si>
  <si>
    <t>http://live.fanfooty.com.au/game/matchcentre.html?id=6575</t>
  </si>
  <si>
    <t>Rosa</t>
  </si>
  <si>
    <t>First goal... %l Jack Martin... and scored %s</t>
  </si>
  <si>
    <t>6575_GC</t>
  </si>
  <si>
    <t>10.466666666666667</t>
  </si>
  <si>
    <t>0.15266666666666667</t>
  </si>
  <si>
    <t>0.18933333333333335</t>
  </si>
  <si>
    <t>0.16199999999999998</t>
  </si>
  <si>
    <t>1480.3333333333333</t>
  </si>
  <si>
    <t>1525.2666666666667</t>
  </si>
  <si>
    <t>62.593351195087244</t>
  </si>
  <si>
    <t>http://live.fanfooty.com.au/game/matchcentre.html?id=6585</t>
  </si>
  <si>
    <t>Crameri</t>
  </si>
  <si>
    <t>%s from %O and %M plus %T... Stood by O'Shea</t>
  </si>
  <si>
    <t>6585_GE</t>
  </si>
  <si>
    <t>0.28666666666666657</t>
  </si>
  <si>
    <t>0.37733333333333335</t>
  </si>
  <si>
    <t>0.47000000000000014</t>
  </si>
  <si>
    <t>0.45999999999999996</t>
  </si>
  <si>
    <t>1677.7333333333333</t>
  </si>
  <si>
    <t>1713.6666666666667</t>
  </si>
  <si>
    <t>71.38155062877453</t>
  </si>
  <si>
    <t>http://live.fanfooty.com.au/game/matchcentre.html?id=6586</t>
  </si>
  <si>
    <t>Buckley</t>
  </si>
  <si>
    <t>spud</t>
  </si>
  <si>
    <t>%s from %O and %M... gave away %F</t>
  </si>
  <si>
    <t>Playing a forward role</t>
  </si>
  <si>
    <t>6586_WS</t>
  </si>
  <si>
    <t>1.0313333333333332</t>
  </si>
  <si>
    <t>0.6513333333333333</t>
  </si>
  <si>
    <t>1.8353333333333333</t>
  </si>
  <si>
    <t>72.73333333333333</t>
  </si>
  <si>
    <t>1518.3333333333333</t>
  </si>
  <si>
    <t>1552.2666666666667</t>
  </si>
  <si>
    <t>1767.3333333333333</t>
  </si>
  <si>
    <t>1715.5333333333333</t>
  </si>
  <si>
    <t>57.459105970216704</t>
  </si>
  <si>
    <t>http://live.fanfooty.com.au/game/matchcentre.html?id=6589</t>
  </si>
  <si>
    <t>Danyle</t>
  </si>
  <si>
    <t>%O and %M plus %T... Coming off a wing</t>
  </si>
  <si>
    <t>6589_FR</t>
  </si>
  <si>
    <t>0.1913333333333333</t>
  </si>
  <si>
    <t>0.19799999999999998</t>
  </si>
  <si>
    <t>1549.3333333333333</t>
  </si>
  <si>
    <t>1668.6666666666667</t>
  </si>
  <si>
    <t>1716.7333333333333</t>
  </si>
  <si>
    <t>http://live.fanfooty.com.au/game/matchcentre.html?id=6603</t>
  </si>
  <si>
    <t>Green</t>
  </si>
  <si>
    <t>%s from %O and %M plus %T... Playing a FP role</t>
  </si>
  <si>
    <t>6603_ES</t>
  </si>
  <si>
    <t>0.17133333333333337</t>
  </si>
  <si>
    <t>0.16333333333333336</t>
  </si>
  <si>
    <t>63.733333333333334</t>
  </si>
  <si>
    <t>75.13333333333334</t>
  </si>
  <si>
    <t>1657.3333333333333</t>
  </si>
  <si>
    <t>1600.8666666666666</t>
  </si>
  <si>
    <t>65.96120245783887</t>
  </si>
  <si>
    <t>http://live.fanfooty.com.au/game/matchcentre.html?id=6606</t>
  </si>
  <si>
    <t>Lukas</t>
  </si>
  <si>
    <t>Webb</t>
  </si>
  <si>
    <t>%D and %T... aided by %4FF... Starting forward</t>
  </si>
  <si>
    <t>6606_WB</t>
  </si>
  <si>
    <t>0.35333333333333333</t>
  </si>
  <si>
    <t>0.6246666666666667</t>
  </si>
  <si>
    <t>0.39333333333333337</t>
  </si>
  <si>
    <t>1674.3333333333333</t>
  </si>
  <si>
    <t>53.419384788018945</t>
  </si>
  <si>
    <t>http://live.fanfooty.com.au/game/matchcentre.html?id=6610</t>
  </si>
  <si>
    <t>Hamstring problem in Q2 but soldiered on... %D and %M</t>
  </si>
  <si>
    <t>Playing outside midfield</t>
  </si>
  <si>
    <t>6610_AD</t>
  </si>
  <si>
    <t>0.24866666666666667</t>
  </si>
  <si>
    <t>0.13666666666666663</t>
  </si>
  <si>
    <t>0.19399999999999998</t>
  </si>
  <si>
    <t>1531.3333333333333</t>
  </si>
  <si>
    <t>1536.5333333333333</t>
  </si>
  <si>
    <t>1744.6666666666667</t>
  </si>
  <si>
    <t>85.17536796727524</t>
  </si>
  <si>
    <t>http://live.fanfooty.com.au/game/matchcentre.html?id=6611</t>
  </si>
  <si>
    <t>Cory</t>
  </si>
  <si>
    <t>Gregson</t>
  </si>
  <si>
    <t>%s from %D... Playing an outside game</t>
  </si>
  <si>
    <t>6611_GE</t>
  </si>
  <si>
    <t>0.19733333333333333</t>
  </si>
  <si>
    <t>1721.3333333333333</t>
  </si>
  <si>
    <t>1616.4666666666667</t>
  </si>
  <si>
    <t>40.333333333333336</t>
  </si>
  <si>
    <t>51.38975540657588</t>
  </si>
  <si>
    <t>http://live.fanfooty.com.au/game/matchcentre.html?id=6614</t>
  </si>
  <si>
    <t>Will</t>
  </si>
  <si>
    <t>Langford</t>
  </si>
  <si>
    <t>%D and %M with %T... Mostly forward</t>
  </si>
  <si>
    <t>6614_HW</t>
  </si>
  <si>
    <t>0.5619999999999999</t>
  </si>
  <si>
    <t>0.5413333333333334</t>
  </si>
  <si>
    <t>0.2466666666666666</t>
  </si>
  <si>
    <t>0.7193333333333333</t>
  </si>
  <si>
    <t>1755.3333333333333</t>
  </si>
  <si>
    <t>1680.1333333333334</t>
  </si>
  <si>
    <t>1516.3333333333333</t>
  </si>
  <si>
    <t>1590.9333333333334</t>
  </si>
  <si>
    <t>38.333333333333336</t>
  </si>
  <si>
    <t>62.08197919793691</t>
  </si>
  <si>
    <t>http://live.fanfooty.com.au/game/matchcentre.html?id=6616</t>
  </si>
  <si>
    <t>Billy</t>
  </si>
  <si>
    <t>Hartung</t>
  </si>
  <si>
    <t>%l Ben Jacobs... %O with %b by hand</t>
  </si>
  <si>
    <t>Playing outside midfield... left hamstring soreness in Q2 and iced up</t>
  </si>
  <si>
    <t>6616_NM</t>
  </si>
  <si>
    <t>1653.3333333333333</t>
  </si>
  <si>
    <t>1665.6666666666667</t>
  </si>
  <si>
    <t>1605.9333333333334</t>
  </si>
  <si>
    <t>59.59455272345778</t>
  </si>
  <si>
    <t>http://live.fanfooty.com.au/game/matchcentre.html?id=6621</t>
  </si>
  <si>
    <t>Curtly</t>
  </si>
  <si>
    <t>Hampton</t>
  </si>
  <si>
    <t>%P and %M plus %T... %s as well... Starting at half forward</t>
  </si>
  <si>
    <t>6621_AD</t>
  </si>
  <si>
    <t>26.649333333333335</t>
  </si>
  <si>
    <t>21.663999999999998</t>
  </si>
  <si>
    <t>18.28933333333333</t>
  </si>
  <si>
    <t>72.66666666666667</t>
  </si>
  <si>
    <t>1681.8666666666666</t>
  </si>
  <si>
    <t>56.193870773143615</t>
  </si>
  <si>
    <t>18.806129226856385</t>
  </si>
  <si>
    <t>http://live.fanfooty.com.au/game/matchcentre.html?id=6627</t>
  </si>
  <si>
    <t>Dean</t>
  </si>
  <si>
    <t>Towers</t>
  </si>
  <si>
    <t>%O with %b by hand... also %T... Starting forward on Henry</t>
  </si>
  <si>
    <t>6627_SY</t>
  </si>
  <si>
    <t>0.11866666666666667</t>
  </si>
  <si>
    <t>1578.3333333333333</t>
  </si>
  <si>
    <t>1626.2666666666667</t>
  </si>
  <si>
    <t>65.02585207545894</t>
  </si>
  <si>
    <t>http://live.fanfooty.com.au/game/matchcentre.html?id=6630</t>
  </si>
  <si>
    <t>Wright</t>
  </si>
  <si>
    <t>%P with %b by hand... also %M... Playing small defender</t>
  </si>
  <si>
    <t>6630_SK</t>
  </si>
  <si>
    <t>1797.6666666666667</t>
  </si>
  <si>
    <t>1664.8666666666666</t>
  </si>
  <si>
    <t>http://live.fanfooty.com.au/game/matchcentre.html?id=6633</t>
  </si>
  <si>
    <t>Jacobs</t>
  </si>
  <si>
    <t>%P and %M plus %T... %s as well... Tagging Swallow</t>
  </si>
  <si>
    <t>6633_NM</t>
  </si>
  <si>
    <t>0.7333333333333334</t>
  </si>
  <si>
    <t>0.9566666666666666</t>
  </si>
  <si>
    <t>4.363333333333333</t>
  </si>
  <si>
    <t>3.8973333333333335</t>
  </si>
  <si>
    <t>1678.3333333333333</t>
  </si>
  <si>
    <t>1651.5333333333333</t>
  </si>
  <si>
    <t>1602.6666666666667</t>
  </si>
  <si>
    <t>86.33333333333333</t>
  </si>
  <si>
    <t>86.63837211793589</t>
  </si>
  <si>
    <t>15.361627882064113</t>
  </si>
  <si>
    <t>http://live.fanfooty.com.au/game/matchcentre.html?id=6639</t>
  </si>
  <si>
    <t>Shane</t>
  </si>
  <si>
    <t>Biggs</t>
  </si>
  <si>
    <t>%D and %T... Playing a small forward role today</t>
  </si>
  <si>
    <t>6639_WB</t>
  </si>
  <si>
    <t>0.16999999999999998</t>
  </si>
  <si>
    <t>0.26266666666666666</t>
  </si>
  <si>
    <t>1483.3333333333333</t>
  </si>
  <si>
    <t>1593.3333333333333</t>
  </si>
  <si>
    <t>1674.8666666666666</t>
  </si>
  <si>
    <t>67.69211032389788</t>
  </si>
  <si>
    <t>http://live.fanfooty.com.au/game/matchcentre.html?id=6647</t>
  </si>
  <si>
    <t>Harry</t>
  </si>
  <si>
    <t>Marsh</t>
  </si>
  <si>
    <t>%D including %K... also %M and %T... In defence</t>
  </si>
  <si>
    <t>6647_SY</t>
  </si>
  <si>
    <t>0.5253333333333333</t>
  </si>
  <si>
    <t>0.33533333333333337</t>
  </si>
  <si>
    <t>1.1786666666666668</t>
  </si>
  <si>
    <t>1667.9333333333334</t>
  </si>
  <si>
    <t>24.380586017115597</t>
  </si>
  <si>
    <t>http://live.fanfooty.com.au/game/matchcentre.html?id=6651</t>
  </si>
  <si>
    <t>%D and %M... In defence</t>
  </si>
  <si>
    <t>6651_CA</t>
  </si>
  <si>
    <t>0.13999999999999999</t>
  </si>
  <si>
    <t>0.22466666666666668</t>
  </si>
  <si>
    <t>0.17266666666666666</t>
  </si>
  <si>
    <t>1766.6666666666667</t>
  </si>
  <si>
    <t>1710.4666666666667</t>
  </si>
  <si>
    <t>88.89389884268445</t>
  </si>
  <si>
    <t>http://live.fanfooty.com.au/game/matchcentre.html?id=6652</t>
  </si>
  <si>
    <t>%H... also %P and %T... In the ruck and up forward</t>
  </si>
  <si>
    <t>6652_WB</t>
  </si>
  <si>
    <t>22.666666666666668</t>
  </si>
  <si>
    <t>1.9093333333333333</t>
  </si>
  <si>
    <t>4.8453333333333335</t>
  </si>
  <si>
    <t>63.86666666666667</t>
  </si>
  <si>
    <t>1586.6666666666667</t>
  </si>
  <si>
    <t>1676.5333333333333</t>
  </si>
  <si>
    <t>80.63427308940811</t>
  </si>
  <si>
    <t>http://live.fanfooty.com.au/game/matchcentre.html?id=6653</t>
  </si>
  <si>
    <t>Lindsay</t>
  </si>
  <si>
    <t>Thomas</t>
  </si>
  <si>
    <t>%s from %O and %M... Starting deep forward</t>
  </si>
  <si>
    <t>6653_PA</t>
  </si>
  <si>
    <t>0.10666666666666665</t>
  </si>
  <si>
    <t>0.14933333333333332</t>
  </si>
  <si>
    <t>0.10333333333333326</t>
  </si>
  <si>
    <t>0.12266666666666667</t>
  </si>
  <si>
    <t>60.46666666666667</t>
  </si>
  <si>
    <t>1653.4666666666667</t>
  </si>
  <si>
    <t>1622.3333333333333</t>
  </si>
  <si>
    <t>1616.7333333333333</t>
  </si>
  <si>
    <t>61.347926767389964</t>
  </si>
  <si>
    <t>http://live.fanfooty.com.au/game/matchcentre.html?id=6656</t>
  </si>
  <si>
    <t>Barrett</t>
  </si>
  <si>
    <t>%D with %b by hand... also %M... and booted %s... Playing a FP role</t>
  </si>
  <si>
    <t>6656_BL</t>
  </si>
  <si>
    <t>0.056666666666666664</t>
  </si>
  <si>
    <t>14.148666666666667</t>
  </si>
  <si>
    <t>1625.7333333333333</t>
  </si>
  <si>
    <t>64.23909903210942</t>
  </si>
  <si>
    <t>http://live.fanfooty.com.au/game/matchcentre.html?id=6661</t>
  </si>
  <si>
    <t>Honeychurch</t>
  </si>
  <si>
    <t>%O with %k by foot... also %T... and booted %s... helped out by %4FF... At half forward</t>
  </si>
  <si>
    <t>6661_WB</t>
  </si>
  <si>
    <t>0.17600000000000002</t>
  </si>
  <si>
    <t>0.16533333333333336</t>
  </si>
  <si>
    <t>68.46666666666667</t>
  </si>
  <si>
    <t>81.13333333333334</t>
  </si>
  <si>
    <t>1506.3333333333333</t>
  </si>
  <si>
    <t>1612.9333333333334</t>
  </si>
  <si>
    <t>http://live.fanfooty.com.au/game/matchcentre.html?id=6664</t>
  </si>
  <si>
    <t>Brendan</t>
  </si>
  <si>
    <t>Whitecross</t>
  </si>
  <si>
    <t>%D and %M plus %s... Starting on a HFF</t>
  </si>
  <si>
    <t>6664_HW</t>
  </si>
  <si>
    <t>99.80000000000001</t>
  </si>
  <si>
    <t>1621.4666666666667</t>
  </si>
  <si>
    <t>43.333333333333336</t>
  </si>
  <si>
    <t>60.572840656212016</t>
  </si>
  <si>
    <t>http://live.fanfooty.com.au/game/matchcentre.html?id=6668</t>
  </si>
  <si>
    <t>%O and %M plus %T... Playing small defender</t>
  </si>
  <si>
    <t>6668_SY</t>
  </si>
  <si>
    <t>0.37666666666666665</t>
  </si>
  <si>
    <t>0.6153333333333334</t>
  </si>
  <si>
    <t>0.45333333333333337</t>
  </si>
  <si>
    <t>0.6853333333333332</t>
  </si>
  <si>
    <t>1.4413333333333331</t>
  </si>
  <si>
    <t>90.73333333333333</t>
  </si>
  <si>
    <t>1603.9333333333334</t>
  </si>
  <si>
    <t>85.99658948671147</t>
  </si>
  <si>
    <t>http://live.fanfooty.com.au/game/matchcentre.html?id=6669</t>
  </si>
  <si>
    <t>Cam</t>
  </si>
  <si>
    <t>O'Shea</t>
  </si>
  <si>
    <t>%P with %k by foot... also %T... Responsible for Himmelberg</t>
  </si>
  <si>
    <t>6669_CA</t>
  </si>
  <si>
    <t>0.8433333333333336</t>
  </si>
  <si>
    <t>2.4253333333333336</t>
  </si>
  <si>
    <t>1.4866666666666666</t>
  </si>
  <si>
    <t>2.5686666666666667</t>
  </si>
  <si>
    <t>8.846666666666666</t>
  </si>
  <si>
    <t>7.494666666666666</t>
  </si>
  <si>
    <t>61.93333333333333</t>
  </si>
  <si>
    <t>1433.6666666666667</t>
  </si>
  <si>
    <t>1516.1333333333334</t>
  </si>
  <si>
    <t>1746.5333333333333</t>
  </si>
  <si>
    <t>22.333333333333332</t>
  </si>
  <si>
    <t>42.89489183370351</t>
  </si>
  <si>
    <t>http://live.fanfooty.com.au/game/matchcentre.html?id=6670</t>
  </si>
  <si>
    <t>Bernie</t>
  </si>
  <si>
    <t>Vince</t>
  </si>
  <si>
    <t>%D and %M with %T... In defence</t>
  </si>
  <si>
    <t>6670_ME</t>
  </si>
  <si>
    <t>0.35333333333333306</t>
  </si>
  <si>
    <t>0.7200000000000001</t>
  </si>
  <si>
    <t>0.5946666666666667</t>
  </si>
  <si>
    <t>1.079999999999999</t>
  </si>
  <si>
    <t>1.0806666666666667</t>
  </si>
  <si>
    <t>1708.5333333333333</t>
  </si>
  <si>
    <t>1544.6666666666667</t>
  </si>
  <si>
    <t>1559.4666666666667</t>
  </si>
  <si>
    <t>88.06666965459668</t>
  </si>
  <si>
    <t>%D and %M with %T... gave away %F... In the midfield</t>
  </si>
  <si>
    <t>6670_GC</t>
  </si>
  <si>
    <t>71.26666666666667</t>
  </si>
  <si>
    <t>1525.8666666666666</t>
  </si>
  <si>
    <t>1739.3333333333333</t>
  </si>
  <si>
    <t>9.189985304130097</t>
  </si>
  <si>
    <t>http://live.fanfooty.com.au/game/matchcentre.html?id=6679</t>
  </si>
  <si>
    <t>Pedersen</t>
  </si>
  <si>
    <t>%s from %O and %M plus %T... Moved forward in Q3</t>
  </si>
  <si>
    <t>6679_ME</t>
  </si>
  <si>
    <t>1.5539999999999998</t>
  </si>
  <si>
    <t>2.8173333333333335</t>
  </si>
  <si>
    <t>1621.3333333333333</t>
  </si>
  <si>
    <t>1617.7333333333333</t>
  </si>
  <si>
    <t>1654.7333333333333</t>
  </si>
  <si>
    <t>87.82365096382955</t>
  </si>
  <si>
    <t>http://live.fanfooty.com.au/game/matchcentre.html?id=6680</t>
  </si>
  <si>
    <t>Graham</t>
  </si>
  <si>
    <t>%l Matthew Kreuzer... %D including %K... also %M and %T... and booted %s</t>
  </si>
  <si>
    <t>6680_CA</t>
  </si>
  <si>
    <t>0.15866666666666668</t>
  </si>
  <si>
    <t>0.1593333333333333</t>
  </si>
  <si>
    <t>0.13866666666666666</t>
  </si>
  <si>
    <t>73.46666666666667</t>
  </si>
  <si>
    <t>1481.9333333333334</t>
  </si>
  <si>
    <t>1835.3333333333333</t>
  </si>
  <si>
    <t>1790.0666666666666</t>
  </si>
  <si>
    <t>60.950937392295785</t>
  </si>
  <si>
    <t>http://live.fanfooty.com.au/game/matchcentre.html?id=6681</t>
  </si>
  <si>
    <t>Dea</t>
  </si>
  <si>
    <t>%P including %K... also %M and %T... Responsible for Caddy</t>
  </si>
  <si>
    <t>6681_ES</t>
  </si>
  <si>
    <t>85.06666666666666</t>
  </si>
  <si>
    <t>79.13333333333334</t>
  </si>
  <si>
    <t>1746.6666666666667</t>
  </si>
  <si>
    <t>1718.9333333333334</t>
  </si>
  <si>
    <t>1548.0666666666666</t>
  </si>
  <si>
    <t>58.84837566983505</t>
  </si>
  <si>
    <t>2.1516243301649496</t>
  </si>
  <si>
    <t>http://live.fanfooty.com.au/game/matchcentre.html?id=6685</t>
  </si>
  <si>
    <t>Leslie</t>
  </si>
  <si>
    <t>%M and %O... conceded %F... In defence</t>
  </si>
  <si>
    <t>6685_GC</t>
  </si>
  <si>
    <t>0.25266666666666665</t>
  </si>
  <si>
    <t>0.44266666666666665</t>
  </si>
  <si>
    <t>94.46666666666667</t>
  </si>
  <si>
    <t>1415.3333333333333</t>
  </si>
  <si>
    <t>1503.3333333333333</t>
  </si>
  <si>
    <t>1763.0666666666666</t>
  </si>
  <si>
    <t>46.53390015010115</t>
  </si>
  <si>
    <t>http://live.fanfooty.com.au/game/matchcentre.html?id=6689</t>
  </si>
  <si>
    <t>Kyle</t>
  </si>
  <si>
    <t>Cheney</t>
  </si>
  <si>
    <t>%D including %K... also %M... Playing small defender</t>
  </si>
  <si>
    <t>6689_AD</t>
  </si>
  <si>
    <t>9.133333333333333</t>
  </si>
  <si>
    <t>0.17333333333333334</t>
  </si>
  <si>
    <t>0.3186666666666667</t>
  </si>
  <si>
    <t>0.22666666666666668</t>
  </si>
  <si>
    <t>0.29733333333333334</t>
  </si>
  <si>
    <t>0.4633333333333334</t>
  </si>
  <si>
    <t>0.43733333333333335</t>
  </si>
  <si>
    <t>83.93333333333334</t>
  </si>
  <si>
    <t>1585.3333333333333</t>
  </si>
  <si>
    <t>1585.1333333333334</t>
  </si>
  <si>
    <t>87.79131839311641</t>
  </si>
  <si>
    <t>http://live.fanfooty.com.au/game/matchcentre.html?id=6690</t>
  </si>
  <si>
    <t>Neade</t>
  </si>
  <si>
    <t>%s from %D... Starting in a FP</t>
  </si>
  <si>
    <t>6690_PA</t>
  </si>
  <si>
    <t>0.13000000000000003</t>
  </si>
  <si>
    <t>69.06666666666666</t>
  </si>
  <si>
    <t>1592.3333333333333</t>
  </si>
  <si>
    <t>1661.3333333333333</t>
  </si>
  <si>
    <t>1574.3333333333333</t>
  </si>
  <si>
    <t>60.691935612752005</t>
  </si>
  <si>
    <t>Brendon</t>
  </si>
  <si>
    <t>Goddard</t>
  </si>
  <si>
    <t>Starting behind the ball</t>
  </si>
  <si>
    <t>6690_ES</t>
  </si>
  <si>
    <t>0.13666666666666666</t>
  </si>
  <si>
    <t>0.13333333333333217</t>
  </si>
  <si>
    <t>81.93333333333334</t>
  </si>
  <si>
    <t>80.93333333333334</t>
  </si>
  <si>
    <t>77.82780199510289</t>
  </si>
  <si>
    <t>22.172198004897112</t>
  </si>
  <si>
    <t>Leuenberger</t>
  </si>
  <si>
    <t>Knee knock early in Q3 and did not return... %H... also %D and %T</t>
  </si>
  <si>
    <t>First ruck</t>
  </si>
  <si>
    <t>24.666666666666668</t>
  </si>
  <si>
    <t>30.866666666666667</t>
  </si>
  <si>
    <t>2.756666666666667</t>
  </si>
  <si>
    <t>0.14666666666666547</t>
  </si>
  <si>
    <t>2.6420000000000003</t>
  </si>
  <si>
    <t>1616.3333333333333</t>
  </si>
  <si>
    <t>1623.2666666666667</t>
  </si>
  <si>
    <t>55.21480287572956</t>
  </si>
  <si>
    <t>http://live.fanfooty.com.au/game/matchcentre.html?id=6691</t>
  </si>
  <si>
    <t>Barlow</t>
  </si>
  <si>
    <t>atlas</t>
  </si>
  <si>
    <t>%P and %M plus %T... %s as well... gave away %F</t>
  </si>
  <si>
    <t>6691_GC</t>
  </si>
  <si>
    <t>1.6179999999999999</t>
  </si>
  <si>
    <t>0.7066666666666667</t>
  </si>
  <si>
    <t>3.030666666666667</t>
  </si>
  <si>
    <t>83.73333333333333</t>
  </si>
  <si>
    <t>1588.4666666666667</t>
  </si>
  <si>
    <t>1861.3333333333333</t>
  </si>
  <si>
    <t>1674.2666666666667</t>
  </si>
  <si>
    <t>101.6524752298534</t>
  </si>
  <si>
    <t>3.347524770146606</t>
  </si>
  <si>
    <t>http://live.fanfooty.com.au/game/matchcentre.html?id=6693</t>
  </si>
  <si>
    <t>%O including %K... also %M... Has big Cox</t>
  </si>
  <si>
    <t>6693_FR</t>
  </si>
  <si>
    <t>0.44133333333333336</t>
  </si>
  <si>
    <t>0.24799999999999997</t>
  </si>
  <si>
    <t>0.36733333333333335</t>
  </si>
  <si>
    <t>86.93333333333334</t>
  </si>
  <si>
    <t>1579.3333333333333</t>
  </si>
  <si>
    <t>1545.9333333333334</t>
  </si>
  <si>
    <t>1692.6666666666667</t>
  </si>
  <si>
    <t>1722.5333333333333</t>
  </si>
  <si>
    <t>56.78967156416449</t>
  </si>
  <si>
    <t>17.210328435835507</t>
  </si>
  <si>
    <t>Kersten</t>
  </si>
  <si>
    <t>%P including %B... also %M and %T... In defence</t>
  </si>
  <si>
    <t>0.11999999999999998</t>
  </si>
  <si>
    <t>0.10333333333333454</t>
  </si>
  <si>
    <t>0.1813333333333336</t>
  </si>
  <si>
    <t>1534.0666666666666</t>
  </si>
  <si>
    <t>51.186167602175026</t>
  </si>
  <si>
    <t>Oxley</t>
  </si>
  <si>
    <t>6693_CO</t>
  </si>
  <si>
    <t>0.4686666666666667</t>
  </si>
  <si>
    <t>1.1466666666666667</t>
  </si>
  <si>
    <t>1675.7333333333333</t>
  </si>
  <si>
    <t>1585.6666666666667</t>
  </si>
  <si>
    <t>1594.5333333333333</t>
  </si>
  <si>
    <t>http://live.fanfooty.com.au/game/matchcentre.html?id=6694</t>
  </si>
  <si>
    <t>Ciaran</t>
  </si>
  <si>
    <t>Byrne</t>
  </si>
  <si>
    <t>%P and %M plus %T... Starting in defence</t>
  </si>
  <si>
    <t>6694_CA</t>
  </si>
  <si>
    <t>1.9426666666666668</t>
  </si>
  <si>
    <t>2.755333333333333</t>
  </si>
  <si>
    <t>7.086666666666667</t>
  </si>
  <si>
    <t>1695.2666666666667</t>
  </si>
  <si>
    <t>Kerridge</t>
  </si>
  <si>
    <t>%D and %M plus %s... Starting forward</t>
  </si>
  <si>
    <t>0.9806666666666666</t>
  </si>
  <si>
    <t>1525.4666666666667</t>
  </si>
  <si>
    <t>1805.3333333333333</t>
  </si>
  <si>
    <t>83.75482978890616</t>
  </si>
  <si>
    <t>Aaron</t>
  </si>
  <si>
    <t>Mullett</t>
  </si>
  <si>
    <t>%D including %K... also %M... and booted %s... Playing an outside game</t>
  </si>
  <si>
    <t>3.2086666666666663</t>
  </si>
  <si>
    <t>1489.6666666666667</t>
  </si>
  <si>
    <t>1522.2666666666667</t>
  </si>
  <si>
    <t>1765.3333333333333</t>
  </si>
  <si>
    <t>1741.6666666666667</t>
  </si>
  <si>
    <t>55.666666666666664</t>
  </si>
  <si>
    <t>66.80361439455274</t>
  </si>
  <si>
    <t>4.1963856054472615</t>
  </si>
  <si>
    <t>Lamb</t>
  </si>
  <si>
    <t>%s from %P and %M... Starting in defence</t>
  </si>
  <si>
    <t>0.060000000000000005</t>
  </si>
  <si>
    <t>89.56951714297627</t>
  </si>
  <si>
    <t>%s from %O and %M plus %T... Starting on a HFF</t>
  </si>
  <si>
    <t>0.12933333333333333</t>
  </si>
  <si>
    <t>3.4519999999999995</t>
  </si>
  <si>
    <t>1764.3333333333333</t>
  </si>
  <si>
    <t>60.94755420317614</t>
  </si>
  <si>
    <t>http://live.fanfooty.com.au/game/matchcentre.html?id=6698</t>
  </si>
  <si>
    <t>Gilbert</t>
  </si>
  <si>
    <t>%O and %M plus %T... %s as well</t>
  </si>
  <si>
    <t>Has Wood</t>
  </si>
  <si>
    <t>6698_SK</t>
  </si>
  <si>
    <t>1605.8666666666666</t>
  </si>
  <si>
    <t>67.96235286911062</t>
  </si>
  <si>
    <t>17.037647130889383</t>
  </si>
  <si>
    <t>Waite</t>
  </si>
  <si>
    <t>vulture</t>
  </si>
  <si>
    <t>Two of his goals in Q4 junk time... %s from %O and %M</t>
  </si>
  <si>
    <t>Playing CHF on Carlisle</t>
  </si>
  <si>
    <t>6698_NM</t>
  </si>
  <si>
    <t>0.22599999999999995</t>
  </si>
  <si>
    <t>59.666666666666664</t>
  </si>
  <si>
    <t>1703.3333333333333</t>
  </si>
  <si>
    <t>94.66666666666667</t>
  </si>
  <si>
    <t>82.40461133508742</t>
  </si>
  <si>
    <t>2.5953886649125764</t>
  </si>
  <si>
    <t>http://live.fanfooty.com.au/game/matchcentre.html?id=6703</t>
  </si>
  <si>
    <t>Robinson</t>
  </si>
  <si>
    <t>%O with %k by foot... also %M and %T... Starting on a HFF</t>
  </si>
  <si>
    <t>6703_SY</t>
  </si>
  <si>
    <t>0.39599999999999996</t>
  </si>
  <si>
    <t>69.13333333333334</t>
  </si>
  <si>
    <t>1658.2666666666667</t>
  </si>
  <si>
    <t>1650.6666666666667</t>
  </si>
  <si>
    <t>1607.2666666666667</t>
  </si>
  <si>
    <t>56.04402608395309</t>
  </si>
  <si>
    <t>3.955973916046908</t>
  </si>
  <si>
    <t>http://live.fanfooty.com.au/game/matchcentre.html?id=6705</t>
  </si>
  <si>
    <t>Schoenmakers</t>
  </si>
  <si>
    <t>First goal... %s from %D and %M... Up forward on Frost</t>
  </si>
  <si>
    <t>6705_HW</t>
  </si>
  <si>
    <t>0.5766666666666665</t>
  </si>
  <si>
    <t>66.53333333333333</t>
  </si>
  <si>
    <t>39.333333333333336</t>
  </si>
  <si>
    <t>56.544536720991395</t>
  </si>
  <si>
    <t>http://live.fanfooty.com.au/game/matchcentre.html?id=6706</t>
  </si>
  <si>
    <t>Griffen</t>
  </si>
  <si>
    <t>%O and %M plus %T... %s as well... Starting forward</t>
  </si>
  <si>
    <t>6706_WS</t>
  </si>
  <si>
    <t>0.16999999999999882</t>
  </si>
  <si>
    <t>0.36333333333333334</t>
  </si>
  <si>
    <t>0.33666666666666784</t>
  </si>
  <si>
    <t>0.6206666666666667</t>
  </si>
  <si>
    <t>0.29666666666666547</t>
  </si>
  <si>
    <t>63.06666666666667</t>
  </si>
  <si>
    <t>1568.6666666666667</t>
  </si>
  <si>
    <t>61.455225803932386</t>
  </si>
  <si>
    <t>http://live.fanfooty.com.au/game/matchcentre.html?id=6707</t>
  </si>
  <si>
    <t>Rance</t>
  </si>
  <si>
    <t>Sitting on De Goey... dragged off him in Q3 after getting smashed</t>
  </si>
  <si>
    <t>6707_RI</t>
  </si>
  <si>
    <t>0.9086666666666666</t>
  </si>
  <si>
    <t>4.6466666666666665</t>
  </si>
  <si>
    <t>9.900666666666666</t>
  </si>
  <si>
    <t>80.73333333333333</t>
  </si>
  <si>
    <t>97.53333333333333</t>
  </si>
  <si>
    <t>1634.6666666666667</t>
  </si>
  <si>
    <t>72.34585269209263</t>
  </si>
  <si>
    <t>4.654147307907365</t>
  </si>
  <si>
    <t>Grigg</t>
  </si>
  <si>
    <t>%D and %T... Running off a wing</t>
  </si>
  <si>
    <t>3.548666666666667</t>
  </si>
  <si>
    <t>77.86287795900235</t>
  </si>
  <si>
    <t>Tyson</t>
  </si>
  <si>
    <t>Goldsack</t>
  </si>
  <si>
    <t>%P and %M plus %T... %s as well... The big job on Riewoldt</t>
  </si>
  <si>
    <t>6707_CO</t>
  </si>
  <si>
    <t>0.3893333333333333</t>
  </si>
  <si>
    <t>0.9613333333333334</t>
  </si>
  <si>
    <t>2.0613333333333332</t>
  </si>
  <si>
    <t>82.46666666666667</t>
  </si>
  <si>
    <t>1776.6666666666667</t>
  </si>
  <si>
    <t>1729.2666666666667</t>
  </si>
  <si>
    <t>51.87210770241253</t>
  </si>
  <si>
    <t>28.127892297587472</t>
  </si>
  <si>
    <t>http://live.fanfooty.com.au/game/matchcentre.html?id=6709</t>
  </si>
  <si>
    <t>Mark</t>
  </si>
  <si>
    <t>LeCras</t>
  </si>
  <si>
    <t>%P and %M plus %T... His usual HFF role</t>
  </si>
  <si>
    <t>6709_WC</t>
  </si>
  <si>
    <t>93.80000000000001</t>
  </si>
  <si>
    <t>0.17933333333333332</t>
  </si>
  <si>
    <t>0.21133333333333332</t>
  </si>
  <si>
    <t>0.8273333333333334</t>
  </si>
  <si>
    <t>1598.2666666666667</t>
  </si>
  <si>
    <t>64.64163797374127</t>
  </si>
  <si>
    <t>http://live.fanfooty.com.au/game/matchcentre.html?id=6905</t>
  </si>
  <si>
    <t>Heath</t>
  </si>
  <si>
    <t>Grundy</t>
  </si>
  <si>
    <t>In defence on Gowers... %D and %M with %T</t>
  </si>
  <si>
    <t>6905_SY</t>
  </si>
  <si>
    <t>0.21533333333333335</t>
  </si>
  <si>
    <t>0.36000000000000004</t>
  </si>
  <si>
    <t>0.5653333333333334</t>
  </si>
  <si>
    <t>1574.6666666666667</t>
  </si>
  <si>
    <t>1687.3333333333333</t>
  </si>
  <si>
    <t>1615.8666666666666</t>
  </si>
  <si>
    <t>http://live.fanfooty.com.au/game/matchcentre.html?id=6910</t>
  </si>
  <si>
    <t>Maverick</t>
  </si>
  <si>
    <t>Weller</t>
  </si>
  <si>
    <t>%O and %M... Playing a defensive forward role</t>
  </si>
  <si>
    <t>6910_RI</t>
  </si>
  <si>
    <t>0.15733333333333335</t>
  </si>
  <si>
    <t>0.5493333333333333</t>
  </si>
  <si>
    <t>1568.0666666666666</t>
  </si>
  <si>
    <t>1793.6666666666667</t>
  </si>
  <si>
    <t>65.46691172253853</t>
  </si>
  <si>
    <t>http://live.fanfooty.com.au/game/matchcentre.html?id=6913</t>
  </si>
  <si>
    <t>Watts</t>
  </si>
  <si>
    <t>Left shin injured when Thomas fell on it in a tackle in Q4... looked very bad... %O and %M plus %T... helped out by %4FF... conceded %F</t>
  </si>
  <si>
    <t>Has McGovern</t>
  </si>
  <si>
    <t>6913_PA</t>
  </si>
  <si>
    <t>0.6586666666666667</t>
  </si>
  <si>
    <t>1680.0666666666666</t>
  </si>
  <si>
    <t>1588.2666666666667</t>
  </si>
  <si>
    <t>15.445882078938197</t>
  </si>
  <si>
    <t>Fasolo</t>
  </si>
  <si>
    <t>%s from %D and %M with %T... Starting deep forward</t>
  </si>
  <si>
    <t>6913_CA</t>
  </si>
  <si>
    <t>0.5920000000000001</t>
  </si>
  <si>
    <t>1.4633333333333336</t>
  </si>
  <si>
    <t>82.13333333333334</t>
  </si>
  <si>
    <t>1663.7333333333333</t>
  </si>
  <si>
    <t>1599.2666666666667</t>
  </si>
  <si>
    <t>64.51444217867665</t>
  </si>
  <si>
    <t>Jarrod</t>
  </si>
  <si>
    <t>Garlett</t>
  </si>
  <si>
    <t>Right knee strapped in Q2... %O and %M plus %T</t>
  </si>
  <si>
    <t>Starting on a HBF</t>
  </si>
  <si>
    <t>2.2933333333333334</t>
  </si>
  <si>
    <t>8.209333333333335</t>
  </si>
  <si>
    <t>11.986666666666668</t>
  </si>
  <si>
    <t>3.203333333333333</t>
  </si>
  <si>
    <t>8.109333333333334</t>
  </si>
  <si>
    <t>1503.2666666666667</t>
  </si>
  <si>
    <t>1764.8666666666666</t>
  </si>
  <si>
    <t>66.20293145869442</t>
  </si>
  <si>
    <t>http://live.fanfooty.com.au/game/matchcentre.html?id=6920</t>
  </si>
  <si>
    <t>Kade</t>
  </si>
  <si>
    <t>Kolodjashnij</t>
  </si>
  <si>
    <t>%O and %M plus %T... %s as well... In defence</t>
  </si>
  <si>
    <t>6920_ME</t>
  </si>
  <si>
    <t>0.6786666666666666</t>
  </si>
  <si>
    <t>1.0993333333333335</t>
  </si>
  <si>
    <t>1484.6666666666667</t>
  </si>
  <si>
    <t>1529.3333333333333</t>
  </si>
  <si>
    <t>1796.6666666666667</t>
  </si>
  <si>
    <t>1734.5333333333333</t>
  </si>
  <si>
    <t>86.15011795754126</t>
  </si>
  <si>
    <t>http://live.fanfooty.com.au/game/matchcentre.html?id=6923</t>
  </si>
  <si>
    <t>Bastinac</t>
  </si>
  <si>
    <t>%O with %k by foot... also %M and %T... Playing in midfield</t>
  </si>
  <si>
    <t>6923_BL</t>
  </si>
  <si>
    <t>0.12533333333333335</t>
  </si>
  <si>
    <t>0.023333333333333334</t>
  </si>
  <si>
    <t>0.12000000000000001</t>
  </si>
  <si>
    <t>0.013333333333333343</t>
  </si>
  <si>
    <t>1764.6666666666667</t>
  </si>
  <si>
    <t>1633.3333333333333</t>
  </si>
  <si>
    <t>1495.3333333333333</t>
  </si>
  <si>
    <t>1631.1333333333334</t>
  </si>
  <si>
    <t>66.87250768068385</t>
  </si>
  <si>
    <t>http://live.fanfooty.com.au/game/matchcentre.html?id=6935</t>
  </si>
  <si>
    <t>Lobbe</t>
  </si>
  <si>
    <t>%H... also %D and %T... not helped by %F... In the ruck</t>
  </si>
  <si>
    <t>6935_CA</t>
  </si>
  <si>
    <t>30.533333333333335</t>
  </si>
  <si>
    <t>0.7360000000000001</t>
  </si>
  <si>
    <t>58.46666666666667</t>
  </si>
  <si>
    <t>1511.5333333333333</t>
  </si>
  <si>
    <t>77.54280689472117</t>
  </si>
  <si>
    <t>http://live.fanfooty.com.au/game/matchcentre.html?id=6950</t>
  </si>
  <si>
    <t>Longer</t>
  </si>
  <si>
    <t>%l Rowan Marshall... %H... also %P and %T</t>
  </si>
  <si>
    <t>6950_SK</t>
  </si>
  <si>
    <t>34.333333333333336</t>
  </si>
  <si>
    <t>1.5613333333333332</t>
  </si>
  <si>
    <t>1.3159999999999998</t>
  </si>
  <si>
    <t>1688.0666666666666</t>
  </si>
  <si>
    <t>1717.6666666666667</t>
  </si>
  <si>
    <t>1588.3333333333333</t>
  </si>
  <si>
    <t>http://live.fanfooty.com.au/game/matchcentre.html?id=6970</t>
  </si>
  <si>
    <t>%P and %M plus %T... Playing in defence</t>
  </si>
  <si>
    <t>6970_NM</t>
  </si>
  <si>
    <t>0.2653333333333333</t>
  </si>
  <si>
    <t>0.5493333333333332</t>
  </si>
  <si>
    <t>1598.6666666666667</t>
  </si>
  <si>
    <t>89.30202546238115</t>
  </si>
  <si>
    <t>http://live.fanfooty.com.au/game/matchcentre.html?id=6973</t>
  </si>
  <si>
    <t>Venables</t>
  </si>
  <si>
    <t>Ran his head into the hip of Smith in Q2 and was KOed... stretchered off... %P and %T</t>
  </si>
  <si>
    <t>Starting forward</t>
  </si>
  <si>
    <t>6973_WC</t>
  </si>
  <si>
    <t>5.298666666666667</t>
  </si>
  <si>
    <t>67.26666666666667</t>
  </si>
  <si>
    <t>68.93333333333334</t>
  </si>
  <si>
    <t>1656.3333333333333</t>
  </si>
  <si>
    <t>35.57495771284708</t>
  </si>
  <si>
    <t>http://live.fanfooty.com.au/game/matchcentre.html?id=6974</t>
  </si>
  <si>
    <t>Langdon</t>
  </si>
  <si>
    <t>Needed his right knee strapped at quarter time... Looked worse at HT and did not return... %M and %P</t>
  </si>
  <si>
    <t>In defence...</t>
  </si>
  <si>
    <t>6974_CO</t>
  </si>
  <si>
    <t>0.018000000000000002</t>
  </si>
  <si>
    <t>0.2826666666666666</t>
  </si>
  <si>
    <t>1514.6666666666667</t>
  </si>
  <si>
    <t>1529.2666666666667</t>
  </si>
  <si>
    <t>61.27090453129985</t>
  </si>
  <si>
    <t>http://live.fanfooty.com.au/game/matchcentre.html?id=6976</t>
  </si>
  <si>
    <t>Fletcher</t>
  </si>
  <si>
    <t>Roberts</t>
  </si>
  <si>
    <t>tomahawk</t>
  </si>
  <si>
    <t>%P and %M plus %T... The big job on Hawkins</t>
  </si>
  <si>
    <t>6976_WB</t>
  </si>
  <si>
    <t>0.5353333333333333</t>
  </si>
  <si>
    <t>0.3026666666666667</t>
  </si>
  <si>
    <t>0.15000000000000008</t>
  </si>
  <si>
    <t>83.13333333333334</t>
  </si>
  <si>
    <t>93.73333333333333</t>
  </si>
  <si>
    <t>1604.6666666666667</t>
  </si>
  <si>
    <t>59.92768560567873</t>
  </si>
  <si>
    <t>http://live.fanfooty.com.au/game/matchcentre.html?id=6982</t>
  </si>
  <si>
    <t>Wells</t>
  </si>
  <si>
    <t>Left knee injury in Q3 under a Thurlow tackle... %D and %M with %T... %s as well</t>
  </si>
  <si>
    <t>Rotating forward and midfield</t>
  </si>
  <si>
    <t>6982_CO</t>
  </si>
  <si>
    <t>4.629999999999999</t>
  </si>
  <si>
    <t>5.6226666666666665</t>
  </si>
  <si>
    <t>1740.3333333333333</t>
  </si>
  <si>
    <t>1701.1333333333334</t>
  </si>
  <si>
    <t>1563.4666666666667</t>
  </si>
  <si>
    <t>44.666666666666664</t>
  </si>
  <si>
    <t>55.585715905227815</t>
  </si>
  <si>
    <t>8.414284094772185</t>
  </si>
  <si>
    <t>http://live.fanfooty.com.au/game/matchcentre.html?id=6992</t>
  </si>
  <si>
    <t>Dayne</t>
  </si>
  <si>
    <t>down</t>
  </si>
  <si>
    <t>%O including %K... also %M... and kicked %s</t>
  </si>
  <si>
    <t>Inside midfield...</t>
  </si>
  <si>
    <t>6992_CO</t>
  </si>
  <si>
    <t>1.6219999999999999</t>
  </si>
  <si>
    <t>2.8560000000000003</t>
  </si>
  <si>
    <t>1558.6666666666667</t>
  </si>
  <si>
    <t>1561.7333333333333</t>
  </si>
  <si>
    <t>87.41963213218284</t>
  </si>
  <si>
    <t>http://live.fanfooty.com.au/game/matchcentre.html?id=7004</t>
  </si>
  <si>
    <t>%M and %P... Playing an outside game</t>
  </si>
  <si>
    <t>7004_WC</t>
  </si>
  <si>
    <t>0.8626666666666668</t>
  </si>
  <si>
    <t>0.5046666666666669</t>
  </si>
  <si>
    <t>1.1773333333333333</t>
  </si>
  <si>
    <t>77.46666666666667</t>
  </si>
  <si>
    <t>1715.3333333333333</t>
  </si>
  <si>
    <t>1629.3333333333333</t>
  </si>
  <si>
    <t>63.74705682107168</t>
  </si>
  <si>
    <t>http://live.fanfooty.com.au/game/matchcentre.html?id=7005</t>
  </si>
  <si>
    <t>Jeff</t>
  </si>
  <si>
    <t>%s from %P and %M plus %T... His usual FP role</t>
  </si>
  <si>
    <t>7005_ME</t>
  </si>
  <si>
    <t>87.66666666666667</t>
  </si>
  <si>
    <t>1537.3333333333333</t>
  </si>
  <si>
    <t>1634.2666666666667</t>
  </si>
  <si>
    <t>1733.6666666666667</t>
  </si>
  <si>
    <t>47.333333333333336</t>
  </si>
  <si>
    <t>63.82273531073056</t>
  </si>
  <si>
    <t>http://live.fanfooty.com.au/game/matchcentre.html?id=7015</t>
  </si>
  <si>
    <t>Armitage</t>
  </si>
  <si>
    <t>%P and %M plus %T... Mostly playing across half back</t>
  </si>
  <si>
    <t>7015_SK</t>
  </si>
  <si>
    <t>2.7226666666666666</t>
  </si>
  <si>
    <t>2.823333333333333</t>
  </si>
  <si>
    <t>0.4800000000000006</t>
  </si>
  <si>
    <t>1.6326666666666667</t>
  </si>
  <si>
    <t>1602.0666666666666</t>
  </si>
  <si>
    <t>97.92665657506322</t>
  </si>
  <si>
    <t>http://live.fanfooty.com.au/game/matchcentre.html?id=7030</t>
  </si>
  <si>
    <t>Jordan</t>
  </si>
  <si>
    <t>Gallucci</t>
  </si>
  <si>
    <t>%D and %s</t>
  </si>
  <si>
    <t>Playing a HFF role... ruled out with concussion mid Q3 after running his head into Lycett's hip...</t>
  </si>
  <si>
    <t>7030_AD</t>
  </si>
  <si>
    <t>0.9800000000000001</t>
  </si>
  <si>
    <t>59.53333333333333</t>
  </si>
  <si>
    <t>75.26666666666667</t>
  </si>
  <si>
    <t>1669.4666666666667</t>
  </si>
  <si>
    <t>1594.4666666666667</t>
  </si>
  <si>
    <t>42.666666666666664</t>
  </si>
  <si>
    <t>66.51545966663112</t>
  </si>
  <si>
    <t>http://live.fanfooty.com.au/game/matchcentre.html?id=7060</t>
  </si>
  <si>
    <t>Dale</t>
  </si>
  <si>
    <t>Knock to his already-strapped left knee in Q1 after landing heavily... and again in Q3 which ended his day and was probably an ACL tear... %M and %O</t>
  </si>
  <si>
    <t>7060_WB</t>
  </si>
  <si>
    <t>0.18666666666666662</t>
  </si>
  <si>
    <t>0.18666666666666668</t>
  </si>
  <si>
    <t>0.26866666666666666</t>
  </si>
  <si>
    <t>86.06666666666666</t>
  </si>
  <si>
    <t>85.93333333333334</t>
  </si>
  <si>
    <t>1768.6666666666667</t>
  </si>
  <si>
    <t>1609.9333333333334</t>
  </si>
  <si>
    <t>1507.3333333333333</t>
  </si>
  <si>
    <t>46.414343863684245</t>
  </si>
  <si>
    <t>http://live.fanfooty.com.au/game/matchcentre.html?id=7061</t>
  </si>
  <si>
    <t>Parsons</t>
  </si>
  <si>
    <t>7061_GE</t>
  </si>
  <si>
    <t>0.3733333333333333</t>
  </si>
  <si>
    <t>1627.1333333333334</t>
  </si>
  <si>
    <t>1617.3333333333333</t>
  </si>
  <si>
    <t>1646.4666666666667</t>
  </si>
  <si>
    <t>60.01062568334375</t>
  </si>
  <si>
    <t>20.989374316656253</t>
  </si>
  <si>
    <t>http://live.fanfooty.com.au/game/matchcentre.html?id=7062</t>
  </si>
  <si>
    <t>%O including %B... also %M... Rotating in defence</t>
  </si>
  <si>
    <t>7062_GC</t>
  </si>
  <si>
    <t>1.3046666666666666</t>
  </si>
  <si>
    <t>1.3653333333333333</t>
  </si>
  <si>
    <t>1.3766666666666665</t>
  </si>
  <si>
    <t>1539.6666666666667</t>
  </si>
  <si>
    <t>1728.3333333333333</t>
  </si>
  <si>
    <t>87.17723528941782</t>
  </si>
  <si>
    <t>Hombsch</t>
  </si>
  <si>
    <t>%P and %T... At FB on McKernan</t>
  </si>
  <si>
    <t>1445.6666666666667</t>
  </si>
  <si>
    <t>1485.8666666666666</t>
  </si>
  <si>
    <t>42.68298299463625</t>
  </si>
  <si>
    <t>19.317017005363752</t>
  </si>
  <si>
    <t>http://live.fanfooty.com.au/game/matchcentre.html?id=7066</t>
  </si>
  <si>
    <t>Selwood</t>
  </si>
  <si>
    <t>%P and %M plus %T... %s as well... umps paid him %4FF... not helped by %F... Supporting the midfield</t>
  </si>
  <si>
    <t>7066_GE</t>
  </si>
  <si>
    <t>1.0406666666666666</t>
  </si>
  <si>
    <t>0.7180000000000001</t>
  </si>
  <si>
    <t>0.6453333333333333</t>
  </si>
  <si>
    <t>78.25034518495498</t>
  </si>
  <si>
    <t>http://live.fanfooty.com.au/game/matchcentre.html?id=7075</t>
  </si>
  <si>
    <t>Anthony</t>
  </si>
  <si>
    <t>Miles</t>
  </si>
  <si>
    <t>Soldiered on after right ankle concerns late Q1 but was eventually iced up in Q4... %O and %M plus %T... %s as well</t>
  </si>
  <si>
    <t>Playing in central midfield</t>
  </si>
  <si>
    <t>7075_GC</t>
  </si>
  <si>
    <t>62.86666666666667</t>
  </si>
  <si>
    <t>1432.6666666666667</t>
  </si>
  <si>
    <t>1466.3333333333333</t>
  </si>
  <si>
    <t>1832.6666666666667</t>
  </si>
  <si>
    <t>63.986648646427085</t>
  </si>
  <si>
    <t>http://live.fanfooty.com.au/game/matchcentre.html?id=7076</t>
  </si>
  <si>
    <t>Myers</t>
  </si>
  <si>
    <t>%D and %M with %T... Playing an outside game</t>
  </si>
  <si>
    <t>7076_ES</t>
  </si>
  <si>
    <t>0.12733333333333335</t>
  </si>
  <si>
    <t>65.46666666666667</t>
  </si>
  <si>
    <t>72.53333333333333</t>
  </si>
  <si>
    <t>1655.8666666666666</t>
  </si>
  <si>
    <t>1712.6666666666667</t>
  </si>
  <si>
    <t>1614.2666666666667</t>
  </si>
  <si>
    <t>67.00290038740697</t>
  </si>
  <si>
    <t>Baguley</t>
  </si>
  <si>
    <t>garbage</t>
  </si>
  <si>
    <t>All his goals deep in Q4 junk time... %O and %M plus %s</t>
  </si>
  <si>
    <t>1640.6666666666667</t>
  </si>
  <si>
    <t>1619.3333333333333</t>
  </si>
  <si>
    <t>1601.0666666666666</t>
  </si>
  <si>
    <t>59.70120676828755</t>
  </si>
  <si>
    <t>http://live.fanfooty.com.au/game/matchcentre.html?id=7080</t>
  </si>
  <si>
    <t>Andy</t>
  </si>
  <si>
    <t>Otten</t>
  </si>
  <si>
    <t>%O and %M plus %T... In defence</t>
  </si>
  <si>
    <t>7080_AD</t>
  </si>
  <si>
    <t>3.498666666666667</t>
  </si>
  <si>
    <t>4.373333333333333</t>
  </si>
  <si>
    <t>3.5566666666666666</t>
  </si>
  <si>
    <t>82.93333333333334</t>
  </si>
  <si>
    <t>1672.8666666666666</t>
  </si>
  <si>
    <t>1638.6666666666667</t>
  </si>
  <si>
    <t>70.12776431903227</t>
  </si>
  <si>
    <t>2.8722356809677336</t>
  </si>
  <si>
    <t>http://live.fanfooty.com.au/game/matchcentre.html?id=7086</t>
  </si>
  <si>
    <t>Sandilands</t>
  </si>
  <si>
    <t>%H... also %D and %M with %T... %s as well... Tandem ruck with Darcy</t>
  </si>
  <si>
    <t>7086_FR</t>
  </si>
  <si>
    <t>35.666666666666664</t>
  </si>
  <si>
    <t>35.733333333333334</t>
  </si>
  <si>
    <t>2.0313333333333334</t>
  </si>
  <si>
    <t>1.3613333333333335</t>
  </si>
  <si>
    <t>3.329333333333333</t>
  </si>
  <si>
    <t>69.26666666666667</t>
  </si>
  <si>
    <t>1661.6666666666667</t>
  </si>
  <si>
    <t>1603.7333333333333</t>
  </si>
  <si>
    <t>95.59972365599307</t>
  </si>
  <si>
    <t>10.400276344006926</t>
  </si>
  <si>
    <t>Hayden</t>
  </si>
  <si>
    <t>Ballantyne</t>
  </si>
  <si>
    <t>%s from %O and %M plus %T... Starting deep forward</t>
  </si>
  <si>
    <t>0.48799999999999993</t>
  </si>
  <si>
    <t>58.86666666666667</t>
  </si>
  <si>
    <t>76.13333333333334</t>
  </si>
  <si>
    <t>1689.5333333333333</t>
  </si>
  <si>
    <t>58.13019505672155</t>
  </si>
  <si>
    <t>%O including %B... also %T and %M... and kicked %s... Tandem ruck with McKernan</t>
  </si>
  <si>
    <t>7086_ES</t>
  </si>
  <si>
    <t>23.333333333333332</t>
  </si>
  <si>
    <t>20.266666666666666</t>
  </si>
  <si>
    <t>0.42000000000000004</t>
  </si>
  <si>
    <t>1557.9333333333334</t>
  </si>
  <si>
    <t>1713.7333333333333</t>
  </si>
  <si>
    <t>73.91136324581895</t>
  </si>
  <si>
    <t>http://live.fanfooty.com.au/game/matchcentre.html?id=7088</t>
  </si>
  <si>
    <t>Simpson</t>
  </si>
  <si>
    <t>%l Shane Mumford... %H... also %P and %T</t>
  </si>
  <si>
    <t>First ruck...</t>
  </si>
  <si>
    <t>7088_WS</t>
  </si>
  <si>
    <t>0.3360000000000001</t>
  </si>
  <si>
    <t>0.5126666666666666</t>
  </si>
  <si>
    <t>0.3686666666666667</t>
  </si>
  <si>
    <t>1550.6666666666667</t>
  </si>
  <si>
    <t>1609.6666666666667</t>
  </si>
  <si>
    <t>67.03029981732294</t>
  </si>
  <si>
    <t>26.96970018267706</t>
  </si>
  <si>
    <t>http://live.fanfooty.com.au/game/matchcentre.html?id=7089</t>
  </si>
  <si>
    <t>Roughead</t>
  </si>
  <si>
    <t>A huge bag of goals in his send off game... %s from %D and %M with %T</t>
  </si>
  <si>
    <t>Starting at FF on Burgess</t>
  </si>
  <si>
    <t>7089_HW</t>
  </si>
  <si>
    <t>0.19133333333333333</t>
  </si>
  <si>
    <t>0.3266666666666667</t>
  </si>
  <si>
    <t>1590.3333333333333</t>
  </si>
  <si>
    <t>1673.3333333333333</t>
  </si>
  <si>
    <t>1628.1333333333334</t>
  </si>
  <si>
    <t>77.21797738771971</t>
  </si>
  <si>
    <t>25.782022612280286</t>
  </si>
  <si>
    <t>George</t>
  </si>
  <si>
    <t>Horlin-Smith</t>
  </si>
  <si>
    <t>%O and %T plus %s... Tagging Worpel</t>
  </si>
  <si>
    <t>7089_GC</t>
  </si>
  <si>
    <t>1.7466666666666666</t>
  </si>
  <si>
    <t>1.9533333333333334</t>
  </si>
  <si>
    <t>69.73333333333333</t>
  </si>
  <si>
    <t>1526.4666666666667</t>
  </si>
  <si>
    <t>1813.3333333333333</t>
  </si>
  <si>
    <t>1739.9333333333334</t>
  </si>
  <si>
    <t>72.05943312824509</t>
  </si>
  <si>
    <t>http://live.fanfooty.com.au/game/matchcentre.html?id=7091</t>
  </si>
  <si>
    <t>Kieren</t>
  </si>
  <si>
    <t>%D and %M with %T... %s as well... Playing a supportive midfield/forward role</t>
  </si>
  <si>
    <t>7091_SY</t>
  </si>
  <si>
    <t>0.41933333333333334</t>
  </si>
  <si>
    <t>68.06666666666666</t>
  </si>
  <si>
    <t>1655.6666666666667</t>
  </si>
  <si>
    <t>1629.6666666666667</t>
  </si>
  <si>
    <t>1644.4666666666667</t>
  </si>
  <si>
    <t>54.10084752293217</t>
  </si>
  <si>
    <t>McVeigh</t>
  </si>
  <si>
    <t>%D and %M plus %s... Playing in defence</t>
  </si>
  <si>
    <t>0.10200000000000001</t>
  </si>
  <si>
    <t>0.5319999999999999</t>
  </si>
  <si>
    <t>1508.3333333333333</t>
  </si>
  <si>
    <t>1584.7333333333333</t>
  </si>
  <si>
    <t>96.82332953298766</t>
  </si>
  <si>
    <t>Corkie to the left thigh late Q3... %s from %P and %M</t>
  </si>
  <si>
    <t>Small forward role...</t>
  </si>
  <si>
    <t>0.23933333333333331</t>
  </si>
  <si>
    <t>0.3406666666666667</t>
  </si>
  <si>
    <t>1644.3333333333333</t>
  </si>
  <si>
    <t>1577.9333333333334</t>
  </si>
  <si>
    <t>40.666666666666664</t>
  </si>
  <si>
    <t>69.30723256079514</t>
  </si>
  <si>
    <t>Rowe</t>
  </si>
  <si>
    <t>%O and %M plus %s... Starting forward</t>
  </si>
  <si>
    <t>7091_SK</t>
  </si>
  <si>
    <t>0.11333333333333334</t>
  </si>
  <si>
    <t>0.47733333333333333</t>
  </si>
  <si>
    <t>72.06666666666666</t>
  </si>
  <si>
    <t>1501.8666666666666</t>
  </si>
  <si>
    <t>1798.3333333333333</t>
  </si>
  <si>
    <t>1766.0666666666666</t>
  </si>
  <si>
    <t>53.333333333333336</t>
  </si>
  <si>
    <t>58.50003974551356</t>
  </si>
  <si>
    <t>Brown</t>
  </si>
  <si>
    <t>%P and %M plus %T... Down back on Franklin</t>
  </si>
  <si>
    <t>0.40599999999999997</t>
  </si>
  <si>
    <t>1598.3333333333333</t>
  </si>
  <si>
    <t>1596.7333333333333</t>
  </si>
  <si>
    <t>44.07120900832403</t>
  </si>
  <si>
    <t>18.928790991675967</t>
  </si>
  <si>
    <t>http://live.fanfooty.com.au/game/matchcentre.html?id=7092</t>
  </si>
  <si>
    <t>Scott D.</t>
  </si>
  <si>
    <t>%O and %M plus %T... At CHB on Fritsch</t>
  </si>
  <si>
    <t>7092_NM</t>
  </si>
  <si>
    <t>1731.3333333333333</t>
  </si>
  <si>
    <t>1546.6666666666667</t>
  </si>
  <si>
    <t>1617.0666666666666</t>
  </si>
  <si>
    <t>62.16539117862117</t>
  </si>
  <si>
    <t>Hrovat</t>
  </si>
  <si>
    <t>%D including %B... also %M and %T... and booted %s... Coming off a wing</t>
  </si>
  <si>
    <t>1634.8666666666666</t>
  </si>
  <si>
    <t>58.33517254840093</t>
  </si>
  <si>
    <t>3.6648274515990735</t>
  </si>
  <si>
    <t>Lewis</t>
  </si>
  <si>
    <t>%O with %k by foot... also %M and %T... and booted %s... Starting on a wing</t>
  </si>
  <si>
    <t>7092_ME</t>
  </si>
  <si>
    <t>0.23399999999999999</t>
  </si>
  <si>
    <t>1602.5333333333333</t>
  </si>
  <si>
    <t>73.92665169663984</t>
  </si>
  <si>
    <t>11.073348303360163</t>
  </si>
  <si>
    <t>Stretch</t>
  </si>
  <si>
    <t>%D and %M with %T... Running off a wing</t>
  </si>
  <si>
    <t>0.044666666666666674</t>
  </si>
  <si>
    <t>1657.8666666666666</t>
  </si>
  <si>
    <t>70.22863405109958</t>
  </si>
  <si>
    <t>18.771365948900424</t>
  </si>
  <si>
    <t>Kennedy-Harris</t>
  </si>
  <si>
    <t>%O and %M... Playing mostly midfield</t>
  </si>
  <si>
    <t>0.5159999999999999</t>
  </si>
  <si>
    <t>0.24533333333333335</t>
  </si>
  <si>
    <t>2.3273333333333337</t>
  </si>
  <si>
    <t>60.577143842882144</t>
  </si>
  <si>
    <t>http://live.fanfooty.com.au/game/matchcentre.html?id=7093</t>
  </si>
  <si>
    <t>Kreuzer</t>
  </si>
  <si>
    <t>7093_CA</t>
  </si>
  <si>
    <t>30.933333333333334</t>
  </si>
  <si>
    <t>52.333333333333336</t>
  </si>
  <si>
    <t>1532.3333333333333</t>
  </si>
  <si>
    <t>1702.2666666666667</t>
  </si>
  <si>
    <t>98.88960946317677</t>
  </si>
  <si>
    <t>%P including %K... also %T and %M... Coming off a HBF</t>
  </si>
  <si>
    <t>78.53333333333333</t>
  </si>
  <si>
    <t>108.66666666666667</t>
  </si>
  <si>
    <t>104.65259174726263</t>
  </si>
  <si>
    <t>http://live.fanfooty.com.au/game/matchcentre.html?id=7094</t>
  </si>
  <si>
    <t>Young</t>
  </si>
  <si>
    <t>%s from %O and %M plus %T... Starting forward</t>
  </si>
  <si>
    <t>7094_GC</t>
  </si>
  <si>
    <t>0.6393333333333333</t>
  </si>
  <si>
    <t>0.4646666666666667</t>
  </si>
  <si>
    <t>0.4466666666666667</t>
  </si>
  <si>
    <t>1.2906666666666666</t>
  </si>
  <si>
    <t>1414.6666666666667</t>
  </si>
  <si>
    <t>58.33603543451528</t>
  </si>
  <si>
    <t>1.6639645654847186</t>
  </si>
  <si>
    <t>Murdoch</t>
  </si>
  <si>
    <t>%P with %k by foot... also %M and %T... Playing a half forward role</t>
  </si>
  <si>
    <t>1762.4666666666667</t>
  </si>
  <si>
    <t>60.163745080371896</t>
  </si>
  <si>
    <t>Rischitelli</t>
  </si>
  <si>
    <t>%O and %T... Playing a half forward role</t>
  </si>
  <si>
    <t>1446.4666666666667</t>
  </si>
  <si>
    <t>1824.5333333333333</t>
  </si>
  <si>
    <t>33.333333333333336</t>
  </si>
  <si>
    <t>51.76990459172001</t>
  </si>
  <si>
    <t>http://live.fanfooty.com.au/game/matchcentre.html?id=7096</t>
  </si>
  <si>
    <t>Richard</t>
  </si>
  <si>
    <t>Douglas</t>
  </si>
  <si>
    <t>%O and %M plus %T... Playing a half forward role</t>
  </si>
  <si>
    <t>7096_AD</t>
  </si>
  <si>
    <t>0.16266666666666668</t>
  </si>
  <si>
    <t>65.13333333333334</t>
  </si>
  <si>
    <t>80.53333333333333</t>
  </si>
  <si>
    <t>1521.3333333333333</t>
  </si>
  <si>
    <t>1621.0666666666666</t>
  </si>
  <si>
    <t>1641.2666666666667</t>
  </si>
  <si>
    <t>67.50455141894498</t>
  </si>
  <si>
    <t>http://live.fanfooty.com.au/game/matchcentre.html?id=7098</t>
  </si>
  <si>
    <t>Broadbent</t>
  </si>
  <si>
    <t>%D and %M with %T... Starting at half back</t>
  </si>
  <si>
    <t>7098_PA</t>
  </si>
  <si>
    <t>0.2353333333333333</t>
  </si>
  <si>
    <t>0.4053333333333333</t>
  </si>
  <si>
    <t>74.53333333333333</t>
  </si>
  <si>
    <t>1640.3333333333333</t>
  </si>
  <si>
    <t>1623.7333333333333</t>
  </si>
  <si>
    <t>89.88237712203366</t>
  </si>
  <si>
    <t>http://live.fanfooty.com.au/game/matchcentre.html?id=7103</t>
  </si>
  <si>
    <t>Brett</t>
  </si>
  <si>
    <t>Deledio</t>
  </si>
  <si>
    <t>%O and %M plus %T... Starting on a HFF</t>
  </si>
  <si>
    <t>7103_WS</t>
  </si>
  <si>
    <t>102.80000000000001</t>
  </si>
  <si>
    <t>0.028666666666666667</t>
  </si>
  <si>
    <t>1582.3333333333333</t>
  </si>
  <si>
    <t>1538.0666666666666</t>
  </si>
  <si>
    <t>http://live.fanfooty.com.au/game/matchcentre.html?id=7105</t>
  </si>
  <si>
    <t>Masten</t>
  </si>
  <si>
    <t>%O and %M plus %T... %s as well... Playing outside midfield</t>
  </si>
  <si>
    <t>7105_WC</t>
  </si>
  <si>
    <t>62.46596545600005</t>
  </si>
  <si>
    <t>14.534034543999951</t>
  </si>
  <si>
    <t>http://live.fanfooty.com.au/game/matchcentre.html?id=7106</t>
  </si>
  <si>
    <t>Hodge</t>
  </si>
  <si>
    <t>%M and %P... Starting in defence</t>
  </si>
  <si>
    <t>7106_BL</t>
  </si>
  <si>
    <t>16.666666666666668</t>
  </si>
  <si>
    <t>84.53333333333333</t>
  </si>
  <si>
    <t>1666.9333333333334</t>
  </si>
  <si>
    <t>1606.6666666666667</t>
  </si>
  <si>
    <t>102.66666666666667</t>
  </si>
  <si>
    <t>100.57585783926011</t>
  </si>
  <si>
    <t>Robertson</t>
  </si>
  <si>
    <t>%D with %k by foot... also %T and %M... Tagging Whitfield</t>
  </si>
  <si>
    <t>0.2460000000000001</t>
  </si>
  <si>
    <t>0.5626666666666668</t>
  </si>
  <si>
    <t>1613.6666666666667</t>
  </si>
  <si>
    <t>74.78402781224867</t>
  </si>
  <si>
    <t>Allen</t>
  </si>
  <si>
    <t>Christensen</t>
  </si>
  <si>
    <t>%P and %M plus %T... %s as well... Starting in attack</t>
  </si>
  <si>
    <t>1.4753333333333336</t>
  </si>
  <si>
    <t>1595.4666666666667</t>
  </si>
  <si>
    <t>69.84026669596925</t>
  </si>
  <si>
    <t>5.159733304030752</t>
  </si>
  <si>
    <t>http://live.fanfooty.com.au/game/matchcentre.html?id=7303</t>
  </si>
  <si>
    <t>McCarthy</t>
  </si>
  <si>
    <t>%s from %P and %M... Starting on a wing</t>
  </si>
  <si>
    <t>7303_FR</t>
  </si>
  <si>
    <t>0.021333333333333333</t>
  </si>
  <si>
    <t>0.037333333333333336</t>
  </si>
  <si>
    <t>0.11533333333333333</t>
  </si>
  <si>
    <t>88.13333333333334</t>
  </si>
  <si>
    <t>1581.0666666666666</t>
  </si>
  <si>
    <t>54.76132911930214</t>
  </si>
  <si>
    <t>http://live.fanfooty.com.au/game/matchcentre.html?id=7306</t>
  </si>
  <si>
    <t>Joyce</t>
  </si>
  <si>
    <t>%M and %O... Playing small defender</t>
  </si>
  <si>
    <t>7306_GC</t>
  </si>
  <si>
    <t>1475.6666666666667</t>
  </si>
  <si>
    <t>1745.3333333333333</t>
  </si>
  <si>
    <t>85.54828676580644</t>
  </si>
  <si>
    <t>http://live.fanfooty.com.au/game/matchcentre.html?id=7313</t>
  </si>
  <si>
    <t>Darcy</t>
  </si>
  <si>
    <t>Lang</t>
  </si>
  <si>
    <t>%s from %P and %T... Starting at half forward</t>
  </si>
  <si>
    <t>7313_CA</t>
  </si>
  <si>
    <t>0.011333333333333334</t>
  </si>
  <si>
    <t>0.021999999999999967</t>
  </si>
  <si>
    <t>68.86666666666666</t>
  </si>
  <si>
    <t>1556.8666666666666</t>
  </si>
  <si>
    <t>1626.3333333333333</t>
  </si>
  <si>
    <t>52.299258173144096</t>
  </si>
  <si>
    <t>http://live.fanfooty.com.au/game/matchcentre.html?id=7341</t>
  </si>
  <si>
    <t>R5</t>
  </si>
  <si>
    <t>Lin</t>
  </si>
  <si>
    <t>Jong</t>
  </si>
  <si>
    <t>%P including %B... also %M... Rotating midfield and attack</t>
  </si>
  <si>
    <t>7341_WB</t>
  </si>
  <si>
    <t>0.37399999999999994</t>
  </si>
  <si>
    <t>0.4126666666666666</t>
  </si>
  <si>
    <t>66.06666666666666</t>
  </si>
  <si>
    <t>1667.8666666666666</t>
  </si>
  <si>
    <t>1600.0666666666666</t>
  </si>
  <si>
    <t>63.65955332150166</t>
  </si>
  <si>
    <t>3.3404466784983384</t>
  </si>
  <si>
    <t>http://live.fanfooty.com.au/game/matchcentre.html?id=7345</t>
  </si>
  <si>
    <t>Sheridan</t>
  </si>
  <si>
    <t>%l Callan Ward... %M and %P</t>
  </si>
  <si>
    <t>utility</t>
  </si>
  <si>
    <t>Mostly in attack</t>
  </si>
  <si>
    <t>7345_WS</t>
  </si>
  <si>
    <t>0.15733333333333333</t>
  </si>
  <si>
    <t>1820.3333333333333</t>
  </si>
  <si>
    <t>1607.9333333333334</t>
  </si>
  <si>
    <t>1459.6666666666667</t>
  </si>
  <si>
    <t>1659.3333333333333</t>
  </si>
  <si>
    <t>28.333333333333332</t>
  </si>
  <si>
    <t>46.86555039667173</t>
  </si>
  <si>
    <t>http://live.fanfooty.com.au/game/matchcentre.html?id=7361</t>
  </si>
  <si>
    <t>Ricky</t>
  </si>
  <si>
    <t>Henderson</t>
  </si>
  <si>
    <t>%D and %M with %T</t>
  </si>
  <si>
    <t>7361_HW</t>
  </si>
  <si>
    <t>101.80000000000001</t>
  </si>
  <si>
    <t>223.66666666666666</t>
  </si>
  <si>
    <t>1441.6666666666667</t>
  </si>
  <si>
    <t>1837.3333333333333</t>
  </si>
  <si>
    <t>83.66006158695848</t>
  </si>
  <si>
    <t>25.339938413041523</t>
  </si>
  <si>
    <t>http://live.fanfooty.com.au/game/matchcentre.html?id=7370</t>
  </si>
  <si>
    <t>Scharenberg</t>
  </si>
  <si>
    <t>%P and %M plus %T... In defence on Allen</t>
  </si>
  <si>
    <t>7370_CO</t>
  </si>
  <si>
    <t>0.19666666666666666</t>
  </si>
  <si>
    <t>0.18866666666666668</t>
  </si>
  <si>
    <t>1679.2666666666667</t>
  </si>
  <si>
    <t>1592.9333333333334</t>
  </si>
  <si>
    <t>61.23362192089743</t>
  </si>
  <si>
    <t>15.766378079102573</t>
  </si>
  <si>
    <t>http://live.fanfooty.com.au/game/matchcentre.html?id=7371</t>
  </si>
  <si>
    <t>Harley</t>
  </si>
  <si>
    <t>Bennell</t>
  </si>
  <si>
    <t>%P and %T plus %s... Playing a HFF role</t>
  </si>
  <si>
    <t>7371_ME</t>
  </si>
  <si>
    <t>1.870666666666667</t>
  </si>
  <si>
    <t>4.096666666666667</t>
  </si>
  <si>
    <t>3.1593333333333335</t>
  </si>
  <si>
    <t>177.66666666666666</t>
  </si>
  <si>
    <t>1666.6666666666667</t>
  </si>
  <si>
    <t>1516.8666666666666</t>
  </si>
  <si>
    <t>http://live.fanfooty.com.au/game/matchcentre.html?id=7373</t>
  </si>
  <si>
    <t>Trengove</t>
  </si>
  <si>
    <t>%l Cody Weightman... %P including %B... also %T</t>
  </si>
  <si>
    <t>Playing a forward/ruck role</t>
  </si>
  <si>
    <t>7373_WB</t>
  </si>
  <si>
    <t>1693.6666666666667</t>
  </si>
  <si>
    <t>1575.0666666666666</t>
  </si>
  <si>
    <t>58.88366514074948</t>
  </si>
  <si>
    <t>4.116334859250522</t>
  </si>
  <si>
    <t>Gowers</t>
  </si>
  <si>
    <t>2 FA to HT... %D and %s... gave away %F</t>
  </si>
  <si>
    <t>Starting forward on Broad</t>
  </si>
  <si>
    <t>0.14400000000000002</t>
  </si>
  <si>
    <t>1.6906666666666665</t>
  </si>
  <si>
    <t>1735.6666666666667</t>
  </si>
  <si>
    <t>http://live.fanfooty.com.au/game/matchcentre.html?id=7377</t>
  </si>
  <si>
    <t>Riley</t>
  </si>
  <si>
    <t>Knight</t>
  </si>
  <si>
    <t>penguin</t>
  </si>
  <si>
    <t>One handball to HT... %D and %T</t>
  </si>
  <si>
    <t>7377_AD</t>
  </si>
  <si>
    <t>1780.6666666666667</t>
  </si>
  <si>
    <t>49.91386276600909</t>
  </si>
  <si>
    <t>http://live.fanfooty.com.au/game/matchcentre.html?id=7378</t>
  </si>
  <si>
    <t>Gray</t>
  </si>
  <si>
    <t>7378_SY</t>
  </si>
  <si>
    <t>66.46666666666667</t>
  </si>
  <si>
    <t>123.33333333333333</t>
  </si>
  <si>
    <t>1669.8666666666666</t>
  </si>
  <si>
    <t>60.51358496037057</t>
  </si>
  <si>
    <t>http://live.fanfooty.com.au/game/matchcentre.html?id=7380</t>
  </si>
  <si>
    <t>Hanley</t>
  </si>
  <si>
    <t>%P and %M plus %T... Playing midfield</t>
  </si>
  <si>
    <t>7380_GC</t>
  </si>
  <si>
    <t>11.466666666666667</t>
  </si>
  <si>
    <t>77.86666666666666</t>
  </si>
  <si>
    <t>283.3333333333333</t>
  </si>
  <si>
    <t>1546.4666666666667</t>
  </si>
  <si>
    <t>65.57930961622881</t>
  </si>
  <si>
    <t>http://live.fanfooty.com.au/game/matchcentre.html?id=7381</t>
  </si>
  <si>
    <t>Brandon</t>
  </si>
  <si>
    <t>Matera</t>
  </si>
  <si>
    <t>%O with %k by foot... also %T... Coming off a HFF</t>
  </si>
  <si>
    <t>7381_FR</t>
  </si>
  <si>
    <t>136.66666666666666</t>
  </si>
  <si>
    <t>1603.6666666666667</t>
  </si>
  <si>
    <t>1562.9333333333334</t>
  </si>
  <si>
    <t>53.910362580184255</t>
  </si>
  <si>
    <t>http://live.fanfooty.com.au/game/matchcentre.html?id=7392</t>
  </si>
  <si>
    <t>Jasper</t>
  </si>
  <si>
    <t>Pittard</t>
  </si>
  <si>
    <t>%M and %D... Playing a half forward role</t>
  </si>
  <si>
    <t>7392_NM</t>
  </si>
  <si>
    <t>86.26666666666667</t>
  </si>
  <si>
    <t>1625.8666666666666</t>
  </si>
  <si>
    <t>69.80626984698748</t>
  </si>
  <si>
    <t>Jamie</t>
  </si>
  <si>
    <t>Macmillan</t>
  </si>
  <si>
    <t>%D and %M with %T... Coming off a HBF</t>
  </si>
  <si>
    <t>150.33333333333334</t>
  </si>
  <si>
    <t>1635.7333333333333</t>
  </si>
  <si>
    <t>1641.7333333333333</t>
  </si>
  <si>
    <t>92.37928732619271</t>
  </si>
  <si>
    <t>http://live.fanfooty.com.au/game/matchcentre.html?id=7400</t>
  </si>
  <si>
    <t>Rupert</t>
  </si>
  <si>
    <t>Wills</t>
  </si>
  <si>
    <t>%D and %T... Rotating in midfield</t>
  </si>
  <si>
    <t>7400_CO</t>
  </si>
  <si>
    <t>1543.6666666666667</t>
  </si>
  <si>
    <t>1712.1333333333334</t>
  </si>
  <si>
    <t>1743.6666666666667</t>
  </si>
  <si>
    <t>56.918273921104756</t>
  </si>
  <si>
    <t>3.081726078895244</t>
  </si>
  <si>
    <t>Lynden</t>
  </si>
  <si>
    <t>Dunn</t>
  </si>
  <si>
    <t>%P... In defence on Tom McDonald</t>
  </si>
  <si>
    <t>0.13066666666666665</t>
  </si>
  <si>
    <t>0.15666666666666673</t>
  </si>
  <si>
    <t>0.20333333333333334</t>
  </si>
  <si>
    <t>0.3626666666666667</t>
  </si>
  <si>
    <t>1625.6666666666667</t>
  </si>
  <si>
    <t>1562.8666666666666</t>
  </si>
  <si>
    <t>53.537048449227136</t>
  </si>
  <si>
    <t>Reid</t>
  </si>
  <si>
    <t>Off in Q3 with a left hamstring injury... %O and %s</t>
  </si>
  <si>
    <t>Up forward on May</t>
  </si>
  <si>
    <t>1635.6666666666667</t>
  </si>
  <si>
    <t>1646.3333333333333</t>
  </si>
  <si>
    <t>40.58664242034975</t>
  </si>
  <si>
    <t>0.41335757965025266</t>
  </si>
  <si>
    <t>http://live.fanfooty.com.au/game/matchcentre.html?id=7407</t>
  </si>
  <si>
    <t>Lockhart</t>
  </si>
  <si>
    <t>%O including %K... also %M and %T... Starting in defence</t>
  </si>
  <si>
    <t>7407_ME</t>
  </si>
  <si>
    <t>75.06666666666666</t>
  </si>
  <si>
    <t>1675.5333333333333</t>
  </si>
  <si>
    <t>79.04611748164902</t>
  </si>
  <si>
    <t>http://live.fanfooty.com.au/game/matchcentre.html?id=7409</t>
  </si>
  <si>
    <t>Bellchambers</t>
  </si>
  <si>
    <t>%H with %P... First ruck</t>
  </si>
  <si>
    <t>7409_ES</t>
  </si>
  <si>
    <t>23.266666666666666</t>
  </si>
  <si>
    <t>1545.3333333333333</t>
  </si>
  <si>
    <t>1718.6666666666667</t>
  </si>
  <si>
    <t>80.46017226536021</t>
  </si>
  <si>
    <t>http://live.fanfooty.com.au/game/matchcentre.html?id=7411</t>
  </si>
  <si>
    <t>Crocker</t>
  </si>
  <si>
    <t>Scored %s from %G and %D... Rotating in attack</t>
  </si>
  <si>
    <t>7411_AD</t>
  </si>
  <si>
    <t>0.2213333333333333</t>
  </si>
  <si>
    <t>111.66666666666667</t>
  </si>
  <si>
    <t>1492.3333333333333</t>
  </si>
  <si>
    <t>1725.6666666666667</t>
  </si>
  <si>
    <t>51.744558213178735</t>
  </si>
  <si>
    <t>http://live.fanfooty.com.au/game/matchcentre.html?id=7415</t>
  </si>
  <si>
    <t>Patton</t>
  </si>
  <si>
    <t>Limped off favouring his right leg in Q1... likely Achilles injury</t>
  </si>
  <si>
    <t>At FF on Hooker</t>
  </si>
  <si>
    <t>7415_HW</t>
  </si>
  <si>
    <t>96.40000000000003</t>
  </si>
  <si>
    <t>0.19333333333333336</t>
  </si>
  <si>
    <t>0.38799999999999996</t>
  </si>
  <si>
    <t>1590.6666666666667</t>
  </si>
  <si>
    <t>46.81782319320622</t>
  </si>
  <si>
    <t>http://live.fanfooty.com.au/game/matchcentre.html?id=7417</t>
  </si>
  <si>
    <t>Tory</t>
  </si>
  <si>
    <t>Dickson</t>
  </si>
  <si>
    <t>%D... Playing forward</t>
  </si>
  <si>
    <t>7417_WB</t>
  </si>
  <si>
    <t>1559.3333333333333</t>
  </si>
  <si>
    <t>1589.5333333333333</t>
  </si>
  <si>
    <t>55.83151325760312</t>
  </si>
  <si>
    <t>http://live.fanfooty.com.au/game/matchcentre.html?id=7418</t>
  </si>
  <si>
    <t>Westhoff</t>
  </si>
  <si>
    <t>%s from %O and %T... Starting forward on Fox</t>
  </si>
  <si>
    <t>7418_PA</t>
  </si>
  <si>
    <t>72.93333333333334</t>
  </si>
  <si>
    <t>1752.3333333333333</t>
  </si>
  <si>
    <t>1742.4666666666667</t>
  </si>
  <si>
    <t>1513.3333333333333</t>
  </si>
  <si>
    <t>74.75027223480343</t>
  </si>
  <si>
    <t>http://live.fanfooty.com.au/game/matchcentre.html?id=7422</t>
  </si>
  <si>
    <t>Ahern</t>
  </si>
  <si>
    <t>%D and %M... Playing an outside game</t>
  </si>
  <si>
    <t>7422_NM</t>
  </si>
  <si>
    <t>3.1599999999999997</t>
  </si>
  <si>
    <t>2.529333333333333</t>
  </si>
  <si>
    <t>2.470666666666667</t>
  </si>
  <si>
    <t>61.266666666666666</t>
  </si>
  <si>
    <t>66.73333333333333</t>
  </si>
  <si>
    <t>203.66666666666666</t>
  </si>
  <si>
    <t>1494.7333333333333</t>
  </si>
  <si>
    <t>1170.3333333333333</t>
  </si>
  <si>
    <t>1565.0666666666666</t>
  </si>
  <si>
    <t>64.94036815388232</t>
  </si>
  <si>
    <t>Majak</t>
  </si>
  <si>
    <t>Daw</t>
  </si>
  <si>
    <t>%H... also %P and %T... In attack on Collins</t>
  </si>
  <si>
    <t>0.45933333333333337</t>
  </si>
  <si>
    <t>1.8966666666666667</t>
  </si>
  <si>
    <t>105.33333333333333</t>
  </si>
  <si>
    <t>1038.6666666666667</t>
  </si>
  <si>
    <t>1496.6666666666667</t>
  </si>
  <si>
    <t>1148.3333333333333</t>
  </si>
  <si>
    <t>1557.2666666666667</t>
  </si>
  <si>
    <t>31.333333333333332</t>
  </si>
  <si>
    <t>72.00679454404441</t>
  </si>
  <si>
    <t>http://live.fanfooty.com.au/game/matchcentre.html?id=7423</t>
  </si>
  <si>
    <t>Darren</t>
  </si>
  <si>
    <t>Minchington</t>
  </si>
  <si>
    <t>%s from %O and %T... Rotating in attack</t>
  </si>
  <si>
    <t>7423_HW</t>
  </si>
  <si>
    <t>0.12200000000000001</t>
  </si>
  <si>
    <t>73.13333333333334</t>
  </si>
  <si>
    <t>160.33333333333334</t>
  </si>
  <si>
    <t>1488.6666666666667</t>
  </si>
  <si>
    <t>1584.6666666666667</t>
  </si>
  <si>
    <t>59.105428430586464</t>
  </si>
  <si>
    <t>17.894571569413536</t>
  </si>
  <si>
    <t>Conor</t>
  </si>
  <si>
    <t>Glass</t>
  </si>
  <si>
    <t>Sore after a Jones hit to the torso early in Q1... %O and %M plus %T</t>
  </si>
  <si>
    <t>Starting in defence</t>
  </si>
  <si>
    <t>165.33333333333334</t>
  </si>
  <si>
    <t>1497.3333333333333</t>
  </si>
  <si>
    <t>1551.3333333333333</t>
  </si>
  <si>
    <t>63.07985349548409</t>
  </si>
  <si>
    <t>http://live.fanfooty.com.au/game/matchcentre.html?id=7426</t>
  </si>
  <si>
    <t>Joshua</t>
  </si>
  <si>
    <t>Wagner</t>
  </si>
  <si>
    <t>%O and %T... Rotating in defence</t>
  </si>
  <si>
    <t>7426_ME</t>
  </si>
  <si>
    <t>73.53333333333333</t>
  </si>
  <si>
    <t>1666.8666666666666</t>
  </si>
  <si>
    <t>86.52885721445789</t>
  </si>
  <si>
    <t>http://live.fanfooty.com.au/game/matchcentre.html?id=7429</t>
  </si>
  <si>
    <t>Marley</t>
  </si>
  <si>
    <t>Williams</t>
  </si>
  <si>
    <t>%P... Starting in defence</t>
  </si>
  <si>
    <t>7429_NM</t>
  </si>
  <si>
    <t>104.40000000000003</t>
  </si>
  <si>
    <t>159.33333333333334</t>
  </si>
  <si>
    <t>1187.3333333333333</t>
  </si>
  <si>
    <t>1549.9333333333334</t>
  </si>
  <si>
    <t>88.91039987034421</t>
  </si>
  <si>
    <t>Sutcliffe</t>
  </si>
  <si>
    <t>%D and %T... Playing a role in defence</t>
  </si>
  <si>
    <t>7429_PA</t>
  </si>
  <si>
    <t>103.33333333333333</t>
  </si>
  <si>
    <t>1813.6666666666667</t>
  </si>
  <si>
    <t>1620.5333333333333</t>
  </si>
  <si>
    <t>1460.6666666666667</t>
  </si>
  <si>
    <t>1648.4666666666667</t>
  </si>
  <si>
    <t>76.32701621138338</t>
  </si>
  <si>
    <t>http://live.fanfooty.com.au/game/matchcentre.html?id=7430</t>
  </si>
  <si>
    <t>Scully</t>
  </si>
  <si>
    <t>%P and %M plus %s... Running on the outside</t>
  </si>
  <si>
    <t>7430_HW</t>
  </si>
  <si>
    <t>57.86666666666667</t>
  </si>
  <si>
    <t>83.86666666666666</t>
  </si>
  <si>
    <t>271.6666666666667</t>
  </si>
  <si>
    <t>1527.0666666666666</t>
  </si>
  <si>
    <t>1777.3333333333333</t>
  </si>
  <si>
    <t>1748.9333333333334</t>
  </si>
  <si>
    <t>62.39381102673185</t>
  </si>
  <si>
    <t>28.606188973268146</t>
  </si>
  <si>
    <t>http://live.fanfooty.com.au/game/matchcentre.html?id=7432</t>
  </si>
  <si>
    <t>Lloyd</t>
  </si>
  <si>
    <t>%s from %P and %M plus %T... Playing at half forward</t>
  </si>
  <si>
    <t>7432_WB</t>
  </si>
  <si>
    <t>190.33333333333334</t>
  </si>
  <si>
    <t>61.50423987169103</t>
  </si>
  <si>
    <t>7.495760128308973</t>
  </si>
  <si>
    <t>Jetta</t>
  </si>
  <si>
    <t>7432_WC</t>
  </si>
  <si>
    <t>84.93333333333334</t>
  </si>
  <si>
    <t>1572.6666666666667</t>
  </si>
  <si>
    <t>91.75335465498507</t>
  </si>
  <si>
    <t>2.246645345014926</t>
  </si>
  <si>
    <t>http://live.fanfooty.com.au/game/matchcentre.html?id=7434</t>
  </si>
  <si>
    <t>%H... also %D and %M with %T... %s as well</t>
  </si>
  <si>
    <t>7434_WS</t>
  </si>
  <si>
    <t>31.266666666666666</t>
  </si>
  <si>
    <t>100.66666666666667</t>
  </si>
  <si>
    <t>1638.0666666666666</t>
  </si>
  <si>
    <t>1643.3333333333333</t>
  </si>
  <si>
    <t>1622.5333333333333</t>
  </si>
  <si>
    <t>81.45735818553722</t>
  </si>
  <si>
    <t>45.54264181446278</t>
  </si>
  <si>
    <t>http://live.fanfooty.com.au/game/matchcentre.html?id=7442</t>
  </si>
  <si>
    <t>Bryce</t>
  </si>
  <si>
    <t>Gibbs</t>
  </si>
  <si>
    <t>cherry</t>
  </si>
  <si>
    <t>%D and %M plus %s</t>
  </si>
  <si>
    <t>Starting at half back</t>
  </si>
  <si>
    <t>7442_AD</t>
  </si>
  <si>
    <t>11.933333333333334</t>
  </si>
  <si>
    <t>69.93333333333334</t>
  </si>
  <si>
    <t>264.3333333333333</t>
  </si>
  <si>
    <t>1515.6666666666667</t>
  </si>
  <si>
    <t>1655.2666666666667</t>
  </si>
  <si>
    <t>http://live.fanfooty.com.au/game/matchcentre.html?id=7443</t>
  </si>
  <si>
    <t>Suckling</t>
  </si>
  <si>
    <t>%M and %P... Coming off a HFF</t>
  </si>
  <si>
    <t>7443_WB</t>
  </si>
  <si>
    <t>11.866666666666667</t>
  </si>
  <si>
    <t>72.13333333333334</t>
  </si>
  <si>
    <t>174.33333333333334</t>
  </si>
  <si>
    <t>1645.8666666666666</t>
  </si>
  <si>
    <t>1620.3333333333333</t>
  </si>
  <si>
    <t>61.726701337989326</t>
  </si>
  <si>
    <t>http://live.fanfooty.com.au/game/matchcentre.html?id=7446</t>
  </si>
  <si>
    <t>Schofield</t>
  </si>
  <si>
    <t>%O and %T... In defence on Durdin</t>
  </si>
  <si>
    <t>7446_WC</t>
  </si>
  <si>
    <t>89.53333333333333</t>
  </si>
  <si>
    <t>1645.9333333333334</t>
  </si>
  <si>
    <t>1774.6666666666667</t>
  </si>
  <si>
    <t>1614.5333333333333</t>
  </si>
  <si>
    <t>44.23576531478314</t>
  </si>
  <si>
    <t>21.764234685216863</t>
  </si>
  <si>
    <t>http://live.fanfooty.com.au/game/matchcentre.html?id=7447</t>
  </si>
  <si>
    <t>%O including %K... also %M... and scored %s... Playing small defender</t>
  </si>
  <si>
    <t>7447_WS</t>
  </si>
  <si>
    <t>1622.6666666666667</t>
  </si>
  <si>
    <t>1652.3333333333333</t>
  </si>
  <si>
    <t>1594.0666666666666</t>
  </si>
  <si>
    <t>96.15754919621489</t>
  </si>
  <si>
    <t>http://live.fanfooty.com.au/game/matchcentre.html?id=7449</t>
  </si>
  <si>
    <t>Talia</t>
  </si>
  <si>
    <t>%O and %T... At CHB on Chol</t>
  </si>
  <si>
    <t>7449_AD</t>
  </si>
  <si>
    <t>1525.5333333333333</t>
  </si>
  <si>
    <t>56.07105278349425</t>
  </si>
  <si>
    <t>http://live.fanfooty.com.au/game/matchcentre.html?id=7450</t>
  </si>
  <si>
    <t>Ran his moosh into the head of McStay in Q1 leaving him sore... %P with %k by foot... also %T and %M... and booted %s</t>
  </si>
  <si>
    <t>Lurking at half back</t>
  </si>
  <si>
    <t>7450_CA</t>
  </si>
  <si>
    <t>286.3333333333333</t>
  </si>
  <si>
    <t>1645.3333333333333</t>
  </si>
  <si>
    <t>80.33347980004874</t>
  </si>
  <si>
    <t>http://live.fanfooty.com.au/game/matchcentre.html?id=7451</t>
  </si>
  <si>
    <t>Puopolo</t>
  </si>
  <si>
    <t>Quad problems at QT... %s from %P and %M plus %T</t>
  </si>
  <si>
    <t>7451_HW</t>
  </si>
  <si>
    <t>101.33333333333333</t>
  </si>
  <si>
    <t>1628.3333333333333</t>
  </si>
  <si>
    <t>1622.0666666666666</t>
  </si>
  <si>
    <t>1651.8666666666666</t>
  </si>
  <si>
    <t>65.21488457493768</t>
  </si>
  <si>
    <t>45.785115425062315</t>
  </si>
  <si>
    <t>Stratton</t>
  </si>
  <si>
    <t>rock</t>
  </si>
  <si>
    <t>In defence... switched forward in Q4 of his farewell game</t>
  </si>
  <si>
    <t>94.33333333333333</t>
  </si>
  <si>
    <t>92.46666666666667</t>
  </si>
  <si>
    <t>1545.0666666666666</t>
  </si>
  <si>
    <t>50.64906257827373</t>
  </si>
  <si>
    <t>14.350937421726272</t>
  </si>
  <si>
    <t>http://live.fanfooty.com.au/game/matchcentre.html?id=7452</t>
  </si>
  <si>
    <t>Thurlow</t>
  </si>
  <si>
    <t>%M and %P... Playing on a HBF</t>
  </si>
  <si>
    <t>7452_SY</t>
  </si>
  <si>
    <t>1660.3333333333333</t>
  </si>
  <si>
    <t>87.34456916927113</t>
  </si>
  <si>
    <t>7452_GE</t>
  </si>
  <si>
    <t>1711.6666666666667</t>
  </si>
  <si>
    <t>1679.8666666666666</t>
  </si>
  <si>
    <t>73.80714302469717</t>
  </si>
  <si>
    <t>http://live.fanfooty.com.au/game/matchcentre.html?id=7453</t>
  </si>
  <si>
    <t>Stephen</t>
  </si>
  <si>
    <t>%O and %M... Starting at half back</t>
  </si>
  <si>
    <t>7453_FR</t>
  </si>
  <si>
    <t>292.6666666666667</t>
  </si>
  <si>
    <t>1466.6666666666667</t>
  </si>
  <si>
    <t>89.00473399859902</t>
  </si>
  <si>
    <t>http://live.fanfooty.com.au/game/matchcentre.html?id=7454</t>
  </si>
  <si>
    <t>Varcoe</t>
  </si>
  <si>
    <t>%P... Starting at half back</t>
  </si>
  <si>
    <t>7454_CO</t>
  </si>
  <si>
    <t>170.33333333333334</t>
  </si>
  <si>
    <t>1578.8666666666666</t>
  </si>
  <si>
    <t>80.59010647084949</t>
  </si>
  <si>
    <t>http://live.fanfooty.com.au/game/matchcentre.html?id=7459</t>
  </si>
  <si>
    <t>Savage</t>
  </si>
  <si>
    <t>%O with %k by foot... also %M... and kicked %s... Coming off half back</t>
  </si>
  <si>
    <t>7459_SK</t>
  </si>
  <si>
    <t>103.21771347856756</t>
  </si>
  <si>
    <t>%s from %O... Playing a forward/ruck role on Astbury</t>
  </si>
  <si>
    <t>0.5453333333333333</t>
  </si>
  <si>
    <t>0.23333333333333334</t>
  </si>
  <si>
    <t>0.44666666666666666</t>
  </si>
  <si>
    <t>66.13333333333334</t>
  </si>
  <si>
    <t>144.66666666666666</t>
  </si>
  <si>
    <t>1664.6666666666667</t>
  </si>
  <si>
    <t>1539.8666666666666</t>
  </si>
  <si>
    <t>58.27374890460202</t>
  </si>
  <si>
    <t>http://live.fanfooty.com.au/game/matchcentre.html?id=7461</t>
  </si>
  <si>
    <t>Ebert</t>
  </si>
  <si>
    <t>Copped a Riewoldt elbow to the head in Q4 and had to come off groggy... %D and %M with %T</t>
  </si>
  <si>
    <t>Playing a HFF role</t>
  </si>
  <si>
    <t>7461_PA</t>
  </si>
  <si>
    <t>81.06666666666666</t>
  </si>
  <si>
    <t>326.6666666666667</t>
  </si>
  <si>
    <t>1714.7333333333333</t>
  </si>
  <si>
    <t>1549.8666666666666</t>
  </si>
  <si>
    <t>100.33333333333333</t>
  </si>
  <si>
    <t>62.220284292944726</t>
  </si>
  <si>
    <t>46.779715707055274</t>
  </si>
  <si>
    <t>http://live.fanfooty.com.au/game/matchcentre.html?id=7462</t>
  </si>
  <si>
    <t>Ellis-Yolmen</t>
  </si>
  <si>
    <t>%D with %b by hand... also %M and %T... Playing an unfamiliar defensive forward role... switched to midfield in Q3</t>
  </si>
  <si>
    <t>7462_BL</t>
  </si>
  <si>
    <t>1712.4666666666667</t>
  </si>
  <si>
    <t>http://live.fanfooty.com.au/game/matchcentre.html?id=7463</t>
  </si>
  <si>
    <t>Gary</t>
  </si>
  <si>
    <t>Ablett jnr</t>
  </si>
  <si>
    <t>Left shoulder injury under a tackle early in Q1... got a jab and returned... %P</t>
  </si>
  <si>
    <t>7463_GE</t>
  </si>
  <si>
    <t>67.93333333333334</t>
  </si>
  <si>
    <t>1838.3333333333333</t>
  </si>
  <si>
    <t>1720.8666666666666</t>
  </si>
  <si>
    <t>79.43807379408435</t>
  </si>
  <si>
    <t>%O with %b by hand... In defence on Lynch</t>
  </si>
  <si>
    <t>71.46666666666667</t>
  </si>
  <si>
    <t>88.86666666666666</t>
  </si>
  <si>
    <t>1792.6666666666667</t>
  </si>
  <si>
    <t>49.285371195011635</t>
  </si>
  <si>
    <t>http://live.fanfooty.com.au/game/matchcentre.html?id=7604</t>
  </si>
  <si>
    <t>Jenkins</t>
  </si>
  <si>
    <t>%s from %O and %M plus %T... Up forward on Kelly</t>
  </si>
  <si>
    <t>7604_GE</t>
  </si>
  <si>
    <t>0.19466666666666665</t>
  </si>
  <si>
    <t>1689.4666666666667</t>
  </si>
  <si>
    <t>1571.7333333333333</t>
  </si>
  <si>
    <t>74.30718095464727</t>
  </si>
  <si>
    <t>http://live.fanfooty.com.au/game/matchcentre.html?id=7613</t>
  </si>
  <si>
    <t>Rockliff</t>
  </si>
  <si>
    <t>sub</t>
  </si>
  <si>
    <t>Started as the medical sub</t>
  </si>
  <si>
    <t>7613_PA</t>
  </si>
  <si>
    <t>172.33333333333334</t>
  </si>
  <si>
    <t>213.33333333333334</t>
  </si>
  <si>
    <t>1756.6666666666667</t>
  </si>
  <si>
    <t>1725.9333333333334</t>
  </si>
  <si>
    <t>1543.3333333333333</t>
  </si>
  <si>
    <t>74.18090522671096</t>
  </si>
  <si>
    <t>http://live.fanfooty.com.au/game/matchcentre.html?id=7615</t>
  </si>
  <si>
    <t>Dom</t>
  </si>
  <si>
    <t>Just not AFL standard... %P and %M</t>
  </si>
  <si>
    <t>Playing midfield</t>
  </si>
  <si>
    <t>7615_NM</t>
  </si>
  <si>
    <t>1503.6666666666667</t>
  </si>
  <si>
    <t>1600.2666666666667</t>
  </si>
  <si>
    <t>1666.3333333333333</t>
  </si>
  <si>
    <t>70.07472465856667</t>
  </si>
  <si>
    <t>http://live.fanfooty.com.au/game/matchcentre.html?id=7638</t>
  </si>
  <si>
    <t>Levi</t>
  </si>
  <si>
    <t>Greenwood</t>
  </si>
  <si>
    <t>%D and %M with %T... Tagging Kelly</t>
  </si>
  <si>
    <t>7638_CO</t>
  </si>
  <si>
    <t>97.20000000000005</t>
  </si>
  <si>
    <t>1338.6666666666667</t>
  </si>
  <si>
    <t>3.9565732435528957</t>
  </si>
  <si>
    <t>http://live.fanfooty.com.au/game/matchcentre.html?id=7654</t>
  </si>
  <si>
    <t>Carlisle</t>
  </si>
  <si>
    <t>Right ankle strapped in Q3 after a knock... %K among %O... and scored %s</t>
  </si>
  <si>
    <t>Up forward on Aliir</t>
  </si>
  <si>
    <t>7654_SK</t>
  </si>
  <si>
    <t>103.20000000000005</t>
  </si>
  <si>
    <t>86.73333333333333</t>
  </si>
  <si>
    <t>1492.2666666666667</t>
  </si>
  <si>
    <t>1565.5333333333333</t>
  </si>
  <si>
    <t>74.57874167028324</t>
  </si>
  <si>
    <t>http://live.fanfooty.com.au/game/matchcentre.html?id=7661</t>
  </si>
  <si>
    <t>Started as the medical sub... on in Q1... %O and %M plus %T</t>
  </si>
  <si>
    <t>7661_ME</t>
  </si>
  <si>
    <t>117.66666666666667</t>
  </si>
  <si>
    <t>1570.8666666666666</t>
  </si>
  <si>
    <t>47.29023586801826</t>
  </si>
  <si>
    <t>0.7097641319817427</t>
  </si>
  <si>
    <t>http://live.fanfooty.com.au/game/matchcentre.html?id=7675</t>
  </si>
  <si>
    <t>Hartley</t>
  </si>
  <si>
    <t>%M and %P... In defence on Garner</t>
  </si>
  <si>
    <t>7675_HW</t>
  </si>
  <si>
    <t>98.20000000000005</t>
  </si>
  <si>
    <t>0.14933333333333335</t>
  </si>
  <si>
    <t>92.26666666666667</t>
  </si>
  <si>
    <t>1625.1333333333334</t>
  </si>
  <si>
    <t>1648.2666666666667</t>
  </si>
  <si>
    <t>63.820912317318964</t>
  </si>
  <si>
    <t>http://live.fanfooty.com.au/game/matchcentre.html?id=7685</t>
  </si>
  <si>
    <t>Neville</t>
  </si>
  <si>
    <t>%l Christian Salem... %D including %K... also %M and %T</t>
  </si>
  <si>
    <t>Driving from half back</t>
  </si>
  <si>
    <t>7685_ME</t>
  </si>
  <si>
    <t>1697.6666666666667</t>
  </si>
  <si>
    <t>1601.6666666666667</t>
  </si>
  <si>
    <t>38.84168686036493</t>
  </si>
  <si>
    <t>4.158313139635069</t>
  </si>
  <si>
    <t>http://live.fanfooty.com.au/game/matchcentre.html?id=7686</t>
  </si>
  <si>
    <t>McKernan</t>
  </si>
  <si>
    <t>%s from %P and %M... Playing a ruck/forward role... Cordy following him</t>
  </si>
  <si>
    <t>7686_SK</t>
  </si>
  <si>
    <t>53.266666666666666</t>
  </si>
  <si>
    <t>1558.1333333333334</t>
  </si>
  <si>
    <t>1895.6666666666667</t>
  </si>
  <si>
    <t>1719.0666666666666</t>
  </si>
  <si>
    <t>38.666666666666664</t>
  </si>
  <si>
    <t>63.323856235723575</t>
  </si>
  <si>
    <t>Frawley</t>
  </si>
  <si>
    <t>Shoulder soreness late in the second... %O and %M plus %T</t>
  </si>
  <si>
    <t>On Naughton</t>
  </si>
  <si>
    <t>168.66666666666666</t>
  </si>
  <si>
    <t>1514.1333333333334</t>
  </si>
  <si>
    <t>1765.0666666666666</t>
  </si>
  <si>
    <t>67.82841369940088</t>
  </si>
  <si>
    <t>http://live.fanfooty.com.au/game/matchcentre.html?id=7694</t>
  </si>
  <si>
    <t>Connor</t>
  </si>
  <si>
    <t>Menadue</t>
  </si>
  <si>
    <t>%P and %M... Rotating at half back</t>
  </si>
  <si>
    <t>7694_NM</t>
  </si>
  <si>
    <t>0.014666666666666666</t>
  </si>
  <si>
    <t>0.024000000000000004</t>
  </si>
  <si>
    <t>74.73333333333333</t>
  </si>
  <si>
    <t>130.33333333333334</t>
  </si>
  <si>
    <t>82.13880680952329</t>
  </si>
  <si>
    <t>http://live.fanfooty.com.au/game/matchcentre.html?id=7698</t>
  </si>
  <si>
    <t>Callum</t>
  </si>
  <si>
    <t>7698_SY</t>
  </si>
  <si>
    <t>23.066666666666666</t>
  </si>
  <si>
    <t>110.73333333333333</t>
  </si>
  <si>
    <t>1698.3333333333333</t>
  </si>
  <si>
    <t>83.93161297138494</t>
  </si>
  <si>
    <t>2.0683870286150636</t>
  </si>
  <si>
    <t>Gibbons</t>
  </si>
  <si>
    <t>Right concern late in the second term... %P and %T</t>
  </si>
  <si>
    <t>Subbed midway through the third</t>
  </si>
  <si>
    <t>7698_CA</t>
  </si>
  <si>
    <t>264.46666666666664</t>
  </si>
  <si>
    <t>1679.7333333333333</t>
  </si>
  <si>
    <t>48.797644061538136</t>
  </si>
  <si>
    <t>http://live.fanfooty.com.au/game/matchcentre.html?id=7701</t>
  </si>
  <si>
    <t>Jarryn</t>
  </si>
  <si>
    <t>Geary</t>
  </si>
  <si>
    <t>Off in Q4 with a right shoulder injury... %P and %M plus %T</t>
  </si>
  <si>
    <t>Playing small defender</t>
  </si>
  <si>
    <t>7701_SK</t>
  </si>
  <si>
    <t>98.20000000000002</t>
  </si>
  <si>
    <t>125.66666666666667</t>
  </si>
  <si>
    <t>1647.7333333333333</t>
  </si>
  <si>
    <t>44.95132005061337</t>
  </si>
  <si>
    <t>5.0486799493866314</t>
  </si>
  <si>
    <t>http://live.fanfooty.com.au/game/matchcentre.html?id=7702</t>
  </si>
  <si>
    <t>Brayden</t>
  </si>
  <si>
    <t>Sier</t>
  </si>
  <si>
    <t>Jaw injury in Q2 and subbed off at HT... %O and %T</t>
  </si>
  <si>
    <t>Rotating in midfield</t>
  </si>
  <si>
    <t>7702_CO</t>
  </si>
  <si>
    <t>110.33333333333333</t>
  </si>
  <si>
    <t>1607.6666666666667</t>
  </si>
  <si>
    <t>1728.6666666666667</t>
  </si>
  <si>
    <t>42.041420209572365</t>
  </si>
  <si>
    <t>http://live.fanfooty.com.au/game/matchcentre.html?id=7703</t>
  </si>
  <si>
    <t>Patrick</t>
  </si>
  <si>
    <t>Ambrose</t>
  </si>
  <si>
    <t>Started as the medical sub... on in Q1... %D including %B... also %T... and booted %s</t>
  </si>
  <si>
    <t>7703_ES</t>
  </si>
  <si>
    <t>1574.0666666666666</t>
  </si>
  <si>
    <t>1772.3333333333333</t>
  </si>
  <si>
    <t>1697.4666666666667</t>
  </si>
  <si>
    <t>48.53078347865024</t>
  </si>
  <si>
    <t>http://live.fanfooty.com.au/game/matchcentre.html?id=7708</t>
  </si>
  <si>
    <t>Taylin</t>
  </si>
  <si>
    <t>Duman</t>
  </si>
  <si>
    <t>%M and %D... In defence on Burgess</t>
  </si>
  <si>
    <t>7708_FR</t>
  </si>
  <si>
    <t>170.53333333333333</t>
  </si>
  <si>
    <t>1608.4666666666667</t>
  </si>
  <si>
    <t>56.968876533775614</t>
  </si>
  <si>
    <t>34.031123466224386</t>
  </si>
  <si>
    <t>Reece</t>
  </si>
  <si>
    <t>Conca</t>
  </si>
  <si>
    <t>%O including %K... also %M and %T... Starting at half back</t>
  </si>
  <si>
    <t>193.33333333333334</t>
  </si>
  <si>
    <t>183.66666666666666</t>
  </si>
  <si>
    <t>1693.3333333333333</t>
  </si>
  <si>
    <t>90.94009411580642</t>
  </si>
  <si>
    <t>http://live.fanfooty.com.au/game/matchcentre.html?id=7709</t>
  </si>
  <si>
    <t>Lonie</t>
  </si>
  <si>
    <t>%s from %D and %T... aided by %4FF... Starting on a HFF</t>
  </si>
  <si>
    <t>7709_SK</t>
  </si>
  <si>
    <t>155.66666666666666</t>
  </si>
  <si>
    <t>164.66666666666666</t>
  </si>
  <si>
    <t>1599.0666666666666</t>
  </si>
  <si>
    <t>51.81173455863402</t>
  </si>
  <si>
    <t>http://live.fanfooty.com.au/game/matchcentre.html?id=7710</t>
  </si>
  <si>
    <t>Garner</t>
  </si>
  <si>
    <t>Carried off late in Q4 with a left leg injury... %P including %K... also %M and %T</t>
  </si>
  <si>
    <t>7710_NM</t>
  </si>
  <si>
    <t>65.93333333333334</t>
  </si>
  <si>
    <t>181.33333333333334</t>
  </si>
  <si>
    <t>1762.3333333333333</t>
  </si>
  <si>
    <t>1662.7333333333333</t>
  </si>
  <si>
    <t>50.678634339648305</t>
  </si>
  <si>
    <t>http://live.fanfooty.com.au/game/matchcentre.html?id=7712</t>
  </si>
  <si>
    <t>Caddy</t>
  </si>
  <si>
    <t>%D and %M with %T... %s as well... Playing a wing role</t>
  </si>
  <si>
    <t>7712_RI</t>
  </si>
  <si>
    <t>282.6666666666667</t>
  </si>
  <si>
    <t>1656.9333333333334</t>
  </si>
  <si>
    <t>71.29850200968694</t>
  </si>
  <si>
    <t>http://live.fanfooty.com.au/game/matchcentre.html?id=7714</t>
  </si>
  <si>
    <t>Hamish</t>
  </si>
  <si>
    <t>Hartlett</t>
  </si>
  <si>
    <t>Started as the medical sub... %M and %D</t>
  </si>
  <si>
    <t>7714_PA</t>
  </si>
  <si>
    <t>236.33333333333334</t>
  </si>
  <si>
    <t>258.06666666666666</t>
  </si>
  <si>
    <t>56.92365368390581</t>
  </si>
  <si>
    <t>http://live.fanfooty.com.au/game/matchcentre.html?id=7723</t>
  </si>
  <si>
    <t>Kaiden</t>
  </si>
  <si>
    <t>Brand</t>
  </si>
  <si>
    <t>%P including %K... also %T and %M... In defence on Marshall</t>
  </si>
  <si>
    <t>7723_SY</t>
  </si>
  <si>
    <t>51.903750660347995</t>
  </si>
  <si>
    <t>14.096249339652005</t>
  </si>
  <si>
    <t>http://live.fanfooty.com.au/game/matchcentre.html?id=7729</t>
  </si>
  <si>
    <t>Bachar</t>
  </si>
  <si>
    <t>Houli</t>
  </si>
  <si>
    <t>%P with %k by foot... also %T and %M... umps paid him %4FF... Starting on a HBF</t>
  </si>
  <si>
    <t>7729_RI</t>
  </si>
  <si>
    <t>416.6666666666667</t>
  </si>
  <si>
    <t>360.3333333333333</t>
  </si>
  <si>
    <t>1714.6666666666667</t>
  </si>
  <si>
    <t>111.43196652329114</t>
  </si>
  <si>
    <t>0.5680334767088624</t>
  </si>
  <si>
    <t>http://live.fanfooty.com.au/game/matchcentre.html?id=7744</t>
  </si>
  <si>
    <t>Ah Chee</t>
  </si>
  <si>
    <t>%P and %M plus %T... %s as well... Rotating midfield and forward</t>
  </si>
  <si>
    <t>7744_WC</t>
  </si>
  <si>
    <t>122.33333333333333</t>
  </si>
  <si>
    <t>1636.8666666666666</t>
  </si>
  <si>
    <t>1804.6666666666667</t>
  </si>
  <si>
    <t>63.142660565261906</t>
  </si>
  <si>
    <t>5.857339434738094</t>
  </si>
  <si>
    <t>http://live.fanfooty.com.au/game/matchcentre.html?id=7758</t>
  </si>
  <si>
    <t>Cousins</t>
  </si>
  <si>
    <t>Subbed off in Q4... %O and %M plus %T... %s as well</t>
  </si>
  <si>
    <t>7758_HW</t>
  </si>
  <si>
    <t>1704.3333333333333</t>
  </si>
  <si>
    <t>57.433926798868924</t>
  </si>
  <si>
    <t>2.5660732011310756</t>
  </si>
  <si>
    <t>http://live.fanfooty.com.au/game/matchcentre.html?id=7762</t>
  </si>
  <si>
    <t>Cale</t>
  </si>
  <si>
    <t>Hooker</t>
  </si>
  <si>
    <t>Right knee strapped in Q4... %O and %M plus %s</t>
  </si>
  <si>
    <t>In attack on Davis</t>
  </si>
  <si>
    <t>7762_ES</t>
  </si>
  <si>
    <t>54.53333333333333</t>
  </si>
  <si>
    <t>138.66666666666666</t>
  </si>
  <si>
    <t>1705.3333333333333</t>
  </si>
  <si>
    <t>75.47003622866768</t>
  </si>
  <si>
    <t>Zaharakis</t>
  </si>
  <si>
    <t>%D including %K... also %M and %T... and scored %s... Playing a half forward role</t>
  </si>
  <si>
    <t>183.06666666666666</t>
  </si>
  <si>
    <t>1759.6666666666667</t>
  </si>
  <si>
    <t>1656.7333333333333</t>
  </si>
  <si>
    <t>55.142338938696355</t>
  </si>
  <si>
    <t>http://live.fanfooty.com.au/game/matchcentre.html?id=7772</t>
  </si>
  <si>
    <t>Buntine</t>
  </si>
  <si>
    <t>%l Josh Kelly... %P and %T plus %s</t>
  </si>
  <si>
    <t>Playing a forward role on Stewart</t>
  </si>
  <si>
    <t>7772_WS</t>
  </si>
  <si>
    <t>42.33981626312364</t>
  </si>
  <si>
    <t>http://live.fanfooty.com.au/game/matchcentre.html?id=7784</t>
  </si>
  <si>
    <t>Marc</t>
  </si>
  <si>
    <t>%P and %M plus %T... Starting in midfield</t>
  </si>
  <si>
    <t>7784_CA</t>
  </si>
  <si>
    <t>200.13333333333333</t>
  </si>
  <si>
    <t>1588.9333333333334</t>
  </si>
  <si>
    <t>1779.6666666666667</t>
  </si>
  <si>
    <t>1685.9333333333334</t>
  </si>
  <si>
    <t>47.77712486128081</t>
  </si>
  <si>
    <t>40.22287513871919</t>
  </si>
  <si>
    <t>http://live.fanfooty.com.au/game/matchcentre.html?id=7787</t>
  </si>
  <si>
    <t>Vandenberg</t>
  </si>
  <si>
    <t>7787_ME</t>
  </si>
  <si>
    <t>56.06666666666667</t>
  </si>
  <si>
    <t>59.86666666666667</t>
  </si>
  <si>
    <t>186.33333333333334</t>
  </si>
  <si>
    <t>173.33333333333334</t>
  </si>
  <si>
    <t>1664.3333333333333</t>
  </si>
  <si>
    <t>1660.0666666666666</t>
  </si>
  <si>
    <t>30.333333333333332</t>
  </si>
  <si>
    <t>46.08334760911829</t>
  </si>
  <si>
    <t>http://live.fanfooty.com.au/game/matchcentre.html?id=7788</t>
  </si>
  <si>
    <t>Jacob</t>
  </si>
  <si>
    <t>Townsend</t>
  </si>
  <si>
    <t>%O and %M plus %s... not helped by %F... Providing defensive pressure within the attacking arc</t>
  </si>
  <si>
    <t>7788_GC</t>
  </si>
  <si>
    <t>55.46666666666667</t>
  </si>
  <si>
    <t>149.66666666666666</t>
  </si>
  <si>
    <t>1734.6666666666667</t>
  </si>
  <si>
    <t>http://live.fanfooty.com.au/game/matchcentre.html?id=7789</t>
  </si>
  <si>
    <t>Blakely</t>
  </si>
  <si>
    <t>Subbed off at HT with a hamstring injury... %P and %M plus %s</t>
  </si>
  <si>
    <t>Starting at half forward</t>
  </si>
  <si>
    <t>7789_FR</t>
  </si>
  <si>
    <t>103.46666666666667</t>
  </si>
  <si>
    <t>1614.6666666666667</t>
  </si>
  <si>
    <t>1681.6666666666667</t>
  </si>
  <si>
    <t>37.72321921739921</t>
  </si>
  <si>
    <t>Sheppard</t>
  </si>
  <si>
    <t>%M and %D... Playing tall defender on Treacy</t>
  </si>
  <si>
    <t>7789_WC</t>
  </si>
  <si>
    <t>92.06666666666666</t>
  </si>
  <si>
    <t>240.53333333333333</t>
  </si>
  <si>
    <t>1592.6666666666667</t>
  </si>
  <si>
    <t>1735.3333333333333</t>
  </si>
  <si>
    <t>1700.7333333333333</t>
  </si>
  <si>
    <t>59.28843435956634</t>
  </si>
  <si>
    <t>8.711565640433662</t>
  </si>
  <si>
    <t>http://live.fanfooty.com.au/game/matchcentre.html?id=7791</t>
  </si>
  <si>
    <t>Astbury</t>
  </si>
  <si>
    <t>%O and %M plus %T... On the resting ruck mainly McEvoy</t>
  </si>
  <si>
    <t>7791_RI</t>
  </si>
  <si>
    <t>175.73333333333332</t>
  </si>
  <si>
    <t>1553.8666666666666</t>
  </si>
  <si>
    <t>1682.6666666666667</t>
  </si>
  <si>
    <t>1738.1333333333334</t>
  </si>
  <si>
    <t>27.784896004500702</t>
  </si>
  <si>
    <t>Burgoyne</t>
  </si>
  <si>
    <t>%M and %O... Primarily responsible for Bolton</t>
  </si>
  <si>
    <t>7791_HW</t>
  </si>
  <si>
    <t>245.46666666666667</t>
  </si>
  <si>
    <t>1783.6666666666667</t>
  </si>
  <si>
    <t>87.92154299435006</t>
  </si>
  <si>
    <t>Oliver</t>
  </si>
  <si>
    <t>Hanrahan</t>
  </si>
  <si>
    <t>%D and %M plus %s... Has a rotation of opponents in the small forward role</t>
  </si>
  <si>
    <t>167.66666666666666</t>
  </si>
  <si>
    <t>142.73333333333332</t>
  </si>
  <si>
    <t>1680.6666666666667</t>
  </si>
  <si>
    <t>52.41023016762574</t>
  </si>
  <si>
    <t>8.589769832374259</t>
  </si>
  <si>
    <t>http://live.fanfooty.com.au/game/matchcentre.html?id=7792</t>
  </si>
  <si>
    <t>Harbrow</t>
  </si>
  <si>
    <t>Knock to his already-strapped left shoulder in Q4 and subbed off... %D including %K... also %M and %T... and booted %s</t>
  </si>
  <si>
    <t>Coming off a HBF</t>
  </si>
  <si>
    <t>7792_GC</t>
  </si>
  <si>
    <t>205.33333333333334</t>
  </si>
  <si>
    <t>1808.6666666666667</t>
  </si>
  <si>
    <t>1756.1333333333334</t>
  </si>
  <si>
    <t>46.859193773195855</t>
  </si>
  <si>
    <t>13.140806226804145</t>
  </si>
  <si>
    <t>%H... also %P and %T... First ruck</t>
  </si>
  <si>
    <t>1531.6666666666667</t>
  </si>
  <si>
    <t>83.36171016801528</t>
  </si>
  <si>
    <t>http://live.fanfooty.com.au/game/matchcentre.html?id=7793</t>
  </si>
  <si>
    <t>Hutchings</t>
  </si>
  <si>
    <t>%l Luke Edwards... %P and %M</t>
  </si>
  <si>
    <t>Tagging Zorko</t>
  </si>
  <si>
    <t>7793_WC</t>
  </si>
  <si>
    <t>1646.6666666666667</t>
  </si>
  <si>
    <t>1642.1333333333334</t>
  </si>
  <si>
    <t>46.01701293180843</t>
  </si>
  <si>
    <t>Vardy</t>
  </si>
  <si>
    <t>%H... also %P and %M... and booted %s... Playing a ruck/forward role on Lester</t>
  </si>
  <si>
    <t>16.933333333333334</t>
  </si>
  <si>
    <t>1627.0666666666666</t>
  </si>
  <si>
    <t>53.880612716747876</t>
  </si>
  <si>
    <t>http://live.fanfooty.com.au/game/matchcentre.html?id=7795</t>
  </si>
  <si>
    <t>Eddie</t>
  </si>
  <si>
    <t>Betts</t>
  </si>
  <si>
    <t>%s from %D and %M... Starting deep forward</t>
  </si>
  <si>
    <t>7795_CA</t>
  </si>
  <si>
    <t>61.733333333333334</t>
  </si>
  <si>
    <t>78.73333333333333</t>
  </si>
  <si>
    <t>152.33333333333334</t>
  </si>
  <si>
    <t>1566.8666666666666</t>
  </si>
  <si>
    <t>1819.6666666666667</t>
  </si>
  <si>
    <t>58.81318696283072</t>
  </si>
  <si>
    <t>http://live.fanfooty.com.au/game/matchcentre.html?id=7796</t>
  </si>
  <si>
    <t>Bewley</t>
  </si>
  <si>
    <t>%O and %M... Playing a forward role</t>
  </si>
  <si>
    <t>7796_FR</t>
  </si>
  <si>
    <t>1661.1333333333334</t>
  </si>
  <si>
    <t>64.60249280920642</t>
  </si>
  <si>
    <t>http://live.fanfooty.com.au/game/matchcentre.html?id=7797</t>
  </si>
  <si>
    <t>%P and %M plus %T... Has a number of opponents including Noble</t>
  </si>
  <si>
    <t>7797_ES</t>
  </si>
  <si>
    <t>153.33333333333334</t>
  </si>
  <si>
    <t>1522.3333333333333</t>
  </si>
  <si>
    <t>67.79987759179997</t>
  </si>
  <si>
    <t>Mayne</t>
  </si>
  <si>
    <t>Final game for the Pie... %D including %B... also %M and %T... Starting on a wing</t>
  </si>
  <si>
    <t>7797_CO</t>
  </si>
  <si>
    <t>178.33333333333334</t>
  </si>
  <si>
    <t>237.73333333333332</t>
  </si>
  <si>
    <t>1504.3333333333333</t>
  </si>
  <si>
    <t>1660.6666666666667</t>
  </si>
  <si>
    <t>82.93874172255336</t>
  </si>
  <si>
    <t>27.06125827744664</t>
  </si>
  <si>
    <t>%D and %M with %T... %s as well... Starting at half forward</t>
  </si>
  <si>
    <t>167.33333333333334</t>
  </si>
  <si>
    <t>60.75371304422836</t>
  </si>
  <si>
    <t>14.246286955771637</t>
  </si>
  <si>
    <t>http://live.fanfooty.com.au/game/matchcentre.html?id=7798</t>
  </si>
  <si>
    <t>Tom T.</t>
  </si>
  <si>
    <t>Lynch</t>
  </si>
  <si>
    <t>%s from %O and %M plus %T... Playing a high HFF role</t>
  </si>
  <si>
    <t>7798_AD</t>
  </si>
  <si>
    <t>237.66666666666666</t>
  </si>
  <si>
    <t>246.33333333333334</t>
  </si>
  <si>
    <t>1677.6666666666667</t>
  </si>
  <si>
    <t>1615.1333333333334</t>
  </si>
  <si>
    <t>1666.4666666666667</t>
  </si>
  <si>
    <t>96.66666666666667</t>
  </si>
  <si>
    <t>80.71615924248273</t>
  </si>
  <si>
    <t>26.283840757517268</t>
  </si>
  <si>
    <t>Seedsman</t>
  </si>
  <si>
    <t>tagged</t>
  </si>
  <si>
    <t>Tagged by Turner... %D and %M with %T... %s as well</t>
  </si>
  <si>
    <t>Starting on a wing</t>
  </si>
  <si>
    <t>583.4666666666667</t>
  </si>
  <si>
    <t>92.02755482912885</t>
  </si>
  <si>
    <t>Mackay</t>
  </si>
  <si>
    <t>77.06666666666666</t>
  </si>
  <si>
    <t>252.86666666666667</t>
  </si>
  <si>
    <t>1546.2666666666667</t>
  </si>
  <si>
    <t>26.033449941734403</t>
  </si>
  <si>
    <t>Atley</t>
  </si>
  <si>
    <t>%O with %b by hand... also %M and %T... Playing a HBF role</t>
  </si>
  <si>
    <t>7798_NM</t>
  </si>
  <si>
    <t>116.33333333333333</t>
  </si>
  <si>
    <t>1547.6666666666667</t>
  </si>
  <si>
    <t>1595.7333333333333</t>
  </si>
  <si>
    <t>1741.3333333333333</t>
  </si>
  <si>
    <t>1699.1333333333334</t>
  </si>
  <si>
    <t>http://live.fanfooty.com.au/game/matchcentre.html?id=7802</t>
  </si>
  <si>
    <t>Sam J.</t>
  </si>
  <si>
    <t>%O and %T... Minding Papley</t>
  </si>
  <si>
    <t>7802_WS</t>
  </si>
  <si>
    <t>111.46666666666667</t>
  </si>
  <si>
    <t>1626.1333333333334</t>
  </si>
  <si>
    <t>70.55414208595619</t>
  </si>
  <si>
    <t>http://live.fanfooty.com.au/game/matchcentre.html?id=7804</t>
  </si>
  <si>
    <t>Martin</t>
  </si>
  <si>
    <t>Gleeson</t>
  </si>
  <si>
    <t>7804_ES</t>
  </si>
  <si>
    <t>82.86666666666666</t>
  </si>
  <si>
    <t>187.66666666666666</t>
  </si>
  <si>
    <t>148.73333333333332</t>
  </si>
  <si>
    <t>1538.3333333333333</t>
  </si>
  <si>
    <t>86.08443327570393</t>
  </si>
  <si>
    <t>http://live.fanfooty.com.au/game/matchcentre.html?id=7805</t>
  </si>
  <si>
    <t>Mumford</t>
  </si>
  <si>
    <t>Carried a sore back in the second half... %D and %M with %T... %s as well</t>
  </si>
  <si>
    <t>7805_WS</t>
  </si>
  <si>
    <t>25.066666666666666</t>
  </si>
  <si>
    <t>1676.3333333333333</t>
  </si>
  <si>
    <t>85.17723430864733</t>
  </si>
  <si>
    <t>12.822765691352672</t>
  </si>
  <si>
    <t>http://live.fanfooty.com.au/game/matchcentre.html?id=7806</t>
  </si>
  <si>
    <t>Birchall</t>
  </si>
  <si>
    <t>%M and %P... Starting at half back</t>
  </si>
  <si>
    <t>7806_BL</t>
  </si>
  <si>
    <t>13.066666666666666</t>
  </si>
  <si>
    <t>337.3333333333333</t>
  </si>
  <si>
    <t>331.26666666666665</t>
  </si>
  <si>
    <t>1695.9333333333334</t>
  </si>
  <si>
    <t>1597.9333333333334</t>
  </si>
  <si>
    <t>93.89363894386103</t>
  </si>
  <si>
    <t>http://live.fanfooty.com.au/game/matchcentre.html?id=7807</t>
  </si>
  <si>
    <t>Lachie</t>
  </si>
  <si>
    <t>In defence on McDonald</t>
  </si>
  <si>
    <t>7807_GE</t>
  </si>
  <si>
    <t>97.00000000000001</t>
  </si>
  <si>
    <t>11.066666666666666</t>
  </si>
  <si>
    <t>294.1333333333333</t>
  </si>
  <si>
    <t>1557.4666666666667</t>
  </si>
  <si>
    <t>46.82551646815082</t>
  </si>
  <si>
    <t>4.174483531849177</t>
  </si>
  <si>
    <t>http://live.fanfooty.com.au/game/matchcentre.html?id=7809</t>
  </si>
  <si>
    <t>Easton</t>
  </si>
  <si>
    <t>Right wrist knock in Q2... %P and %M plus %T</t>
  </si>
  <si>
    <t>In defence on Fritsch</t>
  </si>
  <si>
    <t>7809_WB</t>
  </si>
  <si>
    <t>103.40000000000003</t>
  </si>
  <si>
    <t>1600.3333333333333</t>
  </si>
  <si>
    <t>1607.3333333333333</t>
  </si>
  <si>
    <t>http://live.fanfooty.com.au/game/matchcentre.html?id=7902</t>
  </si>
  <si>
    <t>Williamson</t>
  </si>
  <si>
    <t>Started as a sub</t>
  </si>
  <si>
    <t>7902_CA</t>
  </si>
  <si>
    <t>83.20000000000005</t>
  </si>
  <si>
    <t>166.33333333333334</t>
  </si>
  <si>
    <t>206.93333333333334</t>
  </si>
  <si>
    <t>1700.3333333333333</t>
  </si>
  <si>
    <t>43.11264434764295</t>
  </si>
  <si>
    <t>http://live.fanfooty.com.au/game/matchcentre.html?id=7908</t>
  </si>
  <si>
    <t>McPherson</t>
  </si>
  <si>
    <t>Left hamstring pull in Q2 and subbed off... %P and %M</t>
  </si>
  <si>
    <t>Rotating in defence</t>
  </si>
  <si>
    <t>7908_AD</t>
  </si>
  <si>
    <t>1552.6666666666667</t>
  </si>
  <si>
    <t>44.38614934604018</t>
  </si>
  <si>
    <t>http://live.fanfooty.com.au/game/matchcentre.html?id=7924</t>
  </si>
  <si>
    <t>Jared</t>
  </si>
  <si>
    <t>Polec</t>
  </si>
  <si>
    <t>ghost</t>
  </si>
  <si>
    <t>%P and %M plus %s</t>
  </si>
  <si>
    <t>Running on the outside</t>
  </si>
  <si>
    <t>7924_NM</t>
  </si>
  <si>
    <t>223.33333333333334</t>
  </si>
  <si>
    <t>254.06666666666666</t>
  </si>
  <si>
    <t>1778.4666666666667</t>
  </si>
  <si>
    <t>79.57168513681937</t>
  </si>
  <si>
    <t>http://live.fanfooty.com.au/game/matchcentre.html?id=7937</t>
  </si>
  <si>
    <t>%O and %M... In defence on Daniher</t>
  </si>
  <si>
    <t>7937_CO</t>
  </si>
  <si>
    <t>182.33333333333334</t>
  </si>
  <si>
    <t>190.53333333333333</t>
  </si>
  <si>
    <t>57.74557603135649</t>
  </si>
  <si>
    <t>http://live.fanfooty.com.au/game/matchcentre.html?id=7945</t>
  </si>
  <si>
    <t>Phillips</t>
  </si>
  <si>
    <t>%D and %T... Running through midfield</t>
  </si>
  <si>
    <t>7945_HW</t>
  </si>
  <si>
    <t>146.66666666666666</t>
  </si>
  <si>
    <t>227.46666666666667</t>
  </si>
  <si>
    <t>1088.6666666666667</t>
  </si>
  <si>
    <t>1093.6666666666667</t>
  </si>
  <si>
    <t>1518.7333333333333</t>
  </si>
  <si>
    <t>25.666666666666668</t>
  </si>
  <si>
    <t>63.34757734409032</t>
  </si>
  <si>
    <t>http://live.fanfooty.com.au/game/matchcentre.html?id=7952</t>
  </si>
  <si>
    <t>Parker</t>
  </si>
  <si>
    <t>On in Q3 for Dow... %O and %T... Started as the sub</t>
  </si>
  <si>
    <t>7952_RI</t>
  </si>
  <si>
    <t>101.20000000000005</t>
  </si>
  <si>
    <t>1753.6666666666667</t>
  </si>
  <si>
    <t>1683.3333333333333</t>
  </si>
  <si>
    <t>31.666666666666668</t>
  </si>
  <si>
    <t>47.42171826788591</t>
  </si>
  <si>
    <t>http://live.fanfooty.com.au/game/matchcentre.html?id=7966</t>
  </si>
  <si>
    <t>Sydney</t>
  </si>
  <si>
    <t>Stack</t>
  </si>
  <si>
    <t>Started as the sub</t>
  </si>
  <si>
    <t>7966_RI</t>
  </si>
  <si>
    <t>181.26666666666668</t>
  </si>
  <si>
    <t>1623.8666666666666</t>
  </si>
  <si>
    <t>29.666666666666668</t>
  </si>
  <si>
    <t>45.51326957910213</t>
  </si>
  <si>
    <t>http://live.fanfooty.com.au/game/matchcentre.html?id=7973</t>
  </si>
  <si>
    <t>Madgen</t>
  </si>
  <si>
    <t>Right shoulder dislocation in Q2 and subbed off at HT... %D and %T</t>
  </si>
  <si>
    <t>Deep in defence on Khamis</t>
  </si>
  <si>
    <t>7973_CO</t>
  </si>
  <si>
    <t>154.46666666666667</t>
  </si>
  <si>
    <t>1565.3333333333333</t>
  </si>
  <si>
    <t>1637.0666666666666</t>
  </si>
  <si>
    <t>1653.7333333333333</t>
  </si>
  <si>
    <t>42.333333333333336</t>
  </si>
  <si>
    <t>41.52832998833076</t>
  </si>
  <si>
    <t>http://live.fanfooty.com.au/game/matchcentre.html?id=7979</t>
  </si>
  <si>
    <t>Rory</t>
  </si>
  <si>
    <t>%D and %M with %T... In defence on Treacy</t>
  </si>
  <si>
    <t>7979_GC</t>
  </si>
  <si>
    <t>0.2133333333333333</t>
  </si>
  <si>
    <t>0.23199999999999996</t>
  </si>
  <si>
    <t>0.18466666666666667</t>
  </si>
  <si>
    <t>92.86666666666666</t>
  </si>
  <si>
    <t>1515.8666666666666</t>
  </si>
  <si>
    <t>40.91016997971091</t>
  </si>
  <si>
    <t>10.089830020289092</t>
  </si>
  <si>
    <t>http://live.fanfooty.com.au/game/matchcentre.html?id=7982</t>
  </si>
  <si>
    <t>7982_SY</t>
  </si>
  <si>
    <t>59.266666666666666</t>
  </si>
  <si>
    <t>100.93333333333334</t>
  </si>
  <si>
    <t>1560.2666666666667</t>
  </si>
  <si>
    <t>41.05174151320916</t>
  </si>
  <si>
    <t>http://live.fanfooty.com.au/game/matchcentre.html?id=7993</t>
  </si>
  <si>
    <t>%M and %D... Playing small defender</t>
  </si>
  <si>
    <t>7993_AD</t>
  </si>
  <si>
    <t>100.20000000000005</t>
  </si>
  <si>
    <t>112.33333333333333</t>
  </si>
  <si>
    <t>212.26666666666668</t>
  </si>
  <si>
    <t>1577.5333333333333</t>
  </si>
  <si>
    <t>1715.6666666666667</t>
  </si>
  <si>
    <t>45.333333333333336</t>
  </si>
  <si>
    <t>82.80295501647177</t>
  </si>
  <si>
    <t>http://live.fanfooty.com.au/game/matchcentre.html?id=7999</t>
  </si>
  <si>
    <t>Devon</t>
  </si>
  <si>
    <t>%s from %O and %T... Starting forward</t>
  </si>
  <si>
    <t>7999_ES</t>
  </si>
  <si>
    <t>1671.6666666666667</t>
  </si>
  <si>
    <t>62.20996354300281</t>
  </si>
  <si>
    <t>http://live.fanfooty.com.au/game/matchcentre.html?id=8000</t>
  </si>
  <si>
    <t>Wallis</t>
  </si>
  <si>
    <t>8000_WB</t>
  </si>
  <si>
    <t>61.13333333333333</t>
  </si>
  <si>
    <t>1750.6666666666667</t>
  </si>
  <si>
    <t>1714.0666666666666</t>
  </si>
  <si>
    <t>1525.3333333333333</t>
  </si>
  <si>
    <t>33.666666666666664</t>
  </si>
  <si>
    <t>43.41611568418061</t>
  </si>
  <si>
    <t>http://live.fanfooty.com.au/game/matchcentre.html?id=8003</t>
  </si>
  <si>
    <t>Ronke</t>
  </si>
  <si>
    <t>On in Q1 for O'Riordan... %D... Started as the sub</t>
  </si>
  <si>
    <t>8003_SY</t>
  </si>
  <si>
    <t>67.86666666666666</t>
  </si>
  <si>
    <t>1649.2666666666667</t>
  </si>
  <si>
    <t>1623.5333333333333</t>
  </si>
  <si>
    <t>44.71959856147247</t>
  </si>
  <si>
    <t>http://live.fanfooty.com.au/game/matchcentre.html?id=8005</t>
  </si>
  <si>
    <t>Crowden</t>
  </si>
  <si>
    <t>8005_FR</t>
  </si>
  <si>
    <t>63.13333333333333</t>
  </si>
  <si>
    <t>163.33333333333334</t>
  </si>
  <si>
    <t>1575.1333333333334</t>
  </si>
  <si>
    <t>1710.7333333333333</t>
  </si>
  <si>
    <t>40.24647248614449</t>
  </si>
  <si>
    <t>http://live.fanfooty.com.au/game/matchcentre.html?id=8006</t>
  </si>
  <si>
    <t>Trent</t>
  </si>
  <si>
    <t>Dumont</t>
  </si>
  <si>
    <t>Right calf problem in Q3 and subbed off... %O with %b by hand</t>
  </si>
  <si>
    <t>On a wing on McIntosh</t>
  </si>
  <si>
    <t>8006_PA</t>
  </si>
  <si>
    <t>236.93333333333334</t>
  </si>
  <si>
    <t>1670.6666666666667</t>
  </si>
  <si>
    <t>49.82514855030307</t>
  </si>
  <si>
    <t>http://live.fanfooty.com.au/game/matchcentre.html?id=8007</t>
  </si>
  <si>
    <t>Cutler</t>
  </si>
  <si>
    <t>%l Andrew McGrath... %P with %k by foot... also %M and %T</t>
  </si>
  <si>
    <t>8007_ES</t>
  </si>
  <si>
    <t>12.066666666666666</t>
  </si>
  <si>
    <t>382.53333333333336</t>
  </si>
  <si>
    <t>1482.6666666666667</t>
  </si>
  <si>
    <t>1601.7333333333333</t>
  </si>
  <si>
    <t>1812.3333333333333</t>
  </si>
  <si>
    <t>60.83001411345947</t>
  </si>
  <si>
    <t>Alec</t>
  </si>
  <si>
    <t>Waterman</t>
  </si>
  <si>
    <t>On in Q3 for Parish... %O and %T... Started as the sub</t>
  </si>
  <si>
    <t>67.06666666666666</t>
  </si>
  <si>
    <t>1649.8666666666666</t>
  </si>
  <si>
    <t>http://live.fanfooty.com.au/game/matchcentre.html?id=8008</t>
  </si>
  <si>
    <t>Hartigan</t>
  </si>
  <si>
    <t>%O with %k by foot... also %M... conceded %F... In defence on Lobb</t>
  </si>
  <si>
    <t>8008_HW</t>
  </si>
  <si>
    <t>92.13333333333334</t>
  </si>
  <si>
    <t>98.13333333333334</t>
  </si>
  <si>
    <t>1508.6666666666667</t>
  </si>
  <si>
    <t>1629.0666666666666</t>
  </si>
  <si>
    <t>1782.6666666666667</t>
  </si>
  <si>
    <t>36.544424945165574</t>
  </si>
  <si>
    <t>http://live.fanfooty.com.au/game/matchcentre.html?id=8009</t>
  </si>
  <si>
    <t>Hit his head on the ground early in Q3 after flying for a mark and went off for concussion test... failed and did not return... %D and %M with %T... %s as well</t>
  </si>
  <si>
    <t>8009_SK</t>
  </si>
  <si>
    <t>272.6666666666667</t>
  </si>
  <si>
    <t>1689.9333333333334</t>
  </si>
  <si>
    <t>1599.8666666666666</t>
  </si>
  <si>
    <t>50.374439335592186</t>
  </si>
  <si>
    <t>5.625560664407814</t>
  </si>
  <si>
    <t>http://live.fanfooty.com.au/game/matchcentre.html?id=8010</t>
  </si>
  <si>
    <t>de Boer</t>
  </si>
  <si>
    <t>%P and %T plus %s... Playing a pressure forward role</t>
  </si>
  <si>
    <t>8010_WS</t>
  </si>
  <si>
    <t>103.66666666666667</t>
  </si>
  <si>
    <t>1833.3333333333333</t>
  </si>
  <si>
    <t>1552.4666666666667</t>
  </si>
  <si>
    <t>1458.3333333333333</t>
  </si>
  <si>
    <t>52.25783640529794</t>
  </si>
  <si>
    <t>15.742163594702063</t>
  </si>
  <si>
    <t>http://live.fanfooty.com.au/game/matchcentre.html?id=8014</t>
  </si>
  <si>
    <t>O'Riordan</t>
  </si>
  <si>
    <t>%M and %P... Rotating in defence</t>
  </si>
  <si>
    <t>8014_SY</t>
  </si>
  <si>
    <t>126.66666666666667</t>
  </si>
  <si>
    <t>1718.3333333333333</t>
  </si>
  <si>
    <t>82.82829024642965</t>
  </si>
  <si>
    <t>http://live.fanfooty.com.au/game/matchcentre.html?id=8016</t>
  </si>
  <si>
    <t>Brander</t>
  </si>
  <si>
    <t>On in Q2 for Preuss... %D with %k by foot... also %M... and scored %s... Started as the sub</t>
  </si>
  <si>
    <t>8016_WS</t>
  </si>
  <si>
    <t>235.73333333333332</t>
  </si>
  <si>
    <t>1672.6666666666667</t>
  </si>
  <si>
    <t>1511.3333333333333</t>
  </si>
  <si>
    <t>1561.4666666666667</t>
  </si>
  <si>
    <t>51.726985975977456</t>
  </si>
  <si>
    <t>2.273014024022544</t>
  </si>
  <si>
    <t>http://live.fanfooty.com.au/game/matchcentre.html?id=8023</t>
  </si>
  <si>
    <t>8023_SY</t>
  </si>
  <si>
    <t>1719.3333333333333</t>
  </si>
  <si>
    <t>1646.7333333333333</t>
  </si>
  <si>
    <t>1630.8666666666666</t>
  </si>
  <si>
    <t>40.51637098458643</t>
  </si>
  <si>
    <t>http://live.fanfooty.com.au/game/matchcentre.html?id=8026</t>
  </si>
  <si>
    <t>Motlop</t>
  </si>
  <si>
    <t>%s from %D and %M with %T... Starting forward</t>
  </si>
  <si>
    <t>8026_PA</t>
  </si>
  <si>
    <t>1472.8666666666666</t>
  </si>
  <si>
    <t>64.81186010896535</t>
  </si>
  <si>
    <t>Mayes</t>
  </si>
  <si>
    <t>51.53333333333333</t>
  </si>
  <si>
    <t>102.93333333333334</t>
  </si>
  <si>
    <t>36.48332712064505</t>
  </si>
  <si>
    <t>http://live.fanfooty.com.au/game/matchcentre.html?id=8030</t>
  </si>
  <si>
    <t>Mitch W.</t>
  </si>
  <si>
    <t>%l Luke Jackson... %O including %K... also %M and %T... and scored %s</t>
  </si>
  <si>
    <t>Playing a forward/ruck role on Butts</t>
  </si>
  <si>
    <t>8030_ME</t>
  </si>
  <si>
    <t>129.66666666666666</t>
  </si>
  <si>
    <t>1663.3333333333333</t>
  </si>
  <si>
    <t>1686.9333333333334</t>
  </si>
  <si>
    <t>1.0153661231853022</t>
  </si>
  <si>
    <t>http://live.fanfooty.com.au/game/matchcentre.html?id=8031</t>
  </si>
  <si>
    <t>Higgins</t>
  </si>
  <si>
    <t>On in Q4 for Kolodjashnij... %D with %b by hand... also %M... Started as the sub</t>
  </si>
  <si>
    <t>8031_GE</t>
  </si>
  <si>
    <t>214.73333333333332</t>
  </si>
  <si>
    <t>1720.2666666666667</t>
  </si>
  <si>
    <t>57.07682039708489</t>
  </si>
  <si>
    <t>http://live.fanfooty.com.au/game/matchcentre.html?id=8033</t>
  </si>
  <si>
    <t>Kane</t>
  </si>
  <si>
    <t>Lambert</t>
  </si>
  <si>
    <t>On in Q3 for Martin... %O... Started as the sub</t>
  </si>
  <si>
    <t>8033_RI</t>
  </si>
  <si>
    <t>101.66666666666667</t>
  </si>
  <si>
    <t>193.26666666666668</t>
  </si>
  <si>
    <t>1657.0666666666666</t>
  </si>
  <si>
    <t>1608.3333333333333</t>
  </si>
  <si>
    <t>20.333333333333332</t>
  </si>
  <si>
    <t>49.978422536887905</t>
  </si>
  <si>
    <t>http://live.fanfooty.com.au/game/matchcentre.html?id=8038</t>
  </si>
  <si>
    <t>Tyler</t>
  </si>
  <si>
    <t>8038_CO</t>
  </si>
  <si>
    <t>21.333333333333332</t>
  </si>
  <si>
    <t>52.46666666666667</t>
  </si>
  <si>
    <t>1659.7333333333333</t>
  </si>
  <si>
    <t>32.57935068741892</t>
  </si>
  <si>
    <t>http://live.fanfooty.com.au/game/matchcentre.html?id=8039</t>
  </si>
  <si>
    <t>Aarts</t>
  </si>
  <si>
    <t>%s from %P and %M plus %T... Playing defensive forward</t>
  </si>
  <si>
    <t>8039_RI</t>
  </si>
  <si>
    <t>114.33333333333333</t>
  </si>
  <si>
    <t>1603.5333333333333</t>
  </si>
  <si>
    <t>1684.2666666666667</t>
  </si>
  <si>
    <t>56.15707157234827</t>
  </si>
  <si>
    <t>15.842928427651728</t>
  </si>
  <si>
    <t>http://live.fanfooty.com.au/game/matchcentre.html?id=8041</t>
  </si>
  <si>
    <t>Phil</t>
  </si>
  <si>
    <t>Bad hamstring strain in Q3... %M and %O</t>
  </si>
  <si>
    <t>In defence on Dixon</t>
  </si>
  <si>
    <t>8041_WS</t>
  </si>
  <si>
    <t>1686.3333333333333</t>
  </si>
  <si>
    <t>1574.5333333333333</t>
  </si>
  <si>
    <t>43.097722514151116</t>
  </si>
  <si>
    <t>2.9022774858488845</t>
  </si>
  <si>
    <t>http://live.fanfooty.com.au/game/matchcentre.html?id=8043</t>
  </si>
  <si>
    <t>Hately</t>
  </si>
  <si>
    <t>%O and %M plus %T... Doing jobs in midfield</t>
  </si>
  <si>
    <t>8043_AD</t>
  </si>
  <si>
    <t>222.66666666666666</t>
  </si>
  <si>
    <t>247.13333333333333</t>
  </si>
  <si>
    <t>54.26269432564817</t>
  </si>
  <si>
    <t>http://live.fanfooty.com.au/game/matchcentre.html?id=8045</t>
  </si>
  <si>
    <t>Ryder</t>
  </si>
  <si>
    <t>Subbed off in Q3 with a left calf injury... %H... also %P and %M</t>
  </si>
  <si>
    <t>8045_SK</t>
  </si>
  <si>
    <t>1662.0666666666666</t>
  </si>
  <si>
    <t>52.124546641281185</t>
  </si>
  <si>
    <t>http://live.fanfooty.com.au/game/matchcentre.html?id=8052</t>
  </si>
  <si>
    <t>Dunstan</t>
  </si>
  <si>
    <t>8052_ME</t>
  </si>
  <si>
    <t>1658.1333333333334</t>
  </si>
  <si>
    <t>1630.7333333333333</t>
  </si>
  <si>
    <t>61.39143180527277</t>
  </si>
  <si>
    <t>http://live.fanfooty.com.au/game/matchcentre.html?id=8053</t>
  </si>
  <si>
    <t>Ham</t>
  </si>
  <si>
    <t>8053_ES</t>
  </si>
  <si>
    <t>54.333333333333336</t>
  </si>
  <si>
    <t>106.33333333333333</t>
  </si>
  <si>
    <t>1834.6666666666667</t>
  </si>
  <si>
    <t>1465.6666666666667</t>
  </si>
  <si>
    <t>1651.4666666666667</t>
  </si>
  <si>
    <t>33.94807847755787</t>
  </si>
  <si>
    <t>http://live.fanfooty.com.au/game/matchcentre.html?id=8063</t>
  </si>
  <si>
    <t>Colyer</t>
  </si>
  <si>
    <t>Kicked %s from %G and %O... Playing a forward role</t>
  </si>
  <si>
    <t>8063_FR</t>
  </si>
  <si>
    <t>96.20000000000005</t>
  </si>
  <si>
    <t>269.3333333333333</t>
  </si>
  <si>
    <t>276.26666666666665</t>
  </si>
  <si>
    <t>1700.5333333333333</t>
  </si>
  <si>
    <t>60.30063491468749</t>
  </si>
  <si>
    <t>http://live.fanfooty.com.au/game/matchcentre.html?id=8065</t>
  </si>
  <si>
    <t>Josh P.</t>
  </si>
  <si>
    <t>8065_SY</t>
  </si>
  <si>
    <t>197.66666666666666</t>
  </si>
  <si>
    <t>1767.6666666666667</t>
  </si>
  <si>
    <t>1517.3333333333333</t>
  </si>
  <si>
    <t>57.460352356180465</t>
  </si>
  <si>
    <t>http://live.fanfooty.com.au/game/matchcentre.html?id=8070</t>
  </si>
  <si>
    <t>Nakia</t>
  </si>
  <si>
    <t>Cockatoo</t>
  </si>
  <si>
    <t>%l Brandon Starcevich... %D including %K... also %M and %T</t>
  </si>
  <si>
    <t>Rotating at half back</t>
  </si>
  <si>
    <t>8070_BL</t>
  </si>
  <si>
    <t>64.53333333333333</t>
  </si>
  <si>
    <t>123.66666666666667</t>
  </si>
  <si>
    <t>1490.6666666666667</t>
  </si>
  <si>
    <t>48.22445164156156</t>
  </si>
  <si>
    <t>2.775548358438442</t>
  </si>
  <si>
    <t>http://live.fanfooty.com.au/game/matchcentre.html?id=8074</t>
  </si>
  <si>
    <t>Braydon</t>
  </si>
  <si>
    <t>Preuss</t>
  </si>
  <si>
    <t>%H... also %P and %M... and booted %s... First ruck</t>
  </si>
  <si>
    <t>8074_WS</t>
  </si>
  <si>
    <t>30.666666666666668</t>
  </si>
  <si>
    <t>27.733333333333334</t>
  </si>
  <si>
    <t>54.733333333333334</t>
  </si>
  <si>
    <t>294.3333333333333</t>
  </si>
  <si>
    <t>3.066488587298494</t>
  </si>
  <si>
    <t>%s from %O and %M... In attack on Aleer</t>
  </si>
  <si>
    <t>8074_ES</t>
  </si>
  <si>
    <t>188.86666666666667</t>
  </si>
  <si>
    <t>1617.6666666666667</t>
  </si>
  <si>
    <t>61.341200047516736</t>
  </si>
  <si>
    <t>5.658799952483264</t>
  </si>
  <si>
    <t>http://live.fanfooty.com.au/game/matchcentre.html?id=8076</t>
  </si>
  <si>
    <t>Dahlhaus</t>
  </si>
  <si>
    <t>%l Patrick Dangerfield... %D with %b by hand... also %T and %M... umps paid him %4FF</t>
  </si>
  <si>
    <t>8076_GE</t>
  </si>
  <si>
    <t>65.53333333333333</t>
  </si>
  <si>
    <t>1569.9333333333334</t>
  </si>
  <si>
    <t>48.26798083225812</t>
  </si>
  <si>
    <t>9.732019167741882</t>
  </si>
  <si>
    <t>http://live.fanfooty.com.au/game/matchcentre.html?id=8078</t>
  </si>
  <si>
    <t>%O and %M... Playing key defender on Reid</t>
  </si>
  <si>
    <t>8078_NM</t>
  </si>
  <si>
    <t>90.66666666666667</t>
  </si>
  <si>
    <t>209.66666666666666</t>
  </si>
  <si>
    <t>1499.6666666666667</t>
  </si>
  <si>
    <t>1458.7333333333333</t>
  </si>
  <si>
    <t>1790.6666666666667</t>
  </si>
  <si>
    <t>1835.8666666666666</t>
  </si>
  <si>
    <t>53.77966433120667</t>
  </si>
  <si>
    <t>0.22033566879333222</t>
  </si>
  <si>
    <t>http://live.fanfooty.com.au/game/matchcentre.html?id=8079</t>
  </si>
  <si>
    <t>Marcus</t>
  </si>
  <si>
    <t>Adams</t>
  </si>
  <si>
    <t>Heavy knock in a contest in Q4 and did not return... %M and %O</t>
  </si>
  <si>
    <t>In defence on Charlie Curnow</t>
  </si>
  <si>
    <t>8079_BL</t>
  </si>
  <si>
    <t>94.53333333333333</t>
  </si>
  <si>
    <t>268.46666666666664</t>
  </si>
  <si>
    <t>1684.9333333333334</t>
  </si>
  <si>
    <t>44.44800489760745</t>
  </si>
  <si>
    <t>http://live.fanfooty.com.au/game/matchcentre.html?id=8080</t>
  </si>
  <si>
    <t>Josh J.</t>
  </si>
  <si>
    <t>target</t>
  </si>
  <si>
    <t>Three long set shot goals in Q1... Booted %s from %G and %P</t>
  </si>
  <si>
    <t>At FF on Butts then got Murray in Q2</t>
  </si>
  <si>
    <t>8080_WC</t>
  </si>
  <si>
    <t>167.06666666666666</t>
  </si>
  <si>
    <t>1648.9333333333334</t>
  </si>
  <si>
    <t>63.36166024107069</t>
  </si>
  <si>
    <t>http://live.fanfooty.com.au/game/matchcentre.html?id=8082</t>
  </si>
  <si>
    <t>Stefan</t>
  </si>
  <si>
    <t>%H... also %P and %M... Tandem ruck with English</t>
  </si>
  <si>
    <t>8082_WB</t>
  </si>
  <si>
    <t>47.86666666666667</t>
  </si>
  <si>
    <t>1566.3333333333333</t>
  </si>
  <si>
    <t>69.85562002632227</t>
  </si>
  <si>
    <t>http://live.fanfooty.com.au/game/matchcentre.html?id=8083</t>
  </si>
  <si>
    <t>%l Wayne Milera... %s from %P and %M</t>
  </si>
  <si>
    <t>Playing a half forward role</t>
  </si>
  <si>
    <t>8083_AD</t>
  </si>
  <si>
    <t>115.66666666666667</t>
  </si>
  <si>
    <t>207.33333333333334</t>
  </si>
  <si>
    <t>1644.7333333333333</t>
  </si>
  <si>
    <t>1644.6666666666667</t>
  </si>
  <si>
    <t>44.090801581665666</t>
  </si>
  <si>
    <t>32.909198418334334</t>
  </si>
  <si>
    <t>Anderson</t>
  </si>
  <si>
    <t>Copped a boot to the face in Q3 and looked proppy but played on before being pulled at 3QT with concussion... %O and %M plus %T</t>
  </si>
  <si>
    <t>8083_NM</t>
  </si>
  <si>
    <t>289.3333333333333</t>
  </si>
  <si>
    <t>1498.6666666666667</t>
  </si>
  <si>
    <t>1789.6666666666667</t>
  </si>
  <si>
    <t>60.76363851357084</t>
  </si>
  <si>
    <t>http://live.fanfooty.com.au/game/matchcentre.html?id=8086</t>
  </si>
  <si>
    <t>Nic</t>
  </si>
  <si>
    <t>Naitanui</t>
  </si>
  <si>
    <t>%H... also %P and %T... helped out by %4FF... First ruck</t>
  </si>
  <si>
    <t>8086_WC</t>
  </si>
  <si>
    <t>178.13333333333333</t>
  </si>
  <si>
    <t>109.26424558422187</t>
  </si>
  <si>
    <t>http://live.fanfooty.com.au/game/matchcentre.html?id=8087</t>
  </si>
  <si>
    <t>Jason</t>
  </si>
  <si>
    <t>Castagna</t>
  </si>
  <si>
    <t>On in Q4 for Graham... %O and %s... Started as the sub</t>
  </si>
  <si>
    <t>8087_RI</t>
  </si>
  <si>
    <t>60.53333333333333</t>
  </si>
  <si>
    <t>198.06666666666666</t>
  </si>
  <si>
    <t>1624.2666666666667</t>
  </si>
  <si>
    <t>43.56000688117242</t>
  </si>
  <si>
    <t>http://live.fanfooty.com.au/game/matchcentre.html?id=8088</t>
  </si>
  <si>
    <t>On after HT for Ginnivan... %D and %M... Started as the sub</t>
  </si>
  <si>
    <t>8088_CO</t>
  </si>
  <si>
    <t>110.66666666666667</t>
  </si>
  <si>
    <t>89.86666666666666</t>
  </si>
  <si>
    <t>1487.6666666666667</t>
  </si>
  <si>
    <t>42.174698376520006</t>
  </si>
  <si>
    <t>2.8253016234799944</t>
  </si>
  <si>
    <t>http://live.fanfooty.com.au/game/matchcentre.html?id=8092</t>
  </si>
  <si>
    <t>Caleb</t>
  </si>
  <si>
    <t>%M and %O... In defence on Comben</t>
  </si>
  <si>
    <t>8092_GC</t>
  </si>
  <si>
    <t>154.53333333333333</t>
  </si>
  <si>
    <t>1485.5333333333333</t>
  </si>
  <si>
    <t>1584.4666666666667</t>
  </si>
  <si>
    <t>50.78591920873406</t>
  </si>
  <si>
    <t>11.214080791265943</t>
  </si>
  <si>
    <t>http://live.fanfooty.com.au/game/matchcentre.html?id=8093</t>
  </si>
  <si>
    <t>Redden</t>
  </si>
  <si>
    <t>8093_WC</t>
  </si>
  <si>
    <t>214.33333333333334</t>
  </si>
  <si>
    <t>1547.9333333333334</t>
  </si>
  <si>
    <t>1744.1333333333334</t>
  </si>
  <si>
    <t>84.03031532520885</t>
  </si>
  <si>
    <t>8.969684674791154</t>
  </si>
  <si>
    <t>%D and %M with %T... Playing a deep forward role</t>
  </si>
  <si>
    <t>116.26666666666667</t>
  </si>
  <si>
    <t>1451.2666666666667</t>
  </si>
  <si>
    <t>59.09785199433189</t>
  </si>
  <si>
    <t>Nelson</t>
  </si>
  <si>
    <t>%D and %M with %T... Doing jobs in midfield</t>
  </si>
  <si>
    <t>176.06666666666666</t>
  </si>
  <si>
    <t>1558.3333333333333</t>
  </si>
  <si>
    <t>1736.6666666666667</t>
  </si>
  <si>
    <t>40.075319308232196</t>
  </si>
  <si>
    <t>6.924680691767804</t>
  </si>
  <si>
    <t>http://live.fanfooty.com.au/game/matchcentre.html?id=8094</t>
  </si>
  <si>
    <t>Hurley</t>
  </si>
  <si>
    <t>First AFL game in 2 years... %D with %k by foot... also %M... and scored %s</t>
  </si>
  <si>
    <t>Up forward on Balta</t>
  </si>
  <si>
    <t>8094_ES</t>
  </si>
  <si>
    <t>137.66666666666666</t>
  </si>
  <si>
    <t>1846.3333333333333</t>
  </si>
  <si>
    <t>1709.2666666666667</t>
  </si>
  <si>
    <t>70.21386040065103</t>
  </si>
  <si>
    <t>http://live.fanfooty.com.au/game/matchcentre.html?id=8095</t>
  </si>
  <si>
    <t>%O and %M plus %s</t>
  </si>
  <si>
    <t>8095_PA</t>
  </si>
  <si>
    <t>80.13333333333334</t>
  </si>
  <si>
    <t>112.66666666666667</t>
  </si>
  <si>
    <t>142.06666666666666</t>
  </si>
  <si>
    <t>1727.6666666666667</t>
  </si>
  <si>
    <t>71.78780032950507</t>
  </si>
  <si>
    <t>14.212199670494925</t>
  </si>
  <si>
    <t>http://live.fanfooty.com.au/game/matchcentre.html?id=8096</t>
  </si>
  <si>
    <t>McEvoy</t>
  </si>
  <si>
    <t>%H... also %P and %M... and scored %s... Tandem ruck with Lynch</t>
  </si>
  <si>
    <t>8096_HW</t>
  </si>
  <si>
    <t>18.466666666666665</t>
  </si>
  <si>
    <t>1747.6666666666667</t>
  </si>
  <si>
    <t>1649.4666666666667</t>
  </si>
  <si>
    <t>92.39901616034194</t>
  </si>
  <si>
    <t>http://live.fanfooty.com.au/game/matchcentre.html?id=8097</t>
  </si>
  <si>
    <t>Newnes</t>
  </si>
  <si>
    <t>8097_CA</t>
  </si>
  <si>
    <t>150.66666666666666</t>
  </si>
  <si>
    <t>229.26666666666668</t>
  </si>
  <si>
    <t>1635.3333333333333</t>
  </si>
  <si>
    <t>48.55537378691407</t>
  </si>
  <si>
    <t>http://live.fanfooty.com.au/game/matchcentre.html?id=8098</t>
  </si>
  <si>
    <t>Dan</t>
  </si>
  <si>
    <t>Hannebery</t>
  </si>
  <si>
    <t>Massive in his last game... %D and %M with %T</t>
  </si>
  <si>
    <t>8098_SK</t>
  </si>
  <si>
    <t>377.3333333333333</t>
  </si>
  <si>
    <t>1513.9333333333334</t>
  </si>
  <si>
    <t>82.45665955324824</t>
  </si>
  <si>
    <t>26.543340446751756</t>
  </si>
  <si>
    <t>Lienert</t>
  </si>
  <si>
    <t>%P including %K... also %M... gave away %F... Rotating in defence</t>
  </si>
  <si>
    <t>327.6666666666667</t>
  </si>
  <si>
    <t>295.73333333333335</t>
  </si>
  <si>
    <t>1712.3333333333333</t>
  </si>
  <si>
    <t>1573.6666666666667</t>
  </si>
  <si>
    <t>89.67401879398054</t>
  </si>
  <si>
    <t>Kent</t>
  </si>
  <si>
    <t>On in Q3 for Clark... %O and %T... Started as the sub</t>
  </si>
  <si>
    <t>180.66666666666666</t>
  </si>
  <si>
    <t>215.73333333333332</t>
  </si>
  <si>
    <t>1653.1333333333334</t>
  </si>
  <si>
    <t>1629.8666666666666</t>
  </si>
  <si>
    <t>46.433760959295874</t>
  </si>
  <si>
    <t>http://live.fanfooty.com.au/game/matchcentre.html?id=8301</t>
  </si>
  <si>
    <t>%D... Starting in midfield</t>
  </si>
  <si>
    <t>8301_BL</t>
  </si>
  <si>
    <t>1639.6666666666667</t>
  </si>
  <si>
    <t>60.126996483665366</t>
  </si>
  <si>
    <t>Tarrant</t>
  </si>
  <si>
    <t>%P including %K... also %M and %T... At FB on Daniher</t>
  </si>
  <si>
    <t>8301_RI</t>
  </si>
  <si>
    <t>91.06666666666666</t>
  </si>
  <si>
    <t>131.33333333333334</t>
  </si>
  <si>
    <t>1627.9333333333334</t>
  </si>
  <si>
    <t>46.37858136450501</t>
  </si>
  <si>
    <t>Edwards</t>
  </si>
  <si>
    <t>On in Q2 for Prestia... %D... Started as the sub</t>
  </si>
  <si>
    <t>48.79519693013842</t>
  </si>
  <si>
    <t>http://live.fanfooty.com.au/game/matchcentre.html?id=8304</t>
  </si>
  <si>
    <t>Roarke</t>
  </si>
  <si>
    <t>%D and %M plus %s... Playing a wing role</t>
  </si>
  <si>
    <t>8304_WB</t>
  </si>
  <si>
    <t>134.66666666666666</t>
  </si>
  <si>
    <t>145.13333333333333</t>
  </si>
  <si>
    <t>1641.5333333333333</t>
  </si>
  <si>
    <t>1645.4666666666667</t>
  </si>
  <si>
    <t>52.20144949563327</t>
  </si>
  <si>
    <t>21.79855050436673</t>
  </si>
  <si>
    <t>http://live.fanfooty.com.au/game/matchcentre.html?id=8306</t>
  </si>
  <si>
    <t>Mundy</t>
  </si>
  <si>
    <t>%D and %M with %T... %s as well... Playing central midfield</t>
  </si>
  <si>
    <t>8306_FR</t>
  </si>
  <si>
    <t>69.46666666666667</t>
  </si>
  <si>
    <t>296.3333333333333</t>
  </si>
  <si>
    <t>288.06666666666666</t>
  </si>
  <si>
    <t>1665.3333333333333</t>
  </si>
  <si>
    <t>65.08562988446889</t>
  </si>
  <si>
    <t>20.914370115531113</t>
  </si>
  <si>
    <t>http://live.fanfooty.com.au/game/matchcentre.html?id=8307</t>
  </si>
  <si>
    <t>Mathieson</t>
  </si>
  <si>
    <t>On in Q3 for Rayner... %O and %M... Started as the sub</t>
  </si>
  <si>
    <t>8307_BL</t>
  </si>
  <si>
    <t>92.60000000000001</t>
  </si>
  <si>
    <t>51.93333333333333</t>
  </si>
  <si>
    <t>185.66666666666666</t>
  </si>
  <si>
    <t>178.26666666666668</t>
  </si>
  <si>
    <t>1535.3333333333333</t>
  </si>
  <si>
    <t>53.53513735465329</t>
  </si>
  <si>
    <t>http://live.fanfooty.com.au/game/matchcentre.html?id=8308</t>
  </si>
  <si>
    <t>Right hamstring soreness in Q2... subbed off at HT... Scored %s from %G and %D</t>
  </si>
  <si>
    <t>Up forward on Moore</t>
  </si>
  <si>
    <t>8308_SY</t>
  </si>
  <si>
    <t>128.66666666666666</t>
  </si>
  <si>
    <t>57.55264654785383</t>
  </si>
  <si>
    <t>http://live.fanfooty.com.au/game/matchcentre.html?id=8309</t>
  </si>
  <si>
    <t>Leading the inside mids</t>
  </si>
  <si>
    <t>8309_GE</t>
  </si>
  <si>
    <t>1718.0666666666666</t>
  </si>
  <si>
    <t>1465.3333333333333</t>
  </si>
  <si>
    <t>84.24974502120659</t>
  </si>
  <si>
    <t>22.750254978793407</t>
  </si>
  <si>
    <t>http://live.fanfooty.com.au/game/matchcentre.html?id=8424</t>
  </si>
  <si>
    <t>Clurey</t>
  </si>
  <si>
    <t>%O and %T... In defence on Thilthorpe</t>
  </si>
  <si>
    <t>8424_PA</t>
  </si>
  <si>
    <t>0.013333333333333334</t>
  </si>
  <si>
    <t>86.53333333333333</t>
  </si>
  <si>
    <t>1740.0666666666666</t>
  </si>
  <si>
    <t>1549.1333333333334</t>
  </si>
  <si>
    <t>47.46187420968859</t>
  </si>
  <si>
    <t>http://live.fanfooty.com.au/game/matchcentre.html?id=8429</t>
  </si>
  <si>
    <t>Aiden</t>
  </si>
  <si>
    <t>Bonar</t>
  </si>
  <si>
    <t>%P including %B... also %M and %T... On Silvagni</t>
  </si>
  <si>
    <t>8429_NM</t>
  </si>
  <si>
    <t>0.052000000000000005</t>
  </si>
  <si>
    <t>0.9466666666666667</t>
  </si>
  <si>
    <t>0.18933333333333333</t>
  </si>
  <si>
    <t>74.46666666666667</t>
  </si>
  <si>
    <t>1608.6666666666667</t>
  </si>
  <si>
    <t>1722.3333333333333</t>
  </si>
  <si>
    <t>46.34065306187533</t>
  </si>
  <si>
    <t>http://live.fanfooty.com.au/game/matchcentre.html?id=8430</t>
  </si>
  <si>
    <t>Wilson</t>
  </si>
  <si>
    <t>%D including %B... also %M... Rotating at half back</t>
  </si>
  <si>
    <t>8430_FR</t>
  </si>
  <si>
    <t>0.10133333333333333</t>
  </si>
  <si>
    <t>332.3333333333333</t>
  </si>
  <si>
    <t>381.93333333333334</t>
  </si>
  <si>
    <t>1601.3333333333333</t>
  </si>
  <si>
    <t>89.85917402362516</t>
  </si>
  <si>
    <t>http://live.fanfooty.com.au/game/matchcentre.html?id=8433</t>
  </si>
  <si>
    <t>Paddy</t>
  </si>
  <si>
    <t>McCartin</t>
  </si>
  <si>
    <t>Concussed after his head hit the ground in a contest with Marshall in Q1</t>
  </si>
  <si>
    <t>At FB on Dixon</t>
  </si>
  <si>
    <t>8433_SY</t>
  </si>
  <si>
    <t>76.86666666666666</t>
  </si>
  <si>
    <t>147.26666666666668</t>
  </si>
  <si>
    <t>1667.3333333333333</t>
  </si>
  <si>
    <t>1716.9333333333334</t>
  </si>
  <si>
    <t>43.11824595663431</t>
  </si>
  <si>
    <t>http://live.fanfooty.com.au/game/matchcentre.html?id=8437</t>
  </si>
  <si>
    <t>Plowman</t>
  </si>
  <si>
    <t>%l Mitch McGovern... %D including %K... also %M and %T</t>
  </si>
  <si>
    <t>In defence on Thilthorpe</t>
  </si>
  <si>
    <t>8437_CA</t>
  </si>
  <si>
    <t>141.53333333333333</t>
  </si>
  <si>
    <t>1663.6666666666667</t>
  </si>
  <si>
    <t>51.78120802601664</t>
  </si>
  <si>
    <t>http://live.fanfooty.com.au/game/matchcentre.html?id=8448</t>
  </si>
  <si>
    <t>On in Q3 for Taylor... right knee injury in Q4 in a clash with Coleman and did not return... %P</t>
  </si>
  <si>
    <t>8448_WS</t>
  </si>
  <si>
    <t>0.012666666666666666</t>
  </si>
  <si>
    <t>193.53333333333333</t>
  </si>
  <si>
    <t>1627.3333333333333</t>
  </si>
  <si>
    <t>34.64600779177892</t>
  </si>
  <si>
    <t>http://live.fanfooty.com.au/game/matchcentre.html?id=8456</t>
  </si>
  <si>
    <t>Brodie</t>
  </si>
  <si>
    <t>%O and %M... Rotating in midfield</t>
  </si>
  <si>
    <t>8456_FR</t>
  </si>
  <si>
    <t>13.733333333333333</t>
  </si>
  <si>
    <t>0.22000000000000003</t>
  </si>
  <si>
    <t>260.6666666666667</t>
  </si>
  <si>
    <t>1674.0666666666666</t>
  </si>
  <si>
    <t>1616.9333333333334</t>
  </si>
  <si>
    <t>73.66259886147583</t>
  </si>
  <si>
    <t>http://live.fanfooty.com.au/game/matchcentre.html?id=8476</t>
  </si>
  <si>
    <t>Mahony</t>
  </si>
  <si>
    <t>Probable dislocated shoulder in Q4... %O and %T</t>
  </si>
  <si>
    <t>Playing small forward</t>
  </si>
  <si>
    <t>8476_NM</t>
  </si>
  <si>
    <t>1393.5333333333333</t>
  </si>
  <si>
    <t>1738.3333333333333</t>
  </si>
  <si>
    <t>50.81242622885251</t>
  </si>
  <si>
    <t>http://live.fanfooty.com.au/game/matchcentre.html?id=8404</t>
  </si>
  <si>
    <t>wall</t>
  </si>
  <si>
    <t>Subbed off in Q4 for Dempsey... %D with %b by hand... also %T</t>
  </si>
  <si>
    <t>Rotating in attack</t>
  </si>
  <si>
    <t>8404_GE</t>
  </si>
  <si>
    <t>97.40000000000009</t>
  </si>
  <si>
    <t>71.86666666666666</t>
  </si>
  <si>
    <t>139.33333333333334</t>
  </si>
  <si>
    <t>138.93333333333334</t>
  </si>
  <si>
    <t>1743.0666666666666</t>
  </si>
  <si>
    <t>1717.3333333333333</t>
  </si>
  <si>
    <t>65.19588616395838</t>
  </si>
  <si>
    <t>http://live.fanfooty.com.au/game/matchcentre.html?id=8499</t>
  </si>
  <si>
    <t>Doedee</t>
  </si>
  <si>
    <t>%O and %T... Starting at half back on Gunston</t>
  </si>
  <si>
    <t>8499_AD</t>
  </si>
  <si>
    <t>0.036000000000000004</t>
  </si>
  <si>
    <t>0.23999999999999996</t>
  </si>
  <si>
    <t>0.3133333333333333</t>
  </si>
  <si>
    <t>93.66666666666667</t>
  </si>
  <si>
    <t>156.66666666666666</t>
  </si>
  <si>
    <t>196.33333333333334</t>
  </si>
  <si>
    <t>http://live.fanfooty.com.au/game/matchcentre.html?id=8500</t>
  </si>
  <si>
    <t>Lochie</t>
  </si>
  <si>
    <t>O'Brien</t>
  </si>
  <si>
    <t>Matched up on Langdon... %O with %k by foot... also %M... Playing an outside game</t>
  </si>
  <si>
    <t>8500_CA</t>
  </si>
  <si>
    <t>0.043333333333333335</t>
  </si>
  <si>
    <t>293.46666666666664</t>
  </si>
  <si>
    <t>1680.3333333333333</t>
  </si>
  <si>
    <t>1703.8666666666666</t>
  </si>
  <si>
    <t>54.70798708672267</t>
  </si>
  <si>
    <t>http://live.fanfooty.com.au/game/matchcentre.html?id=8502</t>
  </si>
  <si>
    <t>West</t>
  </si>
  <si>
    <t>Left knee injury when Long fell across it in Q1... subbed off for Clark... %T</t>
  </si>
  <si>
    <t>8502_WC</t>
  </si>
  <si>
    <t>0.042666666666666665</t>
  </si>
  <si>
    <t>1497.8666666666666</t>
  </si>
  <si>
    <t>1847.3333333333333</t>
  </si>
  <si>
    <t>29.333333333333332</t>
  </si>
  <si>
    <t>38.32820639237726</t>
  </si>
  <si>
    <t>http://live.fanfooty.com.au/game/matchcentre.html?id=8503</t>
  </si>
  <si>
    <t>Ceglar</t>
  </si>
  <si>
    <t>Subbed off in Q4... %H... also %D and %M... First ruck</t>
  </si>
  <si>
    <t>8503_GE</t>
  </si>
  <si>
    <t>131.26666666666668</t>
  </si>
  <si>
    <t>1759.3333333333333</t>
  </si>
  <si>
    <t>85.59277748776753</t>
  </si>
  <si>
    <t>http://live.fanfooty.com.au/game/matchcentre.html?id=8509</t>
  </si>
  <si>
    <t>Rich</t>
  </si>
  <si>
    <t>Subbed off at 3QT for Coleman with ice on left shin... %D including %K... also %M</t>
  </si>
  <si>
    <t>8509_BL</t>
  </si>
  <si>
    <t>96.19999999999999</t>
  </si>
  <si>
    <t>16.266666666666666</t>
  </si>
  <si>
    <t>0.4713333333333333</t>
  </si>
  <si>
    <t>0.5273333333333333</t>
  </si>
  <si>
    <t>508.73333333333335</t>
  </si>
  <si>
    <t>1708.3333333333333</t>
  </si>
  <si>
    <t>67.85472231360038</t>
  </si>
  <si>
    <t>http://live.fanfooty.com.au/game/matchcentre.html?id=8512</t>
  </si>
  <si>
    <t>Hall</t>
  </si>
  <si>
    <t>seagull</t>
  </si>
  <si>
    <t>Floating from half back</t>
  </si>
  <si>
    <t>8512_NM</t>
  </si>
  <si>
    <t>431.6666666666667</t>
  </si>
  <si>
    <t>523.9333333333333</t>
  </si>
  <si>
    <t>1591.3333333333333</t>
  </si>
  <si>
    <t>92.76377303773077</t>
  </si>
  <si>
    <t>27.236226962269228</t>
  </si>
  <si>
    <t>http://live.fanfooty.com.au/game/matchcentre.html?id=8520</t>
  </si>
  <si>
    <t>Mothballed at HT with a hamstring injury... %O with %k by foot... also %M</t>
  </si>
  <si>
    <t>Starting in defence on Coleman-Jones</t>
  </si>
  <si>
    <t>8520_WB</t>
  </si>
  <si>
    <t>0.020000000000000004</t>
  </si>
  <si>
    <t>0.016000000000000028</t>
  </si>
  <si>
    <t>212.33333333333334</t>
  </si>
  <si>
    <t>189.33333333333334</t>
  </si>
  <si>
    <t>1540.3333333333333</t>
  </si>
  <si>
    <t>48.272799568707136</t>
  </si>
  <si>
    <t>http://live.fanfooty.com.au/game/matchcentre.html?id=8530</t>
  </si>
  <si>
    <t>Hannan</t>
  </si>
  <si>
    <t>Subbed off at 3QT for West... %s from %O and %T... Starting forward</t>
  </si>
  <si>
    <t>8530_WB</t>
  </si>
  <si>
    <t>220.33333333333334</t>
  </si>
  <si>
    <t>205.53333333333333</t>
  </si>
  <si>
    <t>1636.5333333333333</t>
  </si>
  <si>
    <t>1653.8666666666666</t>
  </si>
  <si>
    <t>63.30061799692446</t>
  </si>
  <si>
    <t>http://live.fanfooty.com.au/game/matchcentre.html?id=8537</t>
  </si>
  <si>
    <t>Bianco</t>
  </si>
  <si>
    <t>On in Q3 for Hoskin-Elliott... %P with %k by foot... also %M</t>
  </si>
  <si>
    <t>8537_CO</t>
  </si>
  <si>
    <t>0.010666666666666666</t>
  </si>
  <si>
    <t>64.06666666666666</t>
  </si>
  <si>
    <t>192.53333333333333</t>
  </si>
  <si>
    <t>1684.5333333333333</t>
  </si>
  <si>
    <t>http://live.fanfooty.com.au/game/matchcentre.html?id=8558</t>
  </si>
  <si>
    <t>Lance</t>
  </si>
  <si>
    <t>Franklin</t>
  </si>
  <si>
    <t>x-factor</t>
  </si>
  <si>
    <t>Can still be the difference in a game... %s from %O and %M plus %T</t>
  </si>
  <si>
    <t>moose</t>
  </si>
  <si>
    <t>Up forward on Pearce</t>
  </si>
  <si>
    <t>8558_SY</t>
  </si>
  <si>
    <t>0.18400000000000002</t>
  </si>
  <si>
    <t>0.20800000000000002</t>
  </si>
  <si>
    <t>0.28800000000000003</t>
  </si>
  <si>
    <t>228.33333333333334</t>
  </si>
  <si>
    <t>1619.1333333333334</t>
  </si>
  <si>
    <t>1660.7333333333333</t>
  </si>
  <si>
    <t>70.77205503756974</t>
  </si>
  <si>
    <t>22.227944962430257</t>
  </si>
  <si>
    <t>http://live.fanfooty.com.au/game/matchcentre.html?id=8565</t>
  </si>
  <si>
    <t>Gardner</t>
  </si>
  <si>
    <t>Gone to grab donuts with Riccardi in Q1... %D including %K... also %M</t>
  </si>
  <si>
    <t>In defence on Riccardi</t>
  </si>
  <si>
    <t>8565_WB</t>
  </si>
  <si>
    <t>98.66666666666667</t>
  </si>
  <si>
    <t>97.93333333333334</t>
  </si>
  <si>
    <t>149.93333333333334</t>
  </si>
  <si>
    <t>1630.9333333333334</t>
  </si>
  <si>
    <t>61.76728311939949</t>
  </si>
  <si>
    <t>Bruce</t>
  </si>
  <si>
    <t>Right knee injury in Q3 and in a lot of pain... %O and %T</t>
  </si>
  <si>
    <t>In defence on Cadman</t>
  </si>
  <si>
    <t>3.829333333333333</t>
  </si>
  <si>
    <t>6.677333333333333</t>
  </si>
  <si>
    <t>34.93627909034781</t>
  </si>
  <si>
    <t>http://live.fanfooty.com.au/game/matchcentre.html?id=8571</t>
  </si>
  <si>
    <t>8571_NM</t>
  </si>
  <si>
    <t>238.33333333333334</t>
  </si>
  <si>
    <t>258.1333333333333</t>
  </si>
  <si>
    <t>1524.6666666666667</t>
  </si>
  <si>
    <t>1522.4666666666667</t>
  </si>
  <si>
    <t>89.45145212115307</t>
  </si>
  <si>
    <t>http://live.fanfooty.com.au/game/matchcentre.html?id=8580</t>
  </si>
  <si>
    <t>Corbett</t>
  </si>
  <si>
    <t>froggy</t>
  </si>
  <si>
    <t>%s from %P and %M... Starting forward on Lester</t>
  </si>
  <si>
    <t>8580_FR</t>
  </si>
  <si>
    <t>95.20000000000005</t>
  </si>
  <si>
    <t>0.18666666666666665</t>
  </si>
  <si>
    <t>1706.0666666666666</t>
  </si>
  <si>
    <t>57.03335523462223</t>
  </si>
  <si>
    <t>http://live.fanfooty.com.au/game/matchcentre.html?id=8582</t>
  </si>
  <si>
    <t>Cunnington</t>
  </si>
  <si>
    <t>Last game for the old man... %P and %T plus %s</t>
  </si>
  <si>
    <t>8582_NM</t>
  </si>
  <si>
    <t>0.7346666666666667</t>
  </si>
  <si>
    <t>128.33333333333334</t>
  </si>
  <si>
    <t>222.13333333333333</t>
  </si>
  <si>
    <t>1781.3333333333333</t>
  </si>
  <si>
    <t>1710.6666666666667</t>
  </si>
  <si>
    <t>88.19115469236911</t>
  </si>
  <si>
    <t>6.8088453076308895</t>
  </si>
  <si>
    <t>http://live.fanfooty.com.au/game/matchcentre.html?id=8583</t>
  </si>
  <si>
    <t>Jy</t>
  </si>
  <si>
    <t>Farrar</t>
  </si>
  <si>
    <t>%P with %k by foot... also %M... Starting at half back</t>
  </si>
  <si>
    <t>8583_GC</t>
  </si>
  <si>
    <t>0.030000000000000002</t>
  </si>
  <si>
    <t>64.13333333333334</t>
  </si>
  <si>
    <t>133.33333333333334</t>
  </si>
  <si>
    <t>211.66666666666666</t>
  </si>
  <si>
    <t>1575.9333333333334</t>
  </si>
  <si>
    <t>1707.9333333333334</t>
  </si>
  <si>
    <t>76.00997752345894</t>
  </si>
  <si>
    <t>http://live.fanfooty.com.au/game/matchcentre.html?id=8585</t>
  </si>
  <si>
    <t>Ed</t>
  </si>
  <si>
    <t>Curnow</t>
  </si>
  <si>
    <t>On in Q4 for Docherty... %P and %T</t>
  </si>
  <si>
    <t>8585_CA</t>
  </si>
  <si>
    <t>181.53333333333333</t>
  </si>
  <si>
    <t>59.75281869332922</t>
  </si>
  <si>
    <t>http://live.fanfooty.com.au/game/matchcentre.html?id=8586</t>
  </si>
  <si>
    <t>Foley</t>
  </si>
  <si>
    <t>%l Jack Petruccelle... %D and %M with %T</t>
  </si>
  <si>
    <t>8586_WC</t>
  </si>
  <si>
    <t>1405.6666666666667</t>
  </si>
  <si>
    <t>1495.9333333333334</t>
  </si>
  <si>
    <t>1880.6666666666667</t>
  </si>
  <si>
    <t>1788.8666666666666</t>
  </si>
  <si>
    <t>49.52573607953984</t>
  </si>
  <si>
    <t>25.47426392046016</t>
  </si>
  <si>
    <t>O'Neill</t>
  </si>
  <si>
    <t>%D and %M with %T... Tagging Brayshaw</t>
  </si>
  <si>
    <t>177.33333333333334</t>
  </si>
  <si>
    <t>69.81815644633369</t>
  </si>
  <si>
    <t>http://live.fanfooty.com.au/game/matchcentre.html?id=8587</t>
  </si>
  <si>
    <t>Chad</t>
  </si>
  <si>
    <t>Wingard</t>
  </si>
  <si>
    <t>Nasty-looking left Achilles injury very early in Q1 and carried off... subbed off for Bailey Macdonald</t>
  </si>
  <si>
    <t>Rotating midfield and attack</t>
  </si>
  <si>
    <t>8587_HW</t>
  </si>
  <si>
    <t>56.93333333333333</t>
  </si>
  <si>
    <t>1733.3333333333333</t>
  </si>
  <si>
    <t>57.68867667883498</t>
  </si>
  <si>
    <t>http://live.fanfooty.com.au/game/matchcentre.html?id=8591</t>
  </si>
  <si>
    <t>Cotchin</t>
  </si>
  <si>
    <t>Fine career captain... %P and %M plus %s</t>
  </si>
  <si>
    <t>On ball</t>
  </si>
  <si>
    <t>8591_RI</t>
  </si>
  <si>
    <t>1621.9333333333334</t>
  </si>
  <si>
    <t>66.74067698908922</t>
  </si>
  <si>
    <t>2.2593230109107765</t>
  </si>
  <si>
    <t>Happy retirement champion... %s from %O and %M plus %T</t>
  </si>
  <si>
    <t>At FF on McKay</t>
  </si>
  <si>
    <t>86.46666666666667</t>
  </si>
  <si>
    <t>173.46666666666667</t>
  </si>
  <si>
    <t>1524.3333333333333</t>
  </si>
  <si>
    <t>1627.4666666666667</t>
  </si>
  <si>
    <t>63.715329086151385</t>
  </si>
  <si>
    <t>Ziebell</t>
  </si>
  <si>
    <t>Bon voyage Jay-Z... %O including %K... also %M and %T... and scored %s</t>
  </si>
  <si>
    <t>Starting at half back... Balta moved forward onto him in Q2... switched forward himself in Q4</t>
  </si>
  <si>
    <t>8591_NM</t>
  </si>
  <si>
    <t>19.333333333333332</t>
  </si>
  <si>
    <t>16.533333333333335</t>
  </si>
  <si>
    <t>75.53333333333333</t>
  </si>
  <si>
    <t>383.26666666666665</t>
  </si>
  <si>
    <t>1547.4666666666667</t>
  </si>
  <si>
    <t>1739.7333333333333</t>
  </si>
  <si>
    <t>92.48107410274645</t>
  </si>
  <si>
    <t>2.5189258972535526</t>
  </si>
  <si>
    <t>http://live.fanfooty.com.au/game/matchcentre.html?id=8595</t>
  </si>
  <si>
    <t>Sloane</t>
  </si>
  <si>
    <t>Subbed off in Q3 with a right eye injury for Pedlar after Murphy poked him accidentally... %P and %T</t>
  </si>
  <si>
    <t>8595_AD</t>
  </si>
  <si>
    <t>258.6666666666667</t>
  </si>
  <si>
    <t>1746.3333333333333</t>
  </si>
  <si>
    <t>1539.3333333333333</t>
  </si>
  <si>
    <t>1580.2666666666667</t>
  </si>
  <si>
    <t>53.77212449580291</t>
  </si>
  <si>
    <t>http://live.fanfooty.com.au/game/matchcentre.html?id=8597</t>
  </si>
  <si>
    <t>Denver</t>
  </si>
  <si>
    <t>Grainger-Barras</t>
  </si>
  <si>
    <t>%D and %M plus %s... In attack on Tomlinson</t>
  </si>
  <si>
    <t>8597_HW</t>
  </si>
  <si>
    <t>48.81254927448325</t>
  </si>
  <si>
    <t>3.1874507255167472</t>
  </si>
  <si>
    <t>http://live.fanfooty.com.au/game/matchcentre.html?id=8599</t>
  </si>
  <si>
    <t>R24</t>
  </si>
  <si>
    <t>%H... also %D and %M with %T... %s as well... First ruck in his farewell game</t>
  </si>
  <si>
    <t>8599_ES</t>
  </si>
  <si>
    <t>21.866666666666667</t>
  </si>
  <si>
    <t>74.45948954578395</t>
  </si>
  <si>
    <t>Snelling</t>
  </si>
  <si>
    <t>%P and %M plus %s... Rotating in midfield</t>
  </si>
  <si>
    <t>155.53333333333333</t>
  </si>
  <si>
    <t>1690.3333333333333</t>
  </si>
  <si>
    <t>55.639622106790746</t>
  </si>
  <si>
    <t>McDonald-Tipungwuti</t>
  </si>
  <si>
    <t>On in Q1 for Baldwin... %D</t>
  </si>
  <si>
    <t>0.10600000000000001</t>
  </si>
  <si>
    <t>1609.3333333333333</t>
  </si>
  <si>
    <t>1680.8666666666666</t>
  </si>
  <si>
    <t>52.923180457709876</t>
  </si>
  <si>
    <t>http://live.fanfooty.com.au/game/matchcentre.html?id=8600</t>
  </si>
  <si>
    <t>Blanck</t>
  </si>
  <si>
    <t>%M and %O... In defence on Cox</t>
  </si>
  <si>
    <t>8600_HW</t>
  </si>
  <si>
    <t>0.10400000000000001</t>
  </si>
  <si>
    <t>49.06666666666667</t>
  </si>
  <si>
    <t>33.86163270598614</t>
  </si>
  <si>
    <t>10.138367294013861</t>
  </si>
  <si>
    <t>http://live.fanfooty.com.au/game/matchcentre.html?id=8601</t>
  </si>
  <si>
    <t>Tarryn</t>
  </si>
  <si>
    <t>%2 Anderson... %P and %T plus %s</t>
  </si>
  <si>
    <t>Rotating midfield and half forward</t>
  </si>
  <si>
    <t>8601_NM</t>
  </si>
  <si>
    <t>4.720000000000001</t>
  </si>
  <si>
    <t>5.656000000000001</t>
  </si>
  <si>
    <t>351.46666666666664</t>
  </si>
  <si>
    <t>1535.7333333333333</t>
  </si>
  <si>
    <t>102.33333333333333</t>
  </si>
  <si>
    <t>82.56763962822231</t>
  </si>
  <si>
    <t>24.43236037177769</t>
  </si>
  <si>
    <t>Kayne</t>
  </si>
  <si>
    <t>Turner</t>
  </si>
  <si>
    <t>%D and %M with %T... Playing a half forward role</t>
  </si>
  <si>
    <t>0.015333333333333334</t>
  </si>
  <si>
    <t>170.66666666666666</t>
  </si>
  <si>
    <t>1755.5333333333333</t>
  </si>
  <si>
    <t>54.80586737416288</t>
  </si>
  <si>
    <t>10.19413262583712</t>
  </si>
  <si>
    <t>Howe</t>
  </si>
  <si>
    <t>On in Q3 for Taylor... %P and %M plus %T... %s as well</t>
  </si>
  <si>
    <t>1600.6666666666667</t>
  </si>
  <si>
    <t>Flynn</t>
  </si>
  <si>
    <t>Perez</t>
  </si>
  <si>
    <t>%D and %M... Rotating at half back</t>
  </si>
  <si>
    <t>1705.6666666666667</t>
  </si>
  <si>
    <t>1738.5333333333333</t>
  </si>
  <si>
    <t>72.24540671685394</t>
  </si>
  <si>
    <t>http://live.fanfooty.com.au/game/matchcentre.html?id=8603</t>
  </si>
  <si>
    <t>Isaac</t>
  </si>
  <si>
    <t>snout</t>
  </si>
  <si>
    <t>First goal... %O including %K... also %M and %T... and scored %s</t>
  </si>
  <si>
    <t>Starting on wing</t>
  </si>
  <si>
    <t>8603_GE</t>
  </si>
  <si>
    <t>18.666666666666668</t>
  </si>
  <si>
    <t>62.819626374068214</t>
  </si>
  <si>
    <t>59.180373625931786</t>
  </si>
  <si>
    <t>Menegola</t>
  </si>
  <si>
    <t>%P and %M plus %T... %s as well... Playing an outside game</t>
  </si>
  <si>
    <t>448.6666666666667</t>
  </si>
  <si>
    <t>439.8666666666667</t>
  </si>
  <si>
    <t>1563.5333333333333</t>
  </si>
  <si>
    <t>84.56180869880473</t>
  </si>
  <si>
    <t>Crozier</t>
  </si>
  <si>
    <t>%D and %M with %T... Starting on a HBF</t>
  </si>
  <si>
    <t>8603_WB</t>
  </si>
  <si>
    <t>0.12533333333333332</t>
  </si>
  <si>
    <t>68.13333333333334</t>
  </si>
  <si>
    <t>172.66666666666666</t>
  </si>
  <si>
    <t>267.26666666666665</t>
  </si>
  <si>
    <t>1634.7333333333333</t>
  </si>
  <si>
    <t>Toby</t>
  </si>
  <si>
    <t>McLean</t>
  </si>
  <si>
    <t>%O including %B... also %T... Playing a forward role</t>
  </si>
  <si>
    <t>13.965333333333332</t>
  </si>
  <si>
    <t>14.682666666666668</t>
  </si>
  <si>
    <t>124.53333333333333</t>
  </si>
  <si>
    <t>63.94008476231646</t>
  </si>
  <si>
    <t>http://live.fanfooty.com.au/game/matchcentre.html?id=8604</t>
  </si>
  <si>
    <t>Shuey</t>
  </si>
  <si>
    <t>%P with %k by foot... also %M and %T... and scored %s</t>
  </si>
  <si>
    <t>Starting in midfield</t>
  </si>
  <si>
    <t>8604_WC</t>
  </si>
  <si>
    <t>363.3333333333333</t>
  </si>
  <si>
    <t>272.53333333333336</t>
  </si>
  <si>
    <t>1725.1333333333334</t>
  </si>
  <si>
    <t>87.10490749373255</t>
  </si>
  <si>
    <t>6.895092506267446</t>
  </si>
  <si>
    <t>Shannon</t>
  </si>
  <si>
    <t>Hurn</t>
  </si>
  <si>
    <t>fog</t>
  </si>
  <si>
    <t>%P including %K... also %M and %T... Has Fogarty</t>
  </si>
  <si>
    <t>18.333333333333332</t>
  </si>
  <si>
    <t>1647.3333333333333</t>
  </si>
  <si>
    <t>111.58135973849164</t>
  </si>
  <si>
    <t>Petrevski-Seton</t>
  </si>
  <si>
    <t>0.060666666666666674</t>
  </si>
  <si>
    <t>144.73333333333332</t>
  </si>
  <si>
    <t>1542.6666666666667</t>
  </si>
  <si>
    <t>1798.4666666666667</t>
  </si>
  <si>
    <t>63.468436867019136</t>
  </si>
  <si>
    <t>3.531563132980864</t>
  </si>
  <si>
    <t>http://live.fanfooty.com.au/game/matchcentre.html?id=8605</t>
  </si>
  <si>
    <t>Jonas</t>
  </si>
  <si>
    <t>%M and %D... In defence on Bauer</t>
  </si>
  <si>
    <t>8605_PA</t>
  </si>
  <si>
    <t>0.16000000000000003</t>
  </si>
  <si>
    <t>90.13333333333334</t>
  </si>
  <si>
    <t>107.93333333333334</t>
  </si>
  <si>
    <t>46.40987515628626</t>
  </si>
  <si>
    <t>http://live.fanfooty.com.au/game/matchcentre.html?id=8606</t>
  </si>
  <si>
    <t>%l Tom Papley... %O including %B</t>
  </si>
  <si>
    <t>Playing a forward role on Salem</t>
  </si>
  <si>
    <t>8606_SY</t>
  </si>
  <si>
    <t>0.018666666666666668</t>
  </si>
  <si>
    <t>38.34632345625911</t>
  </si>
  <si>
    <t>1.6536765437408931</t>
  </si>
  <si>
    <t>Brayshaw</t>
  </si>
  <si>
    <t>%D and %T plus %s... Starting on ball</t>
  </si>
  <si>
    <t>8606_ME</t>
  </si>
  <si>
    <t>1668.5333333333333</t>
  </si>
  <si>
    <t>1642.3333333333333</t>
  </si>
  <si>
    <t>73.21361306371763</t>
  </si>
  <si>
    <t>3.786386936282369</t>
  </si>
  <si>
    <t>http://live.fanfooty.com.au/game/matchcentre.html?id=8626</t>
  </si>
  <si>
    <t>Hibberd</t>
  </si>
  <si>
    <t>%P and %M plus %T... Minding Elliott</t>
  </si>
  <si>
    <t>8626_ME</t>
  </si>
  <si>
    <t>99.20000000000002</t>
  </si>
  <si>
    <t>88.26666666666667</t>
  </si>
  <si>
    <t>211.33333333333334</t>
  </si>
  <si>
    <t>1654.6666666666667</t>
  </si>
  <si>
    <t>85.12853580587836</t>
  </si>
  <si>
    <t>http://live.fanfooty.com.au/game/matchcentre.html?id=8627</t>
  </si>
  <si>
    <t>Hickey</t>
  </si>
  <si>
    <t>%H... also %D and %M... In ruck</t>
  </si>
  <si>
    <t>8627_SY</t>
  </si>
  <si>
    <t>20.666666666666668</t>
  </si>
  <si>
    <t>23.733333333333334</t>
  </si>
  <si>
    <t>0.9440000000000001</t>
  </si>
  <si>
    <t>158.93333333333334</t>
  </si>
  <si>
    <t>http://live.fanfooty.com.au/game/matchcentre.html?id=8630</t>
  </si>
  <si>
    <t>%D and %M with %T... %s as well... Playing tall forward on Kemp</t>
  </si>
  <si>
    <t>8630_ME</t>
  </si>
  <si>
    <t>0.2513333333333333</t>
  </si>
  <si>
    <t>89.93333333333334</t>
  </si>
  <si>
    <t>52.54040236082626</t>
  </si>
  <si>
    <t>6.459597639173737</t>
  </si>
  <si>
    <t>http://live.fanfooty.com.au/game/matchcentre.html?id=8631</t>
  </si>
  <si>
    <t>Lycett</t>
  </si>
  <si>
    <t>Right ankle knock in Q2... subbed off in Q3... %H with %P</t>
  </si>
  <si>
    <t>8631_PA</t>
  </si>
  <si>
    <t>24.533333333333335</t>
  </si>
  <si>
    <t>7.606666666666667</t>
  </si>
  <si>
    <t>2.734666666666667</t>
  </si>
  <si>
    <t>69.86666666666666</t>
  </si>
  <si>
    <t>1552.3333333333333</t>
  </si>
  <si>
    <t>1729.6666666666667</t>
  </si>
  <si>
    <t>52.68289339713118</t>
  </si>
  <si>
    <t>Limping in Q2 and was obviously not fit... %D with %k by foot... also %M... conceded %F</t>
  </si>
  <si>
    <t>Starting in defence on Hogan</t>
  </si>
  <si>
    <t>252.33333333333334</t>
  </si>
  <si>
    <t>244.33333333333334</t>
  </si>
  <si>
    <t>1643.4666666666667</t>
  </si>
  <si>
    <t>1785.6666666666667</t>
  </si>
  <si>
    <t>1643.2666666666667</t>
  </si>
  <si>
    <t>52.28383028704607</t>
  </si>
  <si>
    <t>http://live.fanfooty.com.au/game/matchcentre.html?id=8632</t>
  </si>
  <si>
    <t>%D with %k by foot... also %M and %T... and kicked %s... Playing a HFF role</t>
  </si>
  <si>
    <t>8632_WS</t>
  </si>
  <si>
    <t>222.33333333333334</t>
  </si>
  <si>
    <t>1714.1333333333334</t>
  </si>
  <si>
    <t>62.47258566220681</t>
  </si>
  <si>
    <t>4.527414337793189</t>
  </si>
  <si>
    <t>http://live.fanfooty.com.au/game/matchcentre.html?id=8634</t>
  </si>
  <si>
    <t>High contact in a clash with the shoulder of McCarthy meant he came off for a HIA... failed and subbed off in Q2 for Lipinski... %D</t>
  </si>
  <si>
    <t>Playing key defender on Hipwood</t>
  </si>
  <si>
    <t>8634_CO</t>
  </si>
  <si>
    <t>115.33333333333333</t>
  </si>
  <si>
    <t>1602.2666666666667</t>
  </si>
  <si>
    <t>41.78584197850888</t>
  </si>
  <si>
    <t>http://live.fanfooty.com.au/game/matchcentre.html?id=8800</t>
  </si>
  <si>
    <t>R0</t>
  </si>
  <si>
    <t>Schache</t>
  </si>
  <si>
    <t>lizard</t>
  </si>
  <si>
    <t>%s from %D and %M with %T... Starting forward on Blakey</t>
  </si>
  <si>
    <t>8800_ME</t>
  </si>
  <si>
    <t>0.016666666666666666</t>
  </si>
  <si>
    <t>0.20333333333333337</t>
  </si>
  <si>
    <t>52.06666666666667</t>
  </si>
  <si>
    <t>130.86666666666667</t>
  </si>
  <si>
    <t>42.68766287519256</t>
  </si>
  <si>
    <t>http://live.fanfooty.com.au/game/matchcentre.html?id=8801</t>
  </si>
  <si>
    <t>Keidean</t>
  </si>
  <si>
    <t>Coleman</t>
  </si>
  <si>
    <t>Left knee bent wrong way while kicking under a Fogarty challenge very late in Q2... carried off at HT and subbed off for Lohmann... later confirmed ACL rupture... %O with %k by foot... also %M</t>
  </si>
  <si>
    <t>8801_BL</t>
  </si>
  <si>
    <t>15.666666666666666</t>
  </si>
  <si>
    <t>14.266666666666667</t>
  </si>
  <si>
    <t>7.5200000000000005</t>
  </si>
  <si>
    <t>6.763333333333333</t>
  </si>
  <si>
    <t>2.248666666666667</t>
  </si>
  <si>
    <t>3.7939999999999996</t>
  </si>
  <si>
    <t>509.6666666666667</t>
  </si>
  <si>
    <t>427.73333333333335</t>
  </si>
  <si>
    <t>1687.9333333333334</t>
  </si>
  <si>
    <t>71.29725649618774</t>
  </si>
  <si>
    <t>http://live.fanfooty.com.au/game/matchcentre.html?id=8808</t>
  </si>
  <si>
    <t>Crouch</t>
  </si>
  <si>
    <t>%P and %M plus %T... Playing inside midfield</t>
  </si>
  <si>
    <t>8808_SK</t>
  </si>
  <si>
    <t>98.60000000000014</t>
  </si>
  <si>
    <t>14.533333333333333</t>
  </si>
  <si>
    <t>0.19000000000000003</t>
  </si>
  <si>
    <t>0.39666666666666667</t>
  </si>
  <si>
    <t>69.53333333333333</t>
  </si>
  <si>
    <t>159.66666666666666</t>
  </si>
  <si>
    <t>262.1333333333333</t>
  </si>
  <si>
    <t>71.18880774211026</t>
  </si>
  <si>
    <t>http://live.fanfooty.com.au/game/matchcentre.html?id=8809</t>
  </si>
  <si>
    <t>Macpherson</t>
  </si>
  <si>
    <t>On in Q4 for Ellis</t>
  </si>
  <si>
    <t>8809_GC</t>
  </si>
  <si>
    <t>0.020666666666666667</t>
  </si>
  <si>
    <t>0.17000000000000004</t>
  </si>
  <si>
    <t>1610.9333333333334</t>
  </si>
  <si>
    <t>1571.3333333333333</t>
  </si>
  <si>
    <t>81.31264337732125</t>
  </si>
  <si>
    <t>http://live.fanfooty.com.au/game/matchcentre.html?id=8812</t>
  </si>
  <si>
    <t>Oscar</t>
  </si>
  <si>
    <t>McDonald</t>
  </si>
  <si>
    <t>Left knee hyperextension landing after spoiling late in Q3... looked nasty and iced up at 3QT... %P with %k by foot... also %M</t>
  </si>
  <si>
    <t>In defence on Hipwood</t>
  </si>
  <si>
    <t>8812_FR</t>
  </si>
  <si>
    <t>0.44666666666666677</t>
  </si>
  <si>
    <t>59.13333333333333</t>
  </si>
  <si>
    <t>1619.2666666666667</t>
  </si>
  <si>
    <t>38.920939050349716</t>
  </si>
  <si>
    <t>http://live.fanfooty.com.au/game/matchcentre.html?id=8818</t>
  </si>
  <si>
    <t>Casboult</t>
  </si>
  <si>
    <t>ruckfwd</t>
  </si>
  <si>
    <t>%s from %O and %T... Playing a forward/ruck role</t>
  </si>
  <si>
    <t>8818_GC</t>
  </si>
  <si>
    <t>87.13333333333334</t>
  </si>
  <si>
    <t>107.33333333333333</t>
  </si>
  <si>
    <t>1676.6666666666667</t>
  </si>
  <si>
    <t>66.00564018116434</t>
  </si>
  <si>
    <t>1.9943598188356617</t>
  </si>
  <si>
    <t>%P and %s... On the outside</t>
  </si>
  <si>
    <t>0.013333333333333185</t>
  </si>
  <si>
    <t>1.1099999999999999</t>
  </si>
  <si>
    <t>188.66666666666666</t>
  </si>
  <si>
    <t>280.06666666666666</t>
  </si>
  <si>
    <t>1675.0666666666666</t>
  </si>
  <si>
    <t>68.13945934552152</t>
  </si>
  <si>
    <t>http://live.fanfooty.com.au/game/matchcentre.html?id=8821</t>
  </si>
  <si>
    <t>Deven</t>
  </si>
  <si>
    <t>Subbed off in Q4 for Lohmann... %D and %T</t>
  </si>
  <si>
    <t>8821_BL</t>
  </si>
  <si>
    <t>1.2233333333333334</t>
  </si>
  <si>
    <t>0.5566666666666666</t>
  </si>
  <si>
    <t>0.8966666666666665</t>
  </si>
  <si>
    <t>0.47533333333333333</t>
  </si>
  <si>
    <t>3.1466666666666665</t>
  </si>
  <si>
    <t>0.8373333333333334</t>
  </si>
  <si>
    <t>109.33333333333333</t>
  </si>
  <si>
    <t>1672.1333333333334</t>
  </si>
  <si>
    <t>52.75893341424154</t>
  </si>
  <si>
    <t>http://live.fanfooty.com.au/game/matchcentre.html?id=8822</t>
  </si>
  <si>
    <t>Coleman-Jones</t>
  </si>
  <si>
    <t>Went down as if shot without contact in Q2 clutching his right ankle... looked very much like an Achilles rupture... subbed off for Ford... %H with %D</t>
  </si>
  <si>
    <t>Playing a forward/ruck role on Marchbank</t>
  </si>
  <si>
    <t>8822_NM</t>
  </si>
  <si>
    <t>67.73333333333333</t>
  </si>
  <si>
    <t>120.53333333333333</t>
  </si>
  <si>
    <t>1821.3333333333333</t>
  </si>
  <si>
    <t>44.64625247595194</t>
  </si>
  <si>
    <t>http://live.fanfooty.com.au/game/matchcentre.html?id=8823</t>
  </si>
  <si>
    <t>Pedlar</t>
  </si>
  <si>
    <t>Subbed off in Q3 for Murphy... %O and %M plus %T</t>
  </si>
  <si>
    <t>8823_AD</t>
  </si>
  <si>
    <t>2.2060000000000004</t>
  </si>
  <si>
    <t>210.33333333333334</t>
  </si>
  <si>
    <t>1689.8666666666666</t>
  </si>
  <si>
    <t>1596.5333333333333</t>
  </si>
  <si>
    <t>53.182843020387466</t>
  </si>
  <si>
    <t>http://live.fanfooty.com.au/game/matchcentre.html?id=8850</t>
  </si>
  <si>
    <t>Lyons</t>
  </si>
  <si>
    <t>On in Q3 for McINerney... %O and %T</t>
  </si>
  <si>
    <t>8850_BL</t>
  </si>
  <si>
    <t>0.19333333333333302</t>
  </si>
  <si>
    <t>0.10933333333333334</t>
  </si>
  <si>
    <t>53.06666666666667</t>
  </si>
  <si>
    <t>198.66666666666666</t>
  </si>
  <si>
    <t>1609.1333333333334</t>
  </si>
  <si>
    <t>68.36205473632654</t>
  </si>
  <si>
    <t>http://live.fanfooty.com.au/game/matchcentre.html?id=8851</t>
  </si>
  <si>
    <t>Ethan</t>
  </si>
  <si>
    <t>Hughes</t>
  </si>
  <si>
    <t>%D and %M with %T... Starting in defence</t>
  </si>
  <si>
    <t>8851_FR</t>
  </si>
  <si>
    <t>0.23800000000000002</t>
  </si>
  <si>
    <t>1567.6666666666667</t>
  </si>
  <si>
    <t>1726.6666666666667</t>
  </si>
  <si>
    <t>82.79835310381745</t>
  </si>
  <si>
    <t>http://live.fanfooty.com.au/game/matchcentre.html?id=8855</t>
  </si>
  <si>
    <t>Subbed off at 3QT for Harrison... %P with %b by hand... also %T</t>
  </si>
  <si>
    <t>Rotating midfield and forward</t>
  </si>
  <si>
    <t>8855_CO</t>
  </si>
  <si>
    <t>17.666666666666668</t>
  </si>
  <si>
    <t>0.029333333333333333</t>
  </si>
  <si>
    <t>20.014000000000003</t>
  </si>
  <si>
    <t>149.33333333333334</t>
  </si>
  <si>
    <t>170.46666666666667</t>
  </si>
  <si>
    <t>1640.1333333333334</t>
  </si>
  <si>
    <t>71.51153152135373</t>
  </si>
  <si>
    <t>http://live.fanfooty.com.au/game/matchcentre.html?id=8869</t>
  </si>
  <si>
    <t>Grimes</t>
  </si>
  <si>
    <t>%M and %O... In defence on Amiss</t>
  </si>
  <si>
    <t>8869_RI</t>
  </si>
  <si>
    <t>1494.3333333333333</t>
  </si>
  <si>
    <t>1571.0666666666666</t>
  </si>
  <si>
    <t>1791.6666666666667</t>
  </si>
  <si>
    <t>1712.8666666666666</t>
  </si>
  <si>
    <t>42.21477422059833</t>
  </si>
  <si>
    <t>1.7852257794016708</t>
  </si>
  <si>
    <t>Naismith</t>
  </si>
  <si>
    <t>Subbed off in Q3 for McIntosh... %H... also %D and %M</t>
  </si>
  <si>
    <t>Playing a forward/ruck role on Draper</t>
  </si>
  <si>
    <t>2.005333333333333</t>
  </si>
  <si>
    <t>1462.3333333333333</t>
  </si>
  <si>
    <t>1647.1333333333334</t>
  </si>
  <si>
    <t>76.22260680747755</t>
  </si>
  <si>
    <t>http://live.fanfooty.com.au/game/matchcentre.html?id=8871</t>
  </si>
  <si>
    <t>Gardiner</t>
  </si>
  <si>
    <t>Went down clutching right knee in big pain in Q2... carried off with what looked like a serious ligament injury... %P and %s</t>
  </si>
  <si>
    <t>Playing tall forward</t>
  </si>
  <si>
    <t>8871_BL</t>
  </si>
  <si>
    <t>0.2093333333333333</t>
  </si>
  <si>
    <t>0.11466666666666667</t>
  </si>
  <si>
    <t>82.26666666666667</t>
  </si>
  <si>
    <t>138.46666666666667</t>
  </si>
  <si>
    <t>1644.1333333333334</t>
  </si>
  <si>
    <t>47.725934143125855</t>
  </si>
  <si>
    <t>Lincoln</t>
  </si>
  <si>
    <t>Went down as if shot clutching right knee in a marking contest against Ballard early in Q1... subbed off for Morris</t>
  </si>
  <si>
    <t>Starting on a HFF</t>
  </si>
  <si>
    <t>0.24933333333333335</t>
  </si>
  <si>
    <t>0.17933333333333337</t>
  </si>
  <si>
    <t>117.33333333333333</t>
  </si>
  <si>
    <t>228.86666666666667</t>
  </si>
  <si>
    <t>1656.8666666666666</t>
  </si>
  <si>
    <t>47.10972179519433</t>
  </si>
  <si>
    <t>Atkins</t>
  </si>
  <si>
    <t>%P and %M plus %s... At half back on Jarrod Berry the mostly on Rayner after HT</t>
  </si>
  <si>
    <t>8871_GC</t>
  </si>
  <si>
    <t>0.6259999999999999</t>
  </si>
  <si>
    <t>316.3333333333333</t>
  </si>
  <si>
    <t>1574.9333333333334</t>
  </si>
  <si>
    <t>1723.3333333333333</t>
  </si>
  <si>
    <t>85.73023334159387</t>
  </si>
  <si>
    <t>http://live.fanfooty.com.au/game/matchcentre.html?id=8878</t>
  </si>
  <si>
    <t>Hugh</t>
  </si>
  <si>
    <t>%P including %B... also %T... Playing a forward/ruck role on Andrew</t>
  </si>
  <si>
    <t>8878_NM</t>
  </si>
  <si>
    <t>0.19399999999999953</t>
  </si>
  <si>
    <t>1533.6666666666667</t>
  </si>
  <si>
    <t>1737.7333333333333</t>
  </si>
  <si>
    <t>71.63282466867203</t>
  </si>
  <si>
    <t>http://live.fanfooty.com.au/game/matchcentre.html?id=8881</t>
  </si>
  <si>
    <t>Guthrie</t>
  </si>
  <si>
    <t>Subbed off in Q3 for Clark... %P and %M plus %T</t>
  </si>
  <si>
    <t>Doing jobs in midfield</t>
  </si>
  <si>
    <t>8881_GE</t>
  </si>
  <si>
    <t>2.4426666666666668</t>
  </si>
  <si>
    <t>1801.3333333333333</t>
  </si>
  <si>
    <t>62.97112878495072</t>
  </si>
  <si>
    <t>http://live.fanfooty.com.au/game/matchcentre.html?id=8886</t>
  </si>
  <si>
    <t>Tylar</t>
  </si>
  <si>
    <t>%P with %k by foot... also %M... In defence on Daniher</t>
  </si>
  <si>
    <t>8886_RI</t>
  </si>
  <si>
    <t>0.5813333333333334</t>
  </si>
  <si>
    <t>221.66666666666666</t>
  </si>
  <si>
    <t>1523.8666666666666</t>
  </si>
  <si>
    <t>48.04774026391142</t>
  </si>
  <si>
    <t>http://live.fanfooty.com.au/game/matchcentre.html?id=8889</t>
  </si>
  <si>
    <t>%s from %P... Up forward on Barrass</t>
  </si>
  <si>
    <t>8889_ME</t>
  </si>
  <si>
    <t>0.14866666666666667</t>
  </si>
  <si>
    <t>75.46666666666667</t>
  </si>
  <si>
    <t>1510.3333333333333</t>
  </si>
  <si>
    <t>1650.8666666666666</t>
  </si>
  <si>
    <t>56.84613741376233</t>
  </si>
  <si>
    <t>http://live.fanfooty.com.au/game/matchcentre.html?id=8892</t>
  </si>
  <si>
    <t>Charlie</t>
  </si>
  <si>
    <t>Lazzaro</t>
  </si>
  <si>
    <t>On in Q3 for Duursma... %P</t>
  </si>
  <si>
    <t>8892_NM</t>
  </si>
  <si>
    <t>0.8160000000000001</t>
  </si>
  <si>
    <t>1737.3333333333333</t>
  </si>
  <si>
    <t>1755.2666666666667</t>
  </si>
  <si>
    <t>40.42816048200196</t>
  </si>
  <si>
    <t>http://live.fanfooty.com.au/game/matchcentre.html?id=8900</t>
  </si>
  <si>
    <t>Ash</t>
  </si>
  <si>
    <t>chief</t>
  </si>
  <si>
    <t>Donuts in Q1... %P and %M plus %T... Starting forward on Keath</t>
  </si>
  <si>
    <t>8900_CO</t>
  </si>
  <si>
    <t>0.3833333333333333</t>
  </si>
  <si>
    <t>0.2926666666666667</t>
  </si>
  <si>
    <t>0.44000000000000006</t>
  </si>
  <si>
    <t>1510.6666666666667</t>
  </si>
  <si>
    <t>1659.4666666666667</t>
  </si>
  <si>
    <t>1629.7333333333333</t>
  </si>
  <si>
    <t>61.86258233781024</t>
  </si>
  <si>
    <t>http://live.fanfooty.com.au/game/matchcentre.html?id=8904</t>
  </si>
  <si>
    <t>McAdam</t>
  </si>
  <si>
    <t>Right shoulder stinger in Q3... %P and %M</t>
  </si>
  <si>
    <t>8904_ME</t>
  </si>
  <si>
    <t>67.13333333333334</t>
  </si>
  <si>
    <t>140.73333333333332</t>
  </si>
  <si>
    <t>1654.9333333333334</t>
  </si>
  <si>
    <t>1631.4666666666667</t>
  </si>
  <si>
    <t>72.32021405309912</t>
  </si>
  <si>
    <t>Hunter</t>
  </si>
  <si>
    <t>Matched up on O'Meara... subbed off at HT for Woewoedin with ice on left calf... %P</t>
  </si>
  <si>
    <t>12.733333333333333</t>
  </si>
  <si>
    <t>0.8266666666666665</t>
  </si>
  <si>
    <t>0.16666666666666563</t>
  </si>
  <si>
    <t>0.3213333333333333</t>
  </si>
  <si>
    <t>361.26666666666665</t>
  </si>
  <si>
    <t>1675.6666666666667</t>
  </si>
  <si>
    <t>55.219114560806695</t>
  </si>
  <si>
    <t>http://live.fanfooty.com.au/game/matchcentre.html?id=8906</t>
  </si>
  <si>
    <t>Burgess</t>
  </si>
  <si>
    <t>%P and %T... Playing a key forward role on Miller... switched to ruck in Q4</t>
  </si>
  <si>
    <t>8906_AD</t>
  </si>
  <si>
    <t>2.176666666666667</t>
  </si>
  <si>
    <t>8.511333333333333</t>
  </si>
  <si>
    <t>78.86666666666666</t>
  </si>
  <si>
    <t>71.25563639189824</t>
  </si>
  <si>
    <t>Ned</t>
  </si>
  <si>
    <t>McHenry</t>
  </si>
  <si>
    <t>On in Q4 for Strachan... %P including %B</t>
  </si>
  <si>
    <t>0.13799999999999998</t>
  </si>
  <si>
    <t>57.733333333333334</t>
  </si>
  <si>
    <t>174.66666666666666</t>
  </si>
  <si>
    <t>1679.6666666666667</t>
  </si>
  <si>
    <t>1669.2666666666667</t>
  </si>
  <si>
    <t>1614.8666666666666</t>
  </si>
  <si>
    <t>48.516257183803305</t>
  </si>
  <si>
    <t>http://live.fanfooty.com.au/game/matchcentre.html?id=8907</t>
  </si>
  <si>
    <t>Keath</t>
  </si>
  <si>
    <t>Off in Q1 for a concussion test after a clash with Hipwood... returned in Q2... %P including %B... also %M and %T</t>
  </si>
  <si>
    <t>8907_WB</t>
  </si>
  <si>
    <t>70.90461300466625</t>
  </si>
  <si>
    <t>http://live.fanfooty.com.au/game/matchcentre.html?id=8908</t>
  </si>
  <si>
    <t>Reeves</t>
  </si>
  <si>
    <t>Off with a back injury in Q3 and subbed off for Breust... %H... also %P and %M</t>
  </si>
  <si>
    <t>In ruck</t>
  </si>
  <si>
    <t>8908_HW</t>
  </si>
  <si>
    <t>0.6679999999999999</t>
  </si>
  <si>
    <t>0.7006666666666667</t>
  </si>
  <si>
    <t>54.86666666666667</t>
  </si>
  <si>
    <t>49.394016591904325</t>
  </si>
  <si>
    <t>http://live.fanfooty.com.au/game/matchcentre.html?id=8909</t>
  </si>
  <si>
    <t>Sheed</t>
  </si>
  <si>
    <t>%P and %T plus %s... aided by %4FF... Tagged Davies-Uniacke in Q1 then freed up</t>
  </si>
  <si>
    <t>8909_WC</t>
  </si>
  <si>
    <t>3.6113333333333335</t>
  </si>
  <si>
    <t>10.852666666666666</t>
  </si>
  <si>
    <t>1430.3333333333333</t>
  </si>
  <si>
    <t>1502.3333333333333</t>
  </si>
  <si>
    <t>1858.3333333333333</t>
  </si>
  <si>
    <t>1785.2666666666667</t>
  </si>
  <si>
    <t>54.728638367102064</t>
  </si>
  <si>
    <t>http://live.fanfooty.com.au/game/matchcentre.html?id=8911</t>
  </si>
  <si>
    <t>Hawkins</t>
  </si>
  <si>
    <t>%s from %P and %M plus %T... Up forward on Melican then got McCartin in Q3</t>
  </si>
  <si>
    <t>8911_GE</t>
  </si>
  <si>
    <t>http://live.fanfooty.com.au/game/matchcentre.html?id=8914</t>
  </si>
  <si>
    <t>Sebastian</t>
  </si>
  <si>
    <t>Ross</t>
  </si>
  <si>
    <t>%P and %M plus %T... Playing half back... got more CBAs in the second half</t>
  </si>
  <si>
    <t>8914_SK</t>
  </si>
  <si>
    <t>0.10266666666666667</t>
  </si>
  <si>
    <t>1612.4666666666667</t>
  </si>
  <si>
    <t>1674.9333333333334</t>
  </si>
  <si>
    <t>77.14706975914775</t>
  </si>
  <si>
    <t>http://live.fanfooty.com.au/game/matchcentre.html?id=8915</t>
  </si>
  <si>
    <t>Subbed off at 3QT for Daniel... %P and %M plus %s</t>
  </si>
  <si>
    <t>8915_WB</t>
  </si>
  <si>
    <t>0.5866666666666666</t>
  </si>
  <si>
    <t>0.18133333333333332</t>
  </si>
  <si>
    <t>0.19666666666666668</t>
  </si>
  <si>
    <t>1712.7333333333333</t>
  </si>
  <si>
    <t>1572.4666666666667</t>
  </si>
  <si>
    <t>48.18391920835085</t>
  </si>
  <si>
    <t>4.816080791649149</t>
  </si>
  <si>
    <t>http://live.fanfooty.com.au/game/matchcentre.html?id=8917</t>
  </si>
  <si>
    <t>Schoenberg</t>
  </si>
  <si>
    <t>Subbed off in Q3 for Berry... %P and %T</t>
  </si>
  <si>
    <t>8917_AD</t>
  </si>
  <si>
    <t>0.2673333333333333</t>
  </si>
  <si>
    <t>0.24266666666666664</t>
  </si>
  <si>
    <t>60.86666666666667</t>
  </si>
  <si>
    <t>186.93333333333334</t>
  </si>
  <si>
    <t>1696.4666666666667</t>
  </si>
  <si>
    <t>1675.3333333333333</t>
  </si>
  <si>
    <t>1586.2666666666667</t>
  </si>
  <si>
    <t>53.958441216926275</t>
  </si>
  <si>
    <t>http://live.fanfooty.com.au/game/matchcentre.html?id=8930</t>
  </si>
  <si>
    <t>Hamill</t>
  </si>
  <si>
    <t>%P and %M plus %T... Responsible for Daniels</t>
  </si>
  <si>
    <t>8930_AD</t>
  </si>
  <si>
    <t>262.6666666666667</t>
  </si>
  <si>
    <t>168.33333333333334</t>
  </si>
  <si>
    <t>1637.9333333333334</t>
  </si>
  <si>
    <t>82.33154215931198</t>
  </si>
  <si>
    <t>http://live.fanfooty.com.au/game/matchcentre.html?id=8932</t>
  </si>
  <si>
    <t>Campbell</t>
  </si>
  <si>
    <t>%l Sebastian Ross... subbed off in Q3 for Sharman... %H... also %P and %M</t>
  </si>
  <si>
    <t>8932_SK</t>
  </si>
  <si>
    <t>0.20666666666666653</t>
  </si>
  <si>
    <t>124.66666666666667</t>
  </si>
  <si>
    <t>1552.1333333333334</t>
  </si>
  <si>
    <t>1686.6666666666667</t>
  </si>
  <si>
    <t>53.575525978511656</t>
  </si>
  <si>
    <t>Max</t>
  </si>
  <si>
    <t>King</t>
  </si>
  <si>
    <t>Donuts in Q1... %s from %P and %M... Up forward on Zerk-Thatcher</t>
  </si>
  <si>
    <t>0.5939999999999999</t>
  </si>
  <si>
    <t>0.5160000000000001</t>
  </si>
  <si>
    <t>86.13333333333334</t>
  </si>
  <si>
    <t>214.93333333333334</t>
  </si>
  <si>
    <t>60.41128508888602</t>
  </si>
  <si>
    <t>http://live.fanfooty.com.au/game/matchcentre.html?id=8938</t>
  </si>
  <si>
    <t>Seamus</t>
  </si>
  <si>
    <t>%P and %M plus %T... Rotating at half back</t>
  </si>
  <si>
    <t>8938_HW</t>
  </si>
  <si>
    <t>0.2033333333333333</t>
  </si>
  <si>
    <t>1604.3333333333333</t>
  </si>
  <si>
    <t>1585.2666666666667</t>
  </si>
  <si>
    <t>1701.9333333333334</t>
  </si>
  <si>
    <t>Copped a heavy elbow from Kolodjashnij to the head in Q4 that had him out before he hit the ground... Booted %s from %G and %P</t>
  </si>
  <si>
    <t>Starting forward on Jack Henry</t>
  </si>
  <si>
    <t>87.53333333333333</t>
  </si>
  <si>
    <t>187.06666666666666</t>
  </si>
  <si>
    <t>1613.7333333333333</t>
  </si>
  <si>
    <t>45.23937973333544</t>
  </si>
  <si>
    <t>http://live.fanfooty.com.au/game/matchcentre.html?id=8940</t>
  </si>
  <si>
    <t>Noah</t>
  </si>
  <si>
    <t>Cumberland</t>
  </si>
  <si>
    <t>%P and %T... gave away %F... Starting forward</t>
  </si>
  <si>
    <t>8940_RI</t>
  </si>
  <si>
    <t>0.29266666666666663</t>
  </si>
  <si>
    <t>46.12293186838535</t>
  </si>
  <si>
    <t>http://live.fanfooty.com.au/game/matchcentre.html?id=8946</t>
  </si>
  <si>
    <t>Curtis</t>
  </si>
  <si>
    <t>On in Q3 for Shiels... %P and %M</t>
  </si>
  <si>
    <t>8946_NM</t>
  </si>
  <si>
    <t>0.6326666666666667</t>
  </si>
  <si>
    <t>120.33333333333333</t>
  </si>
  <si>
    <t>178.86666666666667</t>
  </si>
  <si>
    <t>52.11633205860365</t>
  </si>
  <si>
    <t>http://live.fanfooty.com.au/game/matchcentre.html?id=8947</t>
  </si>
  <si>
    <t>Marchbank</t>
  </si>
  <si>
    <t>%M and %P... In defence</t>
  </si>
  <si>
    <t>8947_CA</t>
  </si>
  <si>
    <t>0.6533333333333333</t>
  </si>
  <si>
    <t>1.0133333333333334</t>
  </si>
  <si>
    <t>86.47203891766841</t>
  </si>
  <si>
    <t>http://live.fanfooty.com.au/game/matchcentre.html?id=8949</t>
  </si>
  <si>
    <t>Hind</t>
  </si>
  <si>
    <t>Subbed on late in Q3 for Wright... %P including %K</t>
  </si>
  <si>
    <t>8949_ES</t>
  </si>
  <si>
    <t>59.46666666666667</t>
  </si>
  <si>
    <t>143.66666666666666</t>
  </si>
  <si>
    <t>228.13333333333333</t>
  </si>
  <si>
    <t>1674.6666666666667</t>
  </si>
  <si>
    <t>85.82435431014093</t>
  </si>
  <si>
    <t>http://live.fanfooty.com.au/game/matchcentre.html?id=8953</t>
  </si>
  <si>
    <t>Todd</t>
  </si>
  <si>
    <t>Goldstein</t>
  </si>
  <si>
    <t>8953_ES</t>
  </si>
  <si>
    <t>24.133333333333333</t>
  </si>
  <si>
    <t>0.4393333333333333</t>
  </si>
  <si>
    <t>0.5233333333333333</t>
  </si>
  <si>
    <t>1700.2666666666667</t>
  </si>
  <si>
    <t>82.54457741275333</t>
  </si>
  <si>
    <t>Guelfi</t>
  </si>
  <si>
    <t>%P and %T... Playing a forward role</t>
  </si>
  <si>
    <t>146.73333333333332</t>
  </si>
  <si>
    <t>66.28551705912835</t>
  </si>
  <si>
    <t>%P and %M plus %T... Playing a half back role</t>
  </si>
  <si>
    <t>8953_AD</t>
  </si>
  <si>
    <t>11.133333333333333</t>
  </si>
  <si>
    <t>339.6666666666667</t>
  </si>
  <si>
    <t>370.6666666666667</t>
  </si>
  <si>
    <t>1650.3333333333333</t>
  </si>
  <si>
    <t>91.34903098879853</t>
  </si>
  <si>
    <t>Jordon</t>
  </si>
  <si>
    <t>Butts</t>
  </si>
  <si>
    <t>Off in Q3 with a left lower leg injury and did not return... %M and %P</t>
  </si>
  <si>
    <t>In defence on Jones</t>
  </si>
  <si>
    <t>129.73333333333332</t>
  </si>
  <si>
    <t>34.768885015780555</t>
  </si>
  <si>
    <t>http://live.fanfooty.com.au/game/matchcentre.html?id=8955</t>
  </si>
  <si>
    <t>Knee on knee contact in Q3 saw him carried off and soon subbed late in Q3... %P and %M plus %T</t>
  </si>
  <si>
    <t>8955_SK</t>
  </si>
  <si>
    <t>231.06666666666666</t>
  </si>
  <si>
    <t>Jamaine</t>
  </si>
  <si>
    <t>%P including %K... also %M... Coming off half back</t>
  </si>
  <si>
    <t>8955_WC</t>
  </si>
  <si>
    <t>0.1873333333333333</t>
  </si>
  <si>
    <t>127.66666666666667</t>
  </si>
  <si>
    <t>198.33333333333334</t>
  </si>
  <si>
    <t>1474.3333333333333</t>
  </si>
  <si>
    <t>1468.8666666666666</t>
  </si>
  <si>
    <t>1814.3333333333333</t>
  </si>
  <si>
    <t>79.62006497539659</t>
  </si>
  <si>
    <t>http://live.fanfooty.com.au/game/matchcentre.html?id=8956</t>
  </si>
  <si>
    <t>Oleg</t>
  </si>
  <si>
    <t>Markov</t>
  </si>
  <si>
    <t>mare</t>
  </si>
  <si>
    <t>Extremely unsuited to a wet day... %P and %M plus %T</t>
  </si>
  <si>
    <t>Running off half back</t>
  </si>
  <si>
    <t>8956_CO</t>
  </si>
  <si>
    <t>0.44800000000000006</t>
  </si>
  <si>
    <t>1586.0666666666666</t>
  </si>
  <si>
    <t>1852.3333333333333</t>
  </si>
  <si>
    <t>1695.4666666666667</t>
  </si>
  <si>
    <t>64.25561305011246</t>
  </si>
  <si>
    <t>http://live.fanfooty.com.au/game/matchcentre.html?id=8957</t>
  </si>
  <si>
    <t>Brandan</t>
  </si>
  <si>
    <t>Parfitt</t>
  </si>
  <si>
    <t>%l Tom Atkins and subbed off at 3QT for Clohesy... %P and %T plus %s</t>
  </si>
  <si>
    <t>8957_GE</t>
  </si>
  <si>
    <t>59.06666666666667</t>
  </si>
  <si>
    <t>210.66666666666666</t>
  </si>
  <si>
    <t>1423.3333333333333</t>
  </si>
  <si>
    <t>1724.1333333333334</t>
  </si>
  <si>
    <t>54.50669977025151</t>
  </si>
  <si>
    <t>http://live.fanfooty.com.au/game/matchcentre.html?id=8958</t>
  </si>
  <si>
    <t>%P including %K... also %M... Rotating in defence</t>
  </si>
  <si>
    <t>8958_PA</t>
  </si>
  <si>
    <t>0.5606666666666666</t>
  </si>
  <si>
    <t>365.3333333333333</t>
  </si>
  <si>
    <t>1642.4666666666667</t>
  </si>
  <si>
    <t>http://live.fanfooty.com.au/game/matchcentre.html?id=8961</t>
  </si>
  <si>
    <t>Durdin</t>
  </si>
  <si>
    <t>%l Caleb Marchbank... off in Q1 after a knock but returned in Q2... %P including %K</t>
  </si>
  <si>
    <t>In defence on Comben</t>
  </si>
  <si>
    <t>8961_CA</t>
  </si>
  <si>
    <t>0.22733333333333333</t>
  </si>
  <si>
    <t>0.44333333333333336</t>
  </si>
  <si>
    <t>1686.8666666666666</t>
  </si>
  <si>
    <t>1587.1333333333334</t>
  </si>
  <si>
    <t>43.234737847145865</t>
  </si>
  <si>
    <t>http://live.fanfooty.com.au/game/matchcentre.html?id=8962</t>
  </si>
  <si>
    <t>Cuningham</t>
  </si>
  <si>
    <t>Dislocated left shoulder in a clash with Rioli in Q1... subbed off for Carroll</t>
  </si>
  <si>
    <t>8962_CA</t>
  </si>
  <si>
    <t>1.3966666666666667</t>
  </si>
  <si>
    <t>0.5166666666666667</t>
  </si>
  <si>
    <t>160.13333333333333</t>
  </si>
  <si>
    <t>1697.2666666666667</t>
  </si>
  <si>
    <t>1633.6666666666667</t>
  </si>
  <si>
    <t>38.335654022344066</t>
  </si>
  <si>
    <t>http://live.fanfooty.com.au/game/matchcentre.html?id=8964</t>
  </si>
  <si>
    <t>Malcolm</t>
  </si>
  <si>
    <t>Rosas</t>
  </si>
  <si>
    <t>%s from %P... gave away %F... Rotating forward</t>
  </si>
  <si>
    <t>8964_GC</t>
  </si>
  <si>
    <t>0.044000000000000004</t>
  </si>
  <si>
    <t>1669.3333333333333</t>
  </si>
  <si>
    <t>1624.9333333333334</t>
  </si>
  <si>
    <t>1661.8666666666666</t>
  </si>
  <si>
    <t>56.10718354721441</t>
  </si>
  <si>
    <t>Berry</t>
  </si>
  <si>
    <t>On after 3QT for Moyle... %P</t>
  </si>
  <si>
    <t>127.33333333333333</t>
  </si>
  <si>
    <t>188.93333333333334</t>
  </si>
  <si>
    <t>1709.3333333333333</t>
  </si>
  <si>
    <t>http://live.fanfooty.com.au/game/matchcentre.html?id=8965</t>
  </si>
  <si>
    <t>Peter</t>
  </si>
  <si>
    <t>%P including %B... also %T... Up forward on Howard</t>
  </si>
  <si>
    <t>8965_ES</t>
  </si>
  <si>
    <t>0.3393333333333333</t>
  </si>
  <si>
    <t>1698.8666666666666</t>
  </si>
  <si>
    <t>1702.6666666666667</t>
  </si>
  <si>
    <t>1589.3333333333333</t>
  </si>
  <si>
    <t>72.28909351666461</t>
  </si>
  <si>
    <t>http://live.fanfooty.com.au/game/matchcentre.html?id=8967</t>
  </si>
  <si>
    <t>Came off in Q4 with a problem... %P and %T</t>
  </si>
  <si>
    <t>8967_WC</t>
  </si>
  <si>
    <t>124.33333333333333</t>
  </si>
  <si>
    <t>1501.3333333333333</t>
  </si>
  <si>
    <t>1764.4666666666667</t>
  </si>
  <si>
    <t>61.328398213926064</t>
  </si>
  <si>
    <t>Rotham</t>
  </si>
  <si>
    <t>dogga</t>
  </si>
  <si>
    <t>%P including %K... also %M... In defence on Jackson</t>
  </si>
  <si>
    <t>179.73333333333332</t>
  </si>
  <si>
    <t>1521.2666666666667</t>
  </si>
  <si>
    <t>1878.3333333333333</t>
  </si>
  <si>
    <t>1763.2666666666667</t>
  </si>
  <si>
    <t>40.271527994600476</t>
  </si>
  <si>
    <t>http://live.fanfooty.com.au/game/matchcentre.html?id=8970</t>
  </si>
  <si>
    <t>Cook</t>
  </si>
  <si>
    <t>%P and %M... Starting on a HFF</t>
  </si>
  <si>
    <t>8970_AD</t>
  </si>
  <si>
    <t>51.52650932989966</t>
  </si>
  <si>
    <t>Elliott</t>
  </si>
  <si>
    <t>Himmelberg</t>
  </si>
  <si>
    <t>Subbed off in Q3 for Curtin... %P</t>
  </si>
  <si>
    <t>Playing a forward/ruck role on Scrimshaw</t>
  </si>
  <si>
    <t>63.82473807017408</t>
  </si>
  <si>
    <t>http://live.fanfooty.com.au/game/matchcentre.html?id=8972</t>
  </si>
  <si>
    <t>Fiorini</t>
  </si>
  <si>
    <t>%P and %M plus %T... %s as well... umps paid him %4FF... Playing on a wing</t>
  </si>
  <si>
    <t>8972_GC</t>
  </si>
  <si>
    <t>256.3333333333333</t>
  </si>
  <si>
    <t>293.1333333333333</t>
  </si>
  <si>
    <t>1671.1333333333334</t>
  </si>
  <si>
    <t>17.779258919362206</t>
  </si>
  <si>
    <t>http://live.fanfooty.com.au/game/matchcentre.html?id=8973</t>
  </si>
  <si>
    <t>Jaidyn</t>
  </si>
  <si>
    <t>Stephenson</t>
  </si>
  <si>
    <t>%s from %P and %M plus %T... Starting at half back</t>
  </si>
  <si>
    <t>8973_NM</t>
  </si>
  <si>
    <t>0.17800000000000002</t>
  </si>
  <si>
    <t>64.46666666666667</t>
  </si>
  <si>
    <t>80.65089052313252</t>
  </si>
  <si>
    <t>23.349109476867483</t>
  </si>
  <si>
    <t>Dustin</t>
  </si>
  <si>
    <t>cobweb</t>
  </si>
  <si>
    <t>Looked underdone... %P and %M plus %s</t>
  </si>
  <si>
    <t>Mostly forward</t>
  </si>
  <si>
    <t>8973_RI</t>
  </si>
  <si>
    <t>9.923333333333336</t>
  </si>
  <si>
    <t>5.568666666666666</t>
  </si>
  <si>
    <t>7.499333333333334</t>
  </si>
  <si>
    <t>263.93333333333334</t>
  </si>
  <si>
    <t>1801.6666666666667</t>
  </si>
  <si>
    <t>1796.0666666666666</t>
  </si>
  <si>
    <t>75.99211275114516</t>
  </si>
  <si>
    <t>http://live.fanfooty.com.au/game/matchcentre.html?id=8978</t>
  </si>
  <si>
    <t>Aish</t>
  </si>
  <si>
    <t>Subbed on in Q3... %P and %T</t>
  </si>
  <si>
    <t>8978_FR</t>
  </si>
  <si>
    <t>25.333333333333332</t>
  </si>
  <si>
    <t>1684.7333333333333</t>
  </si>
  <si>
    <t>1600.9333333333334</t>
  </si>
  <si>
    <t>56.98654776885171</t>
  </si>
  <si>
    <t>http://live.fanfooty.com.au/game/matchcentre.html?id=8979</t>
  </si>
  <si>
    <t>Bonner</t>
  </si>
  <si>
    <t>astronaut</t>
  </si>
  <si>
    <t>Subbed off at HT for Dow after a series of poor defensive efforts... %M and %P</t>
  </si>
  <si>
    <t>Starting on a wing against Berry</t>
  </si>
  <si>
    <t>8979_SK</t>
  </si>
  <si>
    <t>356.3333333333333</t>
  </si>
  <si>
    <t>1743.3333333333333</t>
  </si>
  <si>
    <t>1538.6666666666667</t>
  </si>
  <si>
    <t>http://live.fanfooty.com.au/game/matchcentre.html?id=8983</t>
  </si>
  <si>
    <t>Taberner</t>
  </si>
  <si>
    <t>crab</t>
  </si>
  <si>
    <t>Looks well short of a gallop... subbed off in Q4 for Worner... %P and %M</t>
  </si>
  <si>
    <t>Playing a forward/ruck role on Kolodjashnij</t>
  </si>
  <si>
    <t>8983_FR</t>
  </si>
  <si>
    <t>124.46666666666667</t>
  </si>
  <si>
    <t>1674.4666666666667</t>
  </si>
  <si>
    <t>54.478838313970385</t>
  </si>
  <si>
    <t>http://live.fanfooty.com.au/game/matchcentre.html?id=8984</t>
  </si>
  <si>
    <t>Nik</t>
  </si>
  <si>
    <t>Cox</t>
  </si>
  <si>
    <t>Looked in a bad way after a heavy contest in Q2 and subbed off quickly... %P and %M plus %T</t>
  </si>
  <si>
    <t>In defence on Andrew</t>
  </si>
  <si>
    <t>8984_ES</t>
  </si>
  <si>
    <t>170.86666666666667</t>
  </si>
  <si>
    <t>1698.7333333333333</t>
  </si>
  <si>
    <t>1584.2666666666667</t>
  </si>
  <si>
    <t>39.15562075325545</t>
  </si>
  <si>
    <t>http://live.fanfooty.com.au/game/matchcentre.html?id=8986</t>
  </si>
  <si>
    <t>Subbed off at QT with a hamstring injury</t>
  </si>
  <si>
    <t>Playing a half forward role on Weddle</t>
  </si>
  <si>
    <t>8986_CA</t>
  </si>
  <si>
    <t>0.1760000000000001</t>
  </si>
  <si>
    <t>126.73333333333333</t>
  </si>
  <si>
    <t>1683.0666666666666</t>
  </si>
  <si>
    <t>1600.1333333333334</t>
  </si>
  <si>
    <t>39.42343525739919</t>
  </si>
  <si>
    <t>http://live.fanfooty.com.au/game/matchcentre.html?id=8987</t>
  </si>
  <si>
    <t>Samson</t>
  </si>
  <si>
    <t>bench</t>
  </si>
  <si>
    <t>Subbed off at 3QT... %H... also %P and %M... and booted %s</t>
  </si>
  <si>
    <t>Playing a ruck/forward role on Howard</t>
  </si>
  <si>
    <t>8987_RI</t>
  </si>
  <si>
    <t>2.4853333333333336</t>
  </si>
  <si>
    <t>1.4439999999999997</t>
  </si>
  <si>
    <t>1574.2666666666667</t>
  </si>
  <si>
    <t>50.46088208215433</t>
  </si>
  <si>
    <t>http://live.fanfooty.com.au/game/matchcentre.html?id=8988</t>
  </si>
  <si>
    <t>Garcia</t>
  </si>
  <si>
    <t>%s from %P and %M plus %T... Rotating forward... switched to mids in Q3</t>
  </si>
  <si>
    <t>8988_WB</t>
  </si>
  <si>
    <t>192.66666666666666</t>
  </si>
  <si>
    <t>1613.0666666666666</t>
  </si>
  <si>
    <t>76.57193269482676</t>
  </si>
  <si>
    <t>1.4280673051732435</t>
  </si>
  <si>
    <t>Poulter</t>
  </si>
  <si>
    <t>%P including %K... also %M... Starting on a wing on Hinge</t>
  </si>
  <si>
    <t>0.14466666666666667</t>
  </si>
  <si>
    <t>447.6666666666667</t>
  </si>
  <si>
    <t>1691.0666666666666</t>
  </si>
  <si>
    <t>61.91525000971053</t>
  </si>
  <si>
    <t>Coffield</t>
  </si>
  <si>
    <t>27.141333333333332</t>
  </si>
  <si>
    <t>31.141333333333332</t>
  </si>
  <si>
    <t>174.93333333333334</t>
  </si>
  <si>
    <t>1660.5333333333333</t>
  </si>
  <si>
    <t>81.53765658683679</t>
  </si>
  <si>
    <t>http://live.fanfooty.com.au/game/matchcentre.html?id=8989</t>
  </si>
  <si>
    <t>Weideman</t>
  </si>
  <si>
    <t>%P and %M... In defence on McDonald</t>
  </si>
  <si>
    <t>8989_ES</t>
  </si>
  <si>
    <t>0.21666666666666676</t>
  </si>
  <si>
    <t>1642.7333333333333</t>
  </si>
  <si>
    <t>44.85299623194768</t>
  </si>
  <si>
    <t>http://live.fanfooty.com.au/game/matchcentre.html?id=8990</t>
  </si>
  <si>
    <t>On in Q4 for Long to play midfield... %P</t>
  </si>
  <si>
    <t>8990_GC</t>
  </si>
  <si>
    <t>133.66666666666666</t>
  </si>
  <si>
    <t>147.33333333333334</t>
  </si>
  <si>
    <t>41.279436776046744</t>
  </si>
  <si>
    <t>http://live.fanfooty.com.au/game/matchcentre.html?id=8992</t>
  </si>
  <si>
    <t>Bytel</t>
  </si>
  <si>
    <t>Subbed off in Q3 for Long... %P</t>
  </si>
  <si>
    <t>Starting on a wing on Fletcher</t>
  </si>
  <si>
    <t>8992_CO</t>
  </si>
  <si>
    <t>0.39466666666666667</t>
  </si>
  <si>
    <t>0.5973333333333334</t>
  </si>
  <si>
    <t>52.86666666666667</t>
  </si>
  <si>
    <t>279.6666666666667</t>
  </si>
  <si>
    <t>51.79975867333248</t>
  </si>
  <si>
    <t>http://live.fanfooty.com.au/game/matchcentre.html?id=8994</t>
  </si>
  <si>
    <t>Subbed off in Q3 for Duncan... %s from %P and %M</t>
  </si>
  <si>
    <t>8994_GE</t>
  </si>
  <si>
    <t>0.19400000000000003</t>
  </si>
  <si>
    <t>176.33333333333334</t>
  </si>
  <si>
    <t>57.75165804346517</t>
  </si>
  <si>
    <t>http://live.fanfooty.com.au/game/matchcentre.html?id=8995</t>
  </si>
  <si>
    <t>Ford</t>
  </si>
  <si>
    <t>%s from %P and %M... Playing lead-up forward on Khamis</t>
  </si>
  <si>
    <t>8995_NM</t>
  </si>
  <si>
    <t>1617.1333333333334</t>
  </si>
  <si>
    <t>61.29820518611778</t>
  </si>
  <si>
    <t>http://live.fanfooty.com.au/game/matchcentre.html?id=8997</t>
  </si>
  <si>
    <t>Gaff</t>
  </si>
  <si>
    <t>%P and %M plus %T... Playing a wing role on Acres</t>
  </si>
  <si>
    <t>8997_WC</t>
  </si>
  <si>
    <t>0.4099999999999998</t>
  </si>
  <si>
    <t>265.6666666666667</t>
  </si>
  <si>
    <t>216.06666666666666</t>
  </si>
  <si>
    <t>1806.6666666666667</t>
  </si>
  <si>
    <t>1774.8666666666666</t>
  </si>
  <si>
    <t>65.80436023641279</t>
  </si>
  <si>
    <t>18.19563976358721</t>
  </si>
  <si>
    <t>Witherden</t>
  </si>
  <si>
    <t>310.6666666666667</t>
  </si>
  <si>
    <t>293.93333333333334</t>
  </si>
  <si>
    <t>1549.6666666666667</t>
  </si>
  <si>
    <t>1489.9333333333334</t>
  </si>
  <si>
    <t>1797.2666666666667</t>
  </si>
  <si>
    <t>http://live.fanfooty.com.au/game/matchcentre.html?id=8998</t>
  </si>
  <si>
    <t>Darragh</t>
  </si>
  <si>
    <t>Donuts to QT... %P including %B... Playing key defender on Draper</t>
  </si>
  <si>
    <t>8998_BL</t>
  </si>
  <si>
    <t>0.12133333333333332</t>
  </si>
  <si>
    <t>187.33333333333334</t>
  </si>
  <si>
    <t>164.46666666666667</t>
  </si>
  <si>
    <t>41.978368281687295</t>
  </si>
  <si>
    <t>Dyson</t>
  </si>
  <si>
    <t>Heppell</t>
  </si>
  <si>
    <t>8998_ES</t>
  </si>
  <si>
    <t>229.66666666666666</t>
  </si>
  <si>
    <t>1607.7333333333333</t>
  </si>
  <si>
    <t>81.76859136200629</t>
  </si>
  <si>
    <t>34.23140863799371</t>
  </si>
  <si>
    <t>Parish</t>
  </si>
  <si>
    <t>12.466666666666667</t>
  </si>
  <si>
    <t>1.4460000000000004</t>
  </si>
  <si>
    <t>409.3333333333333</t>
  </si>
  <si>
    <t>1645.2666666666667</t>
  </si>
  <si>
    <t>94.70663878006934</t>
  </si>
  <si>
    <t>Jayden</t>
  </si>
  <si>
    <t>Laverde</t>
  </si>
  <si>
    <t>%M and %P... In defence on Hipwood</t>
  </si>
  <si>
    <t>188.33333333333334</t>
  </si>
  <si>
    <t>215.26666666666668</t>
  </si>
  <si>
    <t>1692.2666666666667</t>
  </si>
  <si>
    <t>1597.1333333333334</t>
  </si>
  <si>
    <t>62.87879467719067</t>
  </si>
  <si>
    <t>11.121205322809331</t>
  </si>
  <si>
    <t>%P and %M plus %T... Playing small defender</t>
  </si>
  <si>
    <t>1723.7333333333333</t>
  </si>
  <si>
    <t>1560.5333333333333</t>
  </si>
  <si>
    <t>86.49754103544694</t>
  </si>
  <si>
    <t>http://live.fanfooty.com.au/game/matchcentre.html?id=8999</t>
  </si>
  <si>
    <t>Cincotta</t>
  </si>
  <si>
    <t>8999_CA</t>
  </si>
  <si>
    <t>1597.6666666666667</t>
  </si>
  <si>
    <t>75.90376276897756</t>
  </si>
  <si>
    <t>Mattaes</t>
  </si>
  <si>
    <t>Phillipou</t>
  </si>
  <si>
    <t>midfwd</t>
  </si>
  <si>
    <t>Rotating in midfield and half forward</t>
  </si>
  <si>
    <t>8999_SK</t>
  </si>
  <si>
    <t>6.593333333333334</t>
  </si>
  <si>
    <t>5.459333333333333</t>
  </si>
  <si>
    <t>7.207333333333334</t>
  </si>
  <si>
    <t>1593.1333333333334</t>
  </si>
  <si>
    <t>1714.3333333333333</t>
  </si>
  <si>
    <t>1688.1333333333334</t>
  </si>
  <si>
    <t>Dow</t>
  </si>
  <si>
    <t>%P and %M plus %T... %s as well... Rotating in midfield</t>
  </si>
  <si>
    <t>2.386666666666667</t>
  </si>
  <si>
    <t>3.0066666666666673</t>
  </si>
  <si>
    <t>63.266666666666666</t>
  </si>
  <si>
    <t>263.6666666666667</t>
  </si>
  <si>
    <t>1727.3333333333333</t>
  </si>
  <si>
    <t>1634.1333333333334</t>
  </si>
  <si>
    <t>1643.0666666666666</t>
  </si>
  <si>
    <t>47.36994953625166</t>
  </si>
  <si>
    <t>13.63005046374834</t>
  </si>
  <si>
    <t>%P and %M plus %T... Starting deep forward</t>
  </si>
  <si>
    <t>0.11066666666666666</t>
  </si>
  <si>
    <t>58.733333333333334</t>
  </si>
  <si>
    <t>124.86666666666666</t>
  </si>
  <si>
    <t>1637.1333333333334</t>
  </si>
  <si>
    <t>54.66917632281382</t>
  </si>
  <si>
    <t>Dougal</t>
  </si>
  <si>
    <t>Howard</t>
  </si>
  <si>
    <t>%P including %B... also %M... In defence on Kennedy</t>
  </si>
  <si>
    <t>152.66666666666666</t>
  </si>
  <si>
    <t>136.13333333333333</t>
  </si>
  <si>
    <t>53.57205600229871</t>
  </si>
  <si>
    <t>http://live.fanfooty.com.au/game/matchcentre.html?id=9000</t>
  </si>
  <si>
    <t>Zach</t>
  </si>
  <si>
    <t>Tuohy</t>
  </si>
  <si>
    <t>9000_GE</t>
  </si>
  <si>
    <t>371.6666666666667</t>
  </si>
  <si>
    <t>343.53333333333336</t>
  </si>
  <si>
    <t>1662.3333333333333</t>
  </si>
  <si>
    <t>74.68084577825864</t>
  </si>
  <si>
    <t>Elliot</t>
  </si>
  <si>
    <t>Yeo</t>
  </si>
  <si>
    <t>%P and %M plus %T... not helped by %F</t>
  </si>
  <si>
    <t>9000_WC</t>
  </si>
  <si>
    <t>439.6666666666667</t>
  </si>
  <si>
    <t>405.53333333333336</t>
  </si>
  <si>
    <t>1400.6666666666667</t>
  </si>
  <si>
    <t>1482.8666666666666</t>
  </si>
  <si>
    <t>1795.8666666666666</t>
  </si>
  <si>
    <t>103.94159644963793</t>
  </si>
  <si>
    <t>Petruccelle</t>
  </si>
  <si>
    <t>235.66666666666666</t>
  </si>
  <si>
    <t>228.06666666666666</t>
  </si>
  <si>
    <t>1398.6666666666667</t>
  </si>
  <si>
    <t>1787.4666666666667</t>
  </si>
  <si>
    <t>64.37149171107855</t>
  </si>
  <si>
    <t>Chesser</t>
  </si>
  <si>
    <t>1864.6666666666667</t>
  </si>
  <si>
    <t>36.333333333333336</t>
  </si>
  <si>
    <t>58.31123772332781</t>
  </si>
  <si>
    <t>http://live.fanfooty.com.au/game/matchcentre.html?id=9001</t>
  </si>
  <si>
    <t>Wardlaw</t>
  </si>
  <si>
    <t>%P and %T plus %s</t>
  </si>
  <si>
    <t>9001_NM</t>
  </si>
  <si>
    <t>267.6666666666667</t>
  </si>
  <si>
    <t>314.73333333333335</t>
  </si>
  <si>
    <t>1845.6666666666667</t>
  </si>
  <si>
    <t>11.798648920549496</t>
  </si>
  <si>
    <t>Shiels</t>
  </si>
  <si>
    <t>%P including %K... also %T</t>
  </si>
  <si>
    <t>167.26666666666668</t>
  </si>
  <si>
    <t>1794.6666666666667</t>
  </si>
  <si>
    <t>67.45242070720313</t>
  </si>
  <si>
    <t>http://live.fanfooty.com.au/game/matchcentre.html?id=9002</t>
  </si>
  <si>
    <t>Tomlinson</t>
  </si>
  <si>
    <t>%M and %P... Third tall defender on Hoskin-Elliott</t>
  </si>
  <si>
    <t>9002_ME</t>
  </si>
  <si>
    <t>314.3333333333333</t>
  </si>
  <si>
    <t>1612.2666666666667</t>
  </si>
  <si>
    <t>58.94249219805396</t>
  </si>
  <si>
    <t>27.057507801946038</t>
  </si>
  <si>
    <t>Judd</t>
  </si>
  <si>
    <t>McVee</t>
  </si>
  <si>
    <t>macedonian</t>
  </si>
  <si>
    <t>%P and %T... not helped by %F... Rotating at half back... moved to tag Nick Daicos in Q2</t>
  </si>
  <si>
    <t>276.3333333333333</t>
  </si>
  <si>
    <t>257.6666666666667</t>
  </si>
  <si>
    <t>1703.9333333333334</t>
  </si>
  <si>
    <t>71.41335419608068</t>
  </si>
  <si>
    <t>http://live.fanfooty.com.au/game/matchcentre.html?id=9003</t>
  </si>
  <si>
    <t>Dion</t>
  </si>
  <si>
    <t>Prestia</t>
  </si>
  <si>
    <t>%P and %M</t>
  </si>
  <si>
    <t>9003_RI</t>
  </si>
  <si>
    <t>11.733333333333333</t>
  </si>
  <si>
    <t>0.3446666666666667</t>
  </si>
  <si>
    <t>336.3333333333333</t>
  </si>
  <si>
    <t>279.8666666666667</t>
  </si>
  <si>
    <t>1477.8666666666666</t>
  </si>
  <si>
    <t>1771.6666666666667</t>
  </si>
  <si>
    <t>84.73587760747772</t>
  </si>
  <si>
    <t>18.26412239252228</t>
  </si>
  <si>
    <t>Balta</t>
  </si>
  <si>
    <t>%M and %P... In defence on King</t>
  </si>
  <si>
    <t>85.26666666666667</t>
  </si>
  <si>
    <t>243.33333333333334</t>
  </si>
  <si>
    <t>52.20527120765727</t>
  </si>
  <si>
    <t>Marlion</t>
  </si>
  <si>
    <t>Pickett</t>
  </si>
  <si>
    <t>On in Q3 for Banks... %P and %M plus %s</t>
  </si>
  <si>
    <t>0.7633333333333334</t>
  </si>
  <si>
    <t>1497.6666666666667</t>
  </si>
  <si>
    <t>1494.9333333333334</t>
  </si>
  <si>
    <t>1783.3333333333333</t>
  </si>
  <si>
    <t>59.852140006047115</t>
  </si>
  <si>
    <t>Koschitzke</t>
  </si>
  <si>
    <t>sergeant</t>
  </si>
  <si>
    <t>%P... Starting forward on Collins</t>
  </si>
  <si>
    <t>0.18533333333333332</t>
  </si>
  <si>
    <t>106.53333333333333</t>
  </si>
  <si>
    <t>1499.2666666666667</t>
  </si>
  <si>
    <t>Lemmens</t>
  </si>
  <si>
    <t>%P including %K... also %T and %M... umps paid him %4FF... Minding Bolton</t>
  </si>
  <si>
    <t>9003_GC</t>
  </si>
  <si>
    <t>250.66666666666666</t>
  </si>
  <si>
    <t>205.06666666666666</t>
  </si>
  <si>
    <t>80.99045571598694</t>
  </si>
  <si>
    <t>Sexton</t>
  </si>
  <si>
    <t>%P including %K... also %M... Playing a HBF role... switched forward in Q3</t>
  </si>
  <si>
    <t>12.866666666666667</t>
  </si>
  <si>
    <t>473.1333333333333</t>
  </si>
  <si>
    <t>1636.0666666666666</t>
  </si>
  <si>
    <t>77.23092382962406</t>
  </si>
  <si>
    <t>Davies</t>
  </si>
  <si>
    <t>Subbed off in Q3 for Rogers... %P and %T</t>
  </si>
  <si>
    <t>0.34466666666666673</t>
  </si>
  <si>
    <t>0.6326666666666666</t>
  </si>
  <si>
    <t>51.75256551457599</t>
  </si>
  <si>
    <t>6.247434485424009</t>
  </si>
  <si>
    <t>http://live.fanfooty.com.au/game/matchcentre.html?id=9004</t>
  </si>
  <si>
    <t>Francis</t>
  </si>
  <si>
    <t>texan</t>
  </si>
  <si>
    <t>%P including %K... also %M and %T... Standing Walker</t>
  </si>
  <si>
    <t>9004_SY</t>
  </si>
  <si>
    <t>3.9333333333333327</t>
  </si>
  <si>
    <t>0.9599999999999999</t>
  </si>
  <si>
    <t>1666.0666666666666</t>
  </si>
  <si>
    <t>73.88778100335645</t>
  </si>
  <si>
    <t>%P and %T plus %s... Rotating through midfield</t>
  </si>
  <si>
    <t>9004_AD</t>
  </si>
  <si>
    <t>264.6666666666667</t>
  </si>
  <si>
    <t>1641.8666666666666</t>
  </si>
  <si>
    <t>28.512215161590802</t>
  </si>
  <si>
    <t>Chayce</t>
  </si>
  <si>
    <t>On in Q3 for Worrell... %P and %M plus %T... %s as well</t>
  </si>
  <si>
    <t>63.93333333333333</t>
  </si>
  <si>
    <t>276.53333333333336</t>
  </si>
  <si>
    <t>1513.6666666666667</t>
  </si>
  <si>
    <t>58.88215053937909</t>
  </si>
  <si>
    <t>http://live.fanfooty.com.au/game/matchcentre.html?id=9006</t>
  </si>
  <si>
    <t>Nat</t>
  </si>
  <si>
    <t>Fyfe</t>
  </si>
  <si>
    <t>%P including %B... also %T and %M... and booted %s... conceded %F... Rotating in midfield</t>
  </si>
  <si>
    <t>9006_FR</t>
  </si>
  <si>
    <t>141.86666666666667</t>
  </si>
  <si>
    <t>1691.9333333333334</t>
  </si>
  <si>
    <t>54.54475731382621</t>
  </si>
  <si>
    <t>19.45524268617379</t>
  </si>
  <si>
    <t>Sturt</t>
  </si>
  <si>
    <t>%s from %P and %M... Rotating at half forward</t>
  </si>
  <si>
    <t>0.6933333333333334</t>
  </si>
  <si>
    <t>142.66666666666666</t>
  </si>
  <si>
    <t>1668.0666666666666</t>
  </si>
  <si>
    <t>55.987906686362344</t>
  </si>
  <si>
    <t>Walters</t>
  </si>
  <si>
    <t>On after 3QT for Johnson... %s from %P</t>
  </si>
  <si>
    <t>142.86666666666667</t>
  </si>
  <si>
    <t>1709.7333333333333</t>
  </si>
  <si>
    <t>1554.6666666666667</t>
  </si>
  <si>
    <t>1574.7333333333333</t>
  </si>
  <si>
    <t>48.79327179012388</t>
  </si>
  <si>
    <t>http://live.fanfooty.com.au/game/matchcentre.html?id=9007</t>
  </si>
  <si>
    <t>McEntee</t>
  </si>
  <si>
    <t>%s from %P and %M plus %T... Playing a pressure forward role</t>
  </si>
  <si>
    <t>9007_PA</t>
  </si>
  <si>
    <t>0.16133333333333333</t>
  </si>
  <si>
    <t>0.11666666666666667</t>
  </si>
  <si>
    <t>0.15133333333333338</t>
  </si>
  <si>
    <t>1507.6666666666667</t>
  </si>
  <si>
    <t>1615.2666666666667</t>
  </si>
  <si>
    <t>1777.6666666666667</t>
  </si>
  <si>
    <t>49.599094503607255</t>
  </si>
  <si>
    <t>http://live.fanfooty.com.au/game/matchcentre.html?id=9008</t>
  </si>
  <si>
    <t>Treloar</t>
  </si>
  <si>
    <t>9008_WB</t>
  </si>
  <si>
    <t>369.6666666666667</t>
  </si>
  <si>
    <t>104.66666666666667</t>
  </si>
  <si>
    <t>107.25713037020512</t>
  </si>
  <si>
    <t>2.742869629794882</t>
  </si>
  <si>
    <t>Bontempelli</t>
  </si>
  <si>
    <t>Tagged out of it by Nash... %P and %M plus %T... %s as well</t>
  </si>
  <si>
    <t>Leading the inside midfield then resting forward</t>
  </si>
  <si>
    <t>367.6666666666667</t>
  </si>
  <si>
    <t>104.9669813507971</t>
  </si>
  <si>
    <t>Cody</t>
  </si>
  <si>
    <t>Weightman</t>
  </si>
  <si>
    <t>Well beaten on the night... %s from %P and %T</t>
  </si>
  <si>
    <t>Starting deep forward on Hardwick</t>
  </si>
  <si>
    <t>227.66666666666666</t>
  </si>
  <si>
    <t>199.53333333333333</t>
  </si>
  <si>
    <t>1730.9333333333334</t>
  </si>
  <si>
    <t>66.66214164630625</t>
  </si>
  <si>
    <t>Jamarra</t>
  </si>
  <si>
    <t>Ugle-Hagan</t>
  </si>
  <si>
    <t>missing</t>
  </si>
  <si>
    <t>Largely unsighted... %s from %P and %M</t>
  </si>
  <si>
    <t>Up forward on Scrimshaw</t>
  </si>
  <si>
    <t>55.86666666666667</t>
  </si>
  <si>
    <t>64.68729139033549</t>
  </si>
  <si>
    <t>http://live.fanfooty.com.au/game/matchcentre.html?id=9009</t>
  </si>
  <si>
    <t>Mills</t>
  </si>
  <si>
    <t>%P and %M plus %T... Playing half back</t>
  </si>
  <si>
    <t>9009_SY</t>
  </si>
  <si>
    <t>2.726666666666666</t>
  </si>
  <si>
    <t>290.3333333333333</t>
  </si>
  <si>
    <t>270.26666666666665</t>
  </si>
  <si>
    <t>105.79440217575441</t>
  </si>
  <si>
    <t>http://live.fanfooty.com.au/game/matchcentre.html?id=9010</t>
  </si>
  <si>
    <t>reported</t>
  </si>
  <si>
    <t>Reported for rough conduct on Neale in Q4... %P and %M plus %T</t>
  </si>
  <si>
    <t>9010_CA</t>
  </si>
  <si>
    <t>17.866666666666667</t>
  </si>
  <si>
    <t>1618.8666666666666</t>
  </si>
  <si>
    <t>97.23512729305244</t>
  </si>
  <si>
    <t>12.764872706947557</t>
  </si>
  <si>
    <t>Pittonet</t>
  </si>
  <si>
    <t>Went down hard in Q2 after copping a Berry knee to the guts... %H... also %P and %M... and scored %s</t>
  </si>
  <si>
    <t>24.333333333333332</t>
  </si>
  <si>
    <t>24.866666666666667</t>
  </si>
  <si>
    <t>0.22333333333333333</t>
  </si>
  <si>
    <t>0.43466666666666665</t>
  </si>
  <si>
    <t>154.66666666666666</t>
  </si>
  <si>
    <t>140.66666666666666</t>
  </si>
  <si>
    <t>1620.4666666666667</t>
  </si>
  <si>
    <t>97.33333333333333</t>
  </si>
  <si>
    <t>Elijah</t>
  </si>
  <si>
    <t>Hollands</t>
  </si>
  <si>
    <t>%P and %M plus %s... Starting at half forward with mid rotations</t>
  </si>
  <si>
    <t>311.6666666666667</t>
  </si>
  <si>
    <t>84.18753162936468</t>
  </si>
  <si>
    <t>Orazio</t>
  </si>
  <si>
    <t>Fantasia</t>
  </si>
  <si>
    <t>%s from %P and %M... Starting at half forward</t>
  </si>
  <si>
    <t>0.4313333333333333</t>
  </si>
  <si>
    <t>5.421333333333333</t>
  </si>
  <si>
    <t>143.46666666666667</t>
  </si>
  <si>
    <t>1689.2666666666667</t>
  </si>
  <si>
    <t>49.30537555652337</t>
  </si>
  <si>
    <t>http://live.fanfooty.com.au/game/matchcentre.html?id=9011</t>
  </si>
  <si>
    <t>Marshall</t>
  </si>
  <si>
    <t>Copped a Georgiades knee to the back of the head in Q1 but played on... subbed off at 3QT for Lorenz... %s from %P and %M plus %T</t>
  </si>
  <si>
    <t>Starting at CHF on Scrimshaw</t>
  </si>
  <si>
    <t>9011_PA</t>
  </si>
  <si>
    <t>161.66666666666666</t>
  </si>
  <si>
    <t>180.13333333333333</t>
  </si>
  <si>
    <t>1656.2666666666667</t>
  </si>
  <si>
    <t>1633.2666666666667</t>
  </si>
  <si>
    <t>70.37137758002268</t>
  </si>
  <si>
    <t>http://live.fanfooty.com.au/game/matchcentre.html?id=9013</t>
  </si>
  <si>
    <t>Dixon</t>
  </si>
  <si>
    <t>pelican</t>
  </si>
  <si>
    <t>%s from %P and %M... At FF on Melican with ruck support</t>
  </si>
  <si>
    <t>9013_PA</t>
  </si>
  <si>
    <t>Quinton</t>
  </si>
  <si>
    <t>Narkle</t>
  </si>
  <si>
    <t>%P including %K... also %M... Mostly forward</t>
  </si>
  <si>
    <t>51.46666666666667</t>
  </si>
  <si>
    <t>1827.6666666666667</t>
  </si>
  <si>
    <t>Zerk-Thatcher</t>
  </si>
  <si>
    <t>%P and %T... At FB on Amartey</t>
  </si>
  <si>
    <t>93.26666666666667</t>
  </si>
  <si>
    <t>53.835912236838865</t>
  </si>
  <si>
    <t>http://live.fanfooty.com.au/game/matchcentre.html?id=9014</t>
  </si>
  <si>
    <t>Tanner</t>
  </si>
  <si>
    <t>Bruhn</t>
  </si>
  <si>
    <t>%P and %M plus %T... gave away %F... Starting in midfield</t>
  </si>
  <si>
    <t>9014_GE</t>
  </si>
  <si>
    <t>60.733333333333334</t>
  </si>
  <si>
    <t>1761.3333333333333</t>
  </si>
  <si>
    <t>1630.4666666666667</t>
  </si>
  <si>
    <t>1645.5333333333333</t>
  </si>
  <si>
    <t>57.470544908265694</t>
  </si>
  <si>
    <t>%M and %P... Playing tween defender on Hipwood</t>
  </si>
  <si>
    <t>55.06814459295692</t>
  </si>
  <si>
    <t>Bews</t>
  </si>
  <si>
    <t>harley</t>
  </si>
  <si>
    <t>%M and %P... Minding Cameron</t>
  </si>
  <si>
    <t>156.33333333333334</t>
  </si>
  <si>
    <t>161.33333333333334</t>
  </si>
  <si>
    <t>1608.5333333333333</t>
  </si>
  <si>
    <t>1669.0666666666666</t>
  </si>
  <si>
    <t>57.36457419195219</t>
  </si>
  <si>
    <t>Duncan</t>
  </si>
  <si>
    <t>On early in Q4 for Holmes... %P</t>
  </si>
  <si>
    <t>68.42745673722459</t>
  </si>
  <si>
    <t>http://live.fanfooty.com.au/game/matchcentre.html?id=9015</t>
  </si>
  <si>
    <t>Errol</t>
  </si>
  <si>
    <t>Gulden</t>
  </si>
  <si>
    <t>%P including %K... also %M and %T... Starting on a wing on Fletcher</t>
  </si>
  <si>
    <t>9015_SY</t>
  </si>
  <si>
    <t>19.533333333333335</t>
  </si>
  <si>
    <t>1625.3333333333333</t>
  </si>
  <si>
    <t>1636.4666666666667</t>
  </si>
  <si>
    <t>97.86042733137522</t>
  </si>
  <si>
    <t>Fox</t>
  </si>
  <si>
    <t>%P and %M plus %T... %s as well... Starting in attack... switched back late in Q2 after the horse had bolted</t>
  </si>
  <si>
    <t>118.66666666666667</t>
  </si>
  <si>
    <t>70.52143046424769</t>
  </si>
  <si>
    <t>53.478569535752314</t>
  </si>
  <si>
    <t>Cunningham</t>
  </si>
  <si>
    <t>%M and %P... The big job on Cameron</t>
  </si>
  <si>
    <t>159.26666666666668</t>
  </si>
  <si>
    <t>1638.7333333333333</t>
  </si>
  <si>
    <t>Logan</t>
  </si>
  <si>
    <t>Limping on the left ankle he injured last week to start Q3... quickly subbed off for Campbell</t>
  </si>
  <si>
    <t>Starting forward on Lester</t>
  </si>
  <si>
    <t>41.480764423947605</t>
  </si>
  <si>
    <t>Kai</t>
  </si>
  <si>
    <t>Lohmann</t>
  </si>
  <si>
    <t>His early goals busted the game open... %s from %P and %M plus %T</t>
  </si>
  <si>
    <t>9015_BL</t>
  </si>
  <si>
    <t>201.66666666666666</t>
  </si>
  <si>
    <t>1728.7333333333333</t>
  </si>
  <si>
    <t>1523.3333333333333</t>
  </si>
  <si>
    <t>1555.4666666666667</t>
  </si>
  <si>
    <t>80.13333590889377</t>
  </si>
  <si>
    <t>29.86666409110623</t>
  </si>
  <si>
    <t>Joe</t>
  </si>
  <si>
    <t>Daniher</t>
  </si>
  <si>
    <t>%s from %P and %M... gave away %F... Playing a forward/ruck role on Melican</t>
  </si>
  <si>
    <t>301.3333333333333</t>
  </si>
  <si>
    <t>77.00956186012831</t>
  </si>
  <si>
    <t>38.990438139871685</t>
  </si>
  <si>
    <t>http://live.fanfooty.com.au/game/matchcentre.html?id=9202</t>
  </si>
  <si>
    <t>Right hamstring tightness after a Scrimshaw tackle in Q4... %P and %M plus %s</t>
  </si>
  <si>
    <t>9202_SY</t>
  </si>
  <si>
    <t>190.93333333333334</t>
  </si>
  <si>
    <t>76.26402812578377</t>
  </si>
  <si>
    <t>http://live.fanfooty.com.au/game/matchcentre.html?id=9206</t>
  </si>
  <si>
    <t>Macdonald</t>
  </si>
  <si>
    <t>%s from %P and %M... Starting at half forward on McGrath</t>
  </si>
  <si>
    <t>9206_HW</t>
  </si>
  <si>
    <t>1533.1333333333334</t>
  </si>
  <si>
    <t>73.00270420488451</t>
  </si>
  <si>
    <t>30.99729579511549</t>
  </si>
  <si>
    <t>On in Q2 for Scrimshaw... %P including %K... also %T</t>
  </si>
  <si>
    <t>151.66666666666666</t>
  </si>
  <si>
    <t>111.06666666666666</t>
  </si>
  <si>
    <t>1857.6666666666667</t>
  </si>
  <si>
    <t>1421.3333333333333</t>
  </si>
  <si>
    <t>1546.7333333333333</t>
  </si>
  <si>
    <t>39.40842617963425</t>
  </si>
  <si>
    <t>Scrimshaw</t>
  </si>
  <si>
    <t>Clothesline on Ridley in Q2 might earn a week of rest... broken nose after headclash with Battle in Q2 and subbed off for Frost... %P</t>
  </si>
  <si>
    <t>Not needed to play on talls this year</t>
  </si>
  <si>
    <t>77.26666666666667</t>
  </si>
  <si>
    <t>212.66666666666666</t>
  </si>
  <si>
    <t>59.64664544882717</t>
  </si>
  <si>
    <t>Right hamstring pull in Q3... %P and %s</t>
  </si>
  <si>
    <t>9206_ES</t>
  </si>
  <si>
    <t>277.6666666666667</t>
  </si>
  <si>
    <t>250.33333333333334</t>
  </si>
  <si>
    <t>60.77567153374612</t>
  </si>
  <si>
    <t>http://live.fanfooty.com.au/game/matchcentre.html?id=9208</t>
  </si>
  <si>
    <t>McInerney</t>
  </si>
  <si>
    <t>%P and %M... Playing a half forward role</t>
  </si>
  <si>
    <t>9208_SY</t>
  </si>
  <si>
    <t>1683.8666666666666</t>
  </si>
  <si>
    <t>74.44717947167274</t>
  </si>
  <si>
    <t>12.55282052832726</t>
  </si>
  <si>
    <t>Melican</t>
  </si>
  <si>
    <t>%M and %P... Deep in defence on Hipwood</t>
  </si>
  <si>
    <t>153.06666666666666</t>
  </si>
  <si>
    <t>50.83834526651945</t>
  </si>
  <si>
    <t>22.161654733480553</t>
  </si>
  <si>
    <t>Paton</t>
  </si>
  <si>
    <t>Subbed off in Q3 for Bice... %P and %M plus %T</t>
  </si>
  <si>
    <t>Playing back pocket</t>
  </si>
  <si>
    <t>75.31358443945638</t>
  </si>
  <si>
    <t>Fort</t>
  </si>
  <si>
    <t>%H... also %P and %M... and scored %s... Playing a forward/ruck role on Hamling</t>
  </si>
  <si>
    <t>9208_BL</t>
  </si>
  <si>
    <t>2.013333333333333</t>
  </si>
  <si>
    <t>152.73333333333332</t>
  </si>
  <si>
    <t>1592.0666666666666</t>
  </si>
  <si>
    <t>66.67985308271926</t>
  </si>
  <si>
    <t>9.320146917280738</t>
  </si>
  <si>
    <t>Starcevich</t>
  </si>
  <si>
    <t>Headclash with Justin McInerney in Q4 left him groggy... failed HIA and did not return... %P and %M plus %T</t>
  </si>
  <si>
    <t>Playing back pocket on Papley</t>
  </si>
  <si>
    <t>1500.6666666666667</t>
  </si>
  <si>
    <t>46.142913989183796</t>
  </si>
  <si>
    <t>17.857086010816204</t>
  </si>
  <si>
    <t>http://live.fanfooty.com.au/game/matchcentre.html?id=9209</t>
  </si>
  <si>
    <t>Archer</t>
  </si>
  <si>
    <t>%M and %P... Third tall defender</t>
  </si>
  <si>
    <t>9209_NM</t>
  </si>
  <si>
    <t>0.14733333333333334</t>
  </si>
  <si>
    <t>0.25466666666666665</t>
  </si>
  <si>
    <t>41.857253628155334</t>
  </si>
  <si>
    <t>http://live.fanfooty.com.au/game/matchcentre.html?id=9210</t>
  </si>
  <si>
    <t>Reef</t>
  </si>
  <si>
    <t>McInnes</t>
  </si>
  <si>
    <t>%P including %K... also %M... In defence on Lukosius</t>
  </si>
  <si>
    <t>9210_CO</t>
  </si>
  <si>
    <t>1.9853333333333334</t>
  </si>
  <si>
    <t>0.5733333333333334</t>
  </si>
  <si>
    <t>1721.6666666666667</t>
  </si>
  <si>
    <t>38.29373695297064</t>
  </si>
  <si>
    <t>14.70626304702936</t>
  </si>
  <si>
    <t>Finlayson</t>
  </si>
  <si>
    <t>skunk</t>
  </si>
  <si>
    <t>%P including %K... also %M... Playing tall defender on Membrey</t>
  </si>
  <si>
    <t>9210_PA</t>
  </si>
  <si>
    <t>0.30333333333333334</t>
  </si>
  <si>
    <t>54.93333333333333</t>
  </si>
  <si>
    <t>248.33333333333334</t>
  </si>
  <si>
    <t>1629.9333333333334</t>
  </si>
  <si>
    <t>57.41032404735192</t>
  </si>
  <si>
    <t>27.58967595264808</t>
  </si>
  <si>
    <t>http://live.fanfooty.com.au/game/matchcentre.html?id=9211</t>
  </si>
  <si>
    <t>Zaine</t>
  </si>
  <si>
    <t>Cordy</t>
  </si>
  <si>
    <t>%P and %M plus %s... In defence on Thilthorpe... switched forward late in Q4</t>
  </si>
  <si>
    <t>9211_SK</t>
  </si>
  <si>
    <t>0.4166666666666667</t>
  </si>
  <si>
    <t>0.4586666666666666</t>
  </si>
  <si>
    <t>120.66666666666667</t>
  </si>
  <si>
    <t>112.93333333333334</t>
  </si>
  <si>
    <t>1387.6666666666667</t>
  </si>
  <si>
    <t>1896.6666666666667</t>
  </si>
  <si>
    <t>65.14584530841528</t>
  </si>
  <si>
    <t>http://live.fanfooty.com.au/game/matchcentre.html?id=9213</t>
  </si>
  <si>
    <t>In ruck... %P and %M plus %T... %s as well</t>
  </si>
  <si>
    <t>Shifted forward in Q3 onto Collins</t>
  </si>
  <si>
    <t>9213_WC</t>
  </si>
  <si>
    <t>26.066666666666666</t>
  </si>
  <si>
    <t>0.7173333333333333</t>
  </si>
  <si>
    <t>113.53333333333333</t>
  </si>
  <si>
    <t>1394.3333333333333</t>
  </si>
  <si>
    <t>1566.7333333333333</t>
  </si>
  <si>
    <t>1719.7333333333333</t>
  </si>
  <si>
    <t>3.936034150541005</t>
  </si>
  <si>
    <t>Ballard</t>
  </si>
  <si>
    <t>Subbed off at HT for Sexton after injuring a knee when landing after a mark late in Q2... %P including %K... also %M</t>
  </si>
  <si>
    <t>In defence on Allen</t>
  </si>
  <si>
    <t>9213_GC</t>
  </si>
  <si>
    <t>135.33333333333334</t>
  </si>
  <si>
    <t>173.93333333333334</t>
  </si>
  <si>
    <t>1662.1333333333334</t>
  </si>
  <si>
    <t>42.526873741772576</t>
  </si>
  <si>
    <t>5.473126258227424</t>
  </si>
  <si>
    <t>http://live.fanfooty.com.au/game/matchcentre.html?id=9215</t>
  </si>
  <si>
    <t>Duryea</t>
  </si>
  <si>
    <t>%M and %P... Playing a half back role</t>
  </si>
  <si>
    <t>9215_WB</t>
  </si>
  <si>
    <t>201.33333333333334</t>
  </si>
  <si>
    <t>1768.3333333333333</t>
  </si>
  <si>
    <t>80.42526810950906</t>
  </si>
  <si>
    <t>Mason</t>
  </si>
  <si>
    <t>Copped the left fist of Lobb straight to the head in Q4 leaving a big shiner... %H... also %P and %M plus %T... %s as well</t>
  </si>
  <si>
    <t>Playing a ruck/forward role</t>
  </si>
  <si>
    <t>9215_CO</t>
  </si>
  <si>
    <t>61.86666666666667</t>
  </si>
  <si>
    <t>1751.3333333333333</t>
  </si>
  <si>
    <t>1532.6666666666667</t>
  </si>
  <si>
    <t>70.41281883666366</t>
  </si>
  <si>
    <t>http://live.fanfooty.com.au/game/matchcentre.html?id=9216</t>
  </si>
  <si>
    <t>Murray</t>
  </si>
  <si>
    <t>%P and %M plus %T... In defence on Caddy</t>
  </si>
  <si>
    <t>9216_AD</t>
  </si>
  <si>
    <t>1586.9333333333334</t>
  </si>
  <si>
    <t>http://live.fanfooty.com.au/game/matchcentre.html?id=9217</t>
  </si>
  <si>
    <t>Burton</t>
  </si>
  <si>
    <t>%P and %M plus %s... Playing a HBF role</t>
  </si>
  <si>
    <t>9217_PA</t>
  </si>
  <si>
    <t>405.6666666666667</t>
  </si>
  <si>
    <t>Lukosius</t>
  </si>
  <si>
    <t>Off early in Q1 with a right knee knock... returned after treatment then subbed off later in Q1 for Moraes</t>
  </si>
  <si>
    <t>In attack on Miller</t>
  </si>
  <si>
    <t>64.26666666666667</t>
  </si>
  <si>
    <t>208.66666666666666</t>
  </si>
  <si>
    <t>42.51124115215245</t>
  </si>
  <si>
    <t>http://live.fanfooty.com.au/game/matchcentre.html?id=9218</t>
  </si>
  <si>
    <t>Clark</t>
  </si>
  <si>
    <t>Right hip knock in Q2... reappeared in Q3 for a short while then not again... %P and %M plus %T</t>
  </si>
  <si>
    <t>9218_SK</t>
  </si>
  <si>
    <t>267.3333333333333</t>
  </si>
  <si>
    <t>262.93333333333334</t>
  </si>
  <si>
    <t>53.033375712438094</t>
  </si>
  <si>
    <t>http://live.fanfooty.com.au/game/matchcentre.html?id=9219</t>
  </si>
  <si>
    <t>McKenna</t>
  </si>
  <si>
    <t>On in Q3 for Reville to play half back... %M and %P</t>
  </si>
  <si>
    <t>9219_BL</t>
  </si>
  <si>
    <t>1759.1333333333334</t>
  </si>
  <si>
    <t>1583.6666666666667</t>
  </si>
  <si>
    <t>32.333333333333336</t>
  </si>
  <si>
    <t>http://live.fanfooty.com.au/game/matchcentre.html?id=9220</t>
  </si>
  <si>
    <t>Lever</t>
  </si>
  <si>
    <t>Ankle problem in Q3 and hobbled off... %M and %P</t>
  </si>
  <si>
    <t>Playing loose off Zurhaar</t>
  </si>
  <si>
    <t>9220_ME</t>
  </si>
  <si>
    <t>153.66666666666666</t>
  </si>
  <si>
    <t>1676.8666666666666</t>
  </si>
  <si>
    <t>80.47192384966758</t>
  </si>
  <si>
    <t>http://live.fanfooty.com.au/game/matchcentre.html?id=9221</t>
  </si>
  <si>
    <t>Heavily-strapped left shoulder popped out again in Q2 under an innocuous Hayward bump... subbed off at HT for Draper... %P</t>
  </si>
  <si>
    <t>Responsible for Papley</t>
  </si>
  <si>
    <t>9221_FR</t>
  </si>
  <si>
    <t>204.13333333333333</t>
  </si>
  <si>
    <t>1663.2666666666667</t>
  </si>
  <si>
    <t>1619.4666666666667</t>
  </si>
  <si>
    <t>40.968307256136626</t>
  </si>
  <si>
    <t>Papley</t>
  </si>
  <si>
    <t>Right shoulder knock very early in Q1... %s from %P and %M plus %T</t>
  </si>
  <si>
    <t>Starting deep forward on Walker then got Chapman in Q2</t>
  </si>
  <si>
    <t>9221_SY</t>
  </si>
  <si>
    <t>61.53333333333333</t>
  </si>
  <si>
    <t>289.1333333333333</t>
  </si>
  <si>
    <t>81.21093288389116</t>
  </si>
  <si>
    <t>http://live.fanfooty.com.au/game/matchcentre.html?id=9222</t>
  </si>
  <si>
    <t>Jye</t>
  </si>
  <si>
    <t>Caldwell</t>
  </si>
  <si>
    <t>9222_ES</t>
  </si>
  <si>
    <t>1704.6666666666667</t>
  </si>
  <si>
    <t>1640.4666666666667</t>
  </si>
  <si>
    <t>97.18205165417787</t>
  </si>
  <si>
    <t>Bryan</t>
  </si>
  <si>
    <t>%H... also %P and %T... umps paid him %4FF... First ruck with support by Draper</t>
  </si>
  <si>
    <t>20.466666666666665</t>
  </si>
  <si>
    <t>0.41133333333333333</t>
  </si>
  <si>
    <t>0.18533333333333335</t>
  </si>
  <si>
    <t>62.06666666666667</t>
  </si>
  <si>
    <t>1614.9333333333334</t>
  </si>
  <si>
    <t>Soldo</t>
  </si>
  <si>
    <t>Subbed off at 3QT for Cochrane... %H... also %P</t>
  </si>
  <si>
    <t>Playing a forward/ruck role on Reid then got McKay in Q1</t>
  </si>
  <si>
    <t>9222_PA</t>
  </si>
  <si>
    <t>19.666666666666668</t>
  </si>
  <si>
    <t>1.3259999999999998</t>
  </si>
  <si>
    <t>105.26666666666667</t>
  </si>
  <si>
    <t>1626.4666666666667</t>
  </si>
  <si>
    <t>1744.3333333333333</t>
  </si>
  <si>
    <t>80.44206565966775</t>
  </si>
  <si>
    <t>http://live.fanfooty.com.au/game/matchcentre.html?id=9223</t>
  </si>
  <si>
    <t>On in Q2 for Williams... %M and %P</t>
  </si>
  <si>
    <t>9223_CA</t>
  </si>
  <si>
    <t>1572.3333333333333</t>
  </si>
  <si>
    <t>80.59828418096065</t>
  </si>
  <si>
    <t>Evans</t>
  </si>
  <si>
    <t>%P including %K... Playing deep forward</t>
  </si>
  <si>
    <t>119.66666666666667</t>
  </si>
  <si>
    <t>54.30446046502577</t>
  </si>
  <si>
    <t>Laitham</t>
  </si>
  <si>
    <t>Vandermeer</t>
  </si>
  <si>
    <t>%s from %P and %T... gave away %F... Rotating at half forward</t>
  </si>
  <si>
    <t>9223_WB</t>
  </si>
  <si>
    <t>191.66666666666666</t>
  </si>
  <si>
    <t>184.06666666666666</t>
  </si>
  <si>
    <t>55.878038023375524</t>
  </si>
  <si>
    <t>http://live.fanfooty.com.au/game/matchcentre.html?id=9224</t>
  </si>
  <si>
    <t>Billings</t>
  </si>
  <si>
    <t>%P and %M plus %T... Playing a wing role on Clohesy</t>
  </si>
  <si>
    <t>9224_ME</t>
  </si>
  <si>
    <t>257.3333333333333</t>
  </si>
  <si>
    <t>66.76863103342427</t>
  </si>
  <si>
    <t>Holman</t>
  </si>
  <si>
    <t>Subbed off at 3QT for Rogers... %s from %P and %M</t>
  </si>
  <si>
    <t>9224_GC</t>
  </si>
  <si>
    <t>171.26666666666668</t>
  </si>
  <si>
    <t>1769.3333333333333</t>
  </si>
  <si>
    <t>1611.0666666666666</t>
  </si>
  <si>
    <t>1667.0666666666666</t>
  </si>
  <si>
    <t>55.79763192598797</t>
  </si>
  <si>
    <t>http://live.fanfooty.com.au/game/matchcentre.html?id=9225</t>
  </si>
  <si>
    <t>Rhyan</t>
  </si>
  <si>
    <t>Mansell</t>
  </si>
  <si>
    <t>%P and %M plus %T... %s as well... Playing a pressure forward role</t>
  </si>
  <si>
    <t>9225_RI</t>
  </si>
  <si>
    <t>220.06666666666666</t>
  </si>
  <si>
    <t>60.49271640618595</t>
  </si>
  <si>
    <t>http://live.fanfooty.com.au/game/matchcentre.html?id=9226</t>
  </si>
  <si>
    <t>Day</t>
  </si>
  <si>
    <t>His score involvements in Q2 were the catalyst for the victory... %P and %M plus %T... %s as well</t>
  </si>
  <si>
    <t>In central midfield</t>
  </si>
  <si>
    <t>9226_HW</t>
  </si>
  <si>
    <t>370.3333333333333</t>
  </si>
  <si>
    <t>1731.7333333333333</t>
  </si>
  <si>
    <t>1552.5333333333333</t>
  </si>
  <si>
    <t>91.88337614070424</t>
  </si>
  <si>
    <t>11.116623859295757</t>
  </si>
  <si>
    <t>Nash</t>
  </si>
  <si>
    <t>%P and %M plus %T... Playing defensive inside midfield</t>
  </si>
  <si>
    <t>317.3333333333333</t>
  </si>
  <si>
    <t>1521.9333333333334</t>
  </si>
  <si>
    <t>62.470144009661986</t>
  </si>
  <si>
    <t>15.529855990338014</t>
  </si>
  <si>
    <t>Coniglio</t>
  </si>
  <si>
    <t>%P and %T... gave away %F... Playing an outside game against D'Ambrosio</t>
  </si>
  <si>
    <t>9226_WS</t>
  </si>
  <si>
    <t>64.86666666666666</t>
  </si>
  <si>
    <t>258.73333333333335</t>
  </si>
  <si>
    <t>1606.5333333333333</t>
  </si>
  <si>
    <t>70.55196006762023</t>
  </si>
  <si>
    <t>Keeffe</t>
  </si>
  <si>
    <t>%P and %T... First ruck</t>
  </si>
  <si>
    <t>0.19266666666666657</t>
  </si>
  <si>
    <t>0.12199999999999975</t>
  </si>
  <si>
    <t>1711.7333333333333</t>
  </si>
  <si>
    <t>1573.5333333333333</t>
  </si>
  <si>
    <t>65.60244520280577</t>
  </si>
  <si>
    <t>http://live.fanfooty.com.au/game/matchcentre.html?id=9227</t>
  </si>
  <si>
    <t>Rachele</t>
  </si>
  <si>
    <t>Copped a very solid Xerri knee to the right ribs in Q1... subbed off for Draper in Q2... %P including %K... also %M</t>
  </si>
  <si>
    <t>9227_AD</t>
  </si>
  <si>
    <t>281.3333333333333</t>
  </si>
  <si>
    <t>1825.6666666666667</t>
  </si>
  <si>
    <t>49.47067191383898</t>
  </si>
  <si>
    <t>%P and %M plus %T... Rotating in midfield</t>
  </si>
  <si>
    <t>9227_NM</t>
  </si>
  <si>
    <t>3.2493333333333334</t>
  </si>
  <si>
    <t>3.3953333333333333</t>
  </si>
  <si>
    <t>2.700666666666667</t>
  </si>
  <si>
    <t>1644.0666666666666</t>
  </si>
  <si>
    <t>1635.5333333333333</t>
  </si>
  <si>
    <t>47.195430744420364</t>
  </si>
  <si>
    <t>0.8045692555796364</t>
  </si>
  <si>
    <t>http://live.fanfooty.com.au/game/matchcentre.html?id=9228</t>
  </si>
  <si>
    <t>McGovern</t>
  </si>
  <si>
    <t>Limped off in Q3 with right groin injury and did not return... %P including %K... also %M</t>
  </si>
  <si>
    <t>Zoning off Voss</t>
  </si>
  <si>
    <t>9228_WC</t>
  </si>
  <si>
    <t>1393.6666666666667</t>
  </si>
  <si>
    <t>1888.6666666666667</t>
  </si>
  <si>
    <t>78.09724711668966</t>
  </si>
  <si>
    <t>24.90275288331034</t>
  </si>
  <si>
    <t>Long</t>
  </si>
  <si>
    <t>0.6133333333333333</t>
  </si>
  <si>
    <t>0.7966666666666666</t>
  </si>
  <si>
    <t>141.66666666666666</t>
  </si>
  <si>
    <t>1526.2666666666667</t>
  </si>
  <si>
    <t>50.58607480675703</t>
  </si>
  <si>
    <t>Neil</t>
  </si>
  <si>
    <t>Erasmus</t>
  </si>
  <si>
    <t>9228_FR</t>
  </si>
  <si>
    <t>254.33333333333334</t>
  </si>
  <si>
    <t>40.66381084725262</t>
  </si>
  <si>
    <t>39.33618915274738</t>
  </si>
  <si>
    <t>http://live.fanfooty.com.au/game/matchcentre.html?id=9229</t>
  </si>
  <si>
    <t>Schultz</t>
  </si>
  <si>
    <t>medal</t>
  </si>
  <si>
    <t>Had a wonderful Q3 as the Pies surged... won the medal for the game... %P and %M plus %T... %s as well</t>
  </si>
  <si>
    <t>Playing a half forward role on Saad</t>
  </si>
  <si>
    <t>9229_CO</t>
  </si>
  <si>
    <t>259.6666666666667</t>
  </si>
  <si>
    <t>218.13333333333333</t>
  </si>
  <si>
    <t>104.33333333333333</t>
  </si>
  <si>
    <t>70.85065420942269</t>
  </si>
  <si>
    <t>46.149345790577314</t>
  </si>
  <si>
    <t>Houston</t>
  </si>
  <si>
    <t>mrp</t>
  </si>
  <si>
    <t>Off the ball hip-and-shoulder on Fogarty in Q2 will be scrutinised... %P including %K... also %M... and kicked %s</t>
  </si>
  <si>
    <t>spitter</t>
  </si>
  <si>
    <t>Spitting from half back on Nick Daicos</t>
  </si>
  <si>
    <t>1717.4666666666667</t>
  </si>
  <si>
    <t>1574.1333333333334</t>
  </si>
  <si>
    <t>87.80054402537425</t>
  </si>
  <si>
    <t>15.19945597462575</t>
  </si>
  <si>
    <t>De Goey</t>
  </si>
  <si>
    <t>Subbed off at 3QT for Long... %P and %M plus %T... %s as well... gave away %F</t>
  </si>
  <si>
    <t>Playing in midfield</t>
  </si>
  <si>
    <t>0.21866666666666665</t>
  </si>
  <si>
    <t>243.66666666666666</t>
  </si>
  <si>
    <t>1571.1333333333334</t>
  </si>
  <si>
    <t>59.93239117925515</t>
  </si>
  <si>
    <t>19.06760882074485</t>
  </si>
  <si>
    <t>Blake</t>
  </si>
  <si>
    <t>Acres</t>
  </si>
  <si>
    <t>9229_CA</t>
  </si>
  <si>
    <t>374.1333333333333</t>
  </si>
  <si>
    <t>82.05396264635218</t>
  </si>
  <si>
    <t>40.946037353647824</t>
  </si>
  <si>
    <t>%P and %M plus %T... In attack on Moore with ruck support... switched back late in Q4 when it was all over</t>
  </si>
  <si>
    <t>0.22400000000000003</t>
  </si>
  <si>
    <t>88.73333333333333</t>
  </si>
  <si>
    <t>105.66666666666667</t>
  </si>
  <si>
    <t>164.26666666666668</t>
  </si>
  <si>
    <t>77.23701260125713</t>
  </si>
  <si>
    <t>Cowan</t>
  </si>
  <si>
    <t>Off early in Q1 with a hamstring injury and subbed off for Moir... %T</t>
  </si>
  <si>
    <t>Minding Hill</t>
  </si>
  <si>
    <t>204.46666666666667</t>
  </si>
  <si>
    <t>40.24402346713436</t>
  </si>
  <si>
    <t>http://live.fanfooty.com.au/game/matchcentre.html?id=9230</t>
  </si>
  <si>
    <t>Tweak to his already-strapped right knee in Q2 but played on... %P including %K... also %M</t>
  </si>
  <si>
    <t>Loose behind the ball</t>
  </si>
  <si>
    <t>9230_GE</t>
  </si>
  <si>
    <t>494.6666666666667</t>
  </si>
  <si>
    <t>1661.4666666666667</t>
  </si>
  <si>
    <t>1530.6666666666667</t>
  </si>
  <si>
    <t>95.19170846162072</t>
  </si>
  <si>
    <t>22.80829153837928</t>
  </si>
  <si>
    <t>Limped off with right hamstring tweak in Q2... %M and %P</t>
  </si>
  <si>
    <t>Standing Fritsch</t>
  </si>
  <si>
    <t>1670.7333333333333</t>
  </si>
  <si>
    <t>56.36507390078421</t>
  </si>
  <si>
    <t>http://live.fanfooty.com.au/game/matchcentre.html?id=9231</t>
  </si>
  <si>
    <t>Budarick</t>
  </si>
  <si>
    <t>Hit to the ribs when tackling Draper in Q4 left him very sore... %P including %K... also %T... and kicked %s</t>
  </si>
  <si>
    <t>Playing a wing role on Cumming</t>
  </si>
  <si>
    <t>9231_GC</t>
  </si>
  <si>
    <t>1.8306666666666667</t>
  </si>
  <si>
    <t>0.8553333333333332</t>
  </si>
  <si>
    <t>0.8280000000000001</t>
  </si>
  <si>
    <t>280.6666666666667</t>
  </si>
  <si>
    <t>1651.7333333333333</t>
  </si>
  <si>
    <t>45.87632165853989</t>
  </si>
  <si>
    <t>9231_AD</t>
  </si>
  <si>
    <t>1555.6666666666667</t>
  </si>
  <si>
    <t>1628.7333333333333</t>
  </si>
  <si>
    <t>66.51084615695464</t>
  </si>
  <si>
    <t>http://live.fanfooty.com.au/game/matchcentre.html?id=9233</t>
  </si>
  <si>
    <t>Bailey</t>
  </si>
  <si>
    <t>%M and %P... Starting on a wing on Lloyd</t>
  </si>
  <si>
    <t>9233_NM</t>
  </si>
  <si>
    <t>307.3333333333333</t>
  </si>
  <si>
    <t>1635.2666666666667</t>
  </si>
  <si>
    <t>66.52891733789461</t>
  </si>
  <si>
    <t>Amartey</t>
  </si>
  <si>
    <t>%s from %P and %M plus %T... Playing FF on Logue</t>
  </si>
  <si>
    <t>9233_SY</t>
  </si>
  <si>
    <t>1626.6666666666667</t>
  </si>
  <si>
    <t>1652.1333333333334</t>
  </si>
  <si>
    <t>64.18976893522364</t>
  </si>
  <si>
    <t>20.81023106477636</t>
  </si>
  <si>
    <t>http://live.fanfooty.com.au/game/matchcentre.html?id=9234</t>
  </si>
  <si>
    <t>Daniels</t>
  </si>
  <si>
    <t>Subbed off in Q3 for O'Halloran... %s from %P and %M</t>
  </si>
  <si>
    <t>Starting forward on Harley Reid</t>
  </si>
  <si>
    <t>9234_WS</t>
  </si>
  <si>
    <t>139.66666666666666</t>
  </si>
  <si>
    <t>328.3333333333333</t>
  </si>
  <si>
    <t>76.54058333884855</t>
  </si>
  <si>
    <t>3.459416661151451</t>
  </si>
  <si>
    <t>O'Halloran</t>
  </si>
  <si>
    <t>On in Q3 for Daniels... %P and %T</t>
  </si>
  <si>
    <t>179.66666666666666</t>
  </si>
  <si>
    <t>52.714023123617764</t>
  </si>
  <si>
    <t>thor</t>
  </si>
  <si>
    <t>%H... also %P and %M plus %T... %s as well... Playing key forward on Himmelberg</t>
  </si>
  <si>
    <t>9234_WC</t>
  </si>
  <si>
    <t>1471.7333333333333</t>
  </si>
  <si>
    <t>snooze</t>
  </si>
  <si>
    <t>Tagged by Bedford... %P including %B</t>
  </si>
  <si>
    <t>266.6666666666667</t>
  </si>
  <si>
    <t>1353.3333333333333</t>
  </si>
  <si>
    <t>1835.0666666666666</t>
  </si>
  <si>
    <t>89.51247197064782</t>
  </si>
  <si>
    <t>Cole</t>
  </si>
  <si>
    <t>No touches to HT... %M and %P... Starting in defence</t>
  </si>
  <si>
    <t>114.66666666666667</t>
  </si>
  <si>
    <t>195.66666666666666</t>
  </si>
  <si>
    <t>1439.6666666666667</t>
  </si>
  <si>
    <t>1839.1333333333334</t>
  </si>
  <si>
    <t>Brockman</t>
  </si>
  <si>
    <t>%s from %P and %T... Starting forward on Idun</t>
  </si>
  <si>
    <t>0.38133333333333325</t>
  </si>
  <si>
    <t>1832.0666666666666</t>
  </si>
  <si>
    <t>51.305523366364014</t>
  </si>
  <si>
    <t>http://live.fanfooty.com.au/game/matchcentre.html?id=9235</t>
  </si>
  <si>
    <t>Byrne-Jones</t>
  </si>
  <si>
    <t>A high bump on Byrnes in Q1 will get looked at... %P including %B... also %T</t>
  </si>
  <si>
    <t>9235_PA</t>
  </si>
  <si>
    <t>219.33333333333334</t>
  </si>
  <si>
    <t>208.73333333333332</t>
  </si>
  <si>
    <t>1745.6666666666667</t>
  </si>
  <si>
    <t>57.66010382826906</t>
  </si>
  <si>
    <t>http://live.fanfooty.com.au/game/matchcentre.html?id=9236</t>
  </si>
  <si>
    <t>Left hamstring tweak late in Q3 and did not return... %H... also %P and %M... and kicked %s</t>
  </si>
  <si>
    <t>9236_FR</t>
  </si>
  <si>
    <t>18.866666666666667</t>
  </si>
  <si>
    <t>181.93333333333334</t>
  </si>
  <si>
    <t>1655.5333333333333</t>
  </si>
  <si>
    <t>1551.6666666666667</t>
  </si>
  <si>
    <t>72.74715626889157</t>
  </si>
  <si>
    <t>42.25284373110843</t>
  </si>
  <si>
    <t>O'Driscoll</t>
  </si>
  <si>
    <t>Right ankle problem in Q3 and did not appear after 3QT... %P and %M plus %T... %s as well</t>
  </si>
  <si>
    <t>Playing a wing role on Williams</t>
  </si>
  <si>
    <t>0.19599999999999998</t>
  </si>
  <si>
    <t>383.6666666666667</t>
  </si>
  <si>
    <t>263.46666666666664</t>
  </si>
  <si>
    <t>48.29458178146002</t>
  </si>
  <si>
    <t>Amiss</t>
  </si>
  <si>
    <t>%s from %P and %M plus %T... Starting at FF on Liam Jones</t>
  </si>
  <si>
    <t>57.86113085056151</t>
  </si>
  <si>
    <t>Subbed off in Q3 for Worner with calf awareness... %P</t>
  </si>
  <si>
    <t>2.541333333333333</t>
  </si>
  <si>
    <t>2.5766666666666667</t>
  </si>
  <si>
    <t>375.73333333333335</t>
  </si>
  <si>
    <t>1672.4666666666667</t>
  </si>
  <si>
    <t>53.76293842002447</t>
  </si>
  <si>
    <t>Oskar</t>
  </si>
  <si>
    <t>Baker</t>
  </si>
  <si>
    <t>High bump to the head of Brayshaw in Q4 will be looked at... %P including %K... also %M</t>
  </si>
  <si>
    <t>Playing a wing role</t>
  </si>
  <si>
    <t>9236_WB</t>
  </si>
  <si>
    <t>4.337999999999999</t>
  </si>
  <si>
    <t>304.6666666666667</t>
  </si>
  <si>
    <t>295.53333333333336</t>
  </si>
  <si>
    <t>7.250367491858199</t>
  </si>
  <si>
    <t>Gallagher</t>
  </si>
  <si>
    <t>On in Q2 for Vandermeer to play half back... %P</t>
  </si>
  <si>
    <t>74.70610048329296</t>
  </si>
  <si>
    <t>http://live.fanfooty.com.au/game/matchcentre.html?id=9237</t>
  </si>
  <si>
    <t>Izak</t>
  </si>
  <si>
    <t>Rankine</t>
  </si>
  <si>
    <t>superman</t>
  </si>
  <si>
    <t>Survived late fitness test on right calf... matched up on Atkins... plenty of footy in Q4 but could not prevent the loss... %s from %P and %M plus %T</t>
  </si>
  <si>
    <t>Rotating from mids to attack</t>
  </si>
  <si>
    <t>9237_AD</t>
  </si>
  <si>
    <t>1580.1333333333334</t>
  </si>
  <si>
    <t>98.21992603373711</t>
  </si>
  <si>
    <t>Hinge</t>
  </si>
  <si>
    <t>%P including %K... also %M and %T... umps paid him %4FF... Mostly on Oliver Henry</t>
  </si>
  <si>
    <t>14.066666666666666</t>
  </si>
  <si>
    <t>482.3333333333333</t>
  </si>
  <si>
    <t>81.17859316194038</t>
  </si>
  <si>
    <t>13.821406838059616</t>
  </si>
  <si>
    <t>empty</t>
  </si>
  <si>
    <t>Looked tired after HT on a five-day break... %P including %K... also %T and %M... and booted %s... helped out by %4FF</t>
  </si>
  <si>
    <t>Starting in midfield and resting forward</t>
  </si>
  <si>
    <t>16.133333333333333</t>
  </si>
  <si>
    <t>83.46666666666667</t>
  </si>
  <si>
    <t>519.6666666666666</t>
  </si>
  <si>
    <t>498.1333333333333</t>
  </si>
  <si>
    <t>102.86263786841819</t>
  </si>
  <si>
    <t>Laird</t>
  </si>
  <si>
    <t>%P and %M... Matched up on Close</t>
  </si>
  <si>
    <t>208.33333333333334</t>
  </si>
  <si>
    <t>1620.8666666666666</t>
  </si>
  <si>
    <t>114.24057286974535</t>
  </si>
  <si>
    <t>Keane</t>
  </si>
  <si>
    <t>%M and %P... In defence on Neale</t>
  </si>
  <si>
    <t>318.93333333333334</t>
  </si>
  <si>
    <t>60.300199995525055</t>
  </si>
  <si>
    <t>51.699800004474945</t>
  </si>
  <si>
    <t>Wayne</t>
  </si>
  <si>
    <t>Milera</t>
  </si>
  <si>
    <t>%P and %M plus %T... Floating across half back</t>
  </si>
  <si>
    <t>0.6813333333333333</t>
  </si>
  <si>
    <t>1.4586666666666663</t>
  </si>
  <si>
    <t>79.46666666666667</t>
  </si>
  <si>
    <t>302.6666666666667</t>
  </si>
  <si>
    <t>351.26666666666665</t>
  </si>
  <si>
    <t>96.47196574094961</t>
  </si>
  <si>
    <t>12.528034259050386</t>
  </si>
  <si>
    <t>Keays</t>
  </si>
  <si>
    <t>Ran out of ticket after HT as many Crows did on a five-day break... %P and %M plus %s</t>
  </si>
  <si>
    <t>Mostly starting forward on Humphries</t>
  </si>
  <si>
    <t>90.88155268531042</t>
  </si>
  <si>
    <t>Peatling</t>
  </si>
  <si>
    <t>Slam tackle on Mullin in Q1 will be looked at... %P and %T</t>
  </si>
  <si>
    <t>461.6666666666667</t>
  </si>
  <si>
    <t>259.1333333333333</t>
  </si>
  <si>
    <t>1737.6666666666667</t>
  </si>
  <si>
    <t>1546.1333333333334</t>
  </si>
  <si>
    <t>75.83154015170811</t>
  </si>
  <si>
    <t>9.168459848291889</t>
  </si>
  <si>
    <t>%P and %M plus %T... gave away %F... Playing inside midfield</t>
  </si>
  <si>
    <t>12.133333333333333</t>
  </si>
  <si>
    <t>195.33333333333334</t>
  </si>
  <si>
    <t>1718.1333333333334</t>
  </si>
  <si>
    <t>1561.2666666666667</t>
  </si>
  <si>
    <t>Fogarty</t>
  </si>
  <si>
    <t>Four goals in Q2... %s from %P and %M... conceded %F... Starting forward on O'Sullivan</t>
  </si>
  <si>
    <t>182.66666666666666</t>
  </si>
  <si>
    <t>199.06666666666666</t>
  </si>
  <si>
    <t>31.550960275296802</t>
  </si>
  <si>
    <t>Nankervis</t>
  </si>
  <si>
    <t>wombat</t>
  </si>
  <si>
    <t>%P and %M plus %T... Guarding Stengle</t>
  </si>
  <si>
    <t>1716.3333333333333</t>
  </si>
  <si>
    <t>1629.1333333333334</t>
  </si>
  <si>
    <t>80.68410954979707</t>
  </si>
  <si>
    <t>Thilthorpe</t>
  </si>
  <si>
    <t>yinyang</t>
  </si>
  <si>
    <t>Not much early supply for the Coleman Medal contender tonight but was more productive after HT... %s from %P and %M plus %T</t>
  </si>
  <si>
    <t>blitz</t>
  </si>
  <si>
    <t>Playing a forward/ruck role on De Koning then got Blicavs in Q3</t>
  </si>
  <si>
    <t>276.6666666666667</t>
  </si>
  <si>
    <t>96.33333333333333</t>
  </si>
  <si>
    <t>First goal... %s from %P and %M plus %T... In attack on Blicavs... too good for him then got De Koning in Q3</t>
  </si>
  <si>
    <t>339.3333333333333</t>
  </si>
  <si>
    <t>1705.5333333333333</t>
  </si>
  <si>
    <t>73.54984928045374</t>
  </si>
  <si>
    <t>Cumming</t>
  </si>
  <si>
    <t>Donuts in Q1... %P including %K... also %M... and kicked %s... Coming off a wing on Dempsey</t>
  </si>
  <si>
    <t>0.9433333333333334</t>
  </si>
  <si>
    <t>0.9593333333333334</t>
  </si>
  <si>
    <t>287.3333333333333</t>
  </si>
  <si>
    <t>1544.3333333333333</t>
  </si>
  <si>
    <t>69.12221470993626</t>
  </si>
  <si>
    <t>16.87778529006374</t>
  </si>
  <si>
    <t>Reilly</t>
  </si>
  <si>
    <t>%H... also %P and %T... not helped by %F... First ruck</t>
  </si>
  <si>
    <t>42.266666666666666</t>
  </si>
  <si>
    <t>65.73333333333333</t>
  </si>
  <si>
    <t>1621.8666666666666</t>
  </si>
  <si>
    <t>93.52149665939109</t>
  </si>
  <si>
    <t>Worrell</t>
  </si>
  <si>
    <t>%P and %M plus %T... Often the odd man out to intercept</t>
  </si>
  <si>
    <t>261.6666666666667</t>
  </si>
  <si>
    <t>318.3333333333333</t>
  </si>
  <si>
    <t>1687.0666666666666</t>
  </si>
  <si>
    <t>82.78179931028686</t>
  </si>
  <si>
    <t>Soligo</t>
  </si>
  <si>
    <t>%P and %M plus %T... %s as well... Playing central midfield</t>
  </si>
  <si>
    <t>338.6666666666667</t>
  </si>
  <si>
    <t>72.04483603446084</t>
  </si>
  <si>
    <t>Neal-Bullen</t>
  </si>
  <si>
    <t>%P and %M plus %T... Playing a forward role</t>
  </si>
  <si>
    <t>1641.4666666666667</t>
  </si>
  <si>
    <t>76.28355161968237</t>
  </si>
  <si>
    <t>Michalanney</t>
  </si>
  <si>
    <t>%P and %M plus %T... Responsible for Cameron</t>
  </si>
  <si>
    <t>88.46666666666667</t>
  </si>
  <si>
    <t>234.33333333333334</t>
  </si>
  <si>
    <t>51.56025920345296</t>
  </si>
  <si>
    <t>Sholl</t>
  </si>
  <si>
    <t>Subbed off in Q3 for Taylor... %P including %K... also %M</t>
  </si>
  <si>
    <t>Roaming off a wing</t>
  </si>
  <si>
    <t>333.1333333333333</t>
  </si>
  <si>
    <t>67.03194704002003</t>
  </si>
  <si>
    <t>Holmes</t>
  </si>
  <si>
    <t>Starting at half back with centre rotations... full time mid in Q4</t>
  </si>
  <si>
    <t>9237_GE</t>
  </si>
  <si>
    <t>1593.7333333333333</t>
  </si>
  <si>
    <t>50.35429275728271</t>
  </si>
  <si>
    <t>star</t>
  </si>
  <si>
    <t>%P and %s</t>
  </si>
  <si>
    <t>Starting on ball</t>
  </si>
  <si>
    <t>2.7039999999999997</t>
  </si>
  <si>
    <t>5.0520000000000005</t>
  </si>
  <si>
    <t>348.3333333333333</t>
  </si>
  <si>
    <t>1789.3333333333333</t>
  </si>
  <si>
    <t>1709.0666666666666</t>
  </si>
  <si>
    <t>1579.0666666666666</t>
  </si>
  <si>
    <t>94.50194944038601</t>
  </si>
  <si>
    <t>31.498050559613986</t>
  </si>
  <si>
    <t>Dangerfield</t>
  </si>
  <si>
    <t>Refuses to get old... %P and %M plus %T... %s as well... aided by %4FF... not helped by %F</t>
  </si>
  <si>
    <t>Mostly starting forward on Hinge with centre rotations</t>
  </si>
  <si>
    <t>62.93333333333333</t>
  </si>
  <si>
    <t>396.26666666666665</t>
  </si>
  <si>
    <t>84.12064304062848</t>
  </si>
  <si>
    <t>6.8793569593715205</t>
  </si>
  <si>
    <t>%s from %P and %M plus %T... Starting on a wing on Cumming</t>
  </si>
  <si>
    <t>91.13333333333334</t>
  </si>
  <si>
    <t>235.33333333333334</t>
  </si>
  <si>
    <t>246.13333333333333</t>
  </si>
  <si>
    <t>77.19746341832267</t>
  </si>
  <si>
    <t>22.80253658167733</t>
  </si>
  <si>
    <t>Three goals in Q4 as the Cats sealed a comeback victory... %s from %P and %M</t>
  </si>
  <si>
    <t>At CHF on Michalanney</t>
  </si>
  <si>
    <t>93.06666666666666</t>
  </si>
  <si>
    <t>320.3333333333333</t>
  </si>
  <si>
    <t>326.06666666666666</t>
  </si>
  <si>
    <t>1655.1333333333334</t>
  </si>
  <si>
    <t>1631.0666666666666</t>
  </si>
  <si>
    <t>83.25219497142169</t>
  </si>
  <si>
    <t>21.747805028578313</t>
  </si>
  <si>
    <t>Bowes</t>
  </si>
  <si>
    <t>%P including %K... also %M and %T... and scored %s... conceded %F... Rotating in midfield</t>
  </si>
  <si>
    <t>285.6666666666667</t>
  </si>
  <si>
    <t>61.054035323301825</t>
  </si>
  <si>
    <t>21.945964676698175</t>
  </si>
  <si>
    <t>%P including %K... also %M and %T... and booted %s... Starting at half back</t>
  </si>
  <si>
    <t>357.8666666666667</t>
  </si>
  <si>
    <t>108.7578955749411</t>
  </si>
  <si>
    <t>Matched up on Rankine... %P and %T plus %s... Starting in midfield</t>
  </si>
  <si>
    <t>1671.8666666666666</t>
  </si>
  <si>
    <t>67.57900490119286</t>
  </si>
  <si>
    <t>23.42099509880714</t>
  </si>
  <si>
    <t>O'Connor</t>
  </si>
  <si>
    <t>%P and %M plus %T... Doing jobs in midfield.. switched back in Q4</t>
  </si>
  <si>
    <t>309.6666666666667</t>
  </si>
  <si>
    <t>217.26666666666668</t>
  </si>
  <si>
    <t>82.68049219205002</t>
  </si>
  <si>
    <t>Stanley</t>
  </si>
  <si>
    <t>%H... also %P and %M... First ruck</t>
  </si>
  <si>
    <t>1638.4666666666667</t>
  </si>
  <si>
    <t>1640.0666666666666</t>
  </si>
  <si>
    <t>Close</t>
  </si>
  <si>
    <t>%P and %M plus %T... %s as well... Playing a forward role on Laird</t>
  </si>
  <si>
    <t>63.70302811247052</t>
  </si>
  <si>
    <t>19.29697188752948</t>
  </si>
  <si>
    <t>Gryan</t>
  </si>
  <si>
    <t>Miers</t>
  </si>
  <si>
    <t>%P and %M... Playing higher up the ground this evening</t>
  </si>
  <si>
    <t>84.13333333333334</t>
  </si>
  <si>
    <t>321.3333333333333</t>
  </si>
  <si>
    <t>286.1333333333333</t>
  </si>
  <si>
    <t>79.77302860443875</t>
  </si>
  <si>
    <t>De Koning</t>
  </si>
  <si>
    <t>%M and %P... In defence on Thilthorpe... switched to Walker in Q3</t>
  </si>
  <si>
    <t>230.93333333333334</t>
  </si>
  <si>
    <t>1627.2666666666667</t>
  </si>
  <si>
    <t>91.38445911117392</t>
  </si>
  <si>
    <t>%s from %P and %M plus %T... Started on a wing but much more often key forward on Hinge</t>
  </si>
  <si>
    <t>59.56363440999903</t>
  </si>
  <si>
    <t>9.436365590000968</t>
  </si>
  <si>
    <t>Neale</t>
  </si>
  <si>
    <t>%s from %P and %M plus %T... Starting at FF on Keane with ruck support</t>
  </si>
  <si>
    <t>113.33333333333333</t>
  </si>
  <si>
    <t>63.09281959882723</t>
  </si>
  <si>
    <t>Oisin</t>
  </si>
  <si>
    <t>Mullin</t>
  </si>
  <si>
    <t>Subbed off in Q4 for Clohesy... %M and %P</t>
  </si>
  <si>
    <t>142.53333333333333</t>
  </si>
  <si>
    <t>1663.5333333333333</t>
  </si>
  <si>
    <t>70.93926419264079</t>
  </si>
  <si>
    <t>Stengle</t>
  </si>
  <si>
    <t>%s from %P and %M plus %T... Playing a FP role on Nankervis</t>
  </si>
  <si>
    <t>64.45897905399931</t>
  </si>
  <si>
    <t>Blicavs</t>
  </si>
  <si>
    <t>%P including %B... also %T... In defence on Walker... switched to Thilthorpe in Q3 after Walker beat him</t>
  </si>
  <si>
    <t>206.86666666666667</t>
  </si>
  <si>
    <t>1622.1333333333334</t>
  </si>
  <si>
    <t>http://live.fanfooty.com.au/game/matchcentre.html?id=9238</t>
  </si>
  <si>
    <t>Daicos</t>
  </si>
  <si>
    <t>hulk</t>
  </si>
  <si>
    <t>Tagged by Jordon but worked through it... %P and %M plus %T... %s as well... helped out by %4FF</t>
  </si>
  <si>
    <t>9238_CO</t>
  </si>
  <si>
    <t>15.933333333333334</t>
  </si>
  <si>
    <t>465.3333333333333</t>
  </si>
  <si>
    <t>109.50620329193133</t>
  </si>
  <si>
    <t>24.493796708068672</t>
  </si>
  <si>
    <t>Steele</t>
  </si>
  <si>
    <t>Sidebottom</t>
  </si>
  <si>
    <t>Matched up on Rowbottom... %P and %M plus %T</t>
  </si>
  <si>
    <t>429.6666666666667</t>
  </si>
  <si>
    <t>89.92631263408774</t>
  </si>
  <si>
    <t>23.073687365912264</t>
  </si>
  <si>
    <t>%H... also %P and %M plus %T... %s as well... helped out by %4FF</t>
  </si>
  <si>
    <t>31.133333333333333</t>
  </si>
  <si>
    <t>104.44379039980446</t>
  </si>
  <si>
    <t>14.556209600195544</t>
  </si>
  <si>
    <t>Pendlebury</t>
  </si>
  <si>
    <t>273.6666666666667</t>
  </si>
  <si>
    <t>265.1333333333333</t>
  </si>
  <si>
    <t>1665.2666666666667</t>
  </si>
  <si>
    <t>98.33333333333333</t>
  </si>
  <si>
    <t>88.99403664860398</t>
  </si>
  <si>
    <t>14.00596335139602</t>
  </si>
  <si>
    <t>Crisp</t>
  </si>
  <si>
    <t>%P and %M plus %T... %s as well... Starting on a wing on Florent and atttending a lot of stoppages</t>
  </si>
  <si>
    <t>350.3333333333333</t>
  </si>
  <si>
    <t>360.06666666666666</t>
  </si>
  <si>
    <t>Lipinski</t>
  </si>
  <si>
    <t>%P and %M... Starting on a wing against Lloyd</t>
  </si>
  <si>
    <t>80.86666666666666</t>
  </si>
  <si>
    <t>352.6666666666667</t>
  </si>
  <si>
    <t>17.693362270504807</t>
  </si>
  <si>
    <t>Perryman</t>
  </si>
  <si>
    <t>%P and %M plus %T... %s as well... Starting in defence</t>
  </si>
  <si>
    <t>286.6666666666667</t>
  </si>
  <si>
    <t>315.73333333333335</t>
  </si>
  <si>
    <t>1729.1333333333334</t>
  </si>
  <si>
    <t>1558.0666666666666</t>
  </si>
  <si>
    <t>95.23431842112342</t>
  </si>
  <si>
    <t>Subbed off in Q4 for Allan... %s from %P and %M</t>
  </si>
  <si>
    <t>171.53333333333333</t>
  </si>
  <si>
    <t>1640.2666666666667</t>
  </si>
  <si>
    <t>5.485685048479297</t>
  </si>
  <si>
    <t>%P and %M plus %T... Starting on a HBF</t>
  </si>
  <si>
    <t>341.6666666666667</t>
  </si>
  <si>
    <t>414.46666666666664</t>
  </si>
  <si>
    <t>108.58097974814623</t>
  </si>
  <si>
    <t>Hoskin-Elliott</t>
  </si>
  <si>
    <t>%s from %P and %M plus %T... Rotating at half forward</t>
  </si>
  <si>
    <t>236.13333333333333</t>
  </si>
  <si>
    <t>1670.8666666666666</t>
  </si>
  <si>
    <t>7.544238533539101</t>
  </si>
  <si>
    <t>Beau</t>
  </si>
  <si>
    <t>McCreery</t>
  </si>
  <si>
    <t>%s from %P and %M plus %T... Starting at half forward on Rampe</t>
  </si>
  <si>
    <t>233.33333333333334</t>
  </si>
  <si>
    <t>219.66666666666666</t>
  </si>
  <si>
    <t>1642.9333333333334</t>
  </si>
  <si>
    <t>54.261578729217305</t>
  </si>
  <si>
    <t>14.738421270782695</t>
  </si>
  <si>
    <t>Quaynor</t>
  </si>
  <si>
    <t>%P including %K... also %M... Playing back pocket on Cleary</t>
  </si>
  <si>
    <t>Brody</t>
  </si>
  <si>
    <t>Mihocek</t>
  </si>
  <si>
    <t>%s from %P and %M plus %T... Playing CHF on McCartin then got Hamling in Q3</t>
  </si>
  <si>
    <t>1604.0666666666666</t>
  </si>
  <si>
    <t>62.87177877797117</t>
  </si>
  <si>
    <t>4.128221222028827</t>
  </si>
  <si>
    <t>Bobby</t>
  </si>
  <si>
    <t>First goal... %s from %P... Playing small forward</t>
  </si>
  <si>
    <t>63.90365927284434</t>
  </si>
  <si>
    <t>22.096340727155663</t>
  </si>
  <si>
    <t>Membrey</t>
  </si>
  <si>
    <t>%s from %P and %M... Starting forward on Blakey</t>
  </si>
  <si>
    <t>193.66666666666666</t>
  </si>
  <si>
    <t>5.8793077157349956</t>
  </si>
  <si>
    <t>Moore</t>
  </si>
  <si>
    <t>%P including %B... also %T... In defence on Mclean</t>
  </si>
  <si>
    <t>85.73333333333333</t>
  </si>
  <si>
    <t>1677.0666666666666</t>
  </si>
  <si>
    <t>63.916278896496806</t>
  </si>
  <si>
    <t>20.083721103503194</t>
  </si>
  <si>
    <t>McStay</t>
  </si>
  <si>
    <t>%s from %P and %M plus %T... Up forward on Hamling then got Rampe in Q3</t>
  </si>
  <si>
    <t>63.53283988287516</t>
  </si>
  <si>
    <t>7.467160117124841</t>
  </si>
  <si>
    <t>Maynard</t>
  </si>
  <si>
    <t>%P including %K... also %M and %T... Starting at half back on Hayward</t>
  </si>
  <si>
    <t>351.6666666666667</t>
  </si>
  <si>
    <t>92.56357782145597</t>
  </si>
  <si>
    <t>Frampton</t>
  </si>
  <si>
    <t>%M and %P... Playing key defender on Amartey then got McCartin in Q3</t>
  </si>
  <si>
    <t>150.53333333333333</t>
  </si>
  <si>
    <t>43.57681980281446</t>
  </si>
  <si>
    <t>28.423180197185538</t>
  </si>
  <si>
    <t>%M and %P... Nominally on Ladhams but often left loose due to Ladhams rucking</t>
  </si>
  <si>
    <t>323.3333333333333</t>
  </si>
  <si>
    <t>77.20899798602618</t>
  </si>
  <si>
    <t>%H... also %P and %T</t>
  </si>
  <si>
    <t>Lead ruck</t>
  </si>
  <si>
    <t>9238_SY</t>
  </si>
  <si>
    <t>134.33333333333334</t>
  </si>
  <si>
    <t>1588.6666666666667</t>
  </si>
  <si>
    <t>96.67418025613746</t>
  </si>
  <si>
    <t>25.32581974386254</t>
  </si>
  <si>
    <t>Heeney</t>
  </si>
  <si>
    <t>Playing pure midfield</t>
  </si>
  <si>
    <t>490.3333333333333</t>
  </si>
  <si>
    <t>351.3333333333333</t>
  </si>
  <si>
    <t>1592.8666666666666</t>
  </si>
  <si>
    <t>98.88403761403761</t>
  </si>
  <si>
    <t>19.11596238596239</t>
  </si>
  <si>
    <t>Rowbottom</t>
  </si>
  <si>
    <t>Matched up on Sidebottom... %P and %T... Doing jobs in midfield</t>
  </si>
  <si>
    <t>1619.5333333333333</t>
  </si>
  <si>
    <t>76.48813125288476</t>
  </si>
  <si>
    <t>12.511868747115244</t>
  </si>
  <si>
    <t>Warner</t>
  </si>
  <si>
    <t>%P and %M plus %T... %s as well... Starting in midfield then resting forward</t>
  </si>
  <si>
    <t>491.3333333333333</t>
  </si>
  <si>
    <t>1659.6666666666667</t>
  </si>
  <si>
    <t>96.99150609398546</t>
  </si>
  <si>
    <t>%P including %K... also %M and %T... Starting at half back</t>
  </si>
  <si>
    <t>107.68814657635926</t>
  </si>
  <si>
    <t>Florent</t>
  </si>
  <si>
    <t>%M and %P... Coming off a wing on Crisp... switched back in Q3</t>
  </si>
  <si>
    <t>314.6666666666667</t>
  </si>
  <si>
    <t>309.93333333333334</t>
  </si>
  <si>
    <t>88.99983116501585</t>
  </si>
  <si>
    <t>%P including %K... also %M... and booted %s... Starting on a wing on Lipinski</t>
  </si>
  <si>
    <t>318.6666666666667</t>
  </si>
  <si>
    <t>81.93982709540633</t>
  </si>
  <si>
    <t>Booted %s from %G and %P... Playing a forward role on Moore</t>
  </si>
  <si>
    <t>176.66666666666666</t>
  </si>
  <si>
    <t>149.53333333333333</t>
  </si>
  <si>
    <t>1620.9333333333334</t>
  </si>
  <si>
    <t>63.959259745269065</t>
  </si>
  <si>
    <t>Blakey</t>
  </si>
  <si>
    <t>%P including %K... also %M... In defence on Membrey</t>
  </si>
  <si>
    <t>75.93333333333334</t>
  </si>
  <si>
    <t>76.41550195981924</t>
  </si>
  <si>
    <t>Braeden</t>
  </si>
  <si>
    <t>%P and %M plus %T... %s as well... Playing a HFF role</t>
  </si>
  <si>
    <t>4.9771895336168015</t>
  </si>
  <si>
    <t>Wicks</t>
  </si>
  <si>
    <t>1628.8666666666666</t>
  </si>
  <si>
    <t>80.96414274675554</t>
  </si>
  <si>
    <t>Rampe</t>
  </si>
  <si>
    <t>%M and %P... Starting at half back on McCreery... moved to McStay in Q3</t>
  </si>
  <si>
    <t>261.1333333333333</t>
  </si>
  <si>
    <t>54.45825968934941</t>
  </si>
  <si>
    <t>17.54174031065059</t>
  </si>
  <si>
    <t>Hayward</t>
  </si>
  <si>
    <t>%s from %P and %M plus %T... Starting at half forward on Maynard</t>
  </si>
  <si>
    <t>185.06666666666666</t>
  </si>
  <si>
    <t>58.99719261496786</t>
  </si>
  <si>
    <t>%P including %K... also %M... Starting in defence on Mihocek.... switched forward onto Frampton in Q3</t>
  </si>
  <si>
    <t>93.13333333333334</t>
  </si>
  <si>
    <t>180.73333333333332</t>
  </si>
  <si>
    <t>79.87540174956204</t>
  </si>
  <si>
    <t>%P and %T... gave away %F... Tagging Nick Daicos</t>
  </si>
  <si>
    <t>71.04966433541847</t>
  </si>
  <si>
    <t>Ladhams</t>
  </si>
  <si>
    <t>%H with %P... also %s... Playing a forward/ruck role on Howe</t>
  </si>
  <si>
    <t>150.86666666666667</t>
  </si>
  <si>
    <t>72.82413452046167</t>
  </si>
  <si>
    <t>Hamling</t>
  </si>
  <si>
    <t>checkers</t>
  </si>
  <si>
    <t>%M and %P... In defence on McStay then moved to Mihocek in Q3</t>
  </si>
  <si>
    <t>0.7613333333333333</t>
  </si>
  <si>
    <t>91.73333333333333</t>
  </si>
  <si>
    <t>69.01067286217486</t>
  </si>
  <si>
    <t>http://live.fanfooty.com.au/game/matchcentre.html?id=9239</t>
  </si>
  <si>
    <t>Simpkin</t>
  </si>
  <si>
    <t>%P and %M plus %T... %s as well... umps paid him %4FF</t>
  </si>
  <si>
    <t>Often starting forward with mid rotations</t>
  </si>
  <si>
    <t>9239_NM</t>
  </si>
  <si>
    <t>459.3333333333333</t>
  </si>
  <si>
    <t>1653.9333333333334</t>
  </si>
  <si>
    <t>89.20006332633992</t>
  </si>
  <si>
    <t>11.799936673660085</t>
  </si>
  <si>
    <t>Davies-Uniacke</t>
  </si>
  <si>
    <t>Playing central midfield</t>
  </si>
  <si>
    <t>85.86666666666666</t>
  </si>
  <si>
    <t>392.6666666666667</t>
  </si>
  <si>
    <t>101.15533193366066</t>
  </si>
  <si>
    <t>Sheezel</t>
  </si>
  <si>
    <t>Mostly on ball</t>
  </si>
  <si>
    <t>291.6666666666667</t>
  </si>
  <si>
    <t>335.8666666666667</t>
  </si>
  <si>
    <t>1597.2666666666667</t>
  </si>
  <si>
    <t>104.69705087248599</t>
  </si>
  <si>
    <t>%P and %M plus %T... Starting at half back</t>
  </si>
  <si>
    <t>425.6666666666667</t>
  </si>
  <si>
    <t>104.30082289603499</t>
  </si>
  <si>
    <t>11.699177103965013</t>
  </si>
  <si>
    <t>Stephens</t>
  </si>
  <si>
    <t>%P and %M plus %T... Starting on a wing on Clohesy</t>
  </si>
  <si>
    <t>246.53333333333333</t>
  </si>
  <si>
    <t>1585.7333333333333</t>
  </si>
  <si>
    <t>Powell</t>
  </si>
  <si>
    <t>%P and %M plus %T... %s as well... Playing pure midfield</t>
  </si>
  <si>
    <t>245.33333333333334</t>
  </si>
  <si>
    <t>64.38296428444792</t>
  </si>
  <si>
    <t>19.617035715552078</t>
  </si>
  <si>
    <t>Darling</t>
  </si>
  <si>
    <t>%s from %P and %M plus %T... umps paid him %4FF... not helped by %F... Up forward on Andrew with ruck support</t>
  </si>
  <si>
    <t>65.06666666666666</t>
  </si>
  <si>
    <t>194.53333333333333</t>
  </si>
  <si>
    <t>1745.8666666666666</t>
  </si>
  <si>
    <t>68.01827887585667</t>
  </si>
  <si>
    <t>27.981721124143334</t>
  </si>
  <si>
    <t>Tristan</t>
  </si>
  <si>
    <t>Xerri</t>
  </si>
  <si>
    <t>%H... also %P and %T... conceded %F... First ruck</t>
  </si>
  <si>
    <t>35.13333333333333</t>
  </si>
  <si>
    <t>178.46666666666667</t>
  </si>
  <si>
    <t>114.22164755492787</t>
  </si>
  <si>
    <t>%P and %M plus %T... Starting forward and joining mids</t>
  </si>
  <si>
    <t>249.33333333333334</t>
  </si>
  <si>
    <t>210.86666666666667</t>
  </si>
  <si>
    <t>1647.0666666666666</t>
  </si>
  <si>
    <t>Tucker</t>
  </si>
  <si>
    <t>%P and %M... helped out by %4FF... Playing an outside game against Weller</t>
  </si>
  <si>
    <t>267.46666666666664</t>
  </si>
  <si>
    <t>70.75976476101943</t>
  </si>
  <si>
    <t>%s from %P and %M plus %T... umps paid him %4FF... not helped by %F... Playing a small forward role</t>
  </si>
  <si>
    <t>71.04676891163702</t>
  </si>
  <si>
    <t>1.9532310883629833</t>
  </si>
  <si>
    <t>%P... Starting on a HBF on Rogers</t>
  </si>
  <si>
    <t>16.866666666666667</t>
  </si>
  <si>
    <t>460.3333333333333</t>
  </si>
  <si>
    <t>1426.6666666666667</t>
  </si>
  <si>
    <t>1554.8666666666666</t>
  </si>
  <si>
    <t>1853.6666666666667</t>
  </si>
  <si>
    <t>1725.7333333333333</t>
  </si>
  <si>
    <t>108.45036194730204</t>
  </si>
  <si>
    <t>Larkey</t>
  </si>
  <si>
    <t>%s from %P and %M... Starting forward on Collins</t>
  </si>
  <si>
    <t>148.13333333333333</t>
  </si>
  <si>
    <t>69.92461453644007</t>
  </si>
  <si>
    <t>Zurhaar</t>
  </si>
  <si>
    <t>%s from %P and %M plus %T... Third key forward on Uwland</t>
  </si>
  <si>
    <t>278.73333333333335</t>
  </si>
  <si>
    <t>0.3290491476393953</t>
  </si>
  <si>
    <t>%P and %M plus %T... Starting at half back on Walter then went to Read in Q4</t>
  </si>
  <si>
    <t>58.684227403015505</t>
  </si>
  <si>
    <t>Aidan</t>
  </si>
  <si>
    <t>Corr</t>
  </si>
  <si>
    <t>%P including %K... also %M... Playing key defender on King</t>
  </si>
  <si>
    <t>209.33333333333334</t>
  </si>
  <si>
    <t>59.097592863071085</t>
  </si>
  <si>
    <t>Logue</t>
  </si>
  <si>
    <t>%P and %M plus %T... conceded %F... In defence on Long... switched to ruck in Q4</t>
  </si>
  <si>
    <t>0.5833333333333335</t>
  </si>
  <si>
    <t>0.8733333333333333</t>
  </si>
  <si>
    <t>149.46666666666667</t>
  </si>
  <si>
    <t>80.34617076710953</t>
  </si>
  <si>
    <t>Comben</t>
  </si>
  <si>
    <t>%P and %M... not helped by %F... In defence on Read... switched forward in Q4</t>
  </si>
  <si>
    <t>146.33333333333334</t>
  </si>
  <si>
    <t>1652.8666666666666</t>
  </si>
  <si>
    <t>86.67991283696682</t>
  </si>
  <si>
    <t>Colby</t>
  </si>
  <si>
    <t>McKercher</t>
  </si>
  <si>
    <t>Subbed off at 3QT for Hardeman... %P and %M</t>
  </si>
  <si>
    <t>Floating about</t>
  </si>
  <si>
    <t>420.1333333333333</t>
  </si>
  <si>
    <t>1694.7333333333333</t>
  </si>
  <si>
    <t>Jeffrey</t>
  </si>
  <si>
    <t>9239_GC</t>
  </si>
  <si>
    <t>444.3333333333333</t>
  </si>
  <si>
    <t>398.26666666666665</t>
  </si>
  <si>
    <t>70.05511741981299</t>
  </si>
  <si>
    <t>33.94488258018701</t>
  </si>
  <si>
    <t>Rowell</t>
  </si>
  <si>
    <t>Another early-season three-voter... %P and %T plus %s... aided by %4FF</t>
  </si>
  <si>
    <t>391.6666666666667</t>
  </si>
  <si>
    <t>1658.4666666666667</t>
  </si>
  <si>
    <t>John</t>
  </si>
  <si>
    <t>Noble</t>
  </si>
  <si>
    <t>Corked right thigh in a clash with Xerri in Q2... %P including %K... also %M... and scored %s... conceded %F</t>
  </si>
  <si>
    <t>Running off smalls</t>
  </si>
  <si>
    <t>371.3333333333333</t>
  </si>
  <si>
    <t>95.34694771212357</t>
  </si>
  <si>
    <t>4.653052287876434</t>
  </si>
  <si>
    <t>Touk</t>
  </si>
  <si>
    <t>Miller</t>
  </si>
  <si>
    <t>%P and %M plus %T... %s as well... Rotating from half forward to mids</t>
  </si>
  <si>
    <t>462.6666666666667</t>
  </si>
  <si>
    <t>423.53333333333336</t>
  </si>
  <si>
    <t>1646.9333333333334</t>
  </si>
  <si>
    <t>113.66666666666667</t>
  </si>
  <si>
    <t>102.30117954104867</t>
  </si>
  <si>
    <t>3.6988204589513316</t>
  </si>
  <si>
    <t>%P and %M plus %T... %s as well... Starting in midfield</t>
  </si>
  <si>
    <t>27.967084350068006</t>
  </si>
  <si>
    <t>Witts</t>
  </si>
  <si>
    <t>%H... also %P and %T... aided by %4FF... First ruck</t>
  </si>
  <si>
    <t>40.93333333333333</t>
  </si>
  <si>
    <t>104.95667952404567</t>
  </si>
  <si>
    <t>Ainsworth</t>
  </si>
  <si>
    <t>First goal... %s from %P and %M plus %T... Starting forward</t>
  </si>
  <si>
    <t>284.3333333333333</t>
  </si>
  <si>
    <t>296.6666666666667</t>
  </si>
  <si>
    <t>1739.6666666666667</t>
  </si>
  <si>
    <t>68.71325831009699</t>
  </si>
  <si>
    <t>22.28674168990301</t>
  </si>
  <si>
    <t>%P including %K... also %M and %T... and kicked %s... Starting at half forward on Logue</t>
  </si>
  <si>
    <t>284.6666666666667</t>
  </si>
  <si>
    <t>229.46666666666667</t>
  </si>
  <si>
    <t>Flanders</t>
  </si>
  <si>
    <t>%P and %M plus %T... %s as well... Often forward with centre rotations</t>
  </si>
  <si>
    <t>1597.5333333333333</t>
  </si>
  <si>
    <t>1677.9333333333334</t>
  </si>
  <si>
    <t>106.27275726128484</t>
  </si>
  <si>
    <t>Humphrey</t>
  </si>
  <si>
    <t>%P and %M plus %T... Starting in attack with centre rotations</t>
  </si>
  <si>
    <t>258.3333333333333</t>
  </si>
  <si>
    <t>195.06666666666666</t>
  </si>
  <si>
    <t>1668.1333333333334</t>
  </si>
  <si>
    <t>1.4621265108505952</t>
  </si>
  <si>
    <t>Clohesy</t>
  </si>
  <si>
    <t>%P and %M plus %s... On the outside against TuckerStephens</t>
  </si>
  <si>
    <t>62.548339143822375</t>
  </si>
  <si>
    <t>Wil</t>
  </si>
  <si>
    <t>%P and %M plus %T... %s as well... Playing a half back role</t>
  </si>
  <si>
    <t>294.6666666666667</t>
  </si>
  <si>
    <t>%P and %M plus %T... %s as well... Starting at half back</t>
  </si>
  <si>
    <t>407.3333333333333</t>
  </si>
  <si>
    <t>1564.9333333333334</t>
  </si>
  <si>
    <t>110.27881788727693</t>
  </si>
  <si>
    <t>%s from %P and %M</t>
  </si>
  <si>
    <t>apples</t>
  </si>
  <si>
    <t>In attack on Corr</t>
  </si>
  <si>
    <t>175.46666666666667</t>
  </si>
  <si>
    <t>1606.8666666666666</t>
  </si>
  <si>
    <t>1678.2666666666667</t>
  </si>
  <si>
    <t>60.37716145656691</t>
  </si>
  <si>
    <t>10.62283854343309</t>
  </si>
  <si>
    <t>%P and %M plus %T... %s as well... Rotating in attack and midfield</t>
  </si>
  <si>
    <t>216.66666666666666</t>
  </si>
  <si>
    <t>70.58153338953376</t>
  </si>
  <si>
    <t>%P and %M plus %s... Starting on a wing against Tucker</t>
  </si>
  <si>
    <t>0.2366666666666667</t>
  </si>
  <si>
    <t>1635.9333333333334</t>
  </si>
  <si>
    <t>66.29442587660141</t>
  </si>
  <si>
    <t>0.7055741233985913</t>
  </si>
  <si>
    <t>Collins</t>
  </si>
  <si>
    <t>%M and %P... At FB on Larkey</t>
  </si>
  <si>
    <t>95.46666666666667</t>
  </si>
  <si>
    <t>59.588196196214795</t>
  </si>
  <si>
    <t>Bodhi</t>
  </si>
  <si>
    <t>Uwland</t>
  </si>
  <si>
    <t>bull</t>
  </si>
  <si>
    <t>%M and %P... Responsible for Zurhaar</t>
  </si>
  <si>
    <t>314.06666666666666</t>
  </si>
  <si>
    <t>63.09862382502164</t>
  </si>
  <si>
    <t>Mac</t>
  </si>
  <si>
    <t>%M and %P... aided by %4FF... In defence on Darling</t>
  </si>
  <si>
    <t>259.93333333333334</t>
  </si>
  <si>
    <t>55.432628559485025</t>
  </si>
  <si>
    <t>http://live.fanfooty.com.au/game/matchcentre.html?id=9240</t>
  </si>
  <si>
    <t>Walsh</t>
  </si>
  <si>
    <t>3 goals in a prolific Q2... %P and %M plus %s</t>
  </si>
  <si>
    <t>Playing inside/outside midfield</t>
  </si>
  <si>
    <t>9240_CA</t>
  </si>
  <si>
    <t>15.066666666666666</t>
  </si>
  <si>
    <t>368.6666666666667</t>
  </si>
  <si>
    <t>335.1333333333333</t>
  </si>
  <si>
    <t>1700.6666666666667</t>
  </si>
  <si>
    <t>1579.6666666666667</t>
  </si>
  <si>
    <t>101.93487326910449</t>
  </si>
  <si>
    <t>39.065126730895514</t>
  </si>
  <si>
    <t>Hewett</t>
  </si>
  <si>
    <t>13.266666666666667</t>
  </si>
  <si>
    <t>366.6666666666667</t>
  </si>
  <si>
    <t>95.40409943119117</t>
  </si>
  <si>
    <t>36.59590056880883</t>
  </si>
  <si>
    <t>Cerra</t>
  </si>
  <si>
    <t>396.3333333333333</t>
  </si>
  <si>
    <t>338.1333333333333</t>
  </si>
  <si>
    <t>27.518848861081693</t>
  </si>
  <si>
    <t>bluemoon</t>
  </si>
  <si>
    <t>%P including %K... also %M and %T... and booted %s</t>
  </si>
  <si>
    <t>In defence on Waterman</t>
  </si>
  <si>
    <t>408.6666666666667</t>
  </si>
  <si>
    <t>389.3333333333333</t>
  </si>
  <si>
    <t>1630.5333333333333</t>
  </si>
  <si>
    <t>65.24697305154689</t>
  </si>
  <si>
    <t>59.75302694845311</t>
  </si>
  <si>
    <t>Saad</t>
  </si>
  <si>
    <t>%P including %K... also %M... Running from defence</t>
  </si>
  <si>
    <t>343.8666666666667</t>
  </si>
  <si>
    <t>107.64469173466722</t>
  </si>
  <si>
    <t>Haynes</t>
  </si>
  <si>
    <t>%P including %K... also %M... In defence</t>
  </si>
  <si>
    <t>0.20666666666666664</t>
  </si>
  <si>
    <t>301.93333333333334</t>
  </si>
  <si>
    <t>91.33222946920644</t>
  </si>
  <si>
    <t>4.667770530793561</t>
  </si>
  <si>
    <t>Docherty</t>
  </si>
  <si>
    <t>%P and %M plus %T... %s as well... Starting on a wing</t>
  </si>
  <si>
    <t>13.596666666666668</t>
  </si>
  <si>
    <t>377.53333333333336</t>
  </si>
  <si>
    <t>83.00342498350699</t>
  </si>
  <si>
    <t>butcher</t>
  </si>
  <si>
    <t>Booted %s from %G and %P</t>
  </si>
  <si>
    <t>Starting at CHF on Brock</t>
  </si>
  <si>
    <t>275.3333333333333</t>
  </si>
  <si>
    <t>62.13632403838261</t>
  </si>
  <si>
    <t>35.86367596161739</t>
  </si>
  <si>
    <t>Cripps</t>
  </si>
  <si>
    <t>Cashed in with cheap goals late... %P and %M plus %s</t>
  </si>
  <si>
    <t>Playing inside midfield but moved to goalsquare forward in Q4</t>
  </si>
  <si>
    <t>215.33333333333334</t>
  </si>
  <si>
    <t>%P including %K... also %M and %T... Starting on a HBF</t>
  </si>
  <si>
    <t>85.46666666666667</t>
  </si>
  <si>
    <t>91.79161674163345</t>
  </si>
  <si>
    <t>Cottrell</t>
  </si>
  <si>
    <t>%P including %K... also %M... and kicked %s... Starting on a wing</t>
  </si>
  <si>
    <t>436.3333333333333</t>
  </si>
  <si>
    <t>1659.0666666666666</t>
  </si>
  <si>
    <t>1605.3333333333333</t>
  </si>
  <si>
    <t>64.47380815943396</t>
  </si>
  <si>
    <t>18.526191840566042</t>
  </si>
  <si>
    <t>%s from %P and %M plus %T... Rotating forward</t>
  </si>
  <si>
    <t>0.16599999999999998</t>
  </si>
  <si>
    <t>0.12399999999999999</t>
  </si>
  <si>
    <t>111.26666666666667</t>
  </si>
  <si>
    <t>1416.6666666666667</t>
  </si>
  <si>
    <t>52.79037869084846</t>
  </si>
  <si>
    <t>38.20962130915154</t>
  </si>
  <si>
    <t>22.266666666666666</t>
  </si>
  <si>
    <t>251.33333333333334</t>
  </si>
  <si>
    <t>107.93252853163662</t>
  </si>
  <si>
    <t>10.06747146836338</t>
  </si>
  <si>
    <t>%s from %P and %M plus %T... Starting deep forward</t>
  </si>
  <si>
    <t>0.27799999999999997</t>
  </si>
  <si>
    <t>133.93333333333334</t>
  </si>
  <si>
    <t>1634.4666666666667</t>
  </si>
  <si>
    <t>58.057208757686276</t>
  </si>
  <si>
    <t>8.942791242313724</t>
  </si>
  <si>
    <t>%P and %M plus %s... Playing a forward role</t>
  </si>
  <si>
    <t>214.66666666666666</t>
  </si>
  <si>
    <t>66.16768604503821</t>
  </si>
  <si>
    <t>Weitering</t>
  </si>
  <si>
    <t>%P including %K... also %M... umps paid him %4FF... At FB on Allen</t>
  </si>
  <si>
    <t>98.06666666666666</t>
  </si>
  <si>
    <t>138.33333333333334</t>
  </si>
  <si>
    <t>187.86666666666667</t>
  </si>
  <si>
    <t>62.67922549109059</t>
  </si>
  <si>
    <t>28.32077450890941</t>
  </si>
  <si>
    <t>%P including %K... also %M... A new role in defence on Jack Williams</t>
  </si>
  <si>
    <t>0.17666666666666642</t>
  </si>
  <si>
    <t>197.33333333333334</t>
  </si>
  <si>
    <t>226.93333333333334</t>
  </si>
  <si>
    <t>29.175705237218693</t>
  </si>
  <si>
    <t>%P and %M plus %T... %s as well... Playing a forward pressure role</t>
  </si>
  <si>
    <t>147.86666666666667</t>
  </si>
  <si>
    <t>59.30447095309781</t>
  </si>
  <si>
    <t>0.6955290469021875</t>
  </si>
  <si>
    <t>Kemp</t>
  </si>
  <si>
    <t>Looked to have done his achilles in Q4 and was asissted from the ground... %P and %M plus %T... %s as well</t>
  </si>
  <si>
    <t>Playing key forward on Ginbey</t>
  </si>
  <si>
    <t>151.33333333333334</t>
  </si>
  <si>
    <t>166.46666666666667</t>
  </si>
  <si>
    <t>1660.2666666666667</t>
  </si>
  <si>
    <t>54.19189305664253</t>
  </si>
  <si>
    <t>3.8081069433574726</t>
  </si>
  <si>
    <t>McKay</t>
  </si>
  <si>
    <t>A nasty headclash in Q1 saw him come off second best and subbed off at QT... %s from %P</t>
  </si>
  <si>
    <t>Starting forward on Edwards</t>
  </si>
  <si>
    <t>243.26666666666668</t>
  </si>
  <si>
    <t>1555.3333333333333</t>
  </si>
  <si>
    <t>52.08920683539092</t>
  </si>
  <si>
    <t>9240_WC</t>
  </si>
  <si>
    <t>231.53333333333333</t>
  </si>
  <si>
    <t>1327.3333333333333</t>
  </si>
  <si>
    <t>1444.7333333333333</t>
  </si>
  <si>
    <t>1954.6666666666667</t>
  </si>
  <si>
    <t>1828.7333333333333</t>
  </si>
  <si>
    <t>82.88068173921816</t>
  </si>
  <si>
    <t>18.11931826078184</t>
  </si>
  <si>
    <t>Duggan</t>
  </si>
  <si>
    <t>%P including %K... also %M and %T... Coming off a HBF</t>
  </si>
  <si>
    <t>13.533333333333333</t>
  </si>
  <si>
    <t>68.73333333333333</t>
  </si>
  <si>
    <t>411.6666666666667</t>
  </si>
  <si>
    <t>1433.9333333333334</t>
  </si>
  <si>
    <t>1842.3333333333333</t>
  </si>
  <si>
    <t>103.0529013680458</t>
  </si>
  <si>
    <t>%P and %M plus %T... %s as well... Starting on ball</t>
  </si>
  <si>
    <t>419.6666666666667</t>
  </si>
  <si>
    <t>294.46666666666664</t>
  </si>
  <si>
    <t>72.73051920159381</t>
  </si>
  <si>
    <t>Monopolising kick-ins... %P including %K... also %M</t>
  </si>
  <si>
    <t>kickin</t>
  </si>
  <si>
    <t>74.91787977021866</t>
  </si>
  <si>
    <t>9.082120229781339</t>
  </si>
  <si>
    <t>Booted %s from %G and %P... Starting forward on McGovern</t>
  </si>
  <si>
    <t>1464.3333333333333</t>
  </si>
  <si>
    <t>77.31947226460281</t>
  </si>
  <si>
    <t>%s from %P and %M plus %T... Playing a high half forward role</t>
  </si>
  <si>
    <t>297.26666666666665</t>
  </si>
  <si>
    <t>1424.6666666666667</t>
  </si>
  <si>
    <t>1851.5333333333333</t>
  </si>
  <si>
    <t>68.29680333769909</t>
  </si>
  <si>
    <t>Starting at half back but moved into midfield in Q3</t>
  </si>
  <si>
    <t>484.3333333333333</t>
  </si>
  <si>
    <t>95.79470134755655</t>
  </si>
  <si>
    <t>%s from %P and %M plus %T... not helped by %F... Starting deep forward</t>
  </si>
  <si>
    <t>295.6666666666667</t>
  </si>
  <si>
    <t>1366.3333333333333</t>
  </si>
  <si>
    <t>1451.5333333333333</t>
  </si>
  <si>
    <t>62.773140366798366</t>
  </si>
  <si>
    <t>15.226859633201634</t>
  </si>
  <si>
    <t>Reuben</t>
  </si>
  <si>
    <t>Ginbey</t>
  </si>
  <si>
    <t>%P and %M plus %T... In defence on Kemp</t>
  </si>
  <si>
    <t>263.1333333333333</t>
  </si>
  <si>
    <t>60.76420673728727</t>
  </si>
  <si>
    <t>%M and %P... Starting on a wing</t>
  </si>
  <si>
    <t>60.58791039497849</t>
  </si>
  <si>
    <t>First goal... %s from %P and %M plus %T... At FF on Weitering</t>
  </si>
  <si>
    <t>87.46666666666667</t>
  </si>
  <si>
    <t>157.33333333333334</t>
  </si>
  <si>
    <t>61.43240174148374</t>
  </si>
  <si>
    <t>%P including %K... also %M... In defence on McKay</t>
  </si>
  <si>
    <t>0.10066666666666667</t>
  </si>
  <si>
    <t>228.66666666666666</t>
  </si>
  <si>
    <t>168.53333333333333</t>
  </si>
  <si>
    <t>1826.9333333333334</t>
  </si>
  <si>
    <t>47.322656199835066</t>
  </si>
  <si>
    <t>15.677343800164934</t>
  </si>
  <si>
    <t>Brady</t>
  </si>
  <si>
    <t>Hough</t>
  </si>
  <si>
    <t>1440.3333333333333</t>
  </si>
  <si>
    <t>1846.4666666666667</t>
  </si>
  <si>
    <t>74.50062636214629</t>
  </si>
  <si>
    <t>Bailey J.</t>
  </si>
  <si>
    <t>%H... also %P... First ruck</t>
  </si>
  <si>
    <t>128.46666666666667</t>
  </si>
  <si>
    <t>77.18597966933694</t>
  </si>
  <si>
    <t>Owies</t>
  </si>
  <si>
    <t>%s from %P and %M... Playing a small forward role</t>
  </si>
  <si>
    <t>58.13333333333333</t>
  </si>
  <si>
    <t>130.66666666666666</t>
  </si>
  <si>
    <t>160.93333333333334</t>
  </si>
  <si>
    <t>61.65297385817634</t>
  </si>
  <si>
    <t>http://live.fanfooty.com.au/game/matchcentre.html?id=9241</t>
  </si>
  <si>
    <t>English</t>
  </si>
  <si>
    <t>9241_WB</t>
  </si>
  <si>
    <t>225.66666666666666</t>
  </si>
  <si>
    <t>104.57909716830935</t>
  </si>
  <si>
    <t>7.420902831690654</t>
  </si>
  <si>
    <t>%P and %M plus %T... Starting on ball</t>
  </si>
  <si>
    <t>404.6666666666667</t>
  </si>
  <si>
    <t>83.96431484637704</t>
  </si>
  <si>
    <t>29.035685153622964</t>
  </si>
  <si>
    <t>choc</t>
  </si>
  <si>
    <t>Matched up on Neale... %P and %M plus %T... %s as well... gave away %F... Playing in midfield</t>
  </si>
  <si>
    <t>293.26666666666665</t>
  </si>
  <si>
    <t>1647.9333333333334</t>
  </si>
  <si>
    <t>68.31823234585511</t>
  </si>
  <si>
    <t>Bramble</t>
  </si>
  <si>
    <t>%P and %M plus %T... %s as well... Rotating in defence</t>
  </si>
  <si>
    <t>359.6666666666667</t>
  </si>
  <si>
    <t>94.13022287484273</t>
  </si>
  <si>
    <t>Rhylee</t>
  </si>
  <si>
    <t>%s from %P and %M... Playing a forward role</t>
  </si>
  <si>
    <t>190.66666666666666</t>
  </si>
  <si>
    <t>68.31696575706519</t>
  </si>
  <si>
    <t>28.68303424293481</t>
  </si>
  <si>
    <t>Liberatore</t>
  </si>
  <si>
    <t>%2 Dunkley... %P and %M plus %T... Pure midfield</t>
  </si>
  <si>
    <t>400.3333333333333</t>
  </si>
  <si>
    <t>89.03714235394987</t>
  </si>
  <si>
    <t>11.962857646050125</t>
  </si>
  <si>
    <t>Left hamstring tightness in Q3 but played on... %P and %M plus %s</t>
  </si>
  <si>
    <t>Playing a forward/ruck role on Andrews</t>
  </si>
  <si>
    <t>336.6666666666667</t>
  </si>
  <si>
    <t>233.66666666666666</t>
  </si>
  <si>
    <t>93.65789700035614</t>
  </si>
  <si>
    <t>Lobb</t>
  </si>
  <si>
    <t>%P and %M plus %T... In defence on Morris</t>
  </si>
  <si>
    <t>62.288282228893074</t>
  </si>
  <si>
    <t>27.711717771106926</t>
  </si>
  <si>
    <t>McNeil</t>
  </si>
  <si>
    <t>Highly influential up to HT then drifted out of it... %P including %K... also %T and %M... and scored %s... umps paid him %4FF</t>
  </si>
  <si>
    <t>Rotating at half forward</t>
  </si>
  <si>
    <t>178.66666666666666</t>
  </si>
  <si>
    <t>68.17672942596502</t>
  </si>
  <si>
    <t>1.8232705740349786</t>
  </si>
  <si>
    <t>berry</t>
  </si>
  <si>
    <t>%P and %M plus %s... Playing a wing role on Berry</t>
  </si>
  <si>
    <t>306.73333333333335</t>
  </si>
  <si>
    <t>12.881327969344795</t>
  </si>
  <si>
    <t>%M and %P... In defence with Ah Chee paying him close attention</t>
  </si>
  <si>
    <t>456.6666666666667</t>
  </si>
  <si>
    <t>494.46666666666664</t>
  </si>
  <si>
    <t>114.3331652967006</t>
  </si>
  <si>
    <t>Naughton</t>
  </si>
  <si>
    <t>First goal... slam tackle on Lester in Q4 will be assessed but not much damage... Booted %s from %G and %P</t>
  </si>
  <si>
    <t>Starting deep forward on Payne</t>
  </si>
  <si>
    <t>1598.5333333333333</t>
  </si>
  <si>
    <t>60.44243573008298</t>
  </si>
  <si>
    <t>Buku</t>
  </si>
  <si>
    <t>Khamis</t>
  </si>
  <si>
    <t>%P and %M plus %T... Playing key defender on Day</t>
  </si>
  <si>
    <t>1653.0666666666666</t>
  </si>
  <si>
    <t>47.30048375027672</t>
  </si>
  <si>
    <t>19.69951624972328</t>
  </si>
  <si>
    <t>O'Donnell</t>
  </si>
  <si>
    <t>%P including %K... also %M and %T... Third tall forward on Lester</t>
  </si>
  <si>
    <t>206.33333333333334</t>
  </si>
  <si>
    <t>201.53333333333333</t>
  </si>
  <si>
    <t>60.549750612499395</t>
  </si>
  <si>
    <t>%M and %P... Standing Hipwood</t>
  </si>
  <si>
    <t>189.53333333333333</t>
  </si>
  <si>
    <t>55.53958004827428</t>
  </si>
  <si>
    <t>Johannisen</t>
  </si>
  <si>
    <t>%P including %K... also %M... Playing a half back role</t>
  </si>
  <si>
    <t>269.6666666666667</t>
  </si>
  <si>
    <t>354.8666666666667</t>
  </si>
  <si>
    <t>1721.4666666666667</t>
  </si>
  <si>
    <t>1564.6666666666667</t>
  </si>
  <si>
    <t>92.03285660562621</t>
  </si>
  <si>
    <t>Harmes</t>
  </si>
  <si>
    <t>Limped off early in Q1 with right foot problem and subbed off for Dolan</t>
  </si>
  <si>
    <t>0.9293333333333335</t>
  </si>
  <si>
    <t>239.46666666666667</t>
  </si>
  <si>
    <t>47.51717980132493</t>
  </si>
  <si>
    <t>McCluggage</t>
  </si>
  <si>
    <t>9241_BL</t>
  </si>
  <si>
    <t>444.6666666666667</t>
  </si>
  <si>
    <t>399.1333333333333</t>
  </si>
  <si>
    <t>1823.6666666666667</t>
  </si>
  <si>
    <t>1464.6666666666667</t>
  </si>
  <si>
    <t>102.22316490299659</t>
  </si>
  <si>
    <t>32.77683509700341</t>
  </si>
  <si>
    <t>%P including %K... also %M and %T... and scored %s</t>
  </si>
  <si>
    <t>Starting at half forward and joining mids</t>
  </si>
  <si>
    <t>344.6666666666667</t>
  </si>
  <si>
    <t>315.6666666666667</t>
  </si>
  <si>
    <t>44.471634001815005</t>
  </si>
  <si>
    <t>Jaspa</t>
  </si>
  <si>
    <t>278.8666666666667</t>
  </si>
  <si>
    <t>95.24724925390242</t>
  </si>
  <si>
    <t>Dunkley</t>
  </si>
  <si>
    <t>%2 Liberatore... %P and %M plus %T... Playing inside midfield</t>
  </si>
  <si>
    <t>86.29986534639416</t>
  </si>
  <si>
    <t>1.7001346536058435</t>
  </si>
  <si>
    <t>Ashcroft</t>
  </si>
  <si>
    <t>%P and %T... Playing central midfield</t>
  </si>
  <si>
    <t>373.6666666666667</t>
  </si>
  <si>
    <t>330.73333333333335</t>
  </si>
  <si>
    <t>77.02725814939265</t>
  </si>
  <si>
    <t>34.97274185060735</t>
  </si>
  <si>
    <t>%P and %M plus %T... %s as well... Starting at half forward and keeping Dale quiet</t>
  </si>
  <si>
    <t>215.66666666666666</t>
  </si>
  <si>
    <t>69.90302630669497</t>
  </si>
  <si>
    <t>64.09697369330503</t>
  </si>
  <si>
    <t>Matched up on Kennedy... jarred left ankle in a marking contest with Lobb in Q2... %P and %M plus %T</t>
  </si>
  <si>
    <t>390.3333333333333</t>
  </si>
  <si>
    <t>120.09991428823365</t>
  </si>
  <si>
    <t>Zorko</t>
  </si>
  <si>
    <t>%P including %K... also %M and %T... At half back</t>
  </si>
  <si>
    <t>589.3333333333334</t>
  </si>
  <si>
    <t>122.85145106257421</t>
  </si>
  <si>
    <t>Hipwood</t>
  </si>
  <si>
    <t>Three goals in Q3 after an anonymous first half helped turn the game... %s from %P and %M plus %T</t>
  </si>
  <si>
    <t>Up forward on Liam Jones</t>
  </si>
  <si>
    <t>312.3333333333333</t>
  </si>
  <si>
    <t>1548.6666666666667</t>
  </si>
  <si>
    <t>67.69091586914752</t>
  </si>
  <si>
    <t>29.309084130852483</t>
  </si>
  <si>
    <t>%P and %M plus %T... Starting on a wing against Williams</t>
  </si>
  <si>
    <t>287.6666666666667</t>
  </si>
  <si>
    <t>357.46666666666664</t>
  </si>
  <si>
    <t>Harris</t>
  </si>
  <si>
    <t>Andrews</t>
  </si>
  <si>
    <t>unicorn</t>
  </si>
  <si>
    <t>%P including %K... also %M... In defence on Darcy</t>
  </si>
  <si>
    <t>93.86666666666666</t>
  </si>
  <si>
    <t>185.33333333333334</t>
  </si>
  <si>
    <t>1723.4666666666667</t>
  </si>
  <si>
    <t>72.67262764155156</t>
  </si>
  <si>
    <t>5.327372358448443</t>
  </si>
  <si>
    <t>lobster</t>
  </si>
  <si>
    <t>Playing a key forward role on Lobb</t>
  </si>
  <si>
    <t>1748.2666666666667</t>
  </si>
  <si>
    <t>60.52790867016439</t>
  </si>
  <si>
    <t>32.47209132983561</t>
  </si>
  <si>
    <t>%s from %P and %M plus %T... Starting forward</t>
  </si>
  <si>
    <t>59.93333333333333</t>
  </si>
  <si>
    <t>143.33333333333334</t>
  </si>
  <si>
    <t>1847.6666666666667</t>
  </si>
  <si>
    <t>1560.1333333333334</t>
  </si>
  <si>
    <t>58.99783824796249</t>
  </si>
  <si>
    <t>Payne</t>
  </si>
  <si>
    <t>%P and %M plus %T... Standing Naughton</t>
  </si>
  <si>
    <t>204.33333333333334</t>
  </si>
  <si>
    <t>155.46666666666667</t>
  </si>
  <si>
    <t>1773.9333333333334</t>
  </si>
  <si>
    <t>56.63021344719813</t>
  </si>
  <si>
    <t>29.36978655280187</t>
  </si>
  <si>
    <t>55.93333333333333</t>
  </si>
  <si>
    <t>95.04936089227894</t>
  </si>
  <si>
    <t>Wilmot</t>
  </si>
  <si>
    <t>%P and %M plus %s... Sprinting off half back</t>
  </si>
  <si>
    <t>323.6666666666667</t>
  </si>
  <si>
    <t>342.1333333333333</t>
  </si>
  <si>
    <t>103.15025619045008</t>
  </si>
  <si>
    <t>Rayner</t>
  </si>
  <si>
    <t>%P and %M plus %s... Rotating from half forward to mids</t>
  </si>
  <si>
    <t>80.06248203453731</t>
  </si>
  <si>
    <t>%s from %P and %M plus %T... Starting forward on Khamis with ruck support</t>
  </si>
  <si>
    <t>140.33333333333334</t>
  </si>
  <si>
    <t>1709.8666666666666</t>
  </si>
  <si>
    <t>66.46115629693728</t>
  </si>
  <si>
    <t>Answerth</t>
  </si>
  <si>
    <t>%P including %K... also %M and %T... Playing small defender</t>
  </si>
  <si>
    <t>1759.9333333333334</t>
  </si>
  <si>
    <t>86.72345498853491</t>
  </si>
  <si>
    <t>Lester</t>
  </si>
  <si>
    <t>%M and %P... Third tall defender on O'Donnell</t>
  </si>
  <si>
    <t>219.06666666666666</t>
  </si>
  <si>
    <t>58.16908075221786</t>
  </si>
  <si>
    <t>http://live.fanfooty.com.au/game/matchcentre.html?id=9242</t>
  </si>
  <si>
    <t>Gawn</t>
  </si>
  <si>
    <t>9242_ME</t>
  </si>
  <si>
    <t>60.93333333333333</t>
  </si>
  <si>
    <t>1799.6666666666667</t>
  </si>
  <si>
    <t>118.33333333333333</t>
  </si>
  <si>
    <t>105.73297631504573</t>
  </si>
  <si>
    <t>39.26702368495427</t>
  </si>
  <si>
    <t>Very productive in Q2... %P including %K... also %M... and kicked %s</t>
  </si>
  <si>
    <t>Running off a wing against Martin then got El-Hawli</t>
  </si>
  <si>
    <t>97.86666666666666</t>
  </si>
  <si>
    <t>428.3333333333333</t>
  </si>
  <si>
    <t>337.53333333333336</t>
  </si>
  <si>
    <t>84.39934502439417</t>
  </si>
  <si>
    <t>34.600654975605835</t>
  </si>
  <si>
    <t>Christian</t>
  </si>
  <si>
    <t>Petracca</t>
  </si>
  <si>
    <t>Starting in midfield and rotating forward</t>
  </si>
  <si>
    <t>405.73333333333335</t>
  </si>
  <si>
    <t>95.22597031965726</t>
  </si>
  <si>
    <t>0.7740296803427356</t>
  </si>
  <si>
    <t>Kysaiah</t>
  </si>
  <si>
    <t>%s from %P and %M... Starting forward with mid rotations</t>
  </si>
  <si>
    <t>380.6666666666667</t>
  </si>
  <si>
    <t>305.3333333333333</t>
  </si>
  <si>
    <t>1449.3333333333333</t>
  </si>
  <si>
    <t>1568.7333333333333</t>
  </si>
  <si>
    <t>86.34638605375275</t>
  </si>
  <si>
    <t>Clayton</t>
  </si>
  <si>
    <t>Tagged by Setterfield... %P including %B... also %T and %M... and scored %s</t>
  </si>
  <si>
    <t>292.93333333333334</t>
  </si>
  <si>
    <t>87.27984562420231</t>
  </si>
  <si>
    <t>Bowey</t>
  </si>
  <si>
    <t>325.3333333333333</t>
  </si>
  <si>
    <t>1550.8666666666666</t>
  </si>
  <si>
    <t>1732.8666666666666</t>
  </si>
  <si>
    <t>98.28446288843674</t>
  </si>
  <si>
    <t>Salem</t>
  </si>
  <si>
    <t>15.133333333333333</t>
  </si>
  <si>
    <t>347.73333333333335</t>
  </si>
  <si>
    <t>102.01946832354774</t>
  </si>
  <si>
    <t>Rivers</t>
  </si>
  <si>
    <t>%P and %M plus %T... %s as well... Playing midfield</t>
  </si>
  <si>
    <t>396.06666666666666</t>
  </si>
  <si>
    <t>66.57703874334199</t>
  </si>
  <si>
    <t>10.422961256658013</t>
  </si>
  <si>
    <t>Viney</t>
  </si>
  <si>
    <t>%P and %M plus %T... %s as well... In central midfield</t>
  </si>
  <si>
    <t>55.13333333333333</t>
  </si>
  <si>
    <t>65.50624065664681</t>
  </si>
  <si>
    <t>Bayley</t>
  </si>
  <si>
    <t>Fritsch</t>
  </si>
  <si>
    <t>%s from %P and %M plus %T... Playing third tall forward on Zach Reid then got Ridley in Q3</t>
  </si>
  <si>
    <t>283.6666666666667</t>
  </si>
  <si>
    <t>210.06666666666666</t>
  </si>
  <si>
    <t>61.577872773307895</t>
  </si>
  <si>
    <t>12.422127226692105</t>
  </si>
  <si>
    <t>Chandler</t>
  </si>
  <si>
    <t>%P and %M plus %T... Playing a high forward role</t>
  </si>
  <si>
    <t>226.33333333333334</t>
  </si>
  <si>
    <t>63.905772455128755</t>
  </si>
  <si>
    <t>218.66666666666666</t>
  </si>
  <si>
    <t>69.61223788096167</t>
  </si>
  <si>
    <t>Windsor</t>
  </si>
  <si>
    <t>%P and %M plus %T... %s as well... Rotating on a HBF</t>
  </si>
  <si>
    <t>295.26666666666665</t>
  </si>
  <si>
    <t>1536.6666666666667</t>
  </si>
  <si>
    <t>1579.9333333333334</t>
  </si>
  <si>
    <t>1758.6666666666667</t>
  </si>
  <si>
    <t>83.90454334969397</t>
  </si>
  <si>
    <t>May</t>
  </si>
  <si>
    <t>Painful-looking left foot injury in Q1 but returned in Q2... %P including %K... also %M</t>
  </si>
  <si>
    <t>Loose in defence then moved to Jones in Q3</t>
  </si>
  <si>
    <t>380.8666666666667</t>
  </si>
  <si>
    <t>1552.0666666666666</t>
  </si>
  <si>
    <t>1731.6666666666667</t>
  </si>
  <si>
    <t>97.62276172716892</t>
  </si>
  <si>
    <t>Harrison</t>
  </si>
  <si>
    <t>Petty</t>
  </si>
  <si>
    <t>%P and %M plus %s... Playing key defender on Jones.... switched forward in Q3</t>
  </si>
  <si>
    <t>119.33333333333333</t>
  </si>
  <si>
    <t>74.21270915327608</t>
  </si>
  <si>
    <t>Spargo</t>
  </si>
  <si>
    <t>%P and %M... Starting forward</t>
  </si>
  <si>
    <t>0.011333333333333332</t>
  </si>
  <si>
    <t>158.33333333333334</t>
  </si>
  <si>
    <t>168.26666666666668</t>
  </si>
  <si>
    <t>1528.3333333333333</t>
  </si>
  <si>
    <t>1658.5333333333333</t>
  </si>
  <si>
    <t>57.53811533329596</t>
  </si>
  <si>
    <t>Melksham</t>
  </si>
  <si>
    <t>%P including %K... also %M and %T... Starting at half forward</t>
  </si>
  <si>
    <t>206.26666666666668</t>
  </si>
  <si>
    <t>1610.4666666666667</t>
  </si>
  <si>
    <t>1668.9333333333334</t>
  </si>
  <si>
    <t>54.74804614617979</t>
  </si>
  <si>
    <t>van Rooyen</t>
  </si>
  <si>
    <t>%P including %B... also %T... Playing a forward/ruck role on McKay</t>
  </si>
  <si>
    <t>151.86666666666667</t>
  </si>
  <si>
    <t>69.29209547005803</t>
  </si>
  <si>
    <t>Sparrow</t>
  </si>
  <si>
    <t>%P and %M plus %T... %s as well... Tagging Merrett</t>
  </si>
  <si>
    <t>148.33333333333334</t>
  </si>
  <si>
    <t>270.93333333333334</t>
  </si>
  <si>
    <t>71.53104719626181</t>
  </si>
  <si>
    <t>Sharp</t>
  </si>
  <si>
    <t>On in Q3 for Henderson to play forward... %P and %M plus %s</t>
  </si>
  <si>
    <t>0.6573333333333333</t>
  </si>
  <si>
    <t>1669.5333333333333</t>
  </si>
  <si>
    <t>44.72437943809463</t>
  </si>
  <si>
    <t>Tagged by Sparrow... %P and %M plus %T... %s as well</t>
  </si>
  <si>
    <t>9242_ES</t>
  </si>
  <si>
    <t>522.3333333333334</t>
  </si>
  <si>
    <t>447.1333333333333</t>
  </si>
  <si>
    <t>1632.7333333333333</t>
  </si>
  <si>
    <t>109.60204433310332</t>
  </si>
  <si>
    <t>14.397955666896678</t>
  </si>
  <si>
    <t>Roaming off a wing against Langdon... switched forward in Q1</t>
  </si>
  <si>
    <t>333.6666666666667</t>
  </si>
  <si>
    <t>383.8666666666667</t>
  </si>
  <si>
    <t>93.32447285761822</t>
  </si>
  <si>
    <t>14.675527142381782</t>
  </si>
  <si>
    <t>Setterfield</t>
  </si>
  <si>
    <t>Tagging Oliver</t>
  </si>
  <si>
    <t>299.3333333333333</t>
  </si>
  <si>
    <t>1637.4666666666667</t>
  </si>
  <si>
    <t>Draper</t>
  </si>
  <si>
    <t>Starting forward with ruck support... had to be lead ruck in Q1 after Bryan injury</t>
  </si>
  <si>
    <t>20.133333333333333</t>
  </si>
  <si>
    <t>77.88507799306481</t>
  </si>
  <si>
    <t>32.11492200693519</t>
  </si>
  <si>
    <t>Ridley</t>
  </si>
  <si>
    <t>Loose in defence then manned up Fritsch in Q3</t>
  </si>
  <si>
    <t>15.866666666666667</t>
  </si>
  <si>
    <t>6.026666666666666</t>
  </si>
  <si>
    <t>1.4246666666666665</t>
  </si>
  <si>
    <t>295.3333333333333</t>
  </si>
  <si>
    <t>91.93224847156088</t>
  </si>
  <si>
    <t>14.067751528439118</t>
  </si>
  <si>
    <t>Durham</t>
  </si>
  <si>
    <t>Goes to Petracca when in midfield... %P and %M plus %T... Playing central midfield</t>
  </si>
  <si>
    <t>392.46666666666664</t>
  </si>
  <si>
    <t>77.25320871947339</t>
  </si>
  <si>
    <t>27.746791280526608</t>
  </si>
  <si>
    <t>Menzie</t>
  </si>
  <si>
    <t>One of his better games for the club... Booted %s from %G and %P</t>
  </si>
  <si>
    <t>49.733333333333334</t>
  </si>
  <si>
    <t>175.33333333333334</t>
  </si>
  <si>
    <t>145.66666666666666</t>
  </si>
  <si>
    <t>1655.3333333333333</t>
  </si>
  <si>
    <t>1633.0666666666666</t>
  </si>
  <si>
    <t>50.24696275877446</t>
  </si>
  <si>
    <t>41.75303724122554</t>
  </si>
  <si>
    <t>Shiel</t>
  </si>
  <si>
    <t>Started very brightly but dropped off as the game went on... %P and %M plus %s</t>
  </si>
  <si>
    <t>Playing on ball</t>
  </si>
  <si>
    <t>268.53333333333336</t>
  </si>
  <si>
    <t>1607.0666666666666</t>
  </si>
  <si>
    <t>5.9758215605594955</t>
  </si>
  <si>
    <t>Hobbs</t>
  </si>
  <si>
    <t>%s from %P and %M plus %T... Playing a half forward role</t>
  </si>
  <si>
    <t>1594.8666666666666</t>
  </si>
  <si>
    <t>61.304385361261524</t>
  </si>
  <si>
    <t>17.695614638738476</t>
  </si>
  <si>
    <t>Redman</t>
  </si>
  <si>
    <t>%P and %M plus %s... Mostly across half back</t>
  </si>
  <si>
    <t>407.6666666666667</t>
  </si>
  <si>
    <t>1649.6666666666667</t>
  </si>
  <si>
    <t>106.90995841699859</t>
  </si>
  <si>
    <t>McGrath</t>
  </si>
  <si>
    <t>200.66666666666666</t>
  </si>
  <si>
    <t>319.46666666666664</t>
  </si>
  <si>
    <t>101.44716992375473</t>
  </si>
  <si>
    <t>Jade</t>
  </si>
  <si>
    <t>Gresham</t>
  </si>
  <si>
    <t>%P and %M plus %T... %s as well... Playing high half forward</t>
  </si>
  <si>
    <t>138.53333333333333</t>
  </si>
  <si>
    <t>1641.1333333333334</t>
  </si>
  <si>
    <t>60.943512879652985</t>
  </si>
  <si>
    <t>3.0564871203470148</t>
  </si>
  <si>
    <t>Archie</t>
  </si>
  <si>
    <t>Perkins</t>
  </si>
  <si>
    <t>%s from %P and %M... Starting forward to join midfield</t>
  </si>
  <si>
    <t>1573.3333333333333</t>
  </si>
  <si>
    <t>77.17571441480979</t>
  </si>
  <si>
    <t>Duursma</t>
  </si>
  <si>
    <t>%P and %M plus %s... Playing an outside game against Langford</t>
  </si>
  <si>
    <t>270.6666666666667</t>
  </si>
  <si>
    <t>1608.2666666666667</t>
  </si>
  <si>
    <t>74.48555734320867</t>
  </si>
  <si>
    <t>roo</t>
  </si>
  <si>
    <t>%M and %P... conceded %F... At FB on van Rooyen</t>
  </si>
  <si>
    <t>67.53490711802472</t>
  </si>
  <si>
    <t>Jaxon</t>
  </si>
  <si>
    <t>Prior</t>
  </si>
  <si>
    <t>cash</t>
  </si>
  <si>
    <t>299.6666666666667</t>
  </si>
  <si>
    <t>246.06666666666666</t>
  </si>
  <si>
    <t>58.65330068558644</t>
  </si>
  <si>
    <t>First goal... %s from %P and %M plus %T... Playing key forward on Petty</t>
  </si>
  <si>
    <t>57.34092985174648</t>
  </si>
  <si>
    <t>http://live.fanfooty.com.au/game/matchcentre.html?id=9243</t>
  </si>
  <si>
    <t>Short</t>
  </si>
  <si>
    <t>9243_RI</t>
  </si>
  <si>
    <t>454.3333333333333</t>
  </si>
  <si>
    <t>461.93333333333334</t>
  </si>
  <si>
    <t>1485.4666666666667</t>
  </si>
  <si>
    <t>86.60291865728975</t>
  </si>
  <si>
    <t>16.39708134271025</t>
  </si>
  <si>
    <t>Hopper</t>
  </si>
  <si>
    <t>%P including %B... also %T and %M... not helped by %F... Starting in midfield</t>
  </si>
  <si>
    <t>14.466666666666667</t>
  </si>
  <si>
    <t>282.53333333333336</t>
  </si>
  <si>
    <t>1790.4666666666667</t>
  </si>
  <si>
    <t>109.66666666666667</t>
  </si>
  <si>
    <t>73.76468963363962</t>
  </si>
  <si>
    <t>44.23531036636038</t>
  </si>
  <si>
    <t>Taranto</t>
  </si>
  <si>
    <t>%P and %M plus %T... Starting in midfield on Young</t>
  </si>
  <si>
    <t>269.53333333333336</t>
  </si>
  <si>
    <t>1493.6666666666667</t>
  </si>
  <si>
    <t>1789.5333333333333</t>
  </si>
  <si>
    <t>74.94224262050821</t>
  </si>
  <si>
    <t>26.05775737949179</t>
  </si>
  <si>
    <t>Broad</t>
  </si>
  <si>
    <t>%P including %K... also %M and %T... In defence on Amiss</t>
  </si>
  <si>
    <t>91.46666666666667</t>
  </si>
  <si>
    <t>190.26666666666668</t>
  </si>
  <si>
    <t>59.511660034747976</t>
  </si>
  <si>
    <t>36.488339965252024</t>
  </si>
  <si>
    <t>Vlastuin</t>
  </si>
  <si>
    <t>Copped a coathanger across the nose from Voss in Q4 and did not return... %P and %M plus %T... aided by %4FF</t>
  </si>
  <si>
    <t>337.6666666666667</t>
  </si>
  <si>
    <t>1779.4666666666667</t>
  </si>
  <si>
    <t>61.84253453118012</t>
  </si>
  <si>
    <t>34.15746546881988</t>
  </si>
  <si>
    <t>%P including %K... also %M and %T... In defence</t>
  </si>
  <si>
    <t>355.6666666666667</t>
  </si>
  <si>
    <t>1497.9333333333334</t>
  </si>
  <si>
    <t>17.044412886659302</t>
  </si>
  <si>
    <t>34.13333333333333</t>
  </si>
  <si>
    <t>1786.4666666666667</t>
  </si>
  <si>
    <t>110.94246512904296</t>
  </si>
  <si>
    <t>14.057534870957042</t>
  </si>
  <si>
    <t>Kamdyn</t>
  </si>
  <si>
    <t>McIntosh</t>
  </si>
  <si>
    <t>Matched up on Serong... %P and %M plus %s... Doing jobs in midfield</t>
  </si>
  <si>
    <t>230.33333333333334</t>
  </si>
  <si>
    <t>48.65986869277724</t>
  </si>
  <si>
    <t>33.34013130722276</t>
  </si>
  <si>
    <t>Thomson</t>
  </si>
  <si>
    <t>%P including %B... also %M and %T... Rotating in midfield</t>
  </si>
  <si>
    <t>141.33333333333334</t>
  </si>
  <si>
    <t>164.06666666666666</t>
  </si>
  <si>
    <t>1467.9333333333334</t>
  </si>
  <si>
    <t>1815.1333333333334</t>
  </si>
  <si>
    <t>55.68166578278412</t>
  </si>
  <si>
    <t>11.318334217215877</t>
  </si>
  <si>
    <t>Hugo</t>
  </si>
  <si>
    <t>Ralphsmith</t>
  </si>
  <si>
    <t>%P and %M plus %T... Playing a wing role on Sharp</t>
  </si>
  <si>
    <t>58.70447593577081</t>
  </si>
  <si>
    <t>13.295524064229191</t>
  </si>
  <si>
    <t>Banks</t>
  </si>
  <si>
    <t>%M and %P... Running on the outside</t>
  </si>
  <si>
    <t>1802.8666666666666</t>
  </si>
  <si>
    <t>55.31108712668246</t>
  </si>
  <si>
    <t>10.688912873317541</t>
  </si>
  <si>
    <t>382.3333333333333</t>
  </si>
  <si>
    <t>1509.0666666666666</t>
  </si>
  <si>
    <t>58.605979107234134</t>
  </si>
  <si>
    <t>0.39402089276586594</t>
  </si>
  <si>
    <t>Sonsie</t>
  </si>
  <si>
    <t>184.73333333333332</t>
  </si>
  <si>
    <t>45.57037935341554</t>
  </si>
  <si>
    <t>1.4296206465844605</t>
  </si>
  <si>
    <t>cyclone</t>
  </si>
  <si>
    <t>%P including %K... also %M... In defence on Treacy</t>
  </si>
  <si>
    <t>87.86666666666666</t>
  </si>
  <si>
    <t>79.97951446390049</t>
  </si>
  <si>
    <t>Tom J.</t>
  </si>
  <si>
    <t>Subbed off at 3QT for Bauer... %s from %P and %M</t>
  </si>
  <si>
    <t>Up forward and has big Cox</t>
  </si>
  <si>
    <t>8.922666666666666</t>
  </si>
  <si>
    <t>0.9973333333333334</t>
  </si>
  <si>
    <t>144.33333333333334</t>
  </si>
  <si>
    <t>195.86666666666667</t>
  </si>
  <si>
    <t>1606.9333333333334</t>
  </si>
  <si>
    <t>1675.2666666666667</t>
  </si>
  <si>
    <t>70.17794813051133</t>
  </si>
  <si>
    <t>Maurice</t>
  </si>
  <si>
    <t>Rioli jnr</t>
  </si>
  <si>
    <t>First goal... %P and %s... Starting deep forward on Ryan</t>
  </si>
  <si>
    <t>1.0366666666666666</t>
  </si>
  <si>
    <t>128.53333333333333</t>
  </si>
  <si>
    <t>1471.6666666666667</t>
  </si>
  <si>
    <t>1771.3333333333333</t>
  </si>
  <si>
    <t>50.90094968141343</t>
  </si>
  <si>
    <t>Seth</t>
  </si>
  <si>
    <t>%s from %P... Rotating forward</t>
  </si>
  <si>
    <t>203.53333333333333</t>
  </si>
  <si>
    <t>1491.2666666666667</t>
  </si>
  <si>
    <t>58.87598389155922</t>
  </si>
  <si>
    <t>%P and %M plus %T... umps paid him %4FF</t>
  </si>
  <si>
    <t>9243_FR</t>
  </si>
  <si>
    <t>524.3333333333334</t>
  </si>
  <si>
    <t>1757.6666666666667</t>
  </si>
  <si>
    <t>102.82682914311758</t>
  </si>
  <si>
    <t>52.17317085688242</t>
  </si>
  <si>
    <t>Treacy</t>
  </si>
  <si>
    <t>Three goals in the first ten minutes of Q1 which was officially wharfie time... %s from %P and %M plus %T</t>
  </si>
  <si>
    <t>Playing key forward on Miller</t>
  </si>
  <si>
    <t>281.6666666666667</t>
  </si>
  <si>
    <t>82.70222806070629</t>
  </si>
  <si>
    <t>47.29777193929371</t>
  </si>
  <si>
    <t>Chapman</t>
  </si>
  <si>
    <t>387.3333333333333</t>
  </si>
  <si>
    <t>304.8666666666667</t>
  </si>
  <si>
    <t>73.22180365518713</t>
  </si>
  <si>
    <t>12.77819634481287</t>
  </si>
  <si>
    <t>Serong</t>
  </si>
  <si>
    <t>Matched up on McIntosh... %P and %M plus %T... helped out by %4FF</t>
  </si>
  <si>
    <t>116.66666666666667</t>
  </si>
  <si>
    <t>107.85719679529794</t>
  </si>
  <si>
    <t>tbone</t>
  </si>
  <si>
    <t>Matched up on Taranto... %P including %K... also %T and %M... and kicked %s</t>
  </si>
  <si>
    <t>93.75033044202019</t>
  </si>
  <si>
    <t>505.3333333333333</t>
  </si>
  <si>
    <t>402.1333333333333</t>
  </si>
  <si>
    <t>119.28665471321578</t>
  </si>
  <si>
    <t>Shai</t>
  </si>
  <si>
    <t>Bolton</t>
  </si>
  <si>
    <t>Left calf cramped badly in Q3 but returned for Q4... %P and %M plus %s</t>
  </si>
  <si>
    <t>292.46666666666664</t>
  </si>
  <si>
    <t>1711.5333333333333</t>
  </si>
  <si>
    <t>76.22604621675708</t>
  </si>
  <si>
    <t>12.773953783242916</t>
  </si>
  <si>
    <t>%P and %M... Starting on a wing against Ralphsmith</t>
  </si>
  <si>
    <t>278.6666666666667</t>
  </si>
  <si>
    <t>324.93333333333334</t>
  </si>
  <si>
    <t>66.24411752026266</t>
  </si>
  <si>
    <t>19.755882479737338</t>
  </si>
  <si>
    <t>239.66666666666666</t>
  </si>
  <si>
    <t>284.1333333333333</t>
  </si>
  <si>
    <t>53.403006558501765</t>
  </si>
  <si>
    <t>27.596993441498235</t>
  </si>
  <si>
    <t>Frederick</t>
  </si>
  <si>
    <t>%s from %P and %M plus %T... Running off a HFF</t>
  </si>
  <si>
    <t>327.3333333333333</t>
  </si>
  <si>
    <t>1664.9333333333334</t>
  </si>
  <si>
    <t>58.71213047599636</t>
  </si>
  <si>
    <t>11.28786952400364</t>
  </si>
  <si>
    <t>%P including %K... also %M and %T... and scored %s... Standing the first-gamer Faull</t>
  </si>
  <si>
    <t>58.24365936315416</t>
  </si>
  <si>
    <t>40.75634063684584</t>
  </si>
  <si>
    <t>Brennan</t>
  </si>
  <si>
    <t>%M and %P... Starting in defence on Lynch</t>
  </si>
  <si>
    <t>133.73333333333332</t>
  </si>
  <si>
    <t>59.321999159124196</t>
  </si>
  <si>
    <t>28.678000840875804</t>
  </si>
  <si>
    <t>Jaeger</t>
  </si>
  <si>
    <t>O'Meara</t>
  </si>
  <si>
    <t>%P and %T... Rotating midfield and forward</t>
  </si>
  <si>
    <t>231.66666666666666</t>
  </si>
  <si>
    <t>63.520353179692734</t>
  </si>
  <si>
    <t>26.479646820307266</t>
  </si>
  <si>
    <t>Left shoulder iced up at 3QT and subbed off for Dudley... %M and %P</t>
  </si>
  <si>
    <t>Rioli jnr carved him up early</t>
  </si>
  <si>
    <t>497.1333333333333</t>
  </si>
  <si>
    <t>%H... also %P and %T... First ruck with support from Jackson</t>
  </si>
  <si>
    <t>31.866666666666667</t>
  </si>
  <si>
    <t>1.3293333333333335</t>
  </si>
  <si>
    <t>1.8619999999999999</t>
  </si>
  <si>
    <t>1677.3333333333333</t>
  </si>
  <si>
    <t>98.48708799306294</t>
  </si>
  <si>
    <t>Banfield</t>
  </si>
  <si>
    <t>%P and %M... Started on a wing today</t>
  </si>
  <si>
    <t>59.380233136169025</t>
  </si>
  <si>
    <t>%P and %M... On Blight</t>
  </si>
  <si>
    <t>125.33333333333333</t>
  </si>
  <si>
    <t>1682.5333333333333</t>
  </si>
  <si>
    <t>42.497659346155096</t>
  </si>
  <si>
    <t>12.502340653844904</t>
  </si>
  <si>
    <t>Switkowski</t>
  </si>
  <si>
    <t>%P and %T... Starting forward</t>
  </si>
  <si>
    <t>211.06666666666666</t>
  </si>
  <si>
    <t>http://live.fanfooty.com.au/game/matchcentre.html?id=9244</t>
  </si>
  <si>
    <t>Mostly starting at half back on Darcy Jones... switched to mids in Q4</t>
  </si>
  <si>
    <t>9244_SK</t>
  </si>
  <si>
    <t>85.13333333333334</t>
  </si>
  <si>
    <t>1654.3333333333333</t>
  </si>
  <si>
    <t>1639.3333333333333</t>
  </si>
  <si>
    <t>1615.9333333333334</t>
  </si>
  <si>
    <t>129.33333333333334</t>
  </si>
  <si>
    <t>109.49467703856504</t>
  </si>
  <si>
    <t>Nasiah</t>
  </si>
  <si>
    <t>Wanganeen-Milera</t>
  </si>
  <si>
    <t>%P including %K... also %T and %M... and booted %s</t>
  </si>
  <si>
    <t>Loping from half back against Brown... switched to a wing in Q3</t>
  </si>
  <si>
    <t>566.6666666666666</t>
  </si>
  <si>
    <t>520.9333333333333</t>
  </si>
  <si>
    <t>1670.2666666666667</t>
  </si>
  <si>
    <t>100.23079707572973</t>
  </si>
  <si>
    <t>32.769202924270274</t>
  </si>
  <si>
    <t>Windhager</t>
  </si>
  <si>
    <t>%P and %M plus %T... Doing jobs in midfield... switched back in Q4 onto Brown</t>
  </si>
  <si>
    <t>1607.8666666666666</t>
  </si>
  <si>
    <t>92.21102602867205</t>
  </si>
  <si>
    <t>10.788973971327948</t>
  </si>
  <si>
    <t>Byrnes</t>
  </si>
  <si>
    <t>%P and %M plus %s... Playing a half back role</t>
  </si>
  <si>
    <t>299.46666666666664</t>
  </si>
  <si>
    <t>90.26316403762527</t>
  </si>
  <si>
    <t>0.7368359623747267</t>
  </si>
  <si>
    <t>Cooper</t>
  </si>
  <si>
    <t>Sharman</t>
  </si>
  <si>
    <t>%P including %K... also %M and %T... and scored %s... umps paid him %4FF... Playing forward on Buckley</t>
  </si>
  <si>
    <t>68.18685322556925</t>
  </si>
  <si>
    <t>23.81314677443075</t>
  </si>
  <si>
    <t>%P and %M plus %T... %s as well... Playing inside midfield mostly on Kelly</t>
  </si>
  <si>
    <t>242.66666666666666</t>
  </si>
  <si>
    <t>1626.0666666666666</t>
  </si>
  <si>
    <t>78.67346207789842</t>
  </si>
  <si>
    <t>1.3265379221015792</t>
  </si>
  <si>
    <t>%P including %K... also %M... and kicked %s... Playing a forward role on Himmelberg</t>
  </si>
  <si>
    <t>89.06666666666666</t>
  </si>
  <si>
    <t>326.73333333333335</t>
  </si>
  <si>
    <t>85.17511209186475</t>
  </si>
  <si>
    <t>5.824887908135253</t>
  </si>
  <si>
    <t>Rowan</t>
  </si>
  <si>
    <t>62.13333333333333</t>
  </si>
  <si>
    <t>184.33333333333334</t>
  </si>
  <si>
    <t>310.26666666666665</t>
  </si>
  <si>
    <t>108.5221120183739</t>
  </si>
  <si>
    <t>%P and %M plus %T... Starting on a wing against Wehr</t>
  </si>
  <si>
    <t>349.6666666666667</t>
  </si>
  <si>
    <t>66.82556181795326</t>
  </si>
  <si>
    <t>Bradley</t>
  </si>
  <si>
    <t>%P and %M plus %s... Playing a HFF role on Stone</t>
  </si>
  <si>
    <t>322.73333333333335</t>
  </si>
  <si>
    <t>70.23770565395307</t>
  </si>
  <si>
    <t>Wilkie</t>
  </si>
  <si>
    <t>%M and %P... In defence on Hogan</t>
  </si>
  <si>
    <t>99.86666666666666</t>
  </si>
  <si>
    <t>241.66666666666666</t>
  </si>
  <si>
    <t>268.8666666666667</t>
  </si>
  <si>
    <t>1615.7333333333333</t>
  </si>
  <si>
    <t>74.39418272008963</t>
  </si>
  <si>
    <t>9.605817279910369</t>
  </si>
  <si>
    <t>Macrae</t>
  </si>
  <si>
    <t>Tagged by Bedford... %P including %B... also %T</t>
  </si>
  <si>
    <t>1643.9333333333334</t>
  </si>
  <si>
    <t>87.30533540720154</t>
  </si>
  <si>
    <t>Stocker</t>
  </si>
  <si>
    <t>Big hit to his torso from the shoulder of Hogan in Q3... %M and %P</t>
  </si>
  <si>
    <t>168.86666666666667</t>
  </si>
  <si>
    <t>1636.1333333333334</t>
  </si>
  <si>
    <t>66.60395268178767</t>
  </si>
  <si>
    <t>2.396047318212325</t>
  </si>
  <si>
    <t>Caminiti</t>
  </si>
  <si>
    <t>package</t>
  </si>
  <si>
    <t>%P and %M... In defence on Stringer</t>
  </si>
  <si>
    <t>1639.5333333333333</t>
  </si>
  <si>
    <t>%s from %P and %M plus %T... Starting forward on Idun</t>
  </si>
  <si>
    <t>158.66666666666666</t>
  </si>
  <si>
    <t>160.73333333333332</t>
  </si>
  <si>
    <t>1632.5333333333333</t>
  </si>
  <si>
    <t>67.83511401886118</t>
  </si>
  <si>
    <t>Owens</t>
  </si>
  <si>
    <t>Had a shocker... %P and %M plus %T</t>
  </si>
  <si>
    <t>Rotating forward on Taylor with ruck support</t>
  </si>
  <si>
    <t>1605.1333333333334</t>
  </si>
  <si>
    <t>61.76007831056879</t>
  </si>
  <si>
    <t>Zak</t>
  </si>
  <si>
    <t>%P... Starting on a wing</t>
  </si>
  <si>
    <t>157.66666666666666</t>
  </si>
  <si>
    <t>1635.1333333333334</t>
  </si>
  <si>
    <t>61.37391383370276</t>
  </si>
  <si>
    <t>Webster</t>
  </si>
  <si>
    <t>tractor</t>
  </si>
  <si>
    <t>%M and %P... Starting in defence on Greene</t>
  </si>
  <si>
    <t>58.884737519512534</t>
  </si>
  <si>
    <t>Roaming from half back</t>
  </si>
  <si>
    <t>9244_WS</t>
  </si>
  <si>
    <t>615.3333333333334</t>
  </si>
  <si>
    <t>1808.3333333333333</t>
  </si>
  <si>
    <t>1480.6666666666667</t>
  </si>
  <si>
    <t>1548.7333333333333</t>
  </si>
  <si>
    <t>42.154845189995896</t>
  </si>
  <si>
    <t>Matched up on Garcia... %P and %M plus %T... aided by %4FF</t>
  </si>
  <si>
    <t>410.6666666666667</t>
  </si>
  <si>
    <t>1738.4666666666667</t>
  </si>
  <si>
    <t>96.79929875210192</t>
  </si>
  <si>
    <t>16.20070124789808</t>
  </si>
  <si>
    <t>Callan</t>
  </si>
  <si>
    <t>Ward</t>
  </si>
  <si>
    <t>Big hit to the torso by Windhanger in a marking contest late in Q2... %P and %M plus %T... %s as well</t>
  </si>
  <si>
    <t>Starting on a wing against Byrnes</t>
  </si>
  <si>
    <t>254.13333333333333</t>
  </si>
  <si>
    <t>1753.8666666666666</t>
  </si>
  <si>
    <t>80.99904482306638</t>
  </si>
  <si>
    <t>24.000955176933616</t>
  </si>
  <si>
    <t>Greene</t>
  </si>
  <si>
    <t>First goal and three in Q3 as the Giants put the game to bed... %s from %P and %M plus %T</t>
  </si>
  <si>
    <t>Starting on a HFF on Webster</t>
  </si>
  <si>
    <t>436.6666666666667</t>
  </si>
  <si>
    <t>328.93333333333334</t>
  </si>
  <si>
    <t>1536.1333333333334</t>
  </si>
  <si>
    <t>Wehr</t>
  </si>
  <si>
    <t>Slam tackle on Wilson in Q3 will be assessed... %P and %M plus %T... %s as well</t>
  </si>
  <si>
    <t>Starting on a wing against Wilson</t>
  </si>
  <si>
    <t>292.1333333333333</t>
  </si>
  <si>
    <t>1717.9333333333334</t>
  </si>
  <si>
    <t>50.87330488329088</t>
  </si>
  <si>
    <t>46.12669511670912</t>
  </si>
  <si>
    <t>bluey</t>
  </si>
  <si>
    <t>%P and %M plus %T... Playing midfield mostly matched up on Steele</t>
  </si>
  <si>
    <t>308.6666666666667</t>
  </si>
  <si>
    <t>385.93333333333334</t>
  </si>
  <si>
    <t>99.64293472537297</t>
  </si>
  <si>
    <t>15.357065274627033</t>
  </si>
  <si>
    <t>Briggs</t>
  </si>
  <si>
    <t>%H... also %P and %T... In ruck</t>
  </si>
  <si>
    <t>1747.0666666666666</t>
  </si>
  <si>
    <t>97.93013648598571</t>
  </si>
  <si>
    <t>Whitfield</t>
  </si>
  <si>
    <t>587.3333333333334</t>
  </si>
  <si>
    <t>501.53333333333336</t>
  </si>
  <si>
    <t>129.60775950761177</t>
  </si>
  <si>
    <t>Finn</t>
  </si>
  <si>
    <t>Callaghan</t>
  </si>
  <si>
    <t>%P and %M plus %T... %s as well... Running through midfield</t>
  </si>
  <si>
    <t>565.3333333333334</t>
  </si>
  <si>
    <t>440.8666666666667</t>
  </si>
  <si>
    <t>69.74416515203868</t>
  </si>
  <si>
    <t>12.255834847961324</t>
  </si>
  <si>
    <t>%M and %P... At CHB on Owens</t>
  </si>
  <si>
    <t>175.66666666666666</t>
  </si>
  <si>
    <t>1723.2666666666667</t>
  </si>
  <si>
    <t>1564.3333333333333</t>
  </si>
  <si>
    <t>61.32031685798029</t>
  </si>
  <si>
    <t>7.679683142019712</t>
  </si>
  <si>
    <t>%P and %M plus %T... At FB on Sharman</t>
  </si>
  <si>
    <t>93.53333333333333</t>
  </si>
  <si>
    <t>59.076092509033465</t>
  </si>
  <si>
    <t>26.923907490966535</t>
  </si>
  <si>
    <t>Cadman</t>
  </si>
  <si>
    <t>%s from %P and %M plus %T... Playing key forward on Stocker with ruck support</t>
  </si>
  <si>
    <t>143.26666666666668</t>
  </si>
  <si>
    <t>55.864805518696905</t>
  </si>
  <si>
    <t>4.135194481303095</t>
  </si>
  <si>
    <t>Idun</t>
  </si>
  <si>
    <t>%P and %M plus %T... Minding Higgins</t>
  </si>
  <si>
    <t>238.66666666666666</t>
  </si>
  <si>
    <t>106.2764360533383</t>
  </si>
  <si>
    <t>wood</t>
  </si>
  <si>
    <t>%P and %M plus %T... In defence and has Wood</t>
  </si>
  <si>
    <t>378.06666666666666</t>
  </si>
  <si>
    <t>%P and %M plus %T... %s as well... Starting forward</t>
  </si>
  <si>
    <t>57.12550127877091</t>
  </si>
  <si>
    <t>24.874498721229088</t>
  </si>
  <si>
    <t>Callum M.</t>
  </si>
  <si>
    <t>windhager</t>
  </si>
  <si>
    <t>%P and %M plus %s... In attack on Wanganeen-Milera then got Windhager in Q4</t>
  </si>
  <si>
    <t>1526.1333333333334</t>
  </si>
  <si>
    <t>71.89404245599579</t>
  </si>
  <si>
    <t>9.105957544004212</t>
  </si>
  <si>
    <t>Riccardi</t>
  </si>
  <si>
    <t>%s from %P and %M plus %T... Playing a forward/ruck role</t>
  </si>
  <si>
    <t>184.46666666666667</t>
  </si>
  <si>
    <t>1406.3333333333333</t>
  </si>
  <si>
    <t>69.27218244943785</t>
  </si>
  <si>
    <t>Stringer</t>
  </si>
  <si>
    <t>%s from %P and %M plus %T... umps paid him %4FF... Starting forward on Caminiti with some centre rotations</t>
  </si>
  <si>
    <t>68.09104638383825</t>
  </si>
  <si>
    <t>Hogan</t>
  </si>
  <si>
    <t>%s from %P and %M... Starting at FF on Wilkie</t>
  </si>
  <si>
    <t>1739.4666666666667</t>
  </si>
  <si>
    <t>1546.9333333333334</t>
  </si>
  <si>
    <t>83.29742055451919</t>
  </si>
  <si>
    <t>Bedford</t>
  </si>
  <si>
    <t>%P including %B... also %T... Tagging Macrae</t>
  </si>
  <si>
    <t>77.86661257348602</t>
  </si>
  <si>
    <t>http://live.fanfooty.com.au/game/matchcentre.html?id=9245</t>
  </si>
  <si>
    <t>Rozee</t>
  </si>
  <si>
    <t>9245_PA</t>
  </si>
  <si>
    <t>87.38693424301772</t>
  </si>
  <si>
    <t>49.61306575698228</t>
  </si>
  <si>
    <t>Butters</t>
  </si>
  <si>
    <t>Copped the Maginness tag in Q3 after winning the game before HT... %P and %M plus %T</t>
  </si>
  <si>
    <t>finn</t>
  </si>
  <si>
    <t>In midfield</t>
  </si>
  <si>
    <t>373.3333333333333</t>
  </si>
  <si>
    <t>105.2942816859638</t>
  </si>
  <si>
    <t>29.705718314036204</t>
  </si>
  <si>
    <t>Horne-Francis</t>
  </si>
  <si>
    <t>%P including %K... also %M and %T... and booted %s... umps paid him %4FF</t>
  </si>
  <si>
    <t>14.933333333333334</t>
  </si>
  <si>
    <t>414.6666666666667</t>
  </si>
  <si>
    <t>363.73333333333335</t>
  </si>
  <si>
    <t>95.01921247561349</t>
  </si>
  <si>
    <t>23.980787524386514</t>
  </si>
  <si>
    <t>Sweet</t>
  </si>
  <si>
    <t>%H... also %P and %T... not helped by %F... Playing ruck</t>
  </si>
  <si>
    <t>94.35262552682435</t>
  </si>
  <si>
    <t>19.647374473175645</t>
  </si>
  <si>
    <t>Jase</t>
  </si>
  <si>
    <t>342.6666666666667</t>
  </si>
  <si>
    <t>82.99364713475698</t>
  </si>
  <si>
    <t>Willem</t>
  </si>
  <si>
    <t>duke</t>
  </si>
  <si>
    <t>%P and %T plus %s... Tagging Newcombe</t>
  </si>
  <si>
    <t>101.30529911948028</t>
  </si>
  <si>
    <t>7.694700880519719</t>
  </si>
  <si>
    <t>Ollie</t>
  </si>
  <si>
    <t>Wines</t>
  </si>
  <si>
    <t>%P including %B... also %T and %M... and booted %s... gave away %F... Playing inside midfield</t>
  </si>
  <si>
    <t>275.1333333333333</t>
  </si>
  <si>
    <t>78.19215662593643</t>
  </si>
  <si>
    <t>Georgiades</t>
  </si>
  <si>
    <t>%s from %P and %M plus %T... Playing key forward on Battle</t>
  </si>
  <si>
    <t>279.3333333333333</t>
  </si>
  <si>
    <t>211.13333333333333</t>
  </si>
  <si>
    <t>1672.0666666666666</t>
  </si>
  <si>
    <t>73.97671588423367</t>
  </si>
  <si>
    <t>Powell-Pepper</t>
  </si>
  <si>
    <t>%s from %P and %M plus %T... Playing a forward role on Sicily then got Maginness in Q2</t>
  </si>
  <si>
    <t>272.3333333333333</t>
  </si>
  <si>
    <t>223.26666666666668</t>
  </si>
  <si>
    <t>64.10228229899607</t>
  </si>
  <si>
    <t>36.89771770100393</t>
  </si>
  <si>
    <t>Willie</t>
  </si>
  <si>
    <t>%s from %P and %M plus %T... Starting forward on Weddle</t>
  </si>
  <si>
    <t>1676.9333333333334</t>
  </si>
  <si>
    <t>9.148137908528597</t>
  </si>
  <si>
    <t>Farrell</t>
  </si>
  <si>
    <t>%P including %K... also %M and %T... Playing a HBF role</t>
  </si>
  <si>
    <t>488.6666666666667</t>
  </si>
  <si>
    <t>487.73333333333335</t>
  </si>
  <si>
    <t>1695.7333333333333</t>
  </si>
  <si>
    <t>1589.4666666666667</t>
  </si>
  <si>
    <t>101.63201370356752</t>
  </si>
  <si>
    <t>%P and %M... Playing a half back role... moved to Gunston in Q3 to cover injury to Bergman</t>
  </si>
  <si>
    <t>161.86666666666667</t>
  </si>
  <si>
    <t>1698.1333333333334</t>
  </si>
  <si>
    <t>1446.6666666666667</t>
  </si>
  <si>
    <t>51.05485259477287</t>
  </si>
  <si>
    <t>21.945147405227132</t>
  </si>
  <si>
    <t>Mead</t>
  </si>
  <si>
    <t>%P and %s... Started in midfield then rotated forward</t>
  </si>
  <si>
    <t>70.22407385847812</t>
  </si>
  <si>
    <t>7.775926141521879</t>
  </si>
  <si>
    <t>Boak</t>
  </si>
  <si>
    <t>%P and %M... Playing a wing role on D'Ambrosio</t>
  </si>
  <si>
    <t>307.6666666666667</t>
  </si>
  <si>
    <t>1798.6666666666667</t>
  </si>
  <si>
    <t>78.30697912797501</t>
  </si>
  <si>
    <t>Aliir</t>
  </si>
  <si>
    <t>twophones</t>
  </si>
  <si>
    <t>%M and %P... In defence on Chol</t>
  </si>
  <si>
    <t>Bergman</t>
  </si>
  <si>
    <t>Left knee knock in a contest with Sicily in Q2 and eventually subbed off with it in Q3... %P including %B... also %M and %T... and booted %s</t>
  </si>
  <si>
    <t>Responsible for Gunston then got Sicily in Q2 and Hardwick in Q3</t>
  </si>
  <si>
    <t>411.3333333333333</t>
  </si>
  <si>
    <t>62.731906492281965</t>
  </si>
  <si>
    <t>Lord</t>
  </si>
  <si>
    <t>%P and %M plus %s... Playing key forward on Barrass</t>
  </si>
  <si>
    <t>1755.6666666666667</t>
  </si>
  <si>
    <t>1529.6666666666667</t>
  </si>
  <si>
    <t>1634.5333333333333</t>
  </si>
  <si>
    <t>53.81649555525816</t>
  </si>
  <si>
    <t>Esava</t>
  </si>
  <si>
    <t>Ratugolea</t>
  </si>
  <si>
    <t>%P and %M... In defence on Hardwick</t>
  </si>
  <si>
    <t>141.13333333333333</t>
  </si>
  <si>
    <t>50.56819065393523</t>
  </si>
  <si>
    <t>13.431809346064767</t>
  </si>
  <si>
    <t>Jai</t>
  </si>
  <si>
    <t>Newcombe</t>
  </si>
  <si>
    <t>Tagged by Drew... %P and %M plus %T... %s as well... umps paid him %4FF</t>
  </si>
  <si>
    <t>9245_HW</t>
  </si>
  <si>
    <t>103.70476981739517</t>
  </si>
  <si>
    <t>0.2952301826048256</t>
  </si>
  <si>
    <t>Meek</t>
  </si>
  <si>
    <t>%H... also %P and %T... and booted %s... umps paid him %4FF</t>
  </si>
  <si>
    <t>32.666666666666664</t>
  </si>
  <si>
    <t>36.13333333333333</t>
  </si>
  <si>
    <t>94.74454190697179</t>
  </si>
  <si>
    <t>10.25545809302821</t>
  </si>
  <si>
    <t>Gunston</t>
  </si>
  <si>
    <t>Starting forward on Bergman then got Jones in Q3</t>
  </si>
  <si>
    <t>208.26666666666668</t>
  </si>
  <si>
    <t>1722.9333333333334</t>
  </si>
  <si>
    <t>64.85965534139432</t>
  </si>
  <si>
    <t>28.140344658605684</t>
  </si>
  <si>
    <t>Sicily</t>
  </si>
  <si>
    <t>In defence on Powell-Pepper... switched forward onto Bergman in Q2</t>
  </si>
  <si>
    <t>353.3333333333333</t>
  </si>
  <si>
    <t>1765.6666666666667</t>
  </si>
  <si>
    <t>1518.2666666666667</t>
  </si>
  <si>
    <t>93.28205308634897</t>
  </si>
  <si>
    <t>8.717946913651033</t>
  </si>
  <si>
    <t>%P and %T... Mostly on ball with rotations forward</t>
  </si>
  <si>
    <t>296.1333333333333</t>
  </si>
  <si>
    <t>95.63698194449638</t>
  </si>
  <si>
    <t>5.363018055503616</t>
  </si>
  <si>
    <t>Karl</t>
  </si>
  <si>
    <t>Amon</t>
  </si>
  <si>
    <t>552.2666666666667</t>
  </si>
  <si>
    <t>110.13044015742159</t>
  </si>
  <si>
    <t>Worpel</t>
  </si>
  <si>
    <t>Limped off late in Q4 favouring left side... %P and %M plus %T... %s as well</t>
  </si>
  <si>
    <t>88.68763152449527</t>
  </si>
  <si>
    <t>Weddle</t>
  </si>
  <si>
    <t>%P and %M plus %T... In defence on Rioli</t>
  </si>
  <si>
    <t>255.33333333333334</t>
  </si>
  <si>
    <t>261.06666666666666</t>
  </si>
  <si>
    <t>97.64650599461244</t>
  </si>
  <si>
    <t>Massimo</t>
  </si>
  <si>
    <t>D'Ambrosio</t>
  </si>
  <si>
    <t>%P and %M plus %s... Starting on a wing on Boak</t>
  </si>
  <si>
    <t>343.06666666666666</t>
  </si>
  <si>
    <t>Battle</t>
  </si>
  <si>
    <t>%P and %M plus %T... Standing Georgiades</t>
  </si>
  <si>
    <t>342.3333333333333</t>
  </si>
  <si>
    <t>283.93333333333334</t>
  </si>
  <si>
    <t>9.519847398518806</t>
  </si>
  <si>
    <t>Morrison</t>
  </si>
  <si>
    <t>%P and %M plus %T... Rotating as third wingman</t>
  </si>
  <si>
    <t>1716.8666666666666</t>
  </si>
  <si>
    <t>1567.4666666666667</t>
  </si>
  <si>
    <t>63.49090129260614</t>
  </si>
  <si>
    <t>Barrass</t>
  </si>
  <si>
    <t>%P including %K... also %M... At FB on Lord</t>
  </si>
  <si>
    <t>91.93333333333334</t>
  </si>
  <si>
    <t>199.86666666666667</t>
  </si>
  <si>
    <t>1737.2666666666667</t>
  </si>
  <si>
    <t>63.12441129310441</t>
  </si>
  <si>
    <t>11.875588706895591</t>
  </si>
  <si>
    <t>%P and %T... Moslty in the centre with some appearances on a wing</t>
  </si>
  <si>
    <t>58.87081083951557</t>
  </si>
  <si>
    <t>5.1291891604844295</t>
  </si>
  <si>
    <t>Changkuoth</t>
  </si>
  <si>
    <t>Jiath</t>
  </si>
  <si>
    <t>1.5193333333333334</t>
  </si>
  <si>
    <t>1.2179999999999997</t>
  </si>
  <si>
    <t>237.53333333333333</t>
  </si>
  <si>
    <t>1675.8666666666666</t>
  </si>
  <si>
    <t>90.19755542230195</t>
  </si>
  <si>
    <t>%P... Playing inside midfield</t>
  </si>
  <si>
    <t>396.6666666666667</t>
  </si>
  <si>
    <t>297.93333333333334</t>
  </si>
  <si>
    <t>1663.0666666666666</t>
  </si>
  <si>
    <t>55.34048212273854</t>
  </si>
  <si>
    <t>Breust</t>
  </si>
  <si>
    <t>On after HT for Nash... %s from %P and %T</t>
  </si>
  <si>
    <t>44.266666666666666</t>
  </si>
  <si>
    <t>125.93333333333334</t>
  </si>
  <si>
    <t>47.59380827062478</t>
  </si>
  <si>
    <t>Jarman</t>
  </si>
  <si>
    <t>Impey</t>
  </si>
  <si>
    <t>Just had no room to move... %M and %P</t>
  </si>
  <si>
    <t>67.11953992756803</t>
  </si>
  <si>
    <t>Never in the game at any stage... %P and %T</t>
  </si>
  <si>
    <t>354.3333333333333</t>
  </si>
  <si>
    <t>235.86666666666667</t>
  </si>
  <si>
    <t>74.03683233564348</t>
  </si>
  <si>
    <t>Maginness</t>
  </si>
  <si>
    <t>%P including %B... also %M and %T... and kicked %s... Playing a forward role... switched back onto Powell-Pepper in Q2</t>
  </si>
  <si>
    <t>265.3333333333333</t>
  </si>
  <si>
    <t>232.73333333333332</t>
  </si>
  <si>
    <t>76.31442369454126</t>
  </si>
  <si>
    <t>Hardwick</t>
  </si>
  <si>
    <t>%P including %K... also %M... In attack on Ratugolea but spent a lot of time switching back to stem the teal flood</t>
  </si>
  <si>
    <t>87.53483054973005</t>
  </si>
  <si>
    <t>Ginnivan</t>
  </si>
  <si>
    <t>%P... Playing a forward role</t>
  </si>
  <si>
    <t>1512.5333333333333</t>
  </si>
  <si>
    <t>Mabior</t>
  </si>
  <si>
    <t>Chol</t>
  </si>
  <si>
    <t>Having a very poor year... %s from %P and %T</t>
  </si>
  <si>
    <t>Playing a forward/ruck role on Aliir</t>
  </si>
  <si>
    <t>180.86666666666667</t>
  </si>
  <si>
    <t>62.68386606963305</t>
  </si>
  <si>
    <t>Column1</t>
  </si>
  <si>
    <t>player_id</t>
  </si>
  <si>
    <t>trade_status</t>
  </si>
  <si>
    <t>user_team_id</t>
  </si>
  <si>
    <t>waiver_until</t>
  </si>
  <si>
    <t>feed_id</t>
  </si>
  <si>
    <t>first_name</t>
  </si>
  <si>
    <t>last_name</t>
  </si>
  <si>
    <t>team</t>
  </si>
  <si>
    <t>position</t>
  </si>
  <si>
    <t>round</t>
  </si>
  <si>
    <t>points</t>
  </si>
  <si>
    <t>price</t>
  </si>
  <si>
    <t>total_points</t>
  </si>
  <si>
    <t>games</t>
  </si>
  <si>
    <t>total_games</t>
  </si>
  <si>
    <t>price_change</t>
  </si>
  <si>
    <t>total_price_change</t>
  </si>
  <si>
    <t>last_position</t>
  </si>
  <si>
    <t>round_position</t>
  </si>
  <si>
    <t>minutes_played</t>
  </si>
  <si>
    <t>total_minutes_played</t>
  </si>
  <si>
    <t>updated_at</t>
  </si>
  <si>
    <t>kicks</t>
  </si>
  <si>
    <t>total_kicks</t>
  </si>
  <si>
    <t>handballs</t>
  </si>
  <si>
    <t>total_handballs</t>
  </si>
  <si>
    <t>marks</t>
  </si>
  <si>
    <t>total_marks</t>
  </si>
  <si>
    <t>tackles</t>
  </si>
  <si>
    <t>total_tackles</t>
  </si>
  <si>
    <t>freekicks_for</t>
  </si>
  <si>
    <t>total_freekicks_for</t>
  </si>
  <si>
    <t>freekicks_against</t>
  </si>
  <si>
    <t>total_freekicks_against</t>
  </si>
  <si>
    <t>hitouts</t>
  </si>
  <si>
    <t>total_hitouts</t>
  </si>
  <si>
    <t>goals</t>
  </si>
  <si>
    <t>total_goals</t>
  </si>
  <si>
    <t>behinds</t>
  </si>
  <si>
    <t>total_behinds</t>
  </si>
  <si>
    <t>avg5</t>
  </si>
  <si>
    <t>own_raw</t>
  </si>
  <si>
    <t>avg</t>
  </si>
  <si>
    <t>avg3</t>
  </si>
  <si>
    <t>opp</t>
  </si>
  <si>
    <t>oppavg</t>
  </si>
  <si>
    <t>opph</t>
  </si>
  <si>
    <t>opp1</t>
  </si>
  <si>
    <t>opp1h</t>
  </si>
  <si>
    <t>opp2</t>
  </si>
  <si>
    <t>opp2h</t>
  </si>
  <si>
    <t>opp3</t>
  </si>
  <si>
    <t>opp3h</t>
  </si>
  <si>
    <t>ven</t>
  </si>
  <si>
    <t>venavg</t>
  </si>
  <si>
    <t>ven1</t>
  </si>
  <si>
    <t>ven2</t>
  </si>
  <si>
    <t>ven3</t>
  </si>
  <si>
    <t>owned</t>
  </si>
  <si>
    <t>points_per_min</t>
  </si>
  <si>
    <t>total_points_per_min</t>
  </si>
  <si>
    <t>mvp_value</t>
  </si>
  <si>
    <t>position_change</t>
  </si>
  <si>
    <t>free_agent</t>
  </si>
  <si>
    <t>SYD</t>
  </si>
  <si>
    <t>2025-04-13T12:26:16+10:00</t>
  </si>
  <si>
    <t>PTA</t>
  </si>
  <si>
    <t>{'id': 17, 'abbrev': 'GCS', 'name': 'Gold Coast'}</t>
  </si>
  <si>
    <t>{'id': 18, 'abbrev': 'GWS', 'name': 'GWS Giants'}</t>
  </si>
  <si>
    <t>{'id': 5, 'abbrev': 'ESS', 'name': 'Essendon'}</t>
  </si>
  <si>
    <t>Sydney Cricket Ground</t>
  </si>
  <si>
    <t>{'id': 5, 'name': 'Carrara Stadium', 'display_name': 'People First Stadium', 'short_name': 'People First', 'abbrev': 'PFS'}</t>
  </si>
  <si>
    <t>{'id': 16, 'name': 'Sydney Cricket Ground', 'display_name': 'SCG', 'short_name': 'SCG', 'abbrev': 'SCG'}</t>
  </si>
  <si>
    <t>{'id': 7, 'name': 'Docklands Stadium', 'display_name': 'Marvel Stadium', 'short_name': 'Marvel', 'abbrev': 'MARV'}</t>
  </si>
  <si>
    <t>WCE</t>
  </si>
  <si>
    <t>2025-04-13T12:26:17+10:00</t>
  </si>
  <si>
    <t>ESS</t>
  </si>
  <si>
    <t>{'id': 8, 'abbrev': 'HAW', 'name': 'Hawthorn'}</t>
  </si>
  <si>
    <t>{'id': 10, 'abbrev': 'MEL', 'name': 'Melbourne'}</t>
  </si>
  <si>
    <t>{'id': 12, 'abbrev': 'RIC', 'name': 'Richmond'}</t>
  </si>
  <si>
    <t>Perth Stadium</t>
  </si>
  <si>
    <t>{'id': 53, 'name': 'Perth Stadium', 'display_name': 'Optus Stadium', 'short_name': 'Optus', 'abbrev': 'OS'}</t>
  </si>
  <si>
    <t>{'id': 13, 'name': 'Melbourne Cricket Ground', 'display_name': 'MCG', 'short_name': 'MCG', 'abbrev': 'MCG'}</t>
  </si>
  <si>
    <t>CAR</t>
  </si>
  <si>
    <t>2025-04-13T12:26:15+10:00</t>
  </si>
  <si>
    <t>NTH</t>
  </si>
  <si>
    <t>{'id': 7, 'abbrev': 'GEE', 'name': 'Geelong'}</t>
  </si>
  <si>
    <t>{'id': 1, 'abbrev': 'ADE', 'name': 'Adelaide'}</t>
  </si>
  <si>
    <t>{'id': 13, 'abbrev': 'STK', 'name': 'St Kilda'}</t>
  </si>
  <si>
    <t>Docklands Stadium</t>
  </si>
  <si>
    <t>{'id': 1, 'name': 'Adelaide Oval', 'display_name': 'Adelaide Oval', 'short_name': 'Adelaide', 'abbrev': 'AO'}</t>
  </si>
  <si>
    <t>waiver</t>
  </si>
  <si>
    <t>2025-04-17T04:00:00+10:00</t>
  </si>
  <si>
    <t>2025-04-13T12:26:13+10:00</t>
  </si>
  <si>
    <t>0.7326732673267327</t>
  </si>
  <si>
    <t>6252.7027027027025</t>
  </si>
  <si>
    <t>0.5576470588235294</t>
  </si>
  <si>
    <t>6529.957805907173</t>
  </si>
  <si>
    <t>HAW</t>
  </si>
  <si>
    <t>2025-04-13T12:26:12+10:00</t>
  </si>
  <si>
    <t>GEE</t>
  </si>
  <si>
    <t>{'id': 16, 'abbrev': 'WCE', 'name': 'West Coast'}</t>
  </si>
  <si>
    <t>Melbourne Cricket Ground</t>
  </si>
  <si>
    <t>1.0253807106598984</t>
  </si>
  <si>
    <t>4791.089108910891</t>
  </si>
  <si>
    <t>0.7682403433476395</t>
  </si>
  <si>
    <t>5783.519553072626</t>
  </si>
  <si>
    <t>GCS</t>
  </si>
  <si>
    <t>RIC</t>
  </si>
  <si>
    <t>{'id': 14, 'abbrev': 'SYD', 'name': 'Sydney'}</t>
  </si>
  <si>
    <t>{'id': 2, 'abbrev': 'BRL', 'name': 'Brisbane'}</t>
  </si>
  <si>
    <t>{'id': 15, 'abbrev': 'WBD', 'name': 'Western Bulldogs'}</t>
  </si>
  <si>
    <t>{'id': 4, 'name': 'Brisbane Cricket Ground', 'display_name': 'Gabba', 'short_name': 'Gabba', 'abbrev': 'G'}</t>
  </si>
  <si>
    <t>{'id': 12, 'name': 'Marrara Oval', 'display_name': 'TIO Stadium', 'short_name': 'TIO', 'abbrev': 'TIO'}</t>
  </si>
  <si>
    <t>0.5894039735099338</t>
  </si>
  <si>
    <t>{'id': 11, 'abbrev': 'PTA', 'name': 'Port Adelaide'}</t>
  </si>
  <si>
    <t>{'id': 226, 'name': 'Ninja Stadium', 'display_name': 'Ninja Stadium', 'short_name': 'Ninja', 'abbrev': 'NIN'}</t>
  </si>
  <si>
    <t>0.6036960985626283</t>
  </si>
  <si>
    <t>6452.380952380952</t>
  </si>
  <si>
    <t>MEL</t>
  </si>
  <si>
    <t>FRE</t>
  </si>
  <si>
    <t>0.6749482401656315</t>
  </si>
  <si>
    <t>5924.846625766871</t>
  </si>
  <si>
    <t>2025-04-13T12:26:14+10:00</t>
  </si>
  <si>
    <t>0.6285714285714286</t>
  </si>
  <si>
    <t>10618.181818181818</t>
  </si>
  <si>
    <t>0.6863543788187373</t>
  </si>
  <si>
    <t>5847.181008902076</t>
  </si>
  <si>
    <t>Moyle</t>
  </si>
  <si>
    <t>ADE</t>
  </si>
  <si>
    <t>GWS</t>
  </si>
  <si>
    <t>{'id': 6, 'abbrev': 'FRE', 'name': 'Fremantle'}</t>
  </si>
  <si>
    <t>{'id': 3, 'abbrev': 'CAR', 'name': 'Carlton'}</t>
  </si>
  <si>
    <t>Adelaide Oval</t>
  </si>
  <si>
    <t>0.5138339920948617</t>
  </si>
  <si>
    <t>0.6838365896980462</t>
  </si>
  <si>
    <t>5232.467532467533</t>
  </si>
  <si>
    <t>0.6026711185308848</t>
  </si>
  <si>
    <t>5777.008310249307</t>
  </si>
  <si>
    <t>6074.829931972789</t>
  </si>
  <si>
    <t>0.5267175572519084</t>
  </si>
  <si>
    <t>6766.304347826087</t>
  </si>
  <si>
    <t>BRL</t>
  </si>
  <si>
    <t>COL</t>
  </si>
  <si>
    <t>{'id': 9, 'abbrev': 'NTH', 'name': 'North Melbourne'}</t>
  </si>
  <si>
    <t>Brisbane Cricket Ground</t>
  </si>
  <si>
    <t>0.5960912052117264</t>
  </si>
  <si>
    <t>5797.814207650273</t>
  </si>
  <si>
    <t>{'id': 4, 'abbrev': 'COL', 'name': 'Collingwood'}</t>
  </si>
  <si>
    <t>{'id': 10, 'name': 'Kardinia Park', 'display_name': 'GMHBA Stadium', 'short_name': 'GMHBA', 'abbrev': 'GMS'}</t>
  </si>
  <si>
    <t>0.7642105263157895</t>
  </si>
  <si>
    <t>5622.589531680441</t>
  </si>
  <si>
    <t>{'id': 55, 'name': 'Eureka Stadium', 'display_name': 'Mars Stadium', 'short_name': 'Mars', 'abbrev': 'MARS'}</t>
  </si>
  <si>
    <t>12797.142857142857</t>
  </si>
  <si>
    <t>0.5141242937853108</t>
  </si>
  <si>
    <t>9841.758241758242</t>
  </si>
  <si>
    <t>0.7174311926605504</t>
  </si>
  <si>
    <t>5502.557544757033</t>
  </si>
  <si>
    <t>0.7649769585253456</t>
  </si>
  <si>
    <t>0.9701492537313433</t>
  </si>
  <si>
    <t>6796.923076923077</t>
  </si>
  <si>
    <t>0.5852713178294574</t>
  </si>
  <si>
    <t>6359.271523178808</t>
  </si>
  <si>
    <t>0.5064102564102564</t>
  </si>
  <si>
    <t>{'id': 11, 'name': 'Manuka Oval', 'display_name': 'Manuka Oval', 'short_name': 'Manuka', 'abbrev': 'MO'}</t>
  </si>
  <si>
    <t>0.5880503144654088</t>
  </si>
  <si>
    <t>WBD</t>
  </si>
  <si>
    <t>STK</t>
  </si>
  <si>
    <t>0.26804123711340205</t>
  </si>
  <si>
    <t>16419.23076923077</t>
  </si>
  <si>
    <t>0.5510204081632653</t>
  </si>
  <si>
    <t>5765.925925925926</t>
  </si>
  <si>
    <t>0.6540642722117203</t>
  </si>
  <si>
    <t>5539.017341040462</t>
  </si>
  <si>
    <t>7966.037735849057</t>
  </si>
  <si>
    <t>0.8236714975845411</t>
  </si>
  <si>
    <t>4958.357771260997</t>
  </si>
  <si>
    <t>0.7120622568093385</t>
  </si>
  <si>
    <t>5515.027322404371</t>
  </si>
  <si>
    <t>0.6014109347442681</t>
  </si>
  <si>
    <t>5451.612903225806</t>
  </si>
  <si>
    <t>0.4943089430894309</t>
  </si>
  <si>
    <t>5337.171052631579</t>
  </si>
  <si>
    <t>0.7367387033398821</t>
  </si>
  <si>
    <t>5189.333333333333</t>
  </si>
  <si>
    <t>0.6842105263157895</t>
  </si>
  <si>
    <t>4866.096866096866</t>
  </si>
  <si>
    <t>0.45774647887323944</t>
  </si>
  <si>
    <t>12815.384615384615</t>
  </si>
  <si>
    <t>0.7022058823529411</t>
  </si>
  <si>
    <t>5395.287958115183</t>
  </si>
  <si>
    <t>0.6233766233766234</t>
  </si>
  <si>
    <t>17166.666666666668</t>
  </si>
  <si>
    <t>0.7863436123348018</t>
  </si>
  <si>
    <t>5315.126050420167</t>
  </si>
  <si>
    <t>5284.848484848485</t>
  </si>
  <si>
    <t>0.5264957264957265</t>
  </si>
  <si>
    <t>0.6876122082585279</t>
  </si>
  <si>
    <t>5002.610966057442</t>
  </si>
  <si>
    <t>0.6509598603839442</t>
  </si>
  <si>
    <t>5583.109919571046</t>
  </si>
  <si>
    <t>0.5757097791798107</t>
  </si>
  <si>
    <t>5249.315068493151</t>
  </si>
  <si>
    <t>Mannagh</t>
  </si>
  <si>
    <t>0.6395939086294417</t>
  </si>
  <si>
    <t>6431.746031746032</t>
  </si>
  <si>
    <t>0.6606260296540363</t>
  </si>
  <si>
    <t>5140.897755610972</t>
  </si>
  <si>
    <t>0.33962264150943394</t>
  </si>
  <si>
    <t>22333.333333333332</t>
  </si>
  <si>
    <t>0.5732142857142857</t>
  </si>
  <si>
    <t>0.5957446808510638</t>
  </si>
  <si>
    <t>5666.666666666667</t>
  </si>
  <si>
    <t>6638.181818181818</t>
  </si>
  <si>
    <t>0.6819012797074955</t>
  </si>
  <si>
    <t>0.5361990950226244</t>
  </si>
  <si>
    <t>5993.2489451476795</t>
  </si>
  <si>
    <t>0.5763546798029556</t>
  </si>
  <si>
    <t>5074.074074074074</t>
  </si>
  <si>
    <t>0.5551102204408818</t>
  </si>
  <si>
    <t>5606.498194945849</t>
  </si>
  <si>
    <t>0.6037383177570094</t>
  </si>
  <si>
    <t>5298.761609907121</t>
  </si>
  <si>
    <t>0.6131386861313869</t>
  </si>
  <si>
    <t>5873.511904761905</t>
  </si>
  <si>
    <t>0.7867647058823529</t>
  </si>
  <si>
    <t>7242.990654205608</t>
  </si>
  <si>
    <t>0.5491803278688525</t>
  </si>
  <si>
    <t>5789.179104477612</t>
  </si>
  <si>
    <t>0.5863874345549738</t>
  </si>
  <si>
    <t>5288.690476190476</t>
  </si>
  <si>
    <t>0.7071428571428572</t>
  </si>
  <si>
    <t>7729.292929292929</t>
  </si>
  <si>
    <t>0.4497153700189753</t>
  </si>
  <si>
    <t>6647.679324894515</t>
  </si>
  <si>
    <t>0.6716417910447762</t>
  </si>
  <si>
    <t>5219.444444444444</t>
  </si>
  <si>
    <t>0.6530172413793104</t>
  </si>
  <si>
    <t>5884.488448844884</t>
  </si>
  <si>
    <t>5738.317757009346</t>
  </si>
  <si>
    <t>0.5830258302583026</t>
  </si>
  <si>
    <t>5143.987341772152</t>
  </si>
  <si>
    <t>0.28205128205128205</t>
  </si>
  <si>
    <t>34527.27272727273</t>
  </si>
  <si>
    <t>0.45325779036827196</t>
  </si>
  <si>
    <t>6553.129095705684</t>
  </si>
  <si>
    <t>0.7293577981651376</t>
  </si>
  <si>
    <t>4759.748427672956</t>
  </si>
  <si>
    <t>0.7127468581687613</t>
  </si>
  <si>
    <t>0.5740072202166066</t>
  </si>
  <si>
    <t>5086.477987421384</t>
  </si>
  <si>
    <t>5164.3835616438355</t>
  </si>
  <si>
    <t>0.6608527131782945</t>
  </si>
  <si>
    <t>5234.604105571847</t>
  </si>
  <si>
    <t>0.4841075794621027</t>
  </si>
  <si>
    <t>6466.666666666667</t>
  </si>
  <si>
    <t>0.6114982578397212</t>
  </si>
  <si>
    <t>5245.014245014245</t>
  </si>
  <si>
    <t>0.6223021582733813</t>
  </si>
  <si>
    <t>4917.630057803468</t>
  </si>
  <si>
    <t>0.5502793296089385</t>
  </si>
  <si>
    <t>0.5217391304347826</t>
  </si>
  <si>
    <t>10280.555555555555</t>
  </si>
  <si>
    <t>0.5292479108635098</t>
  </si>
  <si>
    <t>6901.0526315789475</t>
  </si>
  <si>
    <t>0.6571428571428571</t>
  </si>
  <si>
    <t>5750.546603557937</t>
  </si>
  <si>
    <t>0.6730103806228374</t>
  </si>
  <si>
    <t>4745.501285347043</t>
  </si>
  <si>
    <t>0.6565656565656566</t>
  </si>
  <si>
    <t>5715.384615384615</t>
  </si>
  <si>
    <t>0.6102661596958175</t>
  </si>
  <si>
    <t>5400.311526479751</t>
  </si>
  <si>
    <t>0.3584158415841584</t>
  </si>
  <si>
    <t>6682.8729281767955</t>
  </si>
  <si>
    <t>0.6739526411657559</t>
  </si>
  <si>
    <t>4766.216216216216</t>
  </si>
  <si>
    <t>0.3805309734513274</t>
  </si>
  <si>
    <t>16888.372093023256</t>
  </si>
  <si>
    <t>0.6155339805825243</t>
  </si>
  <si>
    <t>5408.517350157729</t>
  </si>
  <si>
    <t>0.7827868852459017</t>
  </si>
  <si>
    <t>0.5719237435008665</t>
  </si>
  <si>
    <t>5243.939393939394</t>
  </si>
  <si>
    <t>0.5047846889952153</t>
  </si>
  <si>
    <t>5835.071090047393</t>
  </si>
  <si>
    <t>Dowling</t>
  </si>
  <si>
    <t>0.40977443609022557</t>
  </si>
  <si>
    <t>6403.669724770642</t>
  </si>
  <si>
    <t>0.6900369003690037</t>
  </si>
  <si>
    <t>0.48760330578512395</t>
  </si>
  <si>
    <t>5479.661016949152</t>
  </si>
  <si>
    <t>0.6047008547008547</t>
  </si>
  <si>
    <t>6067.137809187279</t>
  </si>
  <si>
    <t>0.7045454545454546</t>
  </si>
  <si>
    <t>5701.612903225807</t>
  </si>
  <si>
    <t>0.8146341463414634</t>
  </si>
  <si>
    <t>4450.299401197605</t>
  </si>
  <si>
    <t>0.7278225806451613</t>
  </si>
  <si>
    <t>5555.401662049861</t>
  </si>
  <si>
    <t>0.5706422018348624</t>
  </si>
  <si>
    <t>4998.392282958199</t>
  </si>
  <si>
    <t>4859.237536656891</t>
  </si>
  <si>
    <t>5292.880258899677</t>
  </si>
  <si>
    <t>5467.924528301887</t>
  </si>
  <si>
    <t>0.5646687697160884</t>
  </si>
  <si>
    <t>0.5190114068441065</t>
  </si>
  <si>
    <t>5327.8388278388275</t>
  </si>
  <si>
    <t>0.6340640809443507</t>
  </si>
  <si>
    <t>4847.074468085106</t>
  </si>
  <si>
    <t>2025-04-18T04:00:00+10:00</t>
  </si>
  <si>
    <t>0.7509727626459144</t>
  </si>
  <si>
    <t>4801.813471502591</t>
  </si>
  <si>
    <t>0.9608695652173913</t>
  </si>
  <si>
    <t>4770.133588174846</t>
  </si>
  <si>
    <t>0.8275862068965517</t>
  </si>
  <si>
    <t>7164.583333333333</t>
  </si>
  <si>
    <t>0.5870535714285714</t>
  </si>
  <si>
    <t>5279.087452471483</t>
  </si>
  <si>
    <t>0.6888888888888889</t>
  </si>
  <si>
    <t>5288.888888888889</t>
  </si>
  <si>
    <t>Conway</t>
  </si>
  <si>
    <t>0.6748582230623819</t>
  </si>
  <si>
    <t>5065.8263305322125</t>
  </si>
  <si>
    <t>0.47289719626168225</t>
  </si>
  <si>
    <t>5683.794466403162</t>
  </si>
  <si>
    <t>5036.144578313252</t>
  </si>
  <si>
    <t>0.6363636363636364</t>
  </si>
  <si>
    <t>5165.413533834587</t>
  </si>
  <si>
    <t>0.5869947275922671</t>
  </si>
  <si>
    <t>5279.940119760479</t>
  </si>
  <si>
    <t>0.7520833333333333</t>
  </si>
  <si>
    <t>4760.3878116343485</t>
  </si>
  <si>
    <t>0.5220338983050847</t>
  </si>
  <si>
    <t>6218.185855964842</t>
  </si>
  <si>
    <t>0.6175438596491228</t>
  </si>
  <si>
    <t>5602.8377256603835</t>
  </si>
  <si>
    <t>0.7062043795620438</t>
  </si>
  <si>
    <t>4647.286821705426</t>
  </si>
  <si>
    <t>5851.810754102864</t>
  </si>
  <si>
    <t>0.5545171339563862</t>
  </si>
  <si>
    <t>5539.890752747614</t>
  </si>
  <si>
    <t>0.5973813420621932</t>
  </si>
  <si>
    <t>5005.479452054795</t>
  </si>
  <si>
    <t>5211.920529801325</t>
  </si>
  <si>
    <t>0.5221238938053098</t>
  </si>
  <si>
    <t>5045.762711864407</t>
  </si>
  <si>
    <t>0.5869565217391305</t>
  </si>
  <si>
    <t>5774.410774410774</t>
  </si>
  <si>
    <t>6224.9959046079575</t>
  </si>
  <si>
    <t>Borlase</t>
  </si>
  <si>
    <t>0.3744292237442922</t>
  </si>
  <si>
    <t>8187.804878048781</t>
  </si>
  <si>
    <t>4801.186943620178</t>
  </si>
  <si>
    <t>25615.384615384617</t>
  </si>
  <si>
    <t>0.5070140280561122</t>
  </si>
  <si>
    <t>6197.628458498024</t>
  </si>
  <si>
    <t>0.4952561669829222</t>
  </si>
  <si>
    <t>5632.183908045977</t>
  </si>
  <si>
    <t>0.5346938775510204</t>
  </si>
  <si>
    <t>5564.885496183207</t>
  </si>
  <si>
    <t>0.5923566878980892</t>
  </si>
  <si>
    <t>5403.225806451614</t>
  </si>
  <si>
    <t>7317.777777777777</t>
  </si>
  <si>
    <t>0.6119402985074627</t>
  </si>
  <si>
    <t>5758.048780487805</t>
  </si>
  <si>
    <t>0.7105788423153693</t>
  </si>
  <si>
    <t>4783.707865168539</t>
  </si>
  <si>
    <t>0.6777996070726916</t>
  </si>
  <si>
    <t>4757.971014492754</t>
  </si>
  <si>
    <t>4989.644970414201</t>
  </si>
  <si>
    <t>0.6778242677824268</t>
  </si>
  <si>
    <t>5353.395061728395</t>
  </si>
  <si>
    <t>0.5652173913043478</t>
  </si>
  <si>
    <t>8384.615384615385</t>
  </si>
  <si>
    <t>0.5843920145190563</t>
  </si>
  <si>
    <t>4690.993788819876</t>
  </si>
  <si>
    <t>0.6628571428571428</t>
  </si>
  <si>
    <t>4844.827586206897</t>
  </si>
  <si>
    <t>0.5587529976019184</t>
  </si>
  <si>
    <t>0.4213197969543147</t>
  </si>
  <si>
    <t>7814.457831325301</t>
  </si>
  <si>
    <t>0.6713780918727915</t>
  </si>
  <si>
    <t>5076.318461220243</t>
  </si>
  <si>
    <t>4604.774535809018</t>
  </si>
  <si>
    <t>Leek</t>
  </si>
  <si>
    <t>Aleer</t>
  </si>
  <si>
    <t>0.7154046997389034</t>
  </si>
  <si>
    <t>0.8360655737704918</t>
  </si>
  <si>
    <t>4077.6470588235293</t>
  </si>
  <si>
    <t>0.5242165242165242</t>
  </si>
  <si>
    <t>5111.415821421642</t>
  </si>
  <si>
    <t>0.5486381322957199</t>
  </si>
  <si>
    <t>5187.943262411348</t>
  </si>
  <si>
    <t>0.5235109717868338</t>
  </si>
  <si>
    <t>Howes</t>
  </si>
  <si>
    <t>0.5296442687747036</t>
  </si>
  <si>
    <t>6492.532468259352</t>
  </si>
  <si>
    <t>Koltyn</t>
  </si>
  <si>
    <t>Tholstrup</t>
  </si>
  <si>
    <t>0.7869415807560137</t>
  </si>
  <si>
    <t>4320.525904159784</t>
  </si>
  <si>
    <t>0.4336283185840708</t>
  </si>
  <si>
    <t>6336.734693877551</t>
  </si>
  <si>
    <t>0.6957364341085271</t>
  </si>
  <si>
    <t>4423.398328690808</t>
  </si>
  <si>
    <t>0.6416184971098265</t>
  </si>
  <si>
    <t>5569.369369369369</t>
  </si>
  <si>
    <t>0.7682926829268293</t>
  </si>
  <si>
    <t>4662.698412698413</t>
  </si>
  <si>
    <t>6691.304347826087</t>
  </si>
  <si>
    <t>0.6372180451127819</t>
  </si>
  <si>
    <t>4676.991150442478</t>
  </si>
  <si>
    <t>0.5239234449760766</t>
  </si>
  <si>
    <t>5234.703196347032</t>
  </si>
  <si>
    <t>0.6948818897637795</t>
  </si>
  <si>
    <t>4818.696883852692</t>
  </si>
  <si>
    <t>0.6746031746031746</t>
  </si>
  <si>
    <t>3597.6470588235293</t>
  </si>
  <si>
    <t>0.8561151079136691</t>
  </si>
  <si>
    <t>5270.588235294118</t>
  </si>
  <si>
    <t>0.7573696145124716</t>
  </si>
  <si>
    <t>4732.035928143713</t>
  </si>
  <si>
    <t>0.6899696048632219</t>
  </si>
  <si>
    <t>4283.258024996465</t>
  </si>
  <si>
    <t>0.47435897435897434</t>
  </si>
  <si>
    <t>5865.945945945946</t>
  </si>
  <si>
    <t>0.7695238095238095</t>
  </si>
  <si>
    <t>4407.178217821783</t>
  </si>
  <si>
    <t>0.6987951807228916</t>
  </si>
  <si>
    <t>5201.724137931034</t>
  </si>
  <si>
    <t>0.5692307692307692</t>
  </si>
  <si>
    <t>8154.054054054054</t>
  </si>
  <si>
    <t>0.6228287841191067</t>
  </si>
  <si>
    <t>4763.346613545817</t>
  </si>
  <si>
    <t>0.5135135135135135</t>
  </si>
  <si>
    <t>5416.267942583732</t>
  </si>
  <si>
    <t>0.6195652173913043</t>
  </si>
  <si>
    <t>4480.994152046783</t>
  </si>
  <si>
    <t>5342.960288808665</t>
  </si>
  <si>
    <t>0.37948717948717947</t>
  </si>
  <si>
    <t>5389.639639639639</t>
  </si>
  <si>
    <t>0.7386091127098321</t>
  </si>
  <si>
    <t>4493.506493506494</t>
  </si>
  <si>
    <t>0.7272727272727273</t>
  </si>
  <si>
    <t>0.5952380952380952</t>
  </si>
  <si>
    <t>0.5381679389312977</t>
  </si>
  <si>
    <t>5086.879432624113</t>
  </si>
  <si>
    <t>0.6710239651416122</t>
  </si>
  <si>
    <t>4423.376623376624</t>
  </si>
  <si>
    <t>Mykelti</t>
  </si>
  <si>
    <t>Lefau</t>
  </si>
  <si>
    <t>0.35714285714285715</t>
  </si>
  <si>
    <t>0.5975103734439834</t>
  </si>
  <si>
    <t>4058.3333333333335</t>
  </si>
  <si>
    <t>4791.925465838509</t>
  </si>
  <si>
    <t>0.6059322033898306</t>
  </si>
  <si>
    <t>5082.167832167832</t>
  </si>
  <si>
    <t>0.5980392156862745</t>
  </si>
  <si>
    <t>6572.945432011941</t>
  </si>
  <si>
    <t>0.7293388429752066</t>
  </si>
  <si>
    <t>4684.1359773371105</t>
  </si>
  <si>
    <t>0.5838926174496645</t>
  </si>
  <si>
    <t>4958.333333333334</t>
  </si>
  <si>
    <t>5161.448892439092</t>
  </si>
  <si>
    <t>0.4774066797642436</t>
  </si>
  <si>
    <t>5222.222222222222</t>
  </si>
  <si>
    <t>0.6769825918762089</t>
  </si>
  <si>
    <t>4527.142857142857</t>
  </si>
  <si>
    <t>0.7027027027027027</t>
  </si>
  <si>
    <t>4765.3819970428585</t>
  </si>
  <si>
    <t>Sullivan</t>
  </si>
  <si>
    <t>5347.169811320755</t>
  </si>
  <si>
    <t>Kallan</t>
  </si>
  <si>
    <t>0.5954545454545455</t>
  </si>
  <si>
    <t>4312.977099236641</t>
  </si>
  <si>
    <t>0.4281524926686217</t>
  </si>
  <si>
    <t>6334.246575342466</t>
  </si>
  <si>
    <t>3431.7073170731705</t>
  </si>
  <si>
    <t>0.4768339768339768</t>
  </si>
  <si>
    <t>5240.890688259109</t>
  </si>
  <si>
    <t>Nate</t>
  </si>
  <si>
    <t>0.49056603773584906</t>
  </si>
  <si>
    <t>5804.395604395604</t>
  </si>
  <si>
    <t>0.4717948717948718</t>
  </si>
  <si>
    <t>5616.8421052631575</t>
  </si>
  <si>
    <t>0.5423728813559322</t>
  </si>
  <si>
    <t>Calsher</t>
  </si>
  <si>
    <t>Dear</t>
  </si>
  <si>
    <t>Reville</t>
  </si>
  <si>
    <t>0.5725190839694656</t>
  </si>
  <si>
    <t>6589.333333333333</t>
  </si>
  <si>
    <t>Trezise</t>
  </si>
  <si>
    <t>0.5992578849721707</t>
  </si>
  <si>
    <t>4781.733746130031</t>
  </si>
  <si>
    <t>0.5789473684210527</t>
  </si>
  <si>
    <t>0.6038834951456311</t>
  </si>
  <si>
    <t>4797.4276527331185</t>
  </si>
  <si>
    <t>0.5878524945770065</t>
  </si>
  <si>
    <t>4453.136531365313</t>
  </si>
  <si>
    <t>0.6145038167938931</t>
  </si>
  <si>
    <t>4812.111801242236</t>
  </si>
  <si>
    <t>Arie</t>
  </si>
  <si>
    <t>Schoenmaker</t>
  </si>
  <si>
    <t>4098.484848484848</t>
  </si>
  <si>
    <t>0.6567460317460317</t>
  </si>
  <si>
    <t>4706.948640483383</t>
  </si>
  <si>
    <t>0.5195071868583162</t>
  </si>
  <si>
    <t>4986.166007905138</t>
  </si>
  <si>
    <t>0.6408977556109726</t>
  </si>
  <si>
    <t>4552.529182879377</t>
  </si>
  <si>
    <t>0.6244897959183674</t>
  </si>
  <si>
    <t>0.7277936962750716</t>
  </si>
  <si>
    <t>4492.913385826771</t>
  </si>
  <si>
    <t>15447.058823529413</t>
  </si>
  <si>
    <t>Moniz-Wakefield</t>
  </si>
  <si>
    <t>0.7048710601719198</t>
  </si>
  <si>
    <t>0.6807692307692308</t>
  </si>
  <si>
    <t>4514.124293785311</t>
  </si>
  <si>
    <t>0.5221579961464354</t>
  </si>
  <si>
    <t>5016.6051660516605</t>
  </si>
  <si>
    <t>0.6501766784452296</t>
  </si>
  <si>
    <t>5458.695652173913</t>
  </si>
  <si>
    <t>0.5114345114345115</t>
  </si>
  <si>
    <t>5308.943089430894</t>
  </si>
  <si>
    <t>0.6310679611650486</t>
  </si>
  <si>
    <t>5686.158220121708</t>
  </si>
  <si>
    <t>Jamieson</t>
  </si>
  <si>
    <t>4208.219178082192</t>
  </si>
  <si>
    <t>5119.148936170212</t>
  </si>
  <si>
    <t>0.6936416184971098</t>
  </si>
  <si>
    <t>0.28703703703703703</t>
  </si>
  <si>
    <t>8103.225806451613</t>
  </si>
  <si>
    <t>Shadeau</t>
  </si>
  <si>
    <t>Brain</t>
  </si>
  <si>
    <t>Marty</t>
  </si>
  <si>
    <t>Hore</t>
  </si>
  <si>
    <t>Dante</t>
  </si>
  <si>
    <t>Visentini</t>
  </si>
  <si>
    <t>0.47645429362880887</t>
  </si>
  <si>
    <t>5441.860465116279</t>
  </si>
  <si>
    <t>7082.857142857143</t>
  </si>
  <si>
    <t>0.7309236947791165</t>
  </si>
  <si>
    <t>4425.824175824176</t>
  </si>
  <si>
    <t>Blight</t>
  </si>
  <si>
    <t>0.5501930501930502</t>
  </si>
  <si>
    <t>4942.105263157895</t>
  </si>
  <si>
    <t>0.6153846153846154</t>
  </si>
  <si>
    <t>4266.850145027252</t>
  </si>
  <si>
    <t>Brynn</t>
  </si>
  <si>
    <t>Teakle</t>
  </si>
  <si>
    <t>McAuliffe</t>
  </si>
  <si>
    <t>Angwin</t>
  </si>
  <si>
    <t>0.49521988527724664</t>
  </si>
  <si>
    <t>4708.494208494209</t>
  </si>
  <si>
    <t>Finlay</t>
  </si>
  <si>
    <t>Jhye</t>
  </si>
  <si>
    <t>0.6702702702702703</t>
  </si>
  <si>
    <t>5562.101259759081</t>
  </si>
  <si>
    <t>McMullin</t>
  </si>
  <si>
    <t>1.0909090909090908</t>
  </si>
  <si>
    <t>8067.368421052632</t>
  </si>
  <si>
    <t>1.0869565217391304</t>
  </si>
  <si>
    <t>0.6162162162162163</t>
  </si>
  <si>
    <t>4115.789473684211</t>
  </si>
  <si>
    <t>Hutchinson</t>
  </si>
  <si>
    <t>0.6263736263736264</t>
  </si>
  <si>
    <t>4096.491228070176</t>
  </si>
  <si>
    <t>7905.0847457627115</t>
  </si>
  <si>
    <t>Sinn</t>
  </si>
  <si>
    <t>0.6673773987206824</t>
  </si>
  <si>
    <t>4637.380191693291</t>
  </si>
  <si>
    <t>0.41019417475728154</t>
  </si>
  <si>
    <t>5240.236686390533</t>
  </si>
  <si>
    <t>Johnston</t>
  </si>
  <si>
    <t>Bond</t>
  </si>
  <si>
    <t>Carroll</t>
  </si>
  <si>
    <t>Voss</t>
  </si>
  <si>
    <t>0.5417721518987342</t>
  </si>
  <si>
    <t>4657.943925233645</t>
  </si>
  <si>
    <t>Kieran</t>
  </si>
  <si>
    <t>Strachan</t>
  </si>
  <si>
    <t>0.6857142857142857</t>
  </si>
  <si>
    <t>9179.166666666666</t>
  </si>
  <si>
    <t>Bauer</t>
  </si>
  <si>
    <t>0.33421052631578946</t>
  </si>
  <si>
    <t>6437.007874015749</t>
  </si>
  <si>
    <t>0.40236686390532544</t>
  </si>
  <si>
    <t>5623.529411764706</t>
  </si>
  <si>
    <t>0.4423076923076923</t>
  </si>
  <si>
    <t>5384.782608695652</t>
  </si>
  <si>
    <t>Rogers</t>
  </si>
  <si>
    <t>0.7159090909090909</t>
  </si>
  <si>
    <t>4266.666666666667</t>
  </si>
  <si>
    <t>Pink</t>
  </si>
  <si>
    <t>0.5416666666666666</t>
  </si>
  <si>
    <t>3221.5384615384614</t>
  </si>
  <si>
    <t>2295.6043956043954</t>
  </si>
  <si>
    <t>0.6367924528301887</t>
  </si>
  <si>
    <t>3029.6296296296296</t>
  </si>
  <si>
    <t>Lalor</t>
  </si>
  <si>
    <t>3678.5185185185187</t>
  </si>
  <si>
    <t>0.4931506849315068</t>
  </si>
  <si>
    <t>5513.888888888889</t>
  </si>
  <si>
    <t>O'Sullivan</t>
  </si>
  <si>
    <t>0.4779582366589327</t>
  </si>
  <si>
    <t>4295.145631067961</t>
  </si>
  <si>
    <t>0.9256198347107438</t>
  </si>
  <si>
    <t>3688.095238095238</t>
  </si>
  <si>
    <t>Jagga</t>
  </si>
  <si>
    <t>Zane</t>
  </si>
  <si>
    <t>0.5714285714285714</t>
  </si>
  <si>
    <t>4418.181818181818</t>
  </si>
  <si>
    <t>Edward</t>
  </si>
  <si>
    <t>Allan</t>
  </si>
  <si>
    <t>5105.263157894737</t>
  </si>
  <si>
    <t>Tsatas</t>
  </si>
  <si>
    <t>0.8152866242038217</t>
  </si>
  <si>
    <t>0.5814889336016097</t>
  </si>
  <si>
    <t>4391.003460207613</t>
  </si>
  <si>
    <t>0.7185929648241206</t>
  </si>
  <si>
    <t>2664.335664335664</t>
  </si>
  <si>
    <t>Walter</t>
  </si>
  <si>
    <t>0.7032520325203252</t>
  </si>
  <si>
    <t>3756.067193024744</t>
  </si>
  <si>
    <t>Sid</t>
  </si>
  <si>
    <t>0.6107594936708861</t>
  </si>
  <si>
    <t>5284.974093264249</t>
  </si>
  <si>
    <t>0.5152284263959391</t>
  </si>
  <si>
    <t>5135.467980295566</t>
  </si>
  <si>
    <t>Worner</t>
  </si>
  <si>
    <t>0.6023391812865497</t>
  </si>
  <si>
    <t>4130.097087378641</t>
  </si>
  <si>
    <t>0.43283582089552236</t>
  </si>
  <si>
    <t>4473.563218390805</t>
  </si>
  <si>
    <t>0.8641304347826086</t>
  </si>
  <si>
    <t>3864.1509433962265</t>
  </si>
  <si>
    <t>Steely</t>
  </si>
  <si>
    <t>0.4296724470134875</t>
  </si>
  <si>
    <t>4966.367713004484</t>
  </si>
  <si>
    <t>0.7562724014336918</t>
  </si>
  <si>
    <t>4360.189573459716</t>
  </si>
  <si>
    <t>0.6148007590132827</t>
  </si>
  <si>
    <t>4208.333333333334</t>
  </si>
  <si>
    <t>3561.2379557516606</t>
  </si>
  <si>
    <t>Smillie</t>
  </si>
  <si>
    <t>Tobie</t>
  </si>
  <si>
    <t>Travaglia</t>
  </si>
  <si>
    <t>0.5777777777777777</t>
  </si>
  <si>
    <t>3757.6923076923076</t>
  </si>
  <si>
    <t>Cleary</t>
  </si>
  <si>
    <t>0.41545893719806765</t>
  </si>
  <si>
    <t>3990.6976744186045</t>
  </si>
  <si>
    <t>Binns</t>
  </si>
  <si>
    <t>McLennan</t>
  </si>
  <si>
    <t>0.5584112149532711</t>
  </si>
  <si>
    <t>3941.4225941422596</t>
  </si>
  <si>
    <t>Read</t>
  </si>
  <si>
    <t>0.6711229946524064</t>
  </si>
  <si>
    <t>3439.0438247011953</t>
  </si>
  <si>
    <t>Leonardo</t>
  </si>
  <si>
    <t>Lombard</t>
  </si>
  <si>
    <t>Hardeman</t>
  </si>
  <si>
    <t>0.5753424657534246</t>
  </si>
  <si>
    <t>7961.9047619047615</t>
  </si>
  <si>
    <t>Tyrell</t>
  </si>
  <si>
    <t>Dewar</t>
  </si>
  <si>
    <t>0.4616858237547893</t>
  </si>
  <si>
    <t>4560.165975103734</t>
  </si>
  <si>
    <t>Hansen Jr</t>
  </si>
  <si>
    <t>0.46131805157593125</t>
  </si>
  <si>
    <t>4390.062111801242</t>
  </si>
  <si>
    <t>Culley</t>
  </si>
  <si>
    <t>Alixzander</t>
  </si>
  <si>
    <t>Tauru</t>
  </si>
  <si>
    <t>Sheldrick</t>
  </si>
  <si>
    <t>0.8116883116883117</t>
  </si>
  <si>
    <t>Fonti</t>
  </si>
  <si>
    <t>0.5429864253393665</t>
  </si>
  <si>
    <t>3723.3333333333335</t>
  </si>
  <si>
    <t>Curtin</t>
  </si>
  <si>
    <t>4501.639344262295</t>
  </si>
  <si>
    <t>3656.108597285068</t>
  </si>
  <si>
    <t>Taj</t>
  </si>
  <si>
    <t>Hotton</t>
  </si>
  <si>
    <t>Gibcus</t>
  </si>
  <si>
    <t>Laurie</t>
  </si>
  <si>
    <t>Woewodin</t>
  </si>
  <si>
    <t>0.5972222222222222</t>
  </si>
  <si>
    <t>3548.8372093023254</t>
  </si>
  <si>
    <t>Goater</t>
  </si>
  <si>
    <t>Arthur</t>
  </si>
  <si>
    <t>0.32075471698113206</t>
  </si>
  <si>
    <t>8876.470588235294</t>
  </si>
  <si>
    <t>Knevitt</t>
  </si>
  <si>
    <t>3617.1428571428573</t>
  </si>
  <si>
    <t>Kako</t>
  </si>
  <si>
    <t>0.47115384615384615</t>
  </si>
  <si>
    <t>3912.2448979591836</t>
  </si>
  <si>
    <t>0.6204506065857885</t>
  </si>
  <si>
    <t>4125.698324022346</t>
  </si>
  <si>
    <t>0.5377176015473888</t>
  </si>
  <si>
    <t>4052.1582733812947</t>
  </si>
  <si>
    <t>Alwyn</t>
  </si>
  <si>
    <t>Davey Jnr</t>
  </si>
  <si>
    <t>Jonty</t>
  </si>
  <si>
    <t>Faull</t>
  </si>
  <si>
    <t>0.11458333333333333</t>
  </si>
  <si>
    <t>13181.818181818182</t>
  </si>
  <si>
    <t>0.4598337950138504</t>
  </si>
  <si>
    <t>4786.144578313252</t>
  </si>
  <si>
    <t>Bo</t>
  </si>
  <si>
    <t>0.36666666666666664</t>
  </si>
  <si>
    <t>5220.772440555273</t>
  </si>
  <si>
    <t>0.6707317073170732</t>
  </si>
  <si>
    <t>2425.4545454545455</t>
  </si>
  <si>
    <t>Reidy</t>
  </si>
  <si>
    <t>0.33663366336633666</t>
  </si>
  <si>
    <t>0.7154150197628458</t>
  </si>
  <si>
    <t>4073.2044198895023</t>
  </si>
  <si>
    <t>0.7509025270758123</t>
  </si>
  <si>
    <t>2698.5589896918223</t>
  </si>
  <si>
    <t>Ramsden</t>
  </si>
  <si>
    <t>Hannaford</t>
  </si>
  <si>
    <t>Caiden</t>
  </si>
  <si>
    <t>0.7616580310880829</t>
  </si>
  <si>
    <t>1688.4353741496598</t>
  </si>
  <si>
    <t>3386.3636363636365</t>
  </si>
  <si>
    <t>Hustwaite</t>
  </si>
  <si>
    <t>Kaleb</t>
  </si>
  <si>
    <t>0.31527093596059114</t>
  </si>
  <si>
    <t>5503.133598646247</t>
  </si>
  <si>
    <t>Rhett</t>
  </si>
  <si>
    <t>Bazzo</t>
  </si>
  <si>
    <t>Beecken</t>
  </si>
  <si>
    <t>Craven</t>
  </si>
  <si>
    <t>McLachlan</t>
  </si>
  <si>
    <t>0.5357142857142857</t>
  </si>
  <si>
    <t>Torrent</t>
  </si>
  <si>
    <t>Tunstill</t>
  </si>
  <si>
    <t>Zakostelsky</t>
  </si>
  <si>
    <t>Lemmey</t>
  </si>
  <si>
    <t>Ashton</t>
  </si>
  <si>
    <t>Moir</t>
  </si>
  <si>
    <t>0.014705882352941176</t>
  </si>
  <si>
    <t>Rob</t>
  </si>
  <si>
    <t>Monahan</t>
  </si>
  <si>
    <t>Hudson</t>
  </si>
  <si>
    <t>O'Keeffe</t>
  </si>
  <si>
    <t>DeMattia</t>
  </si>
  <si>
    <t>Tew</t>
  </si>
  <si>
    <t>Jakob</t>
  </si>
  <si>
    <t>Iliro</t>
  </si>
  <si>
    <t>Smit</t>
  </si>
  <si>
    <t>Steene</t>
  </si>
  <si>
    <t>El-Hawli</t>
  </si>
  <si>
    <t>0.7477477477477478</t>
  </si>
  <si>
    <t>2889.156626506024</t>
  </si>
  <si>
    <t>Hayes</t>
  </si>
  <si>
    <t>Luamon</t>
  </si>
  <si>
    <t>Lual</t>
  </si>
  <si>
    <t>0.5759493670886076</t>
  </si>
  <si>
    <t>3233.6996336996335</t>
  </si>
  <si>
    <t>Vigo</t>
  </si>
  <si>
    <t>Delean</t>
  </si>
  <si>
    <t>0.7610062893081762</t>
  </si>
  <si>
    <t>1981.8181818181818</t>
  </si>
  <si>
    <t>Odin</t>
  </si>
  <si>
    <t>Knobel</t>
  </si>
  <si>
    <t>0.8210116731517509</t>
  </si>
  <si>
    <t>Wiltshire</t>
  </si>
  <si>
    <t>Wade</t>
  </si>
  <si>
    <t>Derksen</t>
  </si>
  <si>
    <t>Fahey</t>
  </si>
  <si>
    <t>Phoenix</t>
  </si>
  <si>
    <t>Gothard</t>
  </si>
  <si>
    <t>Gruzewski</t>
  </si>
  <si>
    <t>0.49206349206349204</t>
  </si>
  <si>
    <t>3867.7419354838707</t>
  </si>
  <si>
    <t>Leake</t>
  </si>
  <si>
    <t>0.5099337748344371</t>
  </si>
  <si>
    <t>3114.285714285714</t>
  </si>
  <si>
    <t>Nicholas</t>
  </si>
  <si>
    <t>Madden</t>
  </si>
  <si>
    <t>Rowston</t>
  </si>
  <si>
    <t>Stone</t>
  </si>
  <si>
    <t>0.46709129511677283</t>
  </si>
  <si>
    <t>3922.7272727272725</t>
  </si>
  <si>
    <t>Wardius</t>
  </si>
  <si>
    <t>William</t>
  </si>
  <si>
    <t>McCabe</t>
  </si>
  <si>
    <t>Bodie</t>
  </si>
  <si>
    <t>Scaife</t>
  </si>
  <si>
    <t>Kynan</t>
  </si>
  <si>
    <t>Fullarton</t>
  </si>
  <si>
    <t>Jefferson</t>
  </si>
  <si>
    <t>5848.780487804878</t>
  </si>
  <si>
    <t>Luker</t>
  </si>
  <si>
    <t>Kentfield</t>
  </si>
  <si>
    <t>Sestan</t>
  </si>
  <si>
    <t>Verrall</t>
  </si>
  <si>
    <t>Goad</t>
  </si>
  <si>
    <t>Konstanty</t>
  </si>
  <si>
    <t>0.6237864077669902</t>
  </si>
  <si>
    <t>3745.136186770428</t>
  </si>
  <si>
    <t>Finnbar</t>
  </si>
  <si>
    <t>Maley</t>
  </si>
  <si>
    <t>Geordie</t>
  </si>
  <si>
    <t>Anastasopoulos</t>
  </si>
  <si>
    <t>Charleson</t>
  </si>
  <si>
    <t>Lorenz</t>
  </si>
  <si>
    <t>Judson</t>
  </si>
  <si>
    <t>Mate</t>
  </si>
  <si>
    <t>Colina</t>
  </si>
  <si>
    <t>Fawcett</t>
  </si>
  <si>
    <t>0.32967032967032966</t>
  </si>
  <si>
    <t>3996.6666666666665</t>
  </si>
  <si>
    <t>Hayes-Brown</t>
  </si>
  <si>
    <t>Collard</t>
  </si>
  <si>
    <t>0.6317567567567568</t>
  </si>
  <si>
    <t>3869.3548387096776</t>
  </si>
  <si>
    <t>Hastie</t>
  </si>
  <si>
    <t>0.5953488372093023</t>
  </si>
  <si>
    <t>Keeler</t>
  </si>
  <si>
    <t>0.35507246376811596</t>
  </si>
  <si>
    <t>O'Connell</t>
  </si>
  <si>
    <t>0.36683417085427134</t>
  </si>
  <si>
    <t>Buller</t>
  </si>
  <si>
    <t>Hanily</t>
  </si>
  <si>
    <t>0.6096938775510204</t>
  </si>
  <si>
    <t>4071.129707112971</t>
  </si>
  <si>
    <t>Indhi</t>
  </si>
  <si>
    <t>Kirk</t>
  </si>
  <si>
    <t>Snell</t>
  </si>
  <si>
    <t>Jedd</t>
  </si>
  <si>
    <t>Busslinger</t>
  </si>
  <si>
    <t>Croft</t>
  </si>
  <si>
    <t>Barnett</t>
  </si>
  <si>
    <t>Coen</t>
  </si>
  <si>
    <t>Livingstone</t>
  </si>
  <si>
    <t>Loch</t>
  </si>
  <si>
    <t>Rawlinson</t>
  </si>
  <si>
    <t>4366.533864541832</t>
  </si>
  <si>
    <t>McAndrew</t>
  </si>
  <si>
    <t>Hynes</t>
  </si>
  <si>
    <t>0.20512820512820512</t>
  </si>
  <si>
    <t>Welsh</t>
  </si>
  <si>
    <t>Ty</t>
  </si>
  <si>
    <t>Gallop</t>
  </si>
  <si>
    <t>Camporeale</t>
  </si>
  <si>
    <t>Lucas</t>
  </si>
  <si>
    <t>2101.8518518518517</t>
  </si>
  <si>
    <t>O'Farrell</t>
  </si>
  <si>
    <t>Cochran</t>
  </si>
  <si>
    <t>Kayle</t>
  </si>
  <si>
    <t>Gerreyn</t>
  </si>
  <si>
    <t>Unwin</t>
  </si>
  <si>
    <t>Jaren</t>
  </si>
  <si>
    <t>Carr</t>
  </si>
  <si>
    <t>Lennox</t>
  </si>
  <si>
    <t>Hoffman</t>
  </si>
  <si>
    <t>Keighton</t>
  </si>
  <si>
    <t>Matofai-Forbes</t>
  </si>
  <si>
    <t>Molier</t>
  </si>
  <si>
    <t>Polkinghorne</t>
  </si>
  <si>
    <t>Angove</t>
  </si>
  <si>
    <t>Ough</t>
  </si>
  <si>
    <t>Mraz</t>
  </si>
  <si>
    <t>0.48663101604278075</t>
  </si>
  <si>
    <t>2494.5054945054944</t>
  </si>
  <si>
    <t>River</t>
  </si>
  <si>
    <t>Urquhart</t>
  </si>
  <si>
    <t>Whitlock</t>
  </si>
  <si>
    <t>0.4142857142857143</t>
  </si>
  <si>
    <t>3913.793103448276</t>
  </si>
  <si>
    <t>Moraes</t>
  </si>
  <si>
    <t>0.6277173913043478</t>
  </si>
  <si>
    <t>3494.372294372294</t>
  </si>
  <si>
    <t>Alger</t>
  </si>
  <si>
    <t>Armstrong</t>
  </si>
  <si>
    <t>0.3515850144092219</t>
  </si>
  <si>
    <t>4127.868852459016</t>
  </si>
  <si>
    <t>Sims</t>
  </si>
  <si>
    <t>Trainor</t>
  </si>
  <si>
    <t>0.6221374045801527</t>
  </si>
  <si>
    <t>3980.0613496932515</t>
  </si>
  <si>
    <t>Barrat</t>
  </si>
  <si>
    <t>Boxshall</t>
  </si>
  <si>
    <t>Dodson</t>
  </si>
  <si>
    <t>Said</t>
  </si>
  <si>
    <t>Riak</t>
  </si>
  <si>
    <t>Bowman</t>
  </si>
  <si>
    <t>Dattoli</t>
  </si>
  <si>
    <t>Davidson</t>
  </si>
  <si>
    <t>0.7157258064516129</t>
  </si>
  <si>
    <t>4129.577464788732</t>
  </si>
  <si>
    <t>Dolan</t>
  </si>
  <si>
    <t>0.3537234042553192</t>
  </si>
  <si>
    <t>4533.834586466165</t>
  </si>
  <si>
    <t>Jaques</t>
  </si>
  <si>
    <t>0.41975308641975306</t>
  </si>
  <si>
    <t>6676.470588235294</t>
  </si>
  <si>
    <t>Lucca</t>
  </si>
  <si>
    <t>Grego</t>
  </si>
  <si>
    <t>Gross</t>
  </si>
  <si>
    <t>1706.766917293233</t>
  </si>
  <si>
    <t>Shanahan</t>
  </si>
  <si>
    <t>Duffy</t>
  </si>
  <si>
    <t>Day-Wicks</t>
  </si>
  <si>
    <t>Nguyen</t>
  </si>
  <si>
    <t>Riddle</t>
  </si>
  <si>
    <t>Asher</t>
  </si>
  <si>
    <t>Eastham</t>
  </si>
  <si>
    <t>Gulbin</t>
  </si>
  <si>
    <t>Cillian</t>
  </si>
  <si>
    <t>Burke</t>
  </si>
  <si>
    <t>Ivisic</t>
  </si>
  <si>
    <t>Pike</t>
  </si>
  <si>
    <t>Retschko</t>
  </si>
  <si>
    <t>Josaia</t>
  </si>
  <si>
    <t>Delana</t>
  </si>
  <si>
    <t>Jaime</t>
  </si>
  <si>
    <t>Uhr-Henry</t>
  </si>
  <si>
    <t>Mentha</t>
  </si>
  <si>
    <t>Benny</t>
  </si>
  <si>
    <t>Cochrane</t>
  </si>
  <si>
    <t>0.5555555555555556</t>
  </si>
  <si>
    <t>3049.230769230769</t>
  </si>
  <si>
    <t>Moss</t>
  </si>
  <si>
    <t>Eamonn</t>
  </si>
  <si>
    <t>Leidler</t>
  </si>
  <si>
    <t>Malakai</t>
  </si>
  <si>
    <t>Champion</t>
  </si>
  <si>
    <t>0.6116504854368932</t>
  </si>
  <si>
    <t>1573.015873015873</t>
  </si>
  <si>
    <t>Jepson</t>
  </si>
  <si>
    <t>0.5769230769230769</t>
  </si>
  <si>
    <t>Lai</t>
  </si>
  <si>
    <t>0.3558282208588957</t>
  </si>
  <si>
    <t>3417.2413793103447</t>
  </si>
  <si>
    <t>Sandy</t>
  </si>
  <si>
    <t>Brock</t>
  </si>
  <si>
    <t>0.5151515151515151</t>
  </si>
  <si>
    <t>1665.546218487395</t>
  </si>
  <si>
    <t>0.48314606741573035</t>
  </si>
  <si>
    <t>3881.3953488372094</t>
  </si>
  <si>
    <t>Isaiah</t>
  </si>
  <si>
    <t>Dudley</t>
  </si>
  <si>
    <t>0.6971153846153846</t>
  </si>
  <si>
    <t>2832.4157464936184</t>
  </si>
  <si>
    <t>0.43386243386243384</t>
  </si>
  <si>
    <t>2417.0731707317073</t>
  </si>
  <si>
    <t>status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</si>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</sst>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5A55A-DF54-4FC4-BB44-5729154D5C37}" name="Table1" displayName="Table1" ref="A1:DG1014" totalsRowShown="0">
  <autoFilter ref="A1:DG1014" xr:uid="{F985A55A-DF54-4FC4-BB44-5729154D5C37}">
    <filterColumn colId="3">
      <filters>
        <filter val="R5"/>
      </filters>
    </filterColumn>
    <filterColumn colId="4">
      <filters>
        <filter val="2025"/>
      </filters>
    </filterColumn>
    <filterColumn colId="109">
      <filters>
        <filter val="free_agent"/>
        <filter val="waiver"/>
      </filters>
    </filterColumn>
  </autoFilter>
  <sortState xmlns:xlrd2="http://schemas.microsoft.com/office/spreadsheetml/2017/richdata2" ref="A684:DG1014">
    <sortCondition descending="1" ref="DG1:DG1014"/>
  </sortState>
  <tableColumns count="111">
    <tableColumn id="1" xr3:uid="{F27BB045-0B19-46D2-8D3A-EB0B198B0BE4}" name="Column1"/>
    <tableColumn id="2" xr3:uid="{921BE0CB-9480-40D2-8185-D63987C8A8CB}" name="Fanfooty Match ID"/>
    <tableColumn id="3" xr3:uid="{38B4FC50-527F-471E-9233-153C6DCB39C5}" name="Fanfooty Match URL"/>
    <tableColumn id="4" xr3:uid="{1497D816-8423-494C-861D-505A6F96D82A}" name="Round"/>
    <tableColumn id="5" xr3:uid="{EDA06942-D55C-484A-956F-0AFBCB9AAF8D}" name="Year"/>
    <tableColumn id="6" xr3:uid="{D3C2E756-819E-4FF8-8E83-13F0F13FAD2B}" name="Player ID"/>
    <tableColumn id="7" xr3:uid="{C8FB108B-4E73-4463-9730-D0FFD6D1F4F7}" name="First Name"/>
    <tableColumn id="8" xr3:uid="{96DFE469-5A86-4AD3-B6C5-C987B8F60E56}" name="Surname"/>
    <tableColumn id="9" xr3:uid="{AECF7F98-49C3-43E2-BA6F-F6ECCA038290}" name="Team"/>
    <tableColumn id="10" xr3:uid="{5B4DCCFF-8E26-41DD-B40A-956F7636D0FE}" name="null"/>
    <tableColumn id="11" xr3:uid="{5F6EBDF9-3967-414E-96D6-E44D78DAB2B8}" name="DT"/>
    <tableColumn id="12" xr3:uid="{4D4703E1-59EF-4918-8713-4E942779F02B}" name="SC"/>
    <tableColumn id="13" xr3:uid="{9C07552A-08D9-4283-9047-A2FB1362911B}" name="null2"/>
    <tableColumn id="14" xr3:uid="{7682192F-2BF1-4C79-A781-F0F39674074D}" name="null3"/>
    <tableColumn id="15" xr3:uid="{9E51D219-4068-453C-9031-DDAD12AEC0A9}" name="null4"/>
    <tableColumn id="16" xr3:uid="{243234E0-6C9E-4997-8404-E250394F0E61}" name="Kicks"/>
    <tableColumn id="17" xr3:uid="{A89B6344-8EED-482F-8DA4-21E04861B00F}" name="Handballs"/>
    <tableColumn id="18" xr3:uid="{F1E53EB3-4777-4D14-9A44-4933914DB6A8}" name="Marks"/>
    <tableColumn id="19" xr3:uid="{2D5CBA51-D380-4160-A7BB-07C4E2CA38FE}" name="Tackles"/>
    <tableColumn id="20" xr3:uid="{D3EA42A6-AE8B-40E6-9854-FEE02D28DA80}" name="Hitouts"/>
    <tableColumn id="21" xr3:uid="{AE2510E1-65A4-46B9-8FA9-72FEA6A9338E}" name="Frees for"/>
    <tableColumn id="22" xr3:uid="{3763A4AC-622C-44B8-A0F6-BA280D63F30C}" name="Frees against"/>
    <tableColumn id="23" xr3:uid="{CC7AB960-BEF7-4D0E-A9E5-F4CB11C3E4BD}" name="Goals"/>
    <tableColumn id="24" xr3:uid="{D0020E11-16BD-4E75-A955-B0D6F165C13B}" name="Behinds"/>
    <tableColumn id="25" xr3:uid="{EA2B8C34-5692-4CFB-9BED-99091B120961}" name="Not sure"/>
    <tableColumn id="26" xr3:uid="{6CEB3634-95AB-4674-B052-1250618D8AF5}" name="Tag"/>
    <tableColumn id="27" xr3:uid="{B9D532A9-4F63-4C40-88EE-969645BC3185}" name="Tag Notes"/>
    <tableColumn id="28" xr3:uid="{AC754C22-9AEB-48F8-9A2A-14A31C71D3EF}" name="Tag 2"/>
    <tableColumn id="29" xr3:uid="{DD3DC593-35B3-4854-BD57-2B753F307375}" name="Tag 2 Notes"/>
    <tableColumn id="30" xr3:uid="{7434515F-F575-40DB-A2B8-CE11D778A3B8}" name="null5"/>
    <tableColumn id="31" xr3:uid="{C63D2553-21C7-4705-B8CD-B6B4E77C666C}" name="null6"/>
    <tableColumn id="32" xr3:uid="{54C5A6B2-E203-475C-8DCC-9480542387AC}" name="null7"/>
    <tableColumn id="33" xr3:uid="{58F47370-5D2B-46E5-B27A-382F632ABD79}" name="null8"/>
    <tableColumn id="34" xr3:uid="{FB41C9A0-E7C1-4DA4-9B33-A140BD90BB66}" name="Position"/>
    <tableColumn id="35" xr3:uid="{5FF714DC-1FDA-4C71-A0E5-533E3756DB05}" name="Jumper Number"/>
    <tableColumn id="36" xr3:uid="{23DBF899-C7B9-4681-A0B6-FEF7BA36400A}" name="null9"/>
    <tableColumn id="37" xr3:uid="{251964BE-9C82-4081-AC74-87BC0B9BDBA5}" name="null10"/>
    <tableColumn id="38" xr3:uid="{EFC2C95B-ECCA-4063-A3F7-B3397A536CE3}" name="null11"/>
    <tableColumn id="39" xr3:uid="{630119B0-4E1A-435D-AA76-FF09D7D3306E}" name="DT own %"/>
    <tableColumn id="40" xr3:uid="{08261CBE-2BEC-4779-80A5-34FC83903C76}" name="SC own %"/>
    <tableColumn id="41" xr3:uid="{19A36A37-5E29-4B54-A273-23470678A700}" name="AF own %"/>
    <tableColumn id="42" xr3:uid="{4D46C1A8-C82A-4ED8-8A84-DA27B26FFB9F}" name="null12"/>
    <tableColumn id="43" xr3:uid="{33A9E6D5-D0AD-48AD-B793-B5DAE519C9CA}" name="AF Breakeven"/>
    <tableColumn id="44" xr3:uid="{F3711235-9DC3-4235-AEE4-BD77F60E26EE}" name="null13"/>
    <tableColumn id="45" xr3:uid="{D9BEA8E8-5650-4768-BD35-DD18AE6B95D1}" name="Contested Possessions"/>
    <tableColumn id="46" xr3:uid="{C81690AB-E0C4-4D33-AA0D-F65DD0544DA1}" name="Clearances"/>
    <tableColumn id="47" xr3:uid="{1FD1491B-FDF0-4B62-B024-A62431F69C57}" name="Clangers"/>
    <tableColumn id="48" xr3:uid="{C57DF61B-BB34-40B9-A244-07F23FA6E7E7}" name="Disposal efficiency"/>
    <tableColumn id="49" xr3:uid="{38D48730-C924-46F3-8155-AB9352F02A4D}" name="Time on ground"/>
    <tableColumn id="50" xr3:uid="{4F7401F9-7791-4D48-9490-0DE8218E1AB4}" name="Metres gained"/>
    <tableColumn id="51" xr3:uid="{24FC84BB-CFEB-4EA6-B2DA-44E6FBA0F7C4}" name="Bench staus"/>
    <tableColumn id="52" xr3:uid="{7D964EBB-4E63-4432-B39F-C206A91C7F08}" name="Injured"/>
    <tableColumn id="53" xr3:uid="{E6C46801-CDD7-4E58-84F3-3CC9196BB986}" name="Opposition_team_SC"/>
    <tableColumn id="54" xr3:uid="{7DE9A1B2-DD3F-4752-B8CA-CCCA51C9E9E7}" name="My_team_SC"/>
    <tableColumn id="55" xr3:uid="{E8CC5AFE-BC34-4814-9D16-FAC11E35EAC8}" name="Round Order"/>
    <tableColumn id="56" xr3:uid="{47E1F551-CFDD-4B68-A295-B490EED9EA23}" name="match_identifier"/>
    <tableColumn id="57" xr3:uid="{A2E284BA-FCD9-4760-BE19-32048EFD7D33}" name="80th_percentile"/>
    <tableColumn id="58" xr3:uid="{54D0F7D9-A3D1-4F4B-B5E9-6222E1BEAF13}" name="top_20"/>
    <tableColumn id="59" xr3:uid="{A1FDD221-BA5D-4150-B747-331051EE8B9D}" name="50th_percentile"/>
    <tableColumn id="60" xr3:uid="{C781EA21-6FA0-40C0-B0B4-487F701AE2CD}" name="top_50"/>
    <tableColumn id="61" xr3:uid="{A3E4E890-6681-48CC-A03F-4E764F03B29B}" name="3_rd_rolling_Kicks"/>
    <tableColumn id="62" xr3:uid="{629C7680-1481-4B84-A9F9-60ED6951611D}" name="15_rd_rolling_Kicks"/>
    <tableColumn id="63" xr3:uid="{ECED5CB9-936A-4FA1-A875-352D16E6DE30}" name="3_rd_rolling_Handballs"/>
    <tableColumn id="64" xr3:uid="{E06EA970-3549-47A2-A8D2-92D2923D3CD9}" name="15_rd_rolling_Handballs"/>
    <tableColumn id="65" xr3:uid="{A1C8B1B9-509C-4F83-9442-F0DF8787AECD}" name="3_rd_rolling_Marks"/>
    <tableColumn id="66" xr3:uid="{15AE37B9-496B-41B3-B99F-510DD268BA76}" name="15_rd_rolling_Marks"/>
    <tableColumn id="67" xr3:uid="{E259ED5D-52E4-410C-A2F9-C618BB7A5FB5}" name="3_rd_rolling_Tackles"/>
    <tableColumn id="68" xr3:uid="{B15223A3-6287-4780-8DB7-EDDC5E8F3EC9}" name="15_rd_rolling_Tackles"/>
    <tableColumn id="69" xr3:uid="{40DDB45C-9C77-4ECE-AC2B-BECFEE22F7B4}" name="3_rd_rolling_Hitouts"/>
    <tableColumn id="70" xr3:uid="{840A1EC7-842E-4CDC-8AB1-6413A9E982B0}" name="15_rd_rolling_Hitouts"/>
    <tableColumn id="71" xr3:uid="{A5372701-31A0-4349-AA8A-188223F4BDE5}" name="3_rd_rolling_Frees for"/>
    <tableColumn id="72" xr3:uid="{4D3C4D64-AC4B-4690-A310-7D615E40B996}" name="15_rd_rolling_Frees for"/>
    <tableColumn id="73" xr3:uid="{CC7D9F30-7D4D-41C4-9B28-8863D9F9BC22}" name="3_rd_rolling_Frees against"/>
    <tableColumn id="74" xr3:uid="{31CB6058-132F-4115-BBF2-8B6C360A32F4}" name="15_rd_rolling_Frees against"/>
    <tableColumn id="75" xr3:uid="{0A8C4C53-7C8C-4F20-8892-C077F441F474}" name="3_rd_rolling_Goals"/>
    <tableColumn id="76" xr3:uid="{DF62C750-0064-467D-8372-43AC25F48654}" name="15_rd_rolling_Goals"/>
    <tableColumn id="77" xr3:uid="{4206F131-1F1A-4361-BF42-A2E7C4CA2007}" name="3_rd_rolling_Behinds"/>
    <tableColumn id="78" xr3:uid="{CF2AA91F-B331-47A3-9E10-5AFA6F225396}" name="15_rd_rolling_Behinds"/>
    <tableColumn id="79" xr3:uid="{CC45F013-C701-4A2D-A5F2-5654E28BFC34}" name="3_rd_rolling_DT own %"/>
    <tableColumn id="80" xr3:uid="{29A7EF6A-B116-4187-9051-82086AEE84C0}" name="15_rd_rolling_DT own %"/>
    <tableColumn id="81" xr3:uid="{77F98A4D-F908-44E6-87C7-A0BF763138CB}" name="3_rd_rolling_SC own %"/>
    <tableColumn id="82" xr3:uid="{5694FDB5-4090-4291-B976-83CA06EEF7BB}" name="15_rd_rolling_SC own %"/>
    <tableColumn id="83" xr3:uid="{183544C3-26B8-4434-A4EE-471E454E931C}" name="3_rd_rolling_AF own %"/>
    <tableColumn id="84" xr3:uid="{525DC526-2717-4CE1-8014-4FC37BE2B333}" name="15_rd_rolling_AF own %"/>
    <tableColumn id="85" xr3:uid="{609557F6-6CF9-4DF7-8C3D-2FF07EE7A7DE}" name="3_rd_rolling_Contested Possessions"/>
    <tableColumn id="86" xr3:uid="{2A651688-33F2-4CDF-AB17-40FD9E403CBD}" name="15_rd_rolling_Contested Possessions"/>
    <tableColumn id="87" xr3:uid="{96371D5F-3FF8-4B36-8276-5C17294EF053}" name="3_rd_rolling_Clearances"/>
    <tableColumn id="88" xr3:uid="{0D3BA95B-0418-49E3-949E-8BC1FF46F1CB}" name="15_rd_rolling_Clearances"/>
    <tableColumn id="89" xr3:uid="{2114C5BF-7BBF-4931-9FC3-AC816747107D}" name="3_rd_rolling_Clangers"/>
    <tableColumn id="90" xr3:uid="{61A5FFCC-F23B-4FA6-A009-A8E8477E96DB}" name="15_rd_rolling_Clangers"/>
    <tableColumn id="91" xr3:uid="{9BF28DDA-9C55-447F-A6F0-416A0E649092}" name="3_rd_rolling_Disposal efficiency"/>
    <tableColumn id="92" xr3:uid="{DCAE6184-CAFE-4E2C-B3CD-DBB164045154}" name="15_rd_rolling_Disposal efficiency"/>
    <tableColumn id="93" xr3:uid="{31816B0C-0D19-41EF-A4B0-57D7B23C176D}" name="3_rd_rolling_Time on ground"/>
    <tableColumn id="94" xr3:uid="{DA9E69A5-15D6-4DDE-836B-EF2F344657EA}" name="15_rd_rolling_Time on ground"/>
    <tableColumn id="95" xr3:uid="{5105AAB7-5B44-4F7D-94C7-B0456744233D}" name="3_rd_rolling_Metres gained"/>
    <tableColumn id="96" xr3:uid="{8943F560-849A-424E-A365-F437454A3DF1}" name="15_rd_rolling_Metres gained"/>
    <tableColumn id="97" xr3:uid="{7B9CB6CA-ED92-47C8-B3B5-8A44E8673162}" name="3_rd_rolling_My_team_SC"/>
    <tableColumn id="98" xr3:uid="{50D034BD-FFD4-48C1-8A92-AAEDB13FB13B}" name="15_rd_rolling_My_team_SC"/>
    <tableColumn id="99" xr3:uid="{D1684729-5893-4304-9C6B-F142D20C85FA}" name="3_rd_rolling_Opposition_team_SC"/>
    <tableColumn id="100" xr3:uid="{1AE44D19-2E5B-4B55-95FC-8A2CF63E7E91}" name="15_rd_rolling_Opposition_team_SC"/>
    <tableColumn id="101" xr3:uid="{E674C618-CA6C-4C89-9F28-06D7AFFF0ED7}" name="rolling 20 round average"/>
    <tableColumn id="102" xr3:uid="{300E8009-86E0-4AD1-994D-1B5F34ECE80E}" name="rolling 10 round average"/>
    <tableColumn id="103" xr3:uid="{ACE53E95-8DC4-4E29-8967-954906D1E726}" name="rolling 5 round average"/>
    <tableColumn id="104" xr3:uid="{06BC644C-9EB0-40B4-87B3-320A60916BD4}" name="rolling 3 round average"/>
    <tableColumn id="105" xr3:uid="{AC79123E-7C6A-4AE4-B590-EE1D3061CF5F}" name="recent_round_rank"/>
    <tableColumn id="106" xr3:uid="{0B9D906E-1CAA-41DE-B505-19497F456156}" name="previous_tag"/>
    <tableColumn id="107" xr3:uid="{7C931357-AD44-4D08-952C-C63B71A6BF88}" name="actual"/>
    <tableColumn id="108" xr3:uid="{E7849120-03C0-4378-80F3-34DF71B1ABA3}" name="predicted"/>
    <tableColumn id="109" xr3:uid="{32C9B448-5D73-498B-A96B-ADB8D8CE1F0F}" name="diff"/>
    <tableColumn id="110" xr3:uid="{EBB8B014-E1E6-4B03-97A3-7A5C8B28DE07}" name="status" dataDxfId="1">
      <calculatedColumnFormula>_xlfn.XLOOKUP(Table1[[#This Row],[Player ID]],Table2[feed_id],Table2[trade_status])</calculatedColumnFormula>
    </tableColumn>
    <tableColumn id="111" xr3:uid="{BC42C553-A54C-411A-8D84-9A31EA7D0229}" name="Column2" dataDxfId="0">
      <calculatedColumnFormula>_xlfn.NUMBERVALUE(Table1[[#This Row],[predicted]])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03B3EC-5CC5-414C-B723-29047F877CA8}" name="Table2" displayName="Table2" ref="A1:BL607" totalsRowShown="0">
  <autoFilter ref="A1:BL607" xr:uid="{7503B3EC-5CC5-414C-B723-29047F877CA8}"/>
  <tableColumns count="64">
    <tableColumn id="1" xr3:uid="{6F9D2519-6A94-43E8-9E91-663654ED99A7}" name="Column1"/>
    <tableColumn id="2" xr3:uid="{F282B03C-1DE5-47CE-AF7C-6DC3CDE64BB1}" name="player_id"/>
    <tableColumn id="3" xr3:uid="{791466C0-B7EA-4B0F-A32A-47CDDDC66178}" name="trade_status"/>
    <tableColumn id="4" xr3:uid="{8D871B93-859D-440A-AF88-0141320A4797}" name="user_team_id"/>
    <tableColumn id="5" xr3:uid="{8DA41A26-3BE6-4E05-B81B-97D6735A2AFA}" name="waiver_until"/>
    <tableColumn id="6" xr3:uid="{71D2D312-D760-4DB1-86FF-01A84329651F}" name="feed_id"/>
    <tableColumn id="7" xr3:uid="{B116270D-571B-44B2-8A94-1410767DF9A5}" name="first_name"/>
    <tableColumn id="8" xr3:uid="{BAC52CD1-388E-48D7-A317-9145933C23A2}" name="last_name"/>
    <tableColumn id="9" xr3:uid="{E0971083-486B-4C32-99ED-60A9D3C6D719}" name="team"/>
    <tableColumn id="10" xr3:uid="{BA0EF21C-C072-4794-831A-9BE12D170C72}" name="position"/>
    <tableColumn id="11" xr3:uid="{6438DF57-9C54-4883-A21E-813596024D06}" name="round"/>
    <tableColumn id="12" xr3:uid="{A637F8F4-C484-4F7F-AEC6-3FC9DD673269}" name="points"/>
    <tableColumn id="13" xr3:uid="{D3DE929F-0570-4CA5-889E-CED2B498A383}" name="price"/>
    <tableColumn id="14" xr3:uid="{B1579D6A-5F6A-400C-8956-614D207475D3}" name="total_points"/>
    <tableColumn id="15" xr3:uid="{796212D5-16CF-4D30-8521-C1F82EB2394E}" name="games"/>
    <tableColumn id="16" xr3:uid="{2A7E1397-4D25-401C-8677-5150DA701E85}" name="total_games"/>
    <tableColumn id="17" xr3:uid="{7702EFCC-C1A6-4DCE-9EC7-E49EC9329AE2}" name="price_change"/>
    <tableColumn id="18" xr3:uid="{D1A33B94-D262-4CF4-91DD-32FC42D63583}" name="total_price_change"/>
    <tableColumn id="19" xr3:uid="{66192002-3C34-4576-8EE4-D2EBC6B23E2C}" name="last_position"/>
    <tableColumn id="20" xr3:uid="{664A6F3F-36EF-4392-AFB4-DAB9F64AD639}" name="round_position"/>
    <tableColumn id="21" xr3:uid="{494DA20A-AEE9-4D71-8A7C-C0B49A98F165}" name="minutes_played"/>
    <tableColumn id="22" xr3:uid="{A81F811C-AB4C-45F8-935B-9CB75D2A648D}" name="total_minutes_played"/>
    <tableColumn id="23" xr3:uid="{5BBA82A4-8DE2-4668-BF3F-492DD56FA784}" name="updated_at"/>
    <tableColumn id="24" xr3:uid="{ED77C299-5B7E-4C20-B7C4-82BA8EED04EA}" name="kicks"/>
    <tableColumn id="25" xr3:uid="{388A21DA-DCEC-4953-A528-2BF7AE8E240D}" name="total_kicks"/>
    <tableColumn id="26" xr3:uid="{8E27DB37-7F9A-402E-A10C-527C7D16CFEC}" name="handballs"/>
    <tableColumn id="27" xr3:uid="{81CBF2F8-C946-48E2-A0B4-7F57D4E9D30A}" name="total_handballs"/>
    <tableColumn id="28" xr3:uid="{26C3DC5C-56E9-4017-99A6-A74BE8E7989B}" name="marks"/>
    <tableColumn id="29" xr3:uid="{ED8DA85D-B5AC-4CAF-A19E-2D4B6FFE6654}" name="total_marks"/>
    <tableColumn id="30" xr3:uid="{E2AF5349-0FA5-4F1F-B80E-1DDC11A66E4E}" name="tackles"/>
    <tableColumn id="31" xr3:uid="{83F765D0-AEBF-4398-B1AE-F33E343F48A0}" name="total_tackles"/>
    <tableColumn id="32" xr3:uid="{459CDB2A-DCED-4F9F-B99D-C248FCF2BCD2}" name="freekicks_for"/>
    <tableColumn id="33" xr3:uid="{5A34932B-E548-4B45-8D01-4A34E93F4F98}" name="total_freekicks_for"/>
    <tableColumn id="34" xr3:uid="{83F8049A-C23B-4EDC-9B0B-F6356CD040B7}" name="freekicks_against"/>
    <tableColumn id="35" xr3:uid="{8B214E36-DF32-47DC-8534-45456CD58113}" name="total_freekicks_against"/>
    <tableColumn id="36" xr3:uid="{86483D54-EA07-4FB7-8C9A-B70CFA1173F6}" name="hitouts"/>
    <tableColumn id="37" xr3:uid="{7B3D7729-8401-4E3A-9884-257E800D6BB3}" name="total_hitouts"/>
    <tableColumn id="38" xr3:uid="{0ED0F08B-C164-4591-91B4-8CA9781D7A34}" name="goals"/>
    <tableColumn id="39" xr3:uid="{FC779BD3-D670-4652-904F-A1DFCD4232C1}" name="total_goals"/>
    <tableColumn id="40" xr3:uid="{0107A683-8489-4AF1-950D-BEBDB1944AB9}" name="behinds"/>
    <tableColumn id="41" xr3:uid="{7FEE1C6F-4254-4563-AC8B-E4C8C75A2920}" name="total_behinds"/>
    <tableColumn id="42" xr3:uid="{0FDBD0E1-3E26-4B53-AAF0-97C52772E9A7}" name="avg5"/>
    <tableColumn id="43" xr3:uid="{1FE2C431-2E85-45DC-A40E-4E650E38F117}" name="own_raw"/>
    <tableColumn id="44" xr3:uid="{0AC23B43-3A9D-405E-B3E3-78BAC0A44BCD}" name="avg"/>
    <tableColumn id="45" xr3:uid="{064EF6A1-F8E1-44AC-93C8-CA050B7BB5A8}" name="avg3"/>
    <tableColumn id="46" xr3:uid="{B99EB099-7483-491A-BA5B-9488140BFF69}" name="opp"/>
    <tableColumn id="47" xr3:uid="{075941D9-637B-4C6A-8603-DEA9864FBE15}" name="oppavg"/>
    <tableColumn id="48" xr3:uid="{1213BA93-8146-47EE-8675-2C2DA8F732EA}" name="opph"/>
    <tableColumn id="49" xr3:uid="{EF82BCD7-0142-41C8-AAD3-F78B0EEC560D}" name="opp1"/>
    <tableColumn id="50" xr3:uid="{1DE845C7-50DF-4599-8543-9478A8AA5C68}" name="opp1h"/>
    <tableColumn id="51" xr3:uid="{A6B2D766-A4E0-4B70-9C04-86EA55F11A79}" name="opp2"/>
    <tableColumn id="52" xr3:uid="{87258CB3-429E-4BAC-B7D0-6DA4882B97C4}" name="opp2h"/>
    <tableColumn id="53" xr3:uid="{76C7FEA1-055C-41BF-8C39-FDD37AFB269E}" name="opp3"/>
    <tableColumn id="54" xr3:uid="{A79BE335-0C1E-4B25-8F75-4AF784C56738}" name="opp3h"/>
    <tableColumn id="55" xr3:uid="{0D8A0A7F-CA0B-487C-AC26-A3D28B98888C}" name="ven"/>
    <tableColumn id="56" xr3:uid="{0F7DBA2E-A3BF-4750-A38C-5EB313CC6460}" name="venavg"/>
    <tableColumn id="57" xr3:uid="{6852DE81-0230-430F-8009-72F89AF70D0C}" name="ven1"/>
    <tableColumn id="58" xr3:uid="{C106E8D2-EC66-4CA1-A768-6FC81A1A9BEE}" name="ven2"/>
    <tableColumn id="59" xr3:uid="{06BB05FD-E98C-4BC4-BEF6-826778182327}" name="ven3"/>
    <tableColumn id="60" xr3:uid="{8C40B326-C163-44EC-B21C-AE037438DBB5}" name="owned"/>
    <tableColumn id="61" xr3:uid="{97DA8733-F481-41CB-8FBC-1F06288D0FBE}" name="points_per_min"/>
    <tableColumn id="62" xr3:uid="{7E0622D7-AFDF-4561-B3EB-D915454E594E}" name="total_points_per_min"/>
    <tableColumn id="63" xr3:uid="{F9648628-A626-40AC-BB77-9E69CA7EB833}" name="mvp_value"/>
    <tableColumn id="64" xr3:uid="{F6263A11-2368-417F-89BF-AA0142F77327}" name="position_chan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7E51-BF41-4EA3-89DC-17D8D866B8F0}">
  <dimension ref="A1:DG1014"/>
  <sheetViews>
    <sheetView tabSelected="1" topLeftCell="G1" workbookViewId="0">
      <selection activeCell="AJ715" sqref="AJ715"/>
    </sheetView>
  </sheetViews>
  <sheetFormatPr defaultRowHeight="15" x14ac:dyDescent="0.25"/>
  <cols>
    <col min="1" max="1" width="11" hidden="1" customWidth="1"/>
    <col min="2" max="2" width="18.85546875" hidden="1" customWidth="1"/>
    <col min="3" max="3" width="20.28515625" hidden="1" customWidth="1"/>
    <col min="4" max="5" width="0" hidden="1" customWidth="1"/>
    <col min="6" max="6" width="10.85546875" hidden="1" customWidth="1"/>
    <col min="7" max="7" width="12.7109375" customWidth="1"/>
    <col min="8" max="8" width="11" customWidth="1"/>
    <col min="10" max="11" width="0" hidden="1" customWidth="1"/>
    <col min="13" max="16" width="0" hidden="1" customWidth="1"/>
    <col min="17" max="17" width="12.28515625" hidden="1" customWidth="1"/>
    <col min="18" max="18" width="0" hidden="1" customWidth="1"/>
    <col min="19" max="19" width="9.85546875" hidden="1" customWidth="1"/>
    <col min="20" max="20" width="9.42578125" hidden="1" customWidth="1"/>
    <col min="21" max="21" width="10.7109375" hidden="1" customWidth="1"/>
    <col min="22" max="22" width="14.85546875" hidden="1" customWidth="1"/>
    <col min="23" max="23" width="0" hidden="1" customWidth="1"/>
    <col min="24" max="24" width="10.28515625" hidden="1" customWidth="1"/>
    <col min="25" max="25" width="10.5703125" hidden="1" customWidth="1"/>
    <col min="27" max="27" width="11.85546875" customWidth="1"/>
    <col min="29" max="29" width="13.28515625" customWidth="1"/>
    <col min="34" max="34" width="10.42578125" customWidth="1"/>
    <col min="35" max="35" width="17.140625" customWidth="1"/>
    <col min="39" max="39" width="11.5703125" customWidth="1"/>
    <col min="40" max="41" width="11.42578125" customWidth="1"/>
    <col min="43" max="43" width="14.7109375" customWidth="1"/>
    <col min="45" max="45" width="23.42578125" customWidth="1"/>
    <col min="46" max="46" width="13" customWidth="1"/>
    <col min="47" max="47" width="10.85546875" customWidth="1"/>
    <col min="48" max="48" width="19.7109375" customWidth="1"/>
    <col min="49" max="49" width="16.85546875" customWidth="1"/>
    <col min="50" max="50" width="15.42578125" customWidth="1"/>
    <col min="51" max="51" width="13.85546875" customWidth="1"/>
    <col min="52" max="52" width="9.42578125" customWidth="1"/>
    <col min="53" max="53" width="21.28515625" customWidth="1"/>
    <col min="54" max="54" width="13.85546875" customWidth="1"/>
    <col min="55" max="55" width="14.28515625" customWidth="1"/>
    <col min="56" max="56" width="17.42578125" customWidth="1"/>
    <col min="57" max="57" width="16.42578125" customWidth="1"/>
    <col min="59" max="59" width="16.42578125" customWidth="1"/>
    <col min="61" max="61" width="19" customWidth="1"/>
    <col min="62" max="62" width="20" customWidth="1"/>
    <col min="63" max="63" width="23.42578125" customWidth="1"/>
    <col min="64" max="64" width="24.42578125" customWidth="1"/>
    <col min="65" max="65" width="19.7109375" customWidth="1"/>
    <col min="66" max="66" width="20.7109375" customWidth="1"/>
    <col min="67" max="67" width="21" customWidth="1"/>
    <col min="68" max="68" width="22" customWidth="1"/>
    <col min="69" max="69" width="20.5703125" customWidth="1"/>
    <col min="70" max="70" width="21.5703125" customWidth="1"/>
    <col min="71" max="71" width="21.85546875" customWidth="1"/>
    <col min="72" max="72" width="22.85546875" customWidth="1"/>
    <col min="73" max="73" width="26" customWidth="1"/>
    <col min="74" max="74" width="27" customWidth="1"/>
    <col min="75" max="75" width="19.42578125" customWidth="1"/>
    <col min="76" max="76" width="20.42578125" customWidth="1"/>
    <col min="77" max="77" width="21.42578125" customWidth="1"/>
    <col min="78" max="78" width="22.42578125" customWidth="1"/>
    <col min="79" max="79" width="22.7109375" customWidth="1"/>
    <col min="80" max="80" width="23.7109375" customWidth="1"/>
    <col min="81" max="81" width="22.5703125" customWidth="1"/>
    <col min="82" max="82" width="23.5703125" customWidth="1"/>
    <col min="83" max="83" width="22.5703125" customWidth="1"/>
    <col min="84" max="84" width="23.5703125" customWidth="1"/>
    <col min="85" max="85" width="34.5703125" customWidth="1"/>
    <col min="86" max="86" width="35.5703125" customWidth="1"/>
    <col min="87" max="87" width="24.140625" customWidth="1"/>
    <col min="88" max="88" width="25.140625" customWidth="1"/>
    <col min="89" max="89" width="22" customWidth="1"/>
    <col min="90" max="90" width="23" customWidth="1"/>
    <col min="91" max="91" width="30.85546875" customWidth="1"/>
    <col min="92" max="92" width="31.85546875" customWidth="1"/>
    <col min="93" max="93" width="28" customWidth="1"/>
    <col min="94" max="94" width="29" customWidth="1"/>
    <col min="95" max="95" width="26.5703125" customWidth="1"/>
    <col min="96" max="96" width="27.5703125" customWidth="1"/>
    <col min="97" max="97" width="25" customWidth="1"/>
    <col min="98" max="98" width="26" customWidth="1"/>
    <col min="99" max="99" width="32.42578125" customWidth="1"/>
    <col min="100" max="100" width="33.42578125" customWidth="1"/>
    <col min="101" max="102" width="24.28515625" customWidth="1"/>
    <col min="103" max="104" width="23.28515625" customWidth="1"/>
    <col min="105" max="105" width="19.5703125" customWidth="1"/>
    <col min="106" max="106" width="14.28515625" customWidth="1"/>
    <col min="108" max="108" width="11.42578125" customWidth="1"/>
  </cols>
  <sheetData>
    <row r="1" spans="1:111" x14ac:dyDescent="0.25">
      <c r="A1" t="s">
        <v>8381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9334</v>
      </c>
      <c r="DG1" t="s">
        <v>9335</v>
      </c>
    </row>
    <row r="2" spans="1:111" hidden="1" x14ac:dyDescent="0.25">
      <c r="A2">
        <v>49219</v>
      </c>
      <c r="B2">
        <v>5381</v>
      </c>
      <c r="C2" t="s">
        <v>108</v>
      </c>
      <c r="D2" t="s">
        <v>109</v>
      </c>
      <c r="E2">
        <v>2015</v>
      </c>
      <c r="F2">
        <v>220105</v>
      </c>
      <c r="G2" t="s">
        <v>110</v>
      </c>
      <c r="H2" t="s">
        <v>111</v>
      </c>
      <c r="I2" t="s">
        <v>112</v>
      </c>
      <c r="J2">
        <v>10</v>
      </c>
      <c r="K2">
        <v>63</v>
      </c>
      <c r="L2">
        <v>83</v>
      </c>
      <c r="M2">
        <v>49</v>
      </c>
      <c r="N2">
        <v>54</v>
      </c>
      <c r="O2">
        <v>67</v>
      </c>
      <c r="P2">
        <v>7</v>
      </c>
      <c r="Q2">
        <v>7</v>
      </c>
      <c r="R2">
        <v>5</v>
      </c>
      <c r="S2">
        <v>1</v>
      </c>
      <c r="T2">
        <v>0</v>
      </c>
      <c r="U2">
        <v>2</v>
      </c>
      <c r="V2">
        <v>0</v>
      </c>
      <c r="W2">
        <v>1</v>
      </c>
      <c r="X2">
        <v>1</v>
      </c>
      <c r="Y2" t="s">
        <v>113</v>
      </c>
      <c r="Z2" t="s">
        <v>114</v>
      </c>
      <c r="AA2" t="s">
        <v>115</v>
      </c>
      <c r="AB2" t="s">
        <v>116</v>
      </c>
      <c r="AC2" t="s">
        <v>117</v>
      </c>
      <c r="AD2">
        <v>291800</v>
      </c>
      <c r="AE2">
        <v>60</v>
      </c>
      <c r="AF2">
        <v>599700</v>
      </c>
      <c r="AG2">
        <v>153</v>
      </c>
      <c r="AH2" t="s">
        <v>118</v>
      </c>
      <c r="AI2">
        <v>36</v>
      </c>
      <c r="AJ2">
        <v>12</v>
      </c>
      <c r="AK2">
        <v>64.099999999999994</v>
      </c>
      <c r="AL2">
        <v>107</v>
      </c>
      <c r="AM2">
        <v>1.1399999999999999</v>
      </c>
      <c r="AN2">
        <v>59.19</v>
      </c>
      <c r="AO2">
        <v>58.12</v>
      </c>
      <c r="AP2">
        <v>619000</v>
      </c>
      <c r="AQ2">
        <v>100</v>
      </c>
      <c r="AS2">
        <v>4</v>
      </c>
      <c r="AT2">
        <v>2</v>
      </c>
      <c r="AU2">
        <v>0</v>
      </c>
      <c r="AV2">
        <v>78</v>
      </c>
      <c r="AW2">
        <v>37</v>
      </c>
      <c r="AZ2" t="b">
        <v>1</v>
      </c>
      <c r="BA2">
        <v>1360</v>
      </c>
      <c r="BB2">
        <v>1902</v>
      </c>
      <c r="BC2">
        <v>23</v>
      </c>
      <c r="BD2" t="s">
        <v>119</v>
      </c>
      <c r="BE2" s="1" t="s">
        <v>120</v>
      </c>
      <c r="BF2">
        <v>0</v>
      </c>
      <c r="BG2">
        <v>77</v>
      </c>
      <c r="BH2">
        <v>1</v>
      </c>
      <c r="BI2" s="1" t="s">
        <v>121</v>
      </c>
      <c r="BJ2">
        <v>15.4</v>
      </c>
      <c r="BK2" s="1" t="s">
        <v>122</v>
      </c>
      <c r="BL2" s="1" t="s">
        <v>123</v>
      </c>
      <c r="BM2" s="1" t="s">
        <v>124</v>
      </c>
      <c r="BN2" s="1" t="s">
        <v>124</v>
      </c>
      <c r="BO2" s="1" t="s">
        <v>125</v>
      </c>
      <c r="BP2">
        <v>4</v>
      </c>
      <c r="BQ2">
        <v>0</v>
      </c>
      <c r="BR2">
        <v>0</v>
      </c>
      <c r="BS2" s="1" t="s">
        <v>126</v>
      </c>
      <c r="BT2" s="1" t="s">
        <v>127</v>
      </c>
      <c r="BU2" s="1" t="s">
        <v>128</v>
      </c>
      <c r="BV2" s="1" t="s">
        <v>128</v>
      </c>
      <c r="BW2" s="1" t="s">
        <v>126</v>
      </c>
      <c r="BX2">
        <v>1</v>
      </c>
      <c r="BY2" s="1" t="s">
        <v>129</v>
      </c>
      <c r="BZ2" s="1" t="s">
        <v>130</v>
      </c>
      <c r="CA2" s="1" t="s">
        <v>131</v>
      </c>
      <c r="CB2" s="1" t="s">
        <v>132</v>
      </c>
      <c r="CC2" s="1" t="s">
        <v>133</v>
      </c>
      <c r="CD2" s="1" t="s">
        <v>134</v>
      </c>
      <c r="CE2" s="1" t="s">
        <v>135</v>
      </c>
      <c r="CF2" s="1" t="s">
        <v>136</v>
      </c>
      <c r="CG2" s="1" t="s">
        <v>137</v>
      </c>
      <c r="CH2">
        <v>11.2</v>
      </c>
      <c r="CI2" s="1" t="s">
        <v>138</v>
      </c>
      <c r="CJ2" s="1" t="s">
        <v>139</v>
      </c>
      <c r="CK2">
        <v>3</v>
      </c>
      <c r="CL2" s="1" t="s">
        <v>140</v>
      </c>
      <c r="CM2">
        <v>74</v>
      </c>
      <c r="CN2">
        <v>69.400000000000006</v>
      </c>
      <c r="CO2" s="1" t="s">
        <v>141</v>
      </c>
      <c r="CP2" s="1" t="s">
        <v>142</v>
      </c>
      <c r="CS2">
        <v>1632</v>
      </c>
      <c r="CT2" s="1" t="s">
        <v>143</v>
      </c>
      <c r="CU2" s="1" t="s">
        <v>144</v>
      </c>
      <c r="CV2" s="1" t="s">
        <v>145</v>
      </c>
      <c r="CW2">
        <v>105.6</v>
      </c>
      <c r="CX2">
        <v>110.7</v>
      </c>
      <c r="CY2">
        <v>116.4</v>
      </c>
      <c r="CZ2" s="1" t="s">
        <v>146</v>
      </c>
      <c r="DA2">
        <v>1</v>
      </c>
      <c r="DB2" t="s">
        <v>114</v>
      </c>
      <c r="DC2">
        <v>83</v>
      </c>
      <c r="DD2" s="1" t="s">
        <v>147</v>
      </c>
      <c r="DE2" s="1" t="s">
        <v>148</v>
      </c>
      <c r="DF2" t="e">
        <f>_xlfn.XLOOKUP(Table1[[#This Row],[Player ID]],Table2[feed_id],Table2[trade_status])</f>
        <v>#N/A</v>
      </c>
      <c r="DG2">
        <f>_xlfn.NUMBERVALUE(Table1[[#This Row],[predicted]])</f>
        <v>80.122573326160307</v>
      </c>
    </row>
    <row r="3" spans="1:111" hidden="1" x14ac:dyDescent="0.25">
      <c r="A3">
        <v>49494</v>
      </c>
      <c r="B3">
        <v>5388</v>
      </c>
      <c r="C3" t="s">
        <v>149</v>
      </c>
      <c r="D3" t="s">
        <v>109</v>
      </c>
      <c r="E3">
        <v>2015</v>
      </c>
      <c r="F3">
        <v>220098</v>
      </c>
      <c r="G3" t="s">
        <v>150</v>
      </c>
      <c r="H3" t="s">
        <v>151</v>
      </c>
      <c r="I3" t="s">
        <v>152</v>
      </c>
      <c r="J3">
        <v>12</v>
      </c>
      <c r="K3">
        <v>60</v>
      </c>
      <c r="L3">
        <v>59</v>
      </c>
      <c r="M3">
        <v>78</v>
      </c>
      <c r="N3">
        <v>50</v>
      </c>
      <c r="O3">
        <v>66</v>
      </c>
      <c r="P3">
        <v>10</v>
      </c>
      <c r="Q3">
        <v>2</v>
      </c>
      <c r="R3">
        <v>4</v>
      </c>
      <c r="S3">
        <v>2</v>
      </c>
      <c r="T3">
        <v>0</v>
      </c>
      <c r="U3">
        <v>0</v>
      </c>
      <c r="V3">
        <v>2</v>
      </c>
      <c r="W3">
        <v>2</v>
      </c>
      <c r="X3">
        <v>0</v>
      </c>
      <c r="Y3" t="s">
        <v>113</v>
      </c>
      <c r="Z3" t="s">
        <v>153</v>
      </c>
      <c r="AA3" t="s">
        <v>154</v>
      </c>
      <c r="AD3">
        <v>124600</v>
      </c>
      <c r="AF3">
        <v>380800</v>
      </c>
      <c r="AG3">
        <v>68</v>
      </c>
      <c r="AH3" t="s">
        <v>155</v>
      </c>
      <c r="AI3">
        <v>13</v>
      </c>
      <c r="AJ3">
        <v>0</v>
      </c>
      <c r="AK3">
        <v>0</v>
      </c>
      <c r="AL3">
        <v>86.3</v>
      </c>
      <c r="AM3">
        <v>0.43</v>
      </c>
      <c r="AN3">
        <v>0.41</v>
      </c>
      <c r="AO3">
        <v>0.42</v>
      </c>
      <c r="AP3">
        <v>399000</v>
      </c>
      <c r="AQ3">
        <v>93</v>
      </c>
      <c r="AS3">
        <v>2</v>
      </c>
      <c r="AT3">
        <v>2</v>
      </c>
      <c r="AU3">
        <v>3</v>
      </c>
      <c r="AV3">
        <v>58</v>
      </c>
      <c r="AW3">
        <v>0</v>
      </c>
      <c r="AZ3" t="b">
        <v>0</v>
      </c>
      <c r="BA3">
        <v>1754</v>
      </c>
      <c r="BB3">
        <v>1329</v>
      </c>
      <c r="BC3">
        <v>23</v>
      </c>
      <c r="BD3" t="s">
        <v>156</v>
      </c>
      <c r="BE3" s="1" t="s">
        <v>120</v>
      </c>
      <c r="BF3">
        <v>0</v>
      </c>
      <c r="BG3">
        <v>77</v>
      </c>
      <c r="BH3">
        <v>0</v>
      </c>
      <c r="BI3" s="1" t="s">
        <v>157</v>
      </c>
      <c r="BJ3">
        <v>10.4</v>
      </c>
      <c r="BK3">
        <v>3</v>
      </c>
      <c r="BL3" s="1" t="s">
        <v>158</v>
      </c>
      <c r="BM3" s="1" t="s">
        <v>159</v>
      </c>
      <c r="BN3" s="1" t="s">
        <v>160</v>
      </c>
      <c r="BO3">
        <v>5</v>
      </c>
      <c r="BP3">
        <v>4.2</v>
      </c>
      <c r="BQ3">
        <v>0</v>
      </c>
      <c r="BR3">
        <v>0</v>
      </c>
      <c r="BS3" s="1" t="s">
        <v>161</v>
      </c>
      <c r="BT3" s="1" t="s">
        <v>162</v>
      </c>
      <c r="BU3">
        <v>1</v>
      </c>
      <c r="BV3" s="1" t="s">
        <v>162</v>
      </c>
      <c r="BW3" s="1" t="s">
        <v>128</v>
      </c>
      <c r="BX3">
        <v>0.6</v>
      </c>
      <c r="BY3" s="1" t="s">
        <v>128</v>
      </c>
      <c r="BZ3">
        <v>0.8</v>
      </c>
      <c r="CA3" s="1" t="s">
        <v>163</v>
      </c>
      <c r="CB3">
        <v>0.48599999999999999</v>
      </c>
      <c r="CC3" s="1" t="s">
        <v>164</v>
      </c>
      <c r="CD3" s="1" t="s">
        <v>165</v>
      </c>
      <c r="CE3" s="1" t="s">
        <v>166</v>
      </c>
      <c r="CF3" s="1" t="s">
        <v>167</v>
      </c>
      <c r="CG3" s="1" t="s">
        <v>124</v>
      </c>
      <c r="CH3" s="1" t="s">
        <v>168</v>
      </c>
      <c r="CI3" s="1" t="s">
        <v>169</v>
      </c>
      <c r="CJ3">
        <v>2.8</v>
      </c>
      <c r="CK3">
        <v>2</v>
      </c>
      <c r="CL3" s="1" t="s">
        <v>170</v>
      </c>
      <c r="CM3" s="1" t="s">
        <v>171</v>
      </c>
      <c r="CN3" s="1" t="s">
        <v>172</v>
      </c>
      <c r="CO3">
        <v>53</v>
      </c>
      <c r="CP3">
        <v>75.400000000000006</v>
      </c>
      <c r="CS3">
        <v>1513</v>
      </c>
      <c r="CT3">
        <v>1618.2</v>
      </c>
      <c r="CU3">
        <v>1709</v>
      </c>
      <c r="CV3" s="1" t="s">
        <v>173</v>
      </c>
      <c r="CW3">
        <v>78.849999999999994</v>
      </c>
      <c r="CX3">
        <v>77.599999999999994</v>
      </c>
      <c r="CY3">
        <v>70</v>
      </c>
      <c r="CZ3">
        <v>75</v>
      </c>
      <c r="DA3">
        <v>1</v>
      </c>
      <c r="DB3" t="s">
        <v>153</v>
      </c>
      <c r="DC3">
        <v>59</v>
      </c>
      <c r="DD3" s="1" t="s">
        <v>174</v>
      </c>
      <c r="DE3">
        <v>-23.223209471140098</v>
      </c>
      <c r="DF3" t="e">
        <f>_xlfn.XLOOKUP(Table1[[#This Row],[Player ID]],Table2[feed_id],Table2[trade_status])</f>
        <v>#N/A</v>
      </c>
      <c r="DG3">
        <f>_xlfn.NUMBERVALUE(Table1[[#This Row],[predicted]])</f>
        <v>82.223209471140095</v>
      </c>
    </row>
    <row r="4" spans="1:111" hidden="1" x14ac:dyDescent="0.25">
      <c r="A4">
        <v>49532</v>
      </c>
      <c r="B4">
        <v>5389</v>
      </c>
      <c r="C4" t="s">
        <v>175</v>
      </c>
      <c r="D4" t="s">
        <v>109</v>
      </c>
      <c r="E4">
        <v>2015</v>
      </c>
      <c r="F4">
        <v>200045</v>
      </c>
      <c r="G4" t="s">
        <v>176</v>
      </c>
      <c r="H4" t="s">
        <v>177</v>
      </c>
      <c r="I4" t="s">
        <v>178</v>
      </c>
      <c r="J4">
        <v>20</v>
      </c>
      <c r="K4">
        <v>94</v>
      </c>
      <c r="L4">
        <v>83</v>
      </c>
      <c r="M4">
        <v>120</v>
      </c>
      <c r="N4">
        <v>79</v>
      </c>
      <c r="O4">
        <v>102</v>
      </c>
      <c r="P4">
        <v>11</v>
      </c>
      <c r="Q4">
        <v>10</v>
      </c>
      <c r="R4">
        <v>11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 t="s">
        <v>113</v>
      </c>
      <c r="Z4" t="s">
        <v>179</v>
      </c>
      <c r="AA4" t="s">
        <v>180</v>
      </c>
      <c r="AD4">
        <v>114900</v>
      </c>
      <c r="AF4">
        <v>326500</v>
      </c>
      <c r="AG4">
        <v>112</v>
      </c>
      <c r="AH4" t="s">
        <v>181</v>
      </c>
      <c r="AI4">
        <v>18</v>
      </c>
      <c r="AJ4">
        <v>0</v>
      </c>
      <c r="AK4">
        <v>0</v>
      </c>
      <c r="AL4">
        <v>67.099999999999994</v>
      </c>
      <c r="AM4">
        <v>0.31</v>
      </c>
      <c r="AN4">
        <v>0.63</v>
      </c>
      <c r="AO4">
        <v>1.22</v>
      </c>
      <c r="AP4">
        <v>329000</v>
      </c>
      <c r="AQ4">
        <v>69</v>
      </c>
      <c r="AS4">
        <v>3</v>
      </c>
      <c r="AT4">
        <v>0</v>
      </c>
      <c r="AU4">
        <v>0</v>
      </c>
      <c r="AV4">
        <v>100</v>
      </c>
      <c r="AW4">
        <v>91</v>
      </c>
      <c r="AZ4" t="b">
        <v>0</v>
      </c>
      <c r="BA4">
        <v>1412</v>
      </c>
      <c r="BB4">
        <v>1875</v>
      </c>
      <c r="BC4">
        <v>23</v>
      </c>
      <c r="BD4" t="s">
        <v>182</v>
      </c>
      <c r="BE4" s="1" t="s">
        <v>120</v>
      </c>
      <c r="BF4">
        <v>0</v>
      </c>
      <c r="BG4">
        <v>77</v>
      </c>
      <c r="BH4">
        <v>1</v>
      </c>
      <c r="BI4" s="1" t="s">
        <v>183</v>
      </c>
      <c r="BJ4">
        <v>9</v>
      </c>
      <c r="BK4" s="1" t="s">
        <v>124</v>
      </c>
      <c r="BL4">
        <v>6.8</v>
      </c>
      <c r="BM4">
        <v>7</v>
      </c>
      <c r="BN4">
        <v>6.8</v>
      </c>
      <c r="BO4" s="1" t="s">
        <v>161</v>
      </c>
      <c r="BP4">
        <v>1</v>
      </c>
      <c r="BQ4">
        <v>0</v>
      </c>
      <c r="BR4" s="1" t="s">
        <v>184</v>
      </c>
      <c r="BS4">
        <v>0</v>
      </c>
      <c r="BT4" s="1" t="s">
        <v>129</v>
      </c>
      <c r="BU4">
        <v>0</v>
      </c>
      <c r="BV4" s="1" t="s">
        <v>130</v>
      </c>
      <c r="BW4">
        <v>0</v>
      </c>
      <c r="BX4">
        <v>0</v>
      </c>
      <c r="BY4">
        <v>0</v>
      </c>
      <c r="BZ4">
        <v>0</v>
      </c>
      <c r="CA4">
        <v>0.31</v>
      </c>
      <c r="CB4" s="1" t="s">
        <v>185</v>
      </c>
      <c r="CC4" s="1" t="s">
        <v>186</v>
      </c>
      <c r="CD4">
        <v>0.63200000000000001</v>
      </c>
      <c r="CE4" s="1" t="s">
        <v>187</v>
      </c>
      <c r="CF4" s="1" t="s">
        <v>188</v>
      </c>
      <c r="CG4" s="1" t="s">
        <v>161</v>
      </c>
      <c r="CH4" s="1" t="s">
        <v>189</v>
      </c>
      <c r="CI4">
        <v>0</v>
      </c>
      <c r="CJ4" s="1" t="s">
        <v>184</v>
      </c>
      <c r="CK4" s="1" t="s">
        <v>128</v>
      </c>
      <c r="CL4" s="1" t="s">
        <v>161</v>
      </c>
      <c r="CM4">
        <v>89</v>
      </c>
      <c r="CN4" s="1" t="s">
        <v>190</v>
      </c>
      <c r="CO4">
        <v>82</v>
      </c>
      <c r="CP4">
        <v>84.2</v>
      </c>
      <c r="CS4" s="1" t="s">
        <v>191</v>
      </c>
      <c r="CT4" s="1" t="s">
        <v>192</v>
      </c>
      <c r="CU4" s="1" t="s">
        <v>193</v>
      </c>
      <c r="CV4" s="1" t="s">
        <v>194</v>
      </c>
      <c r="CW4">
        <v>67.25</v>
      </c>
      <c r="CX4">
        <v>66.099999999999994</v>
      </c>
      <c r="CY4">
        <v>62.6</v>
      </c>
      <c r="CZ4" s="1" t="s">
        <v>195</v>
      </c>
      <c r="DA4">
        <v>1</v>
      </c>
      <c r="DB4" t="s">
        <v>179</v>
      </c>
      <c r="DC4">
        <v>83</v>
      </c>
      <c r="DD4">
        <v>55.217072246300198</v>
      </c>
      <c r="DE4" s="1" t="s">
        <v>196</v>
      </c>
      <c r="DF4" t="e">
        <f>_xlfn.XLOOKUP(Table1[[#This Row],[Player ID]],Table2[feed_id],Table2[trade_status])</f>
        <v>#N/A</v>
      </c>
      <c r="DG4">
        <f>_xlfn.NUMBERVALUE(Table1[[#This Row],[predicted]])</f>
        <v>55.217072246300198</v>
      </c>
    </row>
    <row r="5" spans="1:111" hidden="1" x14ac:dyDescent="0.25">
      <c r="A5">
        <v>49668</v>
      </c>
      <c r="B5">
        <v>5392</v>
      </c>
      <c r="C5" t="s">
        <v>197</v>
      </c>
      <c r="D5" t="s">
        <v>198</v>
      </c>
      <c r="E5">
        <v>2015</v>
      </c>
      <c r="F5">
        <v>295162</v>
      </c>
      <c r="G5" t="s">
        <v>199</v>
      </c>
      <c r="H5" t="s">
        <v>200</v>
      </c>
      <c r="I5" t="s">
        <v>201</v>
      </c>
      <c r="J5">
        <v>4</v>
      </c>
      <c r="K5">
        <v>55</v>
      </c>
      <c r="L5">
        <v>73</v>
      </c>
      <c r="M5">
        <v>71</v>
      </c>
      <c r="N5">
        <v>43</v>
      </c>
      <c r="O5">
        <v>57</v>
      </c>
      <c r="P5">
        <v>10</v>
      </c>
      <c r="Q5">
        <v>4</v>
      </c>
      <c r="R5">
        <v>4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 t="s">
        <v>113</v>
      </c>
      <c r="Z5" t="s">
        <v>179</v>
      </c>
      <c r="AA5" t="s">
        <v>202</v>
      </c>
      <c r="AD5">
        <v>312100</v>
      </c>
      <c r="AE5">
        <v>66</v>
      </c>
      <c r="AF5">
        <v>271800</v>
      </c>
      <c r="AG5">
        <v>88</v>
      </c>
      <c r="AH5" t="s">
        <v>181</v>
      </c>
      <c r="AI5">
        <v>42</v>
      </c>
      <c r="AJ5">
        <v>14</v>
      </c>
      <c r="AK5">
        <v>60.1</v>
      </c>
      <c r="AL5">
        <v>57.4</v>
      </c>
      <c r="AM5">
        <v>0.55000000000000004</v>
      </c>
      <c r="AN5">
        <v>0.67</v>
      </c>
      <c r="AO5">
        <v>0.52</v>
      </c>
      <c r="AP5">
        <v>267000</v>
      </c>
      <c r="AQ5">
        <v>75</v>
      </c>
      <c r="AS5">
        <v>8</v>
      </c>
      <c r="AT5">
        <v>1</v>
      </c>
      <c r="AU5">
        <v>2</v>
      </c>
      <c r="AV5">
        <v>71</v>
      </c>
      <c r="AW5">
        <v>91</v>
      </c>
      <c r="AZ5" t="b">
        <v>0</v>
      </c>
      <c r="BA5">
        <v>1412</v>
      </c>
      <c r="BB5">
        <v>1861</v>
      </c>
      <c r="BC5">
        <v>24</v>
      </c>
      <c r="BD5" t="s">
        <v>203</v>
      </c>
      <c r="BE5">
        <v>101</v>
      </c>
      <c r="BF5">
        <v>0</v>
      </c>
      <c r="BG5">
        <v>74</v>
      </c>
      <c r="BH5">
        <v>0</v>
      </c>
      <c r="BI5" s="1" t="s">
        <v>183</v>
      </c>
      <c r="BJ5" s="1" t="s">
        <v>204</v>
      </c>
      <c r="BK5" s="1" t="s">
        <v>204</v>
      </c>
      <c r="BL5">
        <v>5</v>
      </c>
      <c r="BM5">
        <v>5</v>
      </c>
      <c r="BN5" s="1" t="s">
        <v>205</v>
      </c>
      <c r="BO5">
        <v>1</v>
      </c>
      <c r="BP5" s="1" t="s">
        <v>206</v>
      </c>
      <c r="BQ5">
        <v>0</v>
      </c>
      <c r="BR5">
        <v>6.6666666666666596E-2</v>
      </c>
      <c r="BS5" s="1" t="s">
        <v>128</v>
      </c>
      <c r="BT5" s="1" t="s">
        <v>184</v>
      </c>
      <c r="BU5">
        <v>1</v>
      </c>
      <c r="BV5">
        <v>1</v>
      </c>
      <c r="BW5">
        <v>0</v>
      </c>
      <c r="BX5">
        <v>0</v>
      </c>
      <c r="BY5">
        <v>0</v>
      </c>
      <c r="BZ5">
        <v>6.6666666666666596E-2</v>
      </c>
      <c r="CA5" s="1" t="s">
        <v>207</v>
      </c>
      <c r="CB5">
        <v>0.72799999999999998</v>
      </c>
      <c r="CC5">
        <v>0.71</v>
      </c>
      <c r="CD5" s="1" t="s">
        <v>208</v>
      </c>
      <c r="CE5" s="1" t="s">
        <v>209</v>
      </c>
      <c r="CF5" s="1" t="s">
        <v>210</v>
      </c>
      <c r="CG5" s="1" t="s">
        <v>211</v>
      </c>
      <c r="CH5" s="1" t="s">
        <v>212</v>
      </c>
      <c r="CI5" s="1" t="s">
        <v>129</v>
      </c>
      <c r="CJ5" s="1" t="s">
        <v>213</v>
      </c>
      <c r="CK5" s="1" t="s">
        <v>161</v>
      </c>
      <c r="CL5" s="1" t="s">
        <v>214</v>
      </c>
      <c r="CM5" s="1" t="s">
        <v>215</v>
      </c>
      <c r="CN5" s="1" t="s">
        <v>216</v>
      </c>
      <c r="CO5" s="1" t="s">
        <v>217</v>
      </c>
      <c r="CP5" s="1" t="s">
        <v>218</v>
      </c>
      <c r="CS5" s="1" t="s">
        <v>219</v>
      </c>
      <c r="CT5">
        <v>1561.2</v>
      </c>
      <c r="CU5">
        <v>1601</v>
      </c>
      <c r="CV5">
        <v>1701.6</v>
      </c>
      <c r="CW5">
        <v>59.7</v>
      </c>
      <c r="CX5">
        <v>59.9</v>
      </c>
      <c r="CY5">
        <v>58.2</v>
      </c>
      <c r="CZ5">
        <v>57</v>
      </c>
      <c r="DA5">
        <v>1</v>
      </c>
      <c r="DB5" t="s">
        <v>179</v>
      </c>
      <c r="DC5">
        <v>73</v>
      </c>
      <c r="DD5" s="1" t="s">
        <v>220</v>
      </c>
      <c r="DE5" s="1" t="s">
        <v>221</v>
      </c>
      <c r="DF5" t="e">
        <f>_xlfn.XLOOKUP(Table1[[#This Row],[Player ID]],Table2[feed_id],Table2[trade_status])</f>
        <v>#N/A</v>
      </c>
      <c r="DG5">
        <f>_xlfn.NUMBERVALUE(Table1[[#This Row],[predicted]])</f>
        <v>53.412207002007001</v>
      </c>
    </row>
    <row r="6" spans="1:111" hidden="1" x14ac:dyDescent="0.25">
      <c r="A6">
        <v>49722</v>
      </c>
      <c r="B6">
        <v>5393</v>
      </c>
      <c r="C6" t="s">
        <v>222</v>
      </c>
      <c r="D6" t="s">
        <v>198</v>
      </c>
      <c r="E6">
        <v>2015</v>
      </c>
      <c r="F6">
        <v>240139</v>
      </c>
      <c r="G6" t="s">
        <v>223</v>
      </c>
      <c r="H6" t="s">
        <v>224</v>
      </c>
      <c r="I6" t="s">
        <v>178</v>
      </c>
      <c r="J6">
        <v>18</v>
      </c>
      <c r="K6">
        <v>86</v>
      </c>
      <c r="L6">
        <v>97</v>
      </c>
      <c r="M6">
        <v>43</v>
      </c>
      <c r="N6">
        <v>69</v>
      </c>
      <c r="O6">
        <v>96</v>
      </c>
      <c r="P6">
        <v>17</v>
      </c>
      <c r="Q6">
        <v>8</v>
      </c>
      <c r="R6">
        <v>6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 t="s">
        <v>113</v>
      </c>
      <c r="Z6" t="s">
        <v>153</v>
      </c>
      <c r="AA6" t="s">
        <v>225</v>
      </c>
      <c r="AB6" t="s">
        <v>226</v>
      </c>
      <c r="AC6" t="s">
        <v>227</v>
      </c>
      <c r="AD6">
        <v>256600</v>
      </c>
      <c r="AE6">
        <v>93</v>
      </c>
      <c r="AF6">
        <v>330100</v>
      </c>
      <c r="AG6">
        <v>96</v>
      </c>
      <c r="AH6" t="s">
        <v>181</v>
      </c>
      <c r="AI6">
        <v>41</v>
      </c>
      <c r="AJ6">
        <v>10</v>
      </c>
      <c r="AK6">
        <v>43.3</v>
      </c>
      <c r="AL6">
        <v>64.7</v>
      </c>
      <c r="AM6">
        <v>0.16</v>
      </c>
      <c r="AN6">
        <v>0.73</v>
      </c>
      <c r="AO6">
        <v>0.71</v>
      </c>
      <c r="AP6">
        <v>323000</v>
      </c>
      <c r="AQ6">
        <v>68</v>
      </c>
      <c r="AS6">
        <v>4</v>
      </c>
      <c r="AT6">
        <v>0</v>
      </c>
      <c r="AU6">
        <v>2</v>
      </c>
      <c r="AV6">
        <v>92</v>
      </c>
      <c r="AW6">
        <v>99</v>
      </c>
      <c r="AZ6" t="b">
        <v>0</v>
      </c>
      <c r="BA6">
        <v>1844</v>
      </c>
      <c r="BB6">
        <v>1441</v>
      </c>
      <c r="BC6">
        <v>24</v>
      </c>
      <c r="BD6" t="s">
        <v>228</v>
      </c>
      <c r="BE6">
        <v>101</v>
      </c>
      <c r="BF6">
        <v>0</v>
      </c>
      <c r="BG6">
        <v>74</v>
      </c>
      <c r="BH6">
        <v>1</v>
      </c>
      <c r="BI6" s="1" t="s">
        <v>157</v>
      </c>
      <c r="BJ6" s="1" t="s">
        <v>157</v>
      </c>
      <c r="BK6" s="1" t="s">
        <v>211</v>
      </c>
      <c r="BL6" s="1" t="s">
        <v>229</v>
      </c>
      <c r="BM6" s="1" t="s">
        <v>138</v>
      </c>
      <c r="BN6" s="1" t="s">
        <v>230</v>
      </c>
      <c r="BO6" s="1" t="s">
        <v>138</v>
      </c>
      <c r="BP6">
        <v>3.8</v>
      </c>
      <c r="BQ6">
        <v>0</v>
      </c>
      <c r="BR6">
        <v>0</v>
      </c>
      <c r="BS6">
        <v>0</v>
      </c>
      <c r="BT6" s="1" t="s">
        <v>184</v>
      </c>
      <c r="BU6" s="1" t="s">
        <v>128</v>
      </c>
      <c r="BV6" s="1" t="s">
        <v>231</v>
      </c>
      <c r="BW6">
        <v>0</v>
      </c>
      <c r="BX6">
        <v>0</v>
      </c>
      <c r="BY6" s="1" t="s">
        <v>129</v>
      </c>
      <c r="BZ6" s="1" t="s">
        <v>213</v>
      </c>
      <c r="CA6" s="1" t="s">
        <v>232</v>
      </c>
      <c r="CB6">
        <v>0.63800000000000001</v>
      </c>
      <c r="CC6" s="1" t="s">
        <v>233</v>
      </c>
      <c r="CD6" s="1" t="s">
        <v>234</v>
      </c>
      <c r="CE6" s="1" t="s">
        <v>235</v>
      </c>
      <c r="CF6" s="1" t="s">
        <v>236</v>
      </c>
      <c r="CG6" s="1" t="s">
        <v>159</v>
      </c>
      <c r="CH6" s="1" t="s">
        <v>237</v>
      </c>
      <c r="CI6">
        <v>0</v>
      </c>
      <c r="CJ6" s="1" t="s">
        <v>238</v>
      </c>
      <c r="CK6" s="1" t="s">
        <v>126</v>
      </c>
      <c r="CL6" s="1" t="s">
        <v>126</v>
      </c>
      <c r="CM6" s="1" t="s">
        <v>239</v>
      </c>
      <c r="CN6" s="1" t="s">
        <v>240</v>
      </c>
      <c r="CO6" s="1" t="s">
        <v>241</v>
      </c>
      <c r="CP6">
        <v>88.6</v>
      </c>
      <c r="CS6" s="1" t="s">
        <v>242</v>
      </c>
      <c r="CT6" s="1" t="s">
        <v>243</v>
      </c>
      <c r="CU6" s="1" t="s">
        <v>244</v>
      </c>
      <c r="CV6">
        <v>1589.4</v>
      </c>
      <c r="CW6">
        <v>72.55</v>
      </c>
      <c r="CX6">
        <v>64.8</v>
      </c>
      <c r="CY6">
        <v>70.599999999999994</v>
      </c>
      <c r="CZ6">
        <v>68</v>
      </c>
      <c r="DA6">
        <v>1</v>
      </c>
      <c r="DB6" t="s">
        <v>153</v>
      </c>
      <c r="DC6">
        <v>97</v>
      </c>
      <c r="DD6">
        <v>78.692437880530406</v>
      </c>
      <c r="DE6" s="1" t="s">
        <v>245</v>
      </c>
      <c r="DF6" t="e">
        <f>_xlfn.XLOOKUP(Table1[[#This Row],[Player ID]],Table2[feed_id],Table2[trade_status])</f>
        <v>#N/A</v>
      </c>
      <c r="DG6">
        <f>_xlfn.NUMBERVALUE(Table1[[#This Row],[predicted]])</f>
        <v>78.692437880530406</v>
      </c>
    </row>
    <row r="7" spans="1:111" hidden="1" x14ac:dyDescent="0.25">
      <c r="A7">
        <v>49765</v>
      </c>
      <c r="B7">
        <v>5394</v>
      </c>
      <c r="C7" t="s">
        <v>246</v>
      </c>
      <c r="D7" t="s">
        <v>198</v>
      </c>
      <c r="E7">
        <v>2015</v>
      </c>
      <c r="F7">
        <v>220015</v>
      </c>
      <c r="G7" t="s">
        <v>247</v>
      </c>
      <c r="H7" t="s">
        <v>248</v>
      </c>
      <c r="I7" t="s">
        <v>249</v>
      </c>
      <c r="J7">
        <v>20</v>
      </c>
      <c r="K7">
        <v>93</v>
      </c>
      <c r="L7">
        <v>96</v>
      </c>
      <c r="M7">
        <v>80</v>
      </c>
      <c r="N7">
        <v>81</v>
      </c>
      <c r="O7">
        <v>120</v>
      </c>
      <c r="P7">
        <v>8</v>
      </c>
      <c r="Q7">
        <v>25</v>
      </c>
      <c r="R7">
        <v>3</v>
      </c>
      <c r="S7">
        <v>4</v>
      </c>
      <c r="T7">
        <v>0</v>
      </c>
      <c r="U7">
        <v>0</v>
      </c>
      <c r="V7">
        <v>2</v>
      </c>
      <c r="W7">
        <v>0</v>
      </c>
      <c r="X7">
        <v>0</v>
      </c>
      <c r="Y7" t="s">
        <v>113</v>
      </c>
      <c r="Z7" t="s">
        <v>250</v>
      </c>
      <c r="AA7" t="s">
        <v>251</v>
      </c>
      <c r="AD7">
        <v>380000</v>
      </c>
      <c r="AE7">
        <v>98</v>
      </c>
      <c r="AF7">
        <v>440300</v>
      </c>
      <c r="AG7">
        <v>115</v>
      </c>
      <c r="AH7" t="s">
        <v>118</v>
      </c>
      <c r="AI7">
        <v>44</v>
      </c>
      <c r="AJ7">
        <v>15</v>
      </c>
      <c r="AK7">
        <v>73.3</v>
      </c>
      <c r="AL7">
        <v>86.1</v>
      </c>
      <c r="AM7">
        <v>0.3</v>
      </c>
      <c r="AN7">
        <v>0.23</v>
      </c>
      <c r="AO7">
        <v>2.5099999999999998</v>
      </c>
      <c r="AP7">
        <v>383000</v>
      </c>
      <c r="AQ7">
        <v>89</v>
      </c>
      <c r="AS7">
        <v>14</v>
      </c>
      <c r="AT7">
        <v>10</v>
      </c>
      <c r="AU7">
        <v>3</v>
      </c>
      <c r="AV7">
        <v>90</v>
      </c>
      <c r="AW7">
        <v>74</v>
      </c>
      <c r="AZ7" t="b">
        <v>0</v>
      </c>
      <c r="BA7">
        <v>1814</v>
      </c>
      <c r="BB7">
        <v>1471</v>
      </c>
      <c r="BC7">
        <v>24</v>
      </c>
      <c r="BD7" t="s">
        <v>252</v>
      </c>
      <c r="BE7">
        <v>101</v>
      </c>
      <c r="BF7">
        <v>0</v>
      </c>
      <c r="BG7">
        <v>74</v>
      </c>
      <c r="BH7">
        <v>1</v>
      </c>
      <c r="BI7" s="1" t="s">
        <v>253</v>
      </c>
      <c r="BJ7" s="1" t="s">
        <v>254</v>
      </c>
      <c r="BK7">
        <v>15</v>
      </c>
      <c r="BL7">
        <v>15.2</v>
      </c>
      <c r="BM7">
        <v>2</v>
      </c>
      <c r="BN7" s="1" t="s">
        <v>255</v>
      </c>
      <c r="BO7" s="1" t="s">
        <v>160</v>
      </c>
      <c r="BP7" s="1" t="s">
        <v>256</v>
      </c>
      <c r="BQ7">
        <v>0</v>
      </c>
      <c r="BR7">
        <v>0</v>
      </c>
      <c r="BS7" s="1" t="s">
        <v>129</v>
      </c>
      <c r="BT7">
        <v>1</v>
      </c>
      <c r="BU7" s="1" t="s">
        <v>126</v>
      </c>
      <c r="BV7" s="1" t="s">
        <v>257</v>
      </c>
      <c r="BW7">
        <v>0</v>
      </c>
      <c r="BX7">
        <v>6.6666666666666596E-2</v>
      </c>
      <c r="BY7">
        <v>0</v>
      </c>
      <c r="BZ7">
        <v>0.2</v>
      </c>
      <c r="CA7" s="1" t="s">
        <v>258</v>
      </c>
      <c r="CB7" s="1" t="s">
        <v>259</v>
      </c>
      <c r="CC7">
        <v>0.23</v>
      </c>
      <c r="CD7">
        <v>0.25800000000000001</v>
      </c>
      <c r="CE7">
        <v>2.52</v>
      </c>
      <c r="CF7">
        <v>2.7160000000000002</v>
      </c>
      <c r="CG7" s="1" t="s">
        <v>157</v>
      </c>
      <c r="CH7">
        <v>11.4</v>
      </c>
      <c r="CI7" s="1" t="s">
        <v>124</v>
      </c>
      <c r="CJ7" s="1" t="s">
        <v>260</v>
      </c>
      <c r="CK7">
        <v>2</v>
      </c>
      <c r="CL7">
        <v>2.2000000000000002</v>
      </c>
      <c r="CM7" s="1" t="s">
        <v>261</v>
      </c>
      <c r="CN7" s="1" t="s">
        <v>262</v>
      </c>
      <c r="CO7" s="1" t="s">
        <v>263</v>
      </c>
      <c r="CP7" s="1" t="s">
        <v>263</v>
      </c>
      <c r="CS7" s="1" t="s">
        <v>264</v>
      </c>
      <c r="CT7" s="1" t="s">
        <v>265</v>
      </c>
      <c r="CU7" s="1" t="s">
        <v>266</v>
      </c>
      <c r="CV7" s="1" t="s">
        <v>267</v>
      </c>
      <c r="CW7">
        <v>86.9</v>
      </c>
      <c r="CX7">
        <v>89.8</v>
      </c>
      <c r="CY7">
        <v>91.4</v>
      </c>
      <c r="CZ7" s="1" t="s">
        <v>268</v>
      </c>
      <c r="DA7">
        <v>1</v>
      </c>
      <c r="DB7" t="s">
        <v>250</v>
      </c>
      <c r="DC7">
        <v>96</v>
      </c>
      <c r="DD7" s="1" t="s">
        <v>269</v>
      </c>
      <c r="DE7" s="1" t="s">
        <v>270</v>
      </c>
      <c r="DF7" t="e">
        <f>_xlfn.XLOOKUP(Table1[[#This Row],[Player ID]],Table2[feed_id],Table2[trade_status])</f>
        <v>#N/A</v>
      </c>
      <c r="DG7">
        <f>_xlfn.NUMBERVALUE(Table1[[#This Row],[predicted]])</f>
        <v>79.745822378782904</v>
      </c>
    </row>
    <row r="8" spans="1:111" hidden="1" x14ac:dyDescent="0.25">
      <c r="A8">
        <v>49780</v>
      </c>
      <c r="B8">
        <v>5394</v>
      </c>
      <c r="C8" t="s">
        <v>246</v>
      </c>
      <c r="D8" t="s">
        <v>198</v>
      </c>
      <c r="E8">
        <v>2015</v>
      </c>
      <c r="F8">
        <v>240300</v>
      </c>
      <c r="G8" t="s">
        <v>271</v>
      </c>
      <c r="H8" t="s">
        <v>272</v>
      </c>
      <c r="I8" t="s">
        <v>249</v>
      </c>
      <c r="J8">
        <v>4</v>
      </c>
      <c r="K8">
        <v>33</v>
      </c>
      <c r="L8">
        <v>41</v>
      </c>
      <c r="M8">
        <v>32</v>
      </c>
      <c r="N8">
        <v>29</v>
      </c>
      <c r="O8">
        <v>37</v>
      </c>
      <c r="P8">
        <v>2</v>
      </c>
      <c r="Q8">
        <v>4</v>
      </c>
      <c r="R8">
        <v>1</v>
      </c>
      <c r="S8">
        <v>2</v>
      </c>
      <c r="T8">
        <v>10</v>
      </c>
      <c r="U8">
        <v>1</v>
      </c>
      <c r="V8">
        <v>1</v>
      </c>
      <c r="W8">
        <v>0</v>
      </c>
      <c r="X8">
        <v>0</v>
      </c>
      <c r="Y8" t="s">
        <v>113</v>
      </c>
      <c r="Z8" t="s">
        <v>153</v>
      </c>
      <c r="AA8" t="s">
        <v>273</v>
      </c>
      <c r="AD8">
        <v>221500</v>
      </c>
      <c r="AE8">
        <v>33</v>
      </c>
      <c r="AF8">
        <v>287500</v>
      </c>
      <c r="AG8">
        <v>97</v>
      </c>
      <c r="AH8" t="s">
        <v>274</v>
      </c>
      <c r="AI8">
        <v>36</v>
      </c>
      <c r="AJ8">
        <v>3</v>
      </c>
      <c r="AK8">
        <v>37.299999999999997</v>
      </c>
      <c r="AL8">
        <v>68.2</v>
      </c>
      <c r="AM8">
        <v>0.51</v>
      </c>
      <c r="AN8">
        <v>0.98</v>
      </c>
      <c r="AO8">
        <v>3.54</v>
      </c>
      <c r="AP8">
        <v>284000</v>
      </c>
      <c r="AQ8">
        <v>85</v>
      </c>
      <c r="AS8">
        <v>1</v>
      </c>
      <c r="AT8">
        <v>0</v>
      </c>
      <c r="AU8">
        <v>2</v>
      </c>
      <c r="AV8">
        <v>83</v>
      </c>
      <c r="AW8">
        <v>79</v>
      </c>
      <c r="AZ8" t="b">
        <v>0</v>
      </c>
      <c r="BA8">
        <v>1814</v>
      </c>
      <c r="BB8">
        <v>1471</v>
      </c>
      <c r="BC8">
        <v>24</v>
      </c>
      <c r="BD8" t="s">
        <v>252</v>
      </c>
      <c r="BE8">
        <v>101</v>
      </c>
      <c r="BF8">
        <v>0</v>
      </c>
      <c r="BG8">
        <v>74</v>
      </c>
      <c r="BH8">
        <v>0</v>
      </c>
      <c r="BI8" s="1" t="s">
        <v>169</v>
      </c>
      <c r="BJ8">
        <v>6.4</v>
      </c>
      <c r="BK8" s="1" t="s">
        <v>125</v>
      </c>
      <c r="BL8" s="1" t="s">
        <v>256</v>
      </c>
      <c r="BM8" s="1" t="s">
        <v>126</v>
      </c>
      <c r="BN8" s="1" t="s">
        <v>275</v>
      </c>
      <c r="BO8" s="1" t="s">
        <v>161</v>
      </c>
      <c r="BP8">
        <v>2</v>
      </c>
      <c r="BQ8" s="1" t="s">
        <v>276</v>
      </c>
      <c r="BR8" s="1" t="s">
        <v>277</v>
      </c>
      <c r="BS8" s="1" t="s">
        <v>129</v>
      </c>
      <c r="BT8" s="1" t="s">
        <v>231</v>
      </c>
      <c r="BU8" s="1" t="s">
        <v>128</v>
      </c>
      <c r="BV8">
        <v>1</v>
      </c>
      <c r="BW8">
        <v>0</v>
      </c>
      <c r="BX8" s="1" t="s">
        <v>129</v>
      </c>
      <c r="BY8">
        <v>0</v>
      </c>
      <c r="BZ8" s="1" t="s">
        <v>213</v>
      </c>
      <c r="CA8">
        <v>0.51</v>
      </c>
      <c r="CB8" s="1" t="s">
        <v>278</v>
      </c>
      <c r="CC8">
        <v>1.02</v>
      </c>
      <c r="CD8" s="1" t="s">
        <v>279</v>
      </c>
      <c r="CE8" s="1" t="s">
        <v>280</v>
      </c>
      <c r="CF8" s="1" t="s">
        <v>281</v>
      </c>
      <c r="CG8" s="1" t="s">
        <v>159</v>
      </c>
      <c r="CH8" s="1" t="s">
        <v>204</v>
      </c>
      <c r="CI8" s="1" t="s">
        <v>129</v>
      </c>
      <c r="CJ8" s="1" t="s">
        <v>125</v>
      </c>
      <c r="CK8">
        <v>1</v>
      </c>
      <c r="CL8">
        <v>2.2000000000000002</v>
      </c>
      <c r="CM8" s="1" t="s">
        <v>268</v>
      </c>
      <c r="CN8" s="1" t="s">
        <v>282</v>
      </c>
      <c r="CO8" s="1" t="s">
        <v>283</v>
      </c>
      <c r="CP8">
        <v>73.8</v>
      </c>
      <c r="CS8">
        <v>1442</v>
      </c>
      <c r="CT8" s="1" t="s">
        <v>284</v>
      </c>
      <c r="CU8" s="1" t="s">
        <v>285</v>
      </c>
      <c r="CV8" s="1" t="s">
        <v>286</v>
      </c>
      <c r="CW8">
        <v>71.5</v>
      </c>
      <c r="CX8">
        <v>60.6</v>
      </c>
      <c r="CY8">
        <v>61</v>
      </c>
      <c r="CZ8">
        <v>50</v>
      </c>
      <c r="DA8">
        <v>1</v>
      </c>
      <c r="DB8" t="s">
        <v>153</v>
      </c>
      <c r="DC8">
        <v>41</v>
      </c>
      <c r="DD8" s="1" t="s">
        <v>287</v>
      </c>
      <c r="DE8">
        <v>-32.780829478337402</v>
      </c>
      <c r="DF8" t="e">
        <f>_xlfn.XLOOKUP(Table1[[#This Row],[Player ID]],Table2[feed_id],Table2[trade_status])</f>
        <v>#N/A</v>
      </c>
      <c r="DG8">
        <f>_xlfn.NUMBERVALUE(Table1[[#This Row],[predicted]])</f>
        <v>73.780829478337395</v>
      </c>
    </row>
    <row r="9" spans="1:111" hidden="1" x14ac:dyDescent="0.25">
      <c r="A9">
        <v>49880</v>
      </c>
      <c r="B9">
        <v>5397</v>
      </c>
      <c r="C9" t="s">
        <v>288</v>
      </c>
      <c r="D9" t="s">
        <v>198</v>
      </c>
      <c r="E9">
        <v>2015</v>
      </c>
      <c r="F9">
        <v>210049</v>
      </c>
      <c r="G9" t="s">
        <v>289</v>
      </c>
      <c r="H9" t="s">
        <v>290</v>
      </c>
      <c r="I9" t="s">
        <v>291</v>
      </c>
      <c r="J9">
        <v>15</v>
      </c>
      <c r="K9">
        <v>77</v>
      </c>
      <c r="L9">
        <v>105</v>
      </c>
      <c r="M9">
        <v>91</v>
      </c>
      <c r="N9">
        <v>67</v>
      </c>
      <c r="O9">
        <v>94</v>
      </c>
      <c r="P9">
        <v>6</v>
      </c>
      <c r="Q9">
        <v>19</v>
      </c>
      <c r="R9">
        <v>4</v>
      </c>
      <c r="S9">
        <v>2</v>
      </c>
      <c r="T9">
        <v>1</v>
      </c>
      <c r="U9">
        <v>0</v>
      </c>
      <c r="V9">
        <v>0</v>
      </c>
      <c r="W9">
        <v>0</v>
      </c>
      <c r="X9">
        <v>0</v>
      </c>
      <c r="Y9" t="s">
        <v>113</v>
      </c>
      <c r="Z9" t="s">
        <v>114</v>
      </c>
      <c r="AA9" t="s">
        <v>292</v>
      </c>
      <c r="AD9">
        <v>276900</v>
      </c>
      <c r="AE9">
        <v>42</v>
      </c>
      <c r="AF9">
        <v>409900</v>
      </c>
      <c r="AG9">
        <v>88</v>
      </c>
      <c r="AH9" t="s">
        <v>118</v>
      </c>
      <c r="AI9">
        <v>18</v>
      </c>
      <c r="AJ9">
        <v>6</v>
      </c>
      <c r="AK9">
        <v>45.5</v>
      </c>
      <c r="AL9">
        <v>90.4</v>
      </c>
      <c r="AM9">
        <v>0.2</v>
      </c>
      <c r="AN9">
        <v>0.31</v>
      </c>
      <c r="AO9">
        <v>1.1299999999999999</v>
      </c>
      <c r="AP9">
        <v>408000</v>
      </c>
      <c r="AQ9">
        <v>63</v>
      </c>
      <c r="AS9">
        <v>9</v>
      </c>
      <c r="AT9">
        <v>0</v>
      </c>
      <c r="AU9">
        <v>0</v>
      </c>
      <c r="AV9">
        <v>96</v>
      </c>
      <c r="AW9">
        <v>78</v>
      </c>
      <c r="AZ9" t="b">
        <v>1</v>
      </c>
      <c r="BA9">
        <v>1443</v>
      </c>
      <c r="BB9">
        <v>1853</v>
      </c>
      <c r="BC9">
        <v>24</v>
      </c>
      <c r="BD9" t="s">
        <v>293</v>
      </c>
      <c r="BE9">
        <v>101</v>
      </c>
      <c r="BF9">
        <v>1</v>
      </c>
      <c r="BG9">
        <v>74</v>
      </c>
      <c r="BH9">
        <v>1</v>
      </c>
      <c r="BI9" s="1" t="s">
        <v>294</v>
      </c>
      <c r="BJ9" s="1" t="s">
        <v>295</v>
      </c>
      <c r="BK9" s="1" t="s">
        <v>296</v>
      </c>
      <c r="BL9" s="1" t="s">
        <v>297</v>
      </c>
      <c r="BM9">
        <v>5</v>
      </c>
      <c r="BN9" s="1" t="s">
        <v>205</v>
      </c>
      <c r="BO9" s="1" t="s">
        <v>169</v>
      </c>
      <c r="BP9">
        <v>3.4</v>
      </c>
      <c r="BQ9" s="1" t="s">
        <v>129</v>
      </c>
      <c r="BR9">
        <v>1</v>
      </c>
      <c r="BS9" s="1" t="s">
        <v>126</v>
      </c>
      <c r="BT9" s="1" t="s">
        <v>298</v>
      </c>
      <c r="BU9" s="1" t="s">
        <v>128</v>
      </c>
      <c r="BV9" s="1" t="s">
        <v>128</v>
      </c>
      <c r="BW9">
        <v>0</v>
      </c>
      <c r="BX9">
        <v>0</v>
      </c>
      <c r="BY9">
        <v>0</v>
      </c>
      <c r="BZ9">
        <v>0</v>
      </c>
      <c r="CA9">
        <v>0.2</v>
      </c>
      <c r="CB9" s="1" t="s">
        <v>299</v>
      </c>
      <c r="CC9">
        <v>0.31</v>
      </c>
      <c r="CD9" s="1" t="s">
        <v>300</v>
      </c>
      <c r="CE9" s="1" t="s">
        <v>301</v>
      </c>
      <c r="CF9" s="1" t="s">
        <v>302</v>
      </c>
      <c r="CG9" s="1" t="s">
        <v>294</v>
      </c>
      <c r="CH9" s="1" t="s">
        <v>303</v>
      </c>
      <c r="CI9">
        <v>1</v>
      </c>
      <c r="CJ9">
        <v>1.8</v>
      </c>
      <c r="CK9">
        <v>3</v>
      </c>
      <c r="CL9" s="1" t="s">
        <v>304</v>
      </c>
      <c r="CM9">
        <v>81</v>
      </c>
      <c r="CN9" s="1" t="s">
        <v>305</v>
      </c>
      <c r="CO9" s="1" t="s">
        <v>306</v>
      </c>
      <c r="CP9">
        <v>85</v>
      </c>
      <c r="CS9" s="1" t="s">
        <v>307</v>
      </c>
      <c r="CT9" s="1" t="s">
        <v>308</v>
      </c>
      <c r="CU9">
        <v>1723</v>
      </c>
      <c r="CV9" s="1" t="s">
        <v>309</v>
      </c>
      <c r="CW9">
        <v>90.75</v>
      </c>
      <c r="CX9">
        <v>90.4</v>
      </c>
      <c r="CY9">
        <v>82.4</v>
      </c>
      <c r="CZ9" s="1" t="s">
        <v>310</v>
      </c>
      <c r="DA9">
        <v>1</v>
      </c>
      <c r="DB9" t="s">
        <v>114</v>
      </c>
      <c r="DC9">
        <v>105</v>
      </c>
      <c r="DD9" s="1" t="s">
        <v>311</v>
      </c>
      <c r="DE9" s="1" t="s">
        <v>312</v>
      </c>
      <c r="DF9" t="e">
        <f>_xlfn.XLOOKUP(Table1[[#This Row],[Player ID]],Table2[feed_id],Table2[trade_status])</f>
        <v>#N/A</v>
      </c>
      <c r="DG9">
        <f>_xlfn.NUMBERVALUE(Table1[[#This Row],[predicted]])</f>
        <v>71.996721078869001</v>
      </c>
    </row>
    <row r="10" spans="1:111" hidden="1" x14ac:dyDescent="0.25">
      <c r="A10">
        <v>50093</v>
      </c>
      <c r="B10">
        <v>5404</v>
      </c>
      <c r="C10" t="s">
        <v>313</v>
      </c>
      <c r="D10" t="s">
        <v>314</v>
      </c>
      <c r="E10">
        <v>2015</v>
      </c>
      <c r="F10">
        <v>210048</v>
      </c>
      <c r="G10" t="s">
        <v>315</v>
      </c>
      <c r="H10" t="s">
        <v>316</v>
      </c>
      <c r="I10" t="s">
        <v>317</v>
      </c>
      <c r="J10">
        <v>11</v>
      </c>
      <c r="K10">
        <v>61</v>
      </c>
      <c r="L10">
        <v>67</v>
      </c>
      <c r="M10">
        <v>75</v>
      </c>
      <c r="N10">
        <v>51</v>
      </c>
      <c r="O10">
        <v>61</v>
      </c>
      <c r="P10">
        <v>10</v>
      </c>
      <c r="Q10">
        <v>2</v>
      </c>
      <c r="R10">
        <v>4</v>
      </c>
      <c r="S10">
        <v>0</v>
      </c>
      <c r="T10">
        <v>0</v>
      </c>
      <c r="U10">
        <v>2</v>
      </c>
      <c r="V10">
        <v>0</v>
      </c>
      <c r="W10">
        <v>2</v>
      </c>
      <c r="X10">
        <v>1</v>
      </c>
      <c r="Y10" t="s">
        <v>113</v>
      </c>
      <c r="Z10" t="s">
        <v>153</v>
      </c>
      <c r="AA10" t="s">
        <v>318</v>
      </c>
      <c r="AD10">
        <v>429600</v>
      </c>
      <c r="AE10">
        <v>0</v>
      </c>
      <c r="AF10">
        <v>317700</v>
      </c>
      <c r="AG10">
        <v>0</v>
      </c>
      <c r="AH10" t="s">
        <v>181</v>
      </c>
      <c r="AI10">
        <v>1</v>
      </c>
      <c r="AJ10">
        <v>21</v>
      </c>
      <c r="AK10">
        <v>82.2</v>
      </c>
      <c r="AL10">
        <v>61</v>
      </c>
      <c r="AM10">
        <v>7.63</v>
      </c>
      <c r="AN10">
        <v>0.46</v>
      </c>
      <c r="AO10">
        <v>3.43</v>
      </c>
      <c r="AP10">
        <v>325000</v>
      </c>
      <c r="AQ10">
        <v>43</v>
      </c>
      <c r="AS10">
        <v>3</v>
      </c>
      <c r="AT10">
        <v>2</v>
      </c>
      <c r="AU10">
        <v>1</v>
      </c>
      <c r="AV10">
        <v>75</v>
      </c>
      <c r="AW10">
        <v>75</v>
      </c>
      <c r="AZ10" t="b">
        <v>0</v>
      </c>
      <c r="BA10">
        <v>1760</v>
      </c>
      <c r="BB10">
        <v>1524</v>
      </c>
      <c r="BC10">
        <v>30</v>
      </c>
      <c r="BD10" t="s">
        <v>319</v>
      </c>
      <c r="BE10" s="1" t="s">
        <v>320</v>
      </c>
      <c r="BF10">
        <v>0</v>
      </c>
      <c r="BG10">
        <v>75</v>
      </c>
      <c r="BH10">
        <v>0</v>
      </c>
      <c r="BI10" s="1" t="s">
        <v>253</v>
      </c>
      <c r="BJ10">
        <v>7.8</v>
      </c>
      <c r="BK10" s="1" t="s">
        <v>138</v>
      </c>
      <c r="BL10" s="1" t="s">
        <v>160</v>
      </c>
      <c r="BM10" s="1" t="s">
        <v>159</v>
      </c>
      <c r="BN10" s="1" t="s">
        <v>321</v>
      </c>
      <c r="BO10">
        <v>3</v>
      </c>
      <c r="BP10" s="1" t="s">
        <v>322</v>
      </c>
      <c r="BQ10">
        <v>0</v>
      </c>
      <c r="BR10">
        <v>0</v>
      </c>
      <c r="BS10">
        <v>1</v>
      </c>
      <c r="BT10" s="1" t="s">
        <v>231</v>
      </c>
      <c r="BU10" s="1" t="s">
        <v>129</v>
      </c>
      <c r="BV10" s="1" t="s">
        <v>128</v>
      </c>
      <c r="BW10">
        <v>1</v>
      </c>
      <c r="BX10" s="1" t="s">
        <v>130</v>
      </c>
      <c r="BY10" s="1" t="s">
        <v>128</v>
      </c>
      <c r="BZ10" s="1" t="s">
        <v>238</v>
      </c>
      <c r="CA10">
        <v>7.57</v>
      </c>
      <c r="CB10" s="1" t="s">
        <v>323</v>
      </c>
      <c r="CC10">
        <v>0.46</v>
      </c>
      <c r="CD10" s="1" t="s">
        <v>324</v>
      </c>
      <c r="CE10" s="1" t="s">
        <v>325</v>
      </c>
      <c r="CF10" s="1" t="s">
        <v>326</v>
      </c>
      <c r="CG10" s="1" t="s">
        <v>138</v>
      </c>
      <c r="CH10">
        <v>4.2</v>
      </c>
      <c r="CI10">
        <v>1</v>
      </c>
      <c r="CJ10" s="1" t="s">
        <v>238</v>
      </c>
      <c r="CK10" s="1" t="s">
        <v>126</v>
      </c>
      <c r="CL10" s="1" t="s">
        <v>327</v>
      </c>
      <c r="CM10" s="1" t="s">
        <v>263</v>
      </c>
      <c r="CN10" s="1" t="s">
        <v>328</v>
      </c>
      <c r="CO10" s="1" t="s">
        <v>141</v>
      </c>
      <c r="CP10" s="1" t="s">
        <v>329</v>
      </c>
      <c r="CS10" s="1" t="s">
        <v>330</v>
      </c>
      <c r="CT10" s="1" t="s">
        <v>331</v>
      </c>
      <c r="CU10" s="1" t="s">
        <v>332</v>
      </c>
      <c r="CV10">
        <v>1570.4</v>
      </c>
      <c r="CW10">
        <v>60.75</v>
      </c>
      <c r="CX10">
        <v>62.7</v>
      </c>
      <c r="CY10">
        <v>67.8</v>
      </c>
      <c r="CZ10" s="1" t="s">
        <v>333</v>
      </c>
      <c r="DA10">
        <v>1</v>
      </c>
      <c r="DB10" t="s">
        <v>153</v>
      </c>
      <c r="DC10">
        <v>67</v>
      </c>
      <c r="DD10" s="1" t="s">
        <v>334</v>
      </c>
      <c r="DE10">
        <v>-0.94209894609031097</v>
      </c>
      <c r="DF10" t="e">
        <f>_xlfn.XLOOKUP(Table1[[#This Row],[Player ID]],Table2[feed_id],Table2[trade_status])</f>
        <v>#N/A</v>
      </c>
      <c r="DG10">
        <f>_xlfn.NUMBERVALUE(Table1[[#This Row],[predicted]])</f>
        <v>67.942098946090297</v>
      </c>
    </row>
    <row r="11" spans="1:111" hidden="1" x14ac:dyDescent="0.25">
      <c r="A11">
        <v>50173</v>
      </c>
      <c r="B11">
        <v>5406</v>
      </c>
      <c r="C11" t="s">
        <v>335</v>
      </c>
      <c r="D11" t="s">
        <v>336</v>
      </c>
      <c r="E11">
        <v>2015</v>
      </c>
      <c r="F11">
        <v>980073</v>
      </c>
      <c r="G11" t="s">
        <v>150</v>
      </c>
      <c r="H11" t="s">
        <v>337</v>
      </c>
      <c r="I11" t="s">
        <v>338</v>
      </c>
      <c r="J11">
        <v>26</v>
      </c>
      <c r="K11">
        <v>105</v>
      </c>
      <c r="L11">
        <v>87</v>
      </c>
      <c r="M11">
        <v>134</v>
      </c>
      <c r="N11">
        <v>86</v>
      </c>
      <c r="O11">
        <v>104</v>
      </c>
      <c r="P11">
        <v>15</v>
      </c>
      <c r="Q11">
        <v>3</v>
      </c>
      <c r="R11">
        <v>10</v>
      </c>
      <c r="S11">
        <v>2</v>
      </c>
      <c r="T11">
        <v>1</v>
      </c>
      <c r="U11">
        <v>2</v>
      </c>
      <c r="V11">
        <v>0</v>
      </c>
      <c r="W11">
        <v>2</v>
      </c>
      <c r="X11">
        <v>1</v>
      </c>
      <c r="Y11" t="s">
        <v>113</v>
      </c>
      <c r="Z11" t="s">
        <v>339</v>
      </c>
      <c r="AA11" t="s">
        <v>340</v>
      </c>
      <c r="AD11">
        <v>0</v>
      </c>
      <c r="AE11">
        <v>0</v>
      </c>
      <c r="AF11">
        <v>0</v>
      </c>
      <c r="AG11">
        <v>0</v>
      </c>
      <c r="AH11" t="s">
        <v>155</v>
      </c>
      <c r="AI11">
        <v>37</v>
      </c>
      <c r="AJ11">
        <v>5</v>
      </c>
      <c r="AK11">
        <v>48</v>
      </c>
      <c r="AL11">
        <v>66.2</v>
      </c>
      <c r="AM11">
        <v>0.09</v>
      </c>
      <c r="AN11">
        <v>0.95</v>
      </c>
      <c r="AO11">
        <v>1.35</v>
      </c>
      <c r="AP11">
        <v>0</v>
      </c>
      <c r="AQ11">
        <v>71</v>
      </c>
      <c r="AS11">
        <v>8</v>
      </c>
      <c r="AT11">
        <v>1</v>
      </c>
      <c r="AU11">
        <v>2</v>
      </c>
      <c r="AV11">
        <v>61</v>
      </c>
      <c r="AW11">
        <v>93</v>
      </c>
      <c r="AZ11" t="b">
        <v>0</v>
      </c>
      <c r="BA11">
        <v>1679</v>
      </c>
      <c r="BB11">
        <v>1600</v>
      </c>
      <c r="BC11">
        <v>32</v>
      </c>
      <c r="BD11" t="s">
        <v>341</v>
      </c>
      <c r="BE11">
        <v>103</v>
      </c>
      <c r="BF11">
        <v>0</v>
      </c>
      <c r="BG11">
        <v>77</v>
      </c>
      <c r="BH11">
        <v>1</v>
      </c>
      <c r="BI11" s="1" t="s">
        <v>276</v>
      </c>
      <c r="BJ11" s="1" t="s">
        <v>342</v>
      </c>
      <c r="BK11" s="1" t="s">
        <v>183</v>
      </c>
      <c r="BL11" s="1" t="s">
        <v>260</v>
      </c>
      <c r="BM11">
        <v>7</v>
      </c>
      <c r="BN11" s="1" t="s">
        <v>343</v>
      </c>
      <c r="BO11">
        <v>3</v>
      </c>
      <c r="BP11" s="1" t="s">
        <v>214</v>
      </c>
      <c r="BQ11" s="1" t="s">
        <v>129</v>
      </c>
      <c r="BR11">
        <v>6.6666666666666596E-2</v>
      </c>
      <c r="BS11">
        <v>1</v>
      </c>
      <c r="BT11">
        <v>0.8</v>
      </c>
      <c r="BU11" s="1" t="s">
        <v>129</v>
      </c>
      <c r="BV11">
        <v>0.8</v>
      </c>
      <c r="BW11">
        <v>1</v>
      </c>
      <c r="BX11">
        <v>1.4</v>
      </c>
      <c r="BY11">
        <v>1</v>
      </c>
      <c r="BZ11" s="1" t="s">
        <v>128</v>
      </c>
      <c r="CA11">
        <v>0.09</v>
      </c>
      <c r="CB11">
        <v>9.0666666666666604E-2</v>
      </c>
      <c r="CC11">
        <v>0.95</v>
      </c>
      <c r="CD11" s="1" t="s">
        <v>344</v>
      </c>
      <c r="CE11">
        <v>1.35</v>
      </c>
      <c r="CF11" s="1" t="s">
        <v>345</v>
      </c>
      <c r="CG11" s="1" t="s">
        <v>204</v>
      </c>
      <c r="CH11" s="1" t="s">
        <v>260</v>
      </c>
      <c r="CI11" s="1" t="s">
        <v>128</v>
      </c>
      <c r="CJ11" s="1" t="s">
        <v>126</v>
      </c>
      <c r="CK11" s="1" t="s">
        <v>159</v>
      </c>
      <c r="CL11" s="1" t="s">
        <v>159</v>
      </c>
      <c r="CM11" s="1" t="s">
        <v>333</v>
      </c>
      <c r="CN11" s="1" t="s">
        <v>172</v>
      </c>
      <c r="CO11" s="1" t="s">
        <v>217</v>
      </c>
      <c r="CP11" s="1" t="s">
        <v>305</v>
      </c>
      <c r="CS11" s="1" t="s">
        <v>346</v>
      </c>
      <c r="CT11" s="1" t="s">
        <v>347</v>
      </c>
      <c r="CU11" s="1" t="s">
        <v>348</v>
      </c>
      <c r="CV11" s="1" t="s">
        <v>349</v>
      </c>
      <c r="CW11">
        <v>70.2</v>
      </c>
      <c r="CX11">
        <v>74.400000000000006</v>
      </c>
      <c r="CY11">
        <v>77.400000000000006</v>
      </c>
      <c r="CZ11" s="1" t="s">
        <v>350</v>
      </c>
      <c r="DA11">
        <v>1</v>
      </c>
      <c r="DB11" t="s">
        <v>339</v>
      </c>
      <c r="DC11">
        <v>87</v>
      </c>
      <c r="DD11">
        <v>73.890034885789902</v>
      </c>
      <c r="DE11" s="1" t="s">
        <v>351</v>
      </c>
      <c r="DF11" t="e">
        <f>_xlfn.XLOOKUP(Table1[[#This Row],[Player ID]],Table2[feed_id],Table2[trade_status])</f>
        <v>#N/A</v>
      </c>
      <c r="DG11">
        <f>_xlfn.NUMBERVALUE(Table1[[#This Row],[predicted]])</f>
        <v>73.890034885789902</v>
      </c>
    </row>
    <row r="12" spans="1:111" hidden="1" x14ac:dyDescent="0.25">
      <c r="A12">
        <v>50185</v>
      </c>
      <c r="B12">
        <v>5406</v>
      </c>
      <c r="C12" t="s">
        <v>335</v>
      </c>
      <c r="D12" t="s">
        <v>336</v>
      </c>
      <c r="E12">
        <v>2015</v>
      </c>
      <c r="F12">
        <v>200023</v>
      </c>
      <c r="G12" t="s">
        <v>352</v>
      </c>
      <c r="H12" t="s">
        <v>353</v>
      </c>
      <c r="I12" t="s">
        <v>338</v>
      </c>
      <c r="J12">
        <v>4</v>
      </c>
      <c r="K12">
        <v>43</v>
      </c>
      <c r="L12">
        <v>54</v>
      </c>
      <c r="M12">
        <v>57</v>
      </c>
      <c r="N12">
        <v>33</v>
      </c>
      <c r="O12">
        <v>48</v>
      </c>
      <c r="P12">
        <v>6</v>
      </c>
      <c r="Q12">
        <v>5</v>
      </c>
      <c r="R12">
        <v>2</v>
      </c>
      <c r="S12">
        <v>3</v>
      </c>
      <c r="T12">
        <v>0</v>
      </c>
      <c r="U12">
        <v>0</v>
      </c>
      <c r="V12">
        <v>1</v>
      </c>
      <c r="W12">
        <v>0</v>
      </c>
      <c r="X12">
        <v>0</v>
      </c>
      <c r="Y12" t="s">
        <v>113</v>
      </c>
      <c r="Z12" t="s">
        <v>153</v>
      </c>
      <c r="AA12" t="s">
        <v>354</v>
      </c>
      <c r="AB12" t="s">
        <v>226</v>
      </c>
      <c r="AC12" t="s">
        <v>355</v>
      </c>
      <c r="AD12">
        <v>0</v>
      </c>
      <c r="AE12">
        <v>0</v>
      </c>
      <c r="AF12">
        <v>0</v>
      </c>
      <c r="AG12">
        <v>0</v>
      </c>
      <c r="AH12" t="s">
        <v>181</v>
      </c>
      <c r="AI12">
        <v>2</v>
      </c>
      <c r="AJ12">
        <v>18</v>
      </c>
      <c r="AK12">
        <v>59.6</v>
      </c>
      <c r="AL12">
        <v>67.5</v>
      </c>
      <c r="AM12">
        <v>1.87</v>
      </c>
      <c r="AN12">
        <v>1.48</v>
      </c>
      <c r="AO12">
        <v>1.72</v>
      </c>
      <c r="AP12">
        <v>0</v>
      </c>
      <c r="AQ12">
        <v>65</v>
      </c>
      <c r="AS12">
        <v>0</v>
      </c>
      <c r="AT12">
        <v>0</v>
      </c>
      <c r="AU12">
        <v>1</v>
      </c>
      <c r="AV12">
        <v>90</v>
      </c>
      <c r="AW12">
        <v>85</v>
      </c>
      <c r="AZ12" t="b">
        <v>0</v>
      </c>
      <c r="BA12">
        <v>1679</v>
      </c>
      <c r="BB12">
        <v>1600</v>
      </c>
      <c r="BC12">
        <v>32</v>
      </c>
      <c r="BD12" t="s">
        <v>341</v>
      </c>
      <c r="BE12">
        <v>103</v>
      </c>
      <c r="BF12">
        <v>0</v>
      </c>
      <c r="BG12">
        <v>77</v>
      </c>
      <c r="BH12">
        <v>0</v>
      </c>
      <c r="BI12" s="1" t="s">
        <v>356</v>
      </c>
      <c r="BJ12" s="1" t="s">
        <v>357</v>
      </c>
      <c r="BK12">
        <v>9</v>
      </c>
      <c r="BL12" s="1" t="s">
        <v>358</v>
      </c>
      <c r="BM12" s="1" t="s">
        <v>124</v>
      </c>
      <c r="BN12">
        <v>4</v>
      </c>
      <c r="BO12" s="1" t="s">
        <v>126</v>
      </c>
      <c r="BP12">
        <v>2.4</v>
      </c>
      <c r="BQ12">
        <v>0</v>
      </c>
      <c r="BR12">
        <v>0</v>
      </c>
      <c r="BS12" s="1" t="s">
        <v>129</v>
      </c>
      <c r="BT12">
        <v>0.4</v>
      </c>
      <c r="BU12" s="1" t="s">
        <v>126</v>
      </c>
      <c r="BV12">
        <v>1.2</v>
      </c>
      <c r="BW12">
        <v>0</v>
      </c>
      <c r="BX12">
        <v>6.6666666666666596E-2</v>
      </c>
      <c r="BY12">
        <v>0</v>
      </c>
      <c r="BZ12">
        <v>6.6666666666666596E-2</v>
      </c>
      <c r="CA12" s="1" t="s">
        <v>359</v>
      </c>
      <c r="CB12" s="1" t="s">
        <v>360</v>
      </c>
      <c r="CC12">
        <v>1.48</v>
      </c>
      <c r="CD12" s="1" t="s">
        <v>361</v>
      </c>
      <c r="CE12" s="1" t="s">
        <v>362</v>
      </c>
      <c r="CF12" s="1" t="s">
        <v>363</v>
      </c>
      <c r="CG12">
        <v>4</v>
      </c>
      <c r="CH12">
        <v>3.2</v>
      </c>
      <c r="CI12" s="1" t="s">
        <v>129</v>
      </c>
      <c r="CJ12">
        <v>0.2</v>
      </c>
      <c r="CK12" s="1" t="s">
        <v>159</v>
      </c>
      <c r="CL12" s="1" t="s">
        <v>214</v>
      </c>
      <c r="CM12" s="1" t="s">
        <v>364</v>
      </c>
      <c r="CN12" s="1" t="s">
        <v>365</v>
      </c>
      <c r="CO12">
        <v>83</v>
      </c>
      <c r="CP12" s="1" t="s">
        <v>366</v>
      </c>
      <c r="CS12" s="1" t="s">
        <v>346</v>
      </c>
      <c r="CT12" s="1" t="s">
        <v>367</v>
      </c>
      <c r="CU12" s="1" t="s">
        <v>348</v>
      </c>
      <c r="CV12">
        <v>1535.4</v>
      </c>
      <c r="CW12">
        <v>66.900000000000006</v>
      </c>
      <c r="CX12">
        <v>71.8</v>
      </c>
      <c r="CY12">
        <v>75.8</v>
      </c>
      <c r="CZ12">
        <v>70</v>
      </c>
      <c r="DA12">
        <v>1</v>
      </c>
      <c r="DB12" t="s">
        <v>153</v>
      </c>
      <c r="DC12">
        <v>54</v>
      </c>
      <c r="DD12" s="1" t="s">
        <v>368</v>
      </c>
      <c r="DE12">
        <v>-23.451877169539799</v>
      </c>
      <c r="DF12" t="e">
        <f>_xlfn.XLOOKUP(Table1[[#This Row],[Player ID]],Table2[feed_id],Table2[trade_status])</f>
        <v>#N/A</v>
      </c>
      <c r="DG12">
        <f>_xlfn.NUMBERVALUE(Table1[[#This Row],[predicted]])</f>
        <v>77.451877169539799</v>
      </c>
    </row>
    <row r="13" spans="1:111" hidden="1" x14ac:dyDescent="0.25">
      <c r="A13">
        <v>50187</v>
      </c>
      <c r="B13">
        <v>5406</v>
      </c>
      <c r="C13" t="s">
        <v>335</v>
      </c>
      <c r="D13" t="s">
        <v>336</v>
      </c>
      <c r="E13">
        <v>2015</v>
      </c>
      <c r="F13">
        <v>291206</v>
      </c>
      <c r="G13" t="s">
        <v>369</v>
      </c>
      <c r="H13" t="s">
        <v>370</v>
      </c>
      <c r="I13" t="s">
        <v>338</v>
      </c>
      <c r="J13">
        <v>9</v>
      </c>
      <c r="K13">
        <v>42</v>
      </c>
      <c r="L13">
        <v>33</v>
      </c>
      <c r="M13">
        <v>52</v>
      </c>
      <c r="N13">
        <v>45</v>
      </c>
      <c r="O13">
        <v>61</v>
      </c>
      <c r="P13">
        <v>3</v>
      </c>
      <c r="Q13">
        <v>6</v>
      </c>
      <c r="R13">
        <v>3</v>
      </c>
      <c r="S13">
        <v>2</v>
      </c>
      <c r="T13">
        <v>19</v>
      </c>
      <c r="U13">
        <v>0</v>
      </c>
      <c r="V13">
        <v>5</v>
      </c>
      <c r="W13">
        <v>0</v>
      </c>
      <c r="X13">
        <v>0</v>
      </c>
      <c r="Y13" t="s">
        <v>113</v>
      </c>
      <c r="Z13" t="s">
        <v>371</v>
      </c>
      <c r="AA13" t="s">
        <v>372</v>
      </c>
      <c r="AD13">
        <v>0</v>
      </c>
      <c r="AE13">
        <v>0</v>
      </c>
      <c r="AF13">
        <v>0</v>
      </c>
      <c r="AG13">
        <v>0</v>
      </c>
      <c r="AH13" t="s">
        <v>274</v>
      </c>
      <c r="AI13">
        <v>38</v>
      </c>
      <c r="AJ13">
        <v>20</v>
      </c>
      <c r="AK13">
        <v>97.2</v>
      </c>
      <c r="AL13">
        <v>64.599999999999994</v>
      </c>
      <c r="AM13">
        <v>1.6</v>
      </c>
      <c r="AN13">
        <v>1.96</v>
      </c>
      <c r="AO13">
        <v>2.62</v>
      </c>
      <c r="AP13">
        <v>0</v>
      </c>
      <c r="AQ13">
        <v>35</v>
      </c>
      <c r="AS13">
        <v>2</v>
      </c>
      <c r="AT13">
        <v>1</v>
      </c>
      <c r="AU13">
        <v>6</v>
      </c>
      <c r="AV13">
        <v>66</v>
      </c>
      <c r="AW13">
        <v>78</v>
      </c>
      <c r="AZ13" t="b">
        <v>0</v>
      </c>
      <c r="BA13">
        <v>1679</v>
      </c>
      <c r="BB13">
        <v>1600</v>
      </c>
      <c r="BC13">
        <v>32</v>
      </c>
      <c r="BD13" t="s">
        <v>341</v>
      </c>
      <c r="BE13">
        <v>103</v>
      </c>
      <c r="BF13">
        <v>0</v>
      </c>
      <c r="BG13">
        <v>77</v>
      </c>
      <c r="BH13">
        <v>0</v>
      </c>
      <c r="BI13" s="1" t="s">
        <v>159</v>
      </c>
      <c r="BJ13" s="1" t="s">
        <v>373</v>
      </c>
      <c r="BK13">
        <v>6</v>
      </c>
      <c r="BL13" s="1" t="s">
        <v>374</v>
      </c>
      <c r="BM13" s="1" t="s">
        <v>125</v>
      </c>
      <c r="BN13" s="1" t="s">
        <v>375</v>
      </c>
      <c r="BO13" s="1" t="s">
        <v>161</v>
      </c>
      <c r="BP13" s="1" t="s">
        <v>169</v>
      </c>
      <c r="BQ13" s="1" t="s">
        <v>123</v>
      </c>
      <c r="BR13" s="1" t="s">
        <v>376</v>
      </c>
      <c r="BS13" s="1" t="s">
        <v>129</v>
      </c>
      <c r="BT13" s="1" t="s">
        <v>128</v>
      </c>
      <c r="BU13" s="1" t="s">
        <v>159</v>
      </c>
      <c r="BV13">
        <v>2</v>
      </c>
      <c r="BW13">
        <v>0</v>
      </c>
      <c r="BX13" s="1" t="s">
        <v>184</v>
      </c>
      <c r="BY13">
        <v>0</v>
      </c>
      <c r="BZ13" s="1" t="s">
        <v>213</v>
      </c>
      <c r="CA13" s="1" t="s">
        <v>377</v>
      </c>
      <c r="CB13" s="1" t="s">
        <v>378</v>
      </c>
      <c r="CC13" s="1" t="s">
        <v>379</v>
      </c>
      <c r="CD13">
        <v>1.8859999999999999</v>
      </c>
      <c r="CE13" s="1" t="s">
        <v>380</v>
      </c>
      <c r="CF13" s="1" t="s">
        <v>381</v>
      </c>
      <c r="CG13">
        <v>3</v>
      </c>
      <c r="CH13">
        <v>4.4000000000000004</v>
      </c>
      <c r="CI13" s="1" t="s">
        <v>128</v>
      </c>
      <c r="CJ13" s="1" t="s">
        <v>126</v>
      </c>
      <c r="CK13" s="1" t="s">
        <v>169</v>
      </c>
      <c r="CL13" s="1" t="s">
        <v>255</v>
      </c>
      <c r="CM13">
        <v>72</v>
      </c>
      <c r="CN13" s="1" t="s">
        <v>382</v>
      </c>
      <c r="CO13">
        <v>83</v>
      </c>
      <c r="CP13" s="1" t="s">
        <v>383</v>
      </c>
      <c r="CS13" s="1" t="s">
        <v>346</v>
      </c>
      <c r="CT13">
        <v>1737.8</v>
      </c>
      <c r="CU13" s="1" t="s">
        <v>348</v>
      </c>
      <c r="CV13" s="1" t="s">
        <v>384</v>
      </c>
      <c r="CW13">
        <v>63.45</v>
      </c>
      <c r="CX13">
        <v>57.2</v>
      </c>
      <c r="CY13">
        <v>56.8</v>
      </c>
      <c r="CZ13" s="1" t="s">
        <v>385</v>
      </c>
      <c r="DA13">
        <v>1</v>
      </c>
      <c r="DB13" t="s">
        <v>371</v>
      </c>
      <c r="DC13">
        <v>33</v>
      </c>
      <c r="DD13" s="1" t="s">
        <v>386</v>
      </c>
      <c r="DE13">
        <v>-29.001690188317699</v>
      </c>
      <c r="DF13" t="e">
        <f>_xlfn.XLOOKUP(Table1[[#This Row],[Player ID]],Table2[feed_id],Table2[trade_status])</f>
        <v>#N/A</v>
      </c>
      <c r="DG13">
        <f>_xlfn.NUMBERVALUE(Table1[[#This Row],[predicted]])</f>
        <v>62.001690188317703</v>
      </c>
    </row>
    <row r="14" spans="1:111" hidden="1" x14ac:dyDescent="0.25">
      <c r="A14">
        <v>50312</v>
      </c>
      <c r="B14">
        <v>5409</v>
      </c>
      <c r="C14" t="s">
        <v>387</v>
      </c>
      <c r="D14" t="s">
        <v>388</v>
      </c>
      <c r="E14">
        <v>2015</v>
      </c>
      <c r="F14">
        <v>220039</v>
      </c>
      <c r="G14" t="s">
        <v>389</v>
      </c>
      <c r="H14" t="s">
        <v>390</v>
      </c>
      <c r="I14" t="s">
        <v>391</v>
      </c>
      <c r="J14">
        <v>19</v>
      </c>
      <c r="K14">
        <v>89</v>
      </c>
      <c r="L14">
        <v>102</v>
      </c>
      <c r="M14">
        <v>118</v>
      </c>
      <c r="N14">
        <v>71</v>
      </c>
      <c r="O14">
        <v>90</v>
      </c>
      <c r="P14">
        <v>14</v>
      </c>
      <c r="Q14">
        <v>3</v>
      </c>
      <c r="R14">
        <v>11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113</v>
      </c>
      <c r="Z14" t="s">
        <v>153</v>
      </c>
      <c r="AA14" t="s">
        <v>392</v>
      </c>
      <c r="AB14" t="s">
        <v>179</v>
      </c>
      <c r="AC14" t="s">
        <v>393</v>
      </c>
      <c r="AD14">
        <v>0</v>
      </c>
      <c r="AE14">
        <v>0</v>
      </c>
      <c r="AF14">
        <v>0</v>
      </c>
      <c r="AG14">
        <v>0</v>
      </c>
      <c r="AH14" t="s">
        <v>181</v>
      </c>
      <c r="AI14">
        <v>17</v>
      </c>
      <c r="AJ14">
        <v>18</v>
      </c>
      <c r="AK14">
        <v>60.2</v>
      </c>
      <c r="AL14">
        <v>66.3</v>
      </c>
      <c r="AM14">
        <v>1.6</v>
      </c>
      <c r="AN14">
        <v>1.8</v>
      </c>
      <c r="AO14">
        <v>2.16</v>
      </c>
      <c r="AP14">
        <v>0</v>
      </c>
      <c r="AQ14">
        <v>70</v>
      </c>
      <c r="AS14">
        <v>7</v>
      </c>
      <c r="AT14">
        <v>0</v>
      </c>
      <c r="AU14">
        <v>3</v>
      </c>
      <c r="AV14">
        <v>82</v>
      </c>
      <c r="AW14">
        <v>79</v>
      </c>
      <c r="AZ14" t="b">
        <v>0</v>
      </c>
      <c r="BA14">
        <v>1275</v>
      </c>
      <c r="BB14">
        <v>1996</v>
      </c>
      <c r="BC14">
        <v>34</v>
      </c>
      <c r="BD14" t="s">
        <v>394</v>
      </c>
      <c r="BE14">
        <v>106.2</v>
      </c>
      <c r="BF14">
        <v>0</v>
      </c>
      <c r="BG14">
        <v>74</v>
      </c>
      <c r="BH14">
        <v>1</v>
      </c>
      <c r="BI14" s="1" t="s">
        <v>395</v>
      </c>
      <c r="BJ14" s="1" t="s">
        <v>396</v>
      </c>
      <c r="BK14" s="1" t="s">
        <v>397</v>
      </c>
      <c r="BL14">
        <v>5.4</v>
      </c>
      <c r="BM14" s="1" t="s">
        <v>157</v>
      </c>
      <c r="BN14" s="1" t="s">
        <v>398</v>
      </c>
      <c r="BO14" s="1" t="s">
        <v>128</v>
      </c>
      <c r="BP14" s="1" t="s">
        <v>327</v>
      </c>
      <c r="BQ14">
        <v>0</v>
      </c>
      <c r="BR14">
        <v>6.6666666666666596E-2</v>
      </c>
      <c r="BS14">
        <v>0</v>
      </c>
      <c r="BT14" s="1" t="s">
        <v>399</v>
      </c>
      <c r="BU14" s="1" t="s">
        <v>129</v>
      </c>
      <c r="BV14">
        <v>0.6</v>
      </c>
      <c r="BW14">
        <v>0</v>
      </c>
      <c r="BX14">
        <v>0</v>
      </c>
      <c r="BY14">
        <v>0</v>
      </c>
      <c r="BZ14">
        <v>0</v>
      </c>
      <c r="CA14">
        <v>1.6</v>
      </c>
      <c r="CB14" s="1" t="s">
        <v>400</v>
      </c>
      <c r="CC14">
        <v>1.8</v>
      </c>
      <c r="CD14" s="1" t="s">
        <v>401</v>
      </c>
      <c r="CE14">
        <v>2.16</v>
      </c>
      <c r="CF14" s="1" t="s">
        <v>402</v>
      </c>
      <c r="CG14" s="1" t="s">
        <v>204</v>
      </c>
      <c r="CH14">
        <v>5.4</v>
      </c>
      <c r="CI14">
        <v>0</v>
      </c>
      <c r="CJ14" s="1" t="s">
        <v>213</v>
      </c>
      <c r="CK14">
        <v>3</v>
      </c>
      <c r="CL14">
        <v>2</v>
      </c>
      <c r="CM14" s="1" t="s">
        <v>364</v>
      </c>
      <c r="CN14">
        <v>81.400000000000006</v>
      </c>
      <c r="CO14" s="1" t="s">
        <v>403</v>
      </c>
      <c r="CP14">
        <v>89.2</v>
      </c>
      <c r="CS14" s="1" t="s">
        <v>404</v>
      </c>
      <c r="CT14" s="1" t="s">
        <v>405</v>
      </c>
      <c r="CU14">
        <v>1408</v>
      </c>
      <c r="CV14">
        <v>1513.8</v>
      </c>
      <c r="CW14">
        <v>71.650000000000006</v>
      </c>
      <c r="CX14">
        <v>68.5</v>
      </c>
      <c r="CY14">
        <v>76.400000000000006</v>
      </c>
      <c r="CZ14" s="1" t="s">
        <v>406</v>
      </c>
      <c r="DA14">
        <v>1</v>
      </c>
      <c r="DB14" t="s">
        <v>153</v>
      </c>
      <c r="DC14">
        <v>102</v>
      </c>
      <c r="DD14" s="1" t="s">
        <v>407</v>
      </c>
      <c r="DE14" s="1" t="s">
        <v>408</v>
      </c>
      <c r="DF14" t="e">
        <f>_xlfn.XLOOKUP(Table1[[#This Row],[Player ID]],Table2[feed_id],Table2[trade_status])</f>
        <v>#N/A</v>
      </c>
      <c r="DG14">
        <f>_xlfn.NUMBERVALUE(Table1[[#This Row],[predicted]])</f>
        <v>81.243208672580195</v>
      </c>
    </row>
    <row r="15" spans="1:111" hidden="1" x14ac:dyDescent="0.25">
      <c r="A15">
        <v>50320</v>
      </c>
      <c r="B15">
        <v>5409</v>
      </c>
      <c r="C15" t="s">
        <v>387</v>
      </c>
      <c r="D15" t="s">
        <v>388</v>
      </c>
      <c r="E15">
        <v>2015</v>
      </c>
      <c r="F15">
        <v>220036</v>
      </c>
      <c r="G15" t="s">
        <v>409</v>
      </c>
      <c r="H15" t="s">
        <v>410</v>
      </c>
      <c r="I15" t="s">
        <v>391</v>
      </c>
      <c r="J15">
        <v>8</v>
      </c>
      <c r="K15">
        <v>42</v>
      </c>
      <c r="L15">
        <v>34</v>
      </c>
      <c r="M15">
        <v>54</v>
      </c>
      <c r="N15">
        <v>33</v>
      </c>
      <c r="O15">
        <v>42</v>
      </c>
      <c r="P15">
        <v>3</v>
      </c>
      <c r="Q15">
        <v>3</v>
      </c>
      <c r="R15">
        <v>1</v>
      </c>
      <c r="S15">
        <v>4</v>
      </c>
      <c r="T15">
        <v>9</v>
      </c>
      <c r="U15">
        <v>2</v>
      </c>
      <c r="V15">
        <v>1</v>
      </c>
      <c r="W15">
        <v>0</v>
      </c>
      <c r="X15">
        <v>0</v>
      </c>
      <c r="Y15" t="s">
        <v>113</v>
      </c>
      <c r="Z15" t="s">
        <v>153</v>
      </c>
      <c r="AA15" t="s">
        <v>411</v>
      </c>
      <c r="AB15" t="s">
        <v>116</v>
      </c>
      <c r="AC15" t="s">
        <v>412</v>
      </c>
      <c r="AD15">
        <v>0</v>
      </c>
      <c r="AE15">
        <v>0</v>
      </c>
      <c r="AF15">
        <v>0</v>
      </c>
      <c r="AG15">
        <v>0</v>
      </c>
      <c r="AH15" t="s">
        <v>155</v>
      </c>
      <c r="AI15">
        <v>20</v>
      </c>
      <c r="AJ15">
        <v>18</v>
      </c>
      <c r="AK15">
        <v>78.8</v>
      </c>
      <c r="AL15">
        <v>69.099999999999994</v>
      </c>
      <c r="AM15">
        <v>1.1000000000000001</v>
      </c>
      <c r="AN15">
        <v>2.4700000000000002</v>
      </c>
      <c r="AO15">
        <v>2.95</v>
      </c>
      <c r="AP15">
        <v>0</v>
      </c>
      <c r="AQ15">
        <v>45</v>
      </c>
      <c r="AS15">
        <v>2</v>
      </c>
      <c r="AT15">
        <v>2</v>
      </c>
      <c r="AU15">
        <v>1</v>
      </c>
      <c r="AV15">
        <v>66</v>
      </c>
      <c r="AW15">
        <v>59</v>
      </c>
      <c r="AZ15" t="b">
        <v>1</v>
      </c>
      <c r="BA15">
        <v>1275</v>
      </c>
      <c r="BB15">
        <v>1996</v>
      </c>
      <c r="BC15">
        <v>34</v>
      </c>
      <c r="BD15" t="s">
        <v>394</v>
      </c>
      <c r="BE15">
        <v>106.2</v>
      </c>
      <c r="BF15">
        <v>0</v>
      </c>
      <c r="BG15">
        <v>74</v>
      </c>
      <c r="BH15">
        <v>0</v>
      </c>
      <c r="BI15" s="1" t="s">
        <v>125</v>
      </c>
      <c r="BJ15">
        <v>3.8</v>
      </c>
      <c r="BK15">
        <v>2</v>
      </c>
      <c r="BL15">
        <v>5.6</v>
      </c>
      <c r="BM15" s="1" t="s">
        <v>126</v>
      </c>
      <c r="BN15" s="1" t="s">
        <v>159</v>
      </c>
      <c r="BO15" s="1" t="s">
        <v>159</v>
      </c>
      <c r="BP15">
        <v>2.2000000000000002</v>
      </c>
      <c r="BQ15" s="1" t="s">
        <v>253</v>
      </c>
      <c r="BR15" s="1" t="s">
        <v>413</v>
      </c>
      <c r="BS15" s="1" t="s">
        <v>161</v>
      </c>
      <c r="BT15" s="1" t="s">
        <v>126</v>
      </c>
      <c r="BU15" s="1" t="s">
        <v>128</v>
      </c>
      <c r="BV15">
        <v>1.2</v>
      </c>
      <c r="BW15" s="1" t="s">
        <v>129</v>
      </c>
      <c r="BX15" s="1" t="s">
        <v>128</v>
      </c>
      <c r="BY15">
        <v>0</v>
      </c>
      <c r="BZ15" s="1" t="s">
        <v>129</v>
      </c>
      <c r="CA15">
        <v>1.1000000000000001</v>
      </c>
      <c r="CB15" s="1" t="s">
        <v>414</v>
      </c>
      <c r="CC15">
        <v>2.4700000000000002</v>
      </c>
      <c r="CD15">
        <v>2.3759999999999999</v>
      </c>
      <c r="CE15">
        <v>2.95</v>
      </c>
      <c r="CF15" s="1" t="s">
        <v>415</v>
      </c>
      <c r="CG15">
        <v>3</v>
      </c>
      <c r="CH15" s="1" t="s">
        <v>416</v>
      </c>
      <c r="CI15">
        <v>2</v>
      </c>
      <c r="CJ15">
        <v>2.2000000000000002</v>
      </c>
      <c r="CK15">
        <v>1</v>
      </c>
      <c r="CL15">
        <v>1.8</v>
      </c>
      <c r="CM15" s="1" t="s">
        <v>417</v>
      </c>
      <c r="CN15" s="1" t="s">
        <v>382</v>
      </c>
      <c r="CO15" s="1" t="s">
        <v>418</v>
      </c>
      <c r="CP15">
        <v>73.400000000000006</v>
      </c>
      <c r="CS15" s="1" t="s">
        <v>404</v>
      </c>
      <c r="CT15">
        <v>1788</v>
      </c>
      <c r="CU15">
        <v>1408</v>
      </c>
      <c r="CV15" s="1" t="s">
        <v>419</v>
      </c>
      <c r="CW15">
        <v>66.2</v>
      </c>
      <c r="CX15">
        <v>56.6</v>
      </c>
      <c r="CY15">
        <v>45.6</v>
      </c>
      <c r="CZ15" s="1" t="s">
        <v>420</v>
      </c>
      <c r="DA15">
        <v>1</v>
      </c>
      <c r="DB15" t="s">
        <v>153</v>
      </c>
      <c r="DC15">
        <v>34</v>
      </c>
      <c r="DD15">
        <v>69.345654826355997</v>
      </c>
      <c r="DE15">
        <v>-35.345654826355997</v>
      </c>
      <c r="DF15" t="e">
        <f>_xlfn.XLOOKUP(Table1[[#This Row],[Player ID]],Table2[feed_id],Table2[trade_status])</f>
        <v>#N/A</v>
      </c>
      <c r="DG15">
        <f>_xlfn.NUMBERVALUE(Table1[[#This Row],[predicted]])</f>
        <v>69.345654826355997</v>
      </c>
    </row>
    <row r="16" spans="1:111" hidden="1" x14ac:dyDescent="0.25">
      <c r="A16">
        <v>50809</v>
      </c>
      <c r="B16">
        <v>5611</v>
      </c>
      <c r="C16" t="s">
        <v>421</v>
      </c>
      <c r="D16" t="s">
        <v>422</v>
      </c>
      <c r="E16">
        <v>2016</v>
      </c>
      <c r="F16">
        <v>250688</v>
      </c>
      <c r="G16" t="s">
        <v>423</v>
      </c>
      <c r="H16" t="s">
        <v>424</v>
      </c>
      <c r="I16" t="s">
        <v>425</v>
      </c>
      <c r="J16">
        <v>3</v>
      </c>
      <c r="K16">
        <v>41</v>
      </c>
      <c r="L16">
        <v>39</v>
      </c>
      <c r="M16">
        <v>31</v>
      </c>
      <c r="N16">
        <v>32</v>
      </c>
      <c r="O16">
        <v>46</v>
      </c>
      <c r="P16">
        <v>5</v>
      </c>
      <c r="Q16">
        <v>7</v>
      </c>
      <c r="R16">
        <v>1</v>
      </c>
      <c r="S16">
        <v>2</v>
      </c>
      <c r="T16">
        <v>0</v>
      </c>
      <c r="U16">
        <v>0</v>
      </c>
      <c r="V16">
        <v>0</v>
      </c>
      <c r="W16">
        <v>0</v>
      </c>
      <c r="X16">
        <v>1</v>
      </c>
      <c r="Y16" t="s">
        <v>113</v>
      </c>
      <c r="Z16" t="s">
        <v>426</v>
      </c>
      <c r="AA16" t="s">
        <v>427</v>
      </c>
      <c r="AD16">
        <v>264200</v>
      </c>
      <c r="AF16">
        <v>281000</v>
      </c>
      <c r="AH16" t="s">
        <v>181</v>
      </c>
      <c r="AI16">
        <v>27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252000</v>
      </c>
      <c r="AS16">
        <v>3</v>
      </c>
      <c r="AT16">
        <v>0</v>
      </c>
      <c r="AU16">
        <v>1</v>
      </c>
      <c r="AV16">
        <v>83</v>
      </c>
      <c r="AW16">
        <v>91</v>
      </c>
      <c r="AZ16" t="b">
        <v>0</v>
      </c>
      <c r="BA16">
        <v>1935</v>
      </c>
      <c r="BB16">
        <v>1356</v>
      </c>
      <c r="BC16">
        <v>3</v>
      </c>
      <c r="BD16" t="s">
        <v>428</v>
      </c>
      <c r="BE16">
        <v>100</v>
      </c>
      <c r="BF16">
        <v>0</v>
      </c>
      <c r="BG16">
        <v>74</v>
      </c>
      <c r="BH16">
        <v>0</v>
      </c>
      <c r="BI16" s="1" t="s">
        <v>160</v>
      </c>
      <c r="BJ16" s="1" t="s">
        <v>429</v>
      </c>
      <c r="BK16">
        <v>6</v>
      </c>
      <c r="BL16" s="1" t="s">
        <v>430</v>
      </c>
      <c r="BM16" s="1" t="s">
        <v>159</v>
      </c>
      <c r="BN16" s="1" t="s">
        <v>431</v>
      </c>
      <c r="BO16" s="1" t="s">
        <v>161</v>
      </c>
      <c r="BP16" s="1" t="s">
        <v>275</v>
      </c>
      <c r="BQ16">
        <v>0</v>
      </c>
      <c r="BR16">
        <v>0</v>
      </c>
      <c r="BS16" s="1" t="s">
        <v>129</v>
      </c>
      <c r="BT16" s="1" t="s">
        <v>231</v>
      </c>
      <c r="BU16">
        <v>0</v>
      </c>
      <c r="BV16" s="1" t="s">
        <v>238</v>
      </c>
      <c r="BW16">
        <v>0</v>
      </c>
      <c r="BX16">
        <v>0</v>
      </c>
      <c r="BY16" s="1" t="s">
        <v>129</v>
      </c>
      <c r="BZ16">
        <v>6.6666666666666596E-2</v>
      </c>
      <c r="CA16" s="1" t="s">
        <v>432</v>
      </c>
      <c r="CB16" s="1" t="s">
        <v>433</v>
      </c>
      <c r="CC16" s="1" t="s">
        <v>434</v>
      </c>
      <c r="CD16">
        <v>0.65800000000000003</v>
      </c>
      <c r="CE16" s="1" t="s">
        <v>435</v>
      </c>
      <c r="CF16">
        <v>0.77200000000000002</v>
      </c>
      <c r="CG16" s="1" t="s">
        <v>169</v>
      </c>
      <c r="CH16" s="1" t="s">
        <v>436</v>
      </c>
      <c r="CI16" s="1" t="s">
        <v>129</v>
      </c>
      <c r="CJ16" s="1" t="s">
        <v>129</v>
      </c>
      <c r="CK16" s="1" t="s">
        <v>129</v>
      </c>
      <c r="CL16">
        <v>1.8</v>
      </c>
      <c r="CM16" s="1" t="s">
        <v>437</v>
      </c>
      <c r="CN16">
        <v>77.400000000000006</v>
      </c>
      <c r="CO16">
        <v>83</v>
      </c>
      <c r="CP16" s="1" t="s">
        <v>438</v>
      </c>
      <c r="CS16">
        <v>1544</v>
      </c>
      <c r="CT16" s="1" t="s">
        <v>439</v>
      </c>
      <c r="CU16" s="1" t="s">
        <v>440</v>
      </c>
      <c r="CV16">
        <v>1641</v>
      </c>
      <c r="CW16">
        <v>52.7</v>
      </c>
      <c r="CX16">
        <v>49.7</v>
      </c>
      <c r="CY16">
        <v>42.4</v>
      </c>
      <c r="CZ16">
        <v>40</v>
      </c>
      <c r="DA16">
        <v>1</v>
      </c>
      <c r="DB16" t="s">
        <v>426</v>
      </c>
      <c r="DC16">
        <v>39</v>
      </c>
      <c r="DD16" s="1" t="s">
        <v>441</v>
      </c>
      <c r="DE16">
        <v>-11.092244922384699</v>
      </c>
      <c r="DF16" t="e">
        <f>_xlfn.XLOOKUP(Table1[[#This Row],[Player ID]],Table2[feed_id],Table2[trade_status])</f>
        <v>#N/A</v>
      </c>
      <c r="DG16">
        <f>_xlfn.NUMBERVALUE(Table1[[#This Row],[predicted]])</f>
        <v>50.092244922384701</v>
      </c>
    </row>
    <row r="17" spans="1:111" hidden="1" x14ac:dyDescent="0.25">
      <c r="A17">
        <v>52333</v>
      </c>
      <c r="B17">
        <v>5647</v>
      </c>
      <c r="C17" t="s">
        <v>442</v>
      </c>
      <c r="D17" t="s">
        <v>443</v>
      </c>
      <c r="E17">
        <v>2016</v>
      </c>
      <c r="F17">
        <v>240073</v>
      </c>
      <c r="G17" t="s">
        <v>444</v>
      </c>
      <c r="H17" t="s">
        <v>445</v>
      </c>
      <c r="I17" t="s">
        <v>291</v>
      </c>
      <c r="J17">
        <v>9</v>
      </c>
      <c r="K17">
        <v>48</v>
      </c>
      <c r="L17">
        <v>48</v>
      </c>
      <c r="M17">
        <v>62</v>
      </c>
      <c r="N17">
        <v>40</v>
      </c>
      <c r="O17">
        <v>60</v>
      </c>
      <c r="P17">
        <v>4</v>
      </c>
      <c r="Q17">
        <v>10</v>
      </c>
      <c r="R17">
        <v>2</v>
      </c>
      <c r="S17">
        <v>4</v>
      </c>
      <c r="T17">
        <v>0</v>
      </c>
      <c r="U17">
        <v>0</v>
      </c>
      <c r="V17">
        <v>2</v>
      </c>
      <c r="W17">
        <v>0</v>
      </c>
      <c r="X17">
        <v>0</v>
      </c>
      <c r="Y17" t="s">
        <v>113</v>
      </c>
      <c r="Z17" t="s">
        <v>153</v>
      </c>
      <c r="AA17" t="s">
        <v>446</v>
      </c>
      <c r="AD17">
        <v>324600</v>
      </c>
      <c r="AE17">
        <v>0</v>
      </c>
      <c r="AF17">
        <v>326000</v>
      </c>
      <c r="AG17">
        <v>79</v>
      </c>
      <c r="AH17" t="s">
        <v>181</v>
      </c>
      <c r="AI17">
        <v>8</v>
      </c>
      <c r="AJ17">
        <v>3</v>
      </c>
      <c r="AK17">
        <v>56.67</v>
      </c>
      <c r="AL17">
        <v>54.67</v>
      </c>
      <c r="AM17">
        <v>0.48</v>
      </c>
      <c r="AN17">
        <v>0.76</v>
      </c>
      <c r="AO17">
        <v>0.84</v>
      </c>
      <c r="AP17">
        <v>309000</v>
      </c>
      <c r="AQ17">
        <v>43</v>
      </c>
      <c r="AS17">
        <v>5</v>
      </c>
      <c r="AT17">
        <v>0</v>
      </c>
      <c r="AU17">
        <v>3</v>
      </c>
      <c r="AV17">
        <v>71</v>
      </c>
      <c r="AW17">
        <v>87</v>
      </c>
      <c r="AZ17" t="b">
        <v>0</v>
      </c>
      <c r="BA17">
        <v>1706</v>
      </c>
      <c r="BB17">
        <v>1384</v>
      </c>
      <c r="BC17">
        <v>7</v>
      </c>
      <c r="BD17" t="s">
        <v>447</v>
      </c>
      <c r="BE17">
        <v>99</v>
      </c>
      <c r="BF17">
        <v>0</v>
      </c>
      <c r="BG17">
        <v>73</v>
      </c>
      <c r="BH17">
        <v>0</v>
      </c>
      <c r="BI17">
        <v>8</v>
      </c>
      <c r="BJ17" s="1" t="s">
        <v>448</v>
      </c>
      <c r="BK17">
        <v>9</v>
      </c>
      <c r="BL17">
        <v>7.6</v>
      </c>
      <c r="BM17" s="1" t="s">
        <v>449</v>
      </c>
      <c r="BN17" s="1" t="s">
        <v>321</v>
      </c>
      <c r="BO17" s="1" t="s">
        <v>159</v>
      </c>
      <c r="BP17" s="1" t="s">
        <v>170</v>
      </c>
      <c r="BQ17">
        <v>0</v>
      </c>
      <c r="BR17" s="1" t="s">
        <v>184</v>
      </c>
      <c r="BS17" s="1" t="s">
        <v>129</v>
      </c>
      <c r="BT17" s="1" t="s">
        <v>238</v>
      </c>
      <c r="BU17" s="1" t="s">
        <v>126</v>
      </c>
      <c r="BV17" s="1" t="s">
        <v>162</v>
      </c>
      <c r="BW17">
        <v>0</v>
      </c>
      <c r="BX17">
        <v>6.6666666666666596E-2</v>
      </c>
      <c r="BY17">
        <v>0</v>
      </c>
      <c r="BZ17">
        <v>6.6666666666666596E-2</v>
      </c>
      <c r="CA17">
        <v>0.32</v>
      </c>
      <c r="CB17" s="1" t="s">
        <v>450</v>
      </c>
      <c r="CC17" s="1" t="s">
        <v>451</v>
      </c>
      <c r="CD17" s="1" t="s">
        <v>452</v>
      </c>
      <c r="CE17" s="1" t="s">
        <v>453</v>
      </c>
      <c r="CF17" s="1" t="s">
        <v>454</v>
      </c>
      <c r="CG17">
        <v>4</v>
      </c>
      <c r="CH17">
        <v>3.8</v>
      </c>
      <c r="CI17">
        <v>1</v>
      </c>
      <c r="CJ17">
        <v>0.6</v>
      </c>
      <c r="CK17" s="1" t="s">
        <v>161</v>
      </c>
      <c r="CL17" s="1" t="s">
        <v>275</v>
      </c>
      <c r="CM17" s="1" t="s">
        <v>239</v>
      </c>
      <c r="CN17">
        <v>80.599999999999994</v>
      </c>
      <c r="CO17">
        <v>89</v>
      </c>
      <c r="CP17">
        <v>89.4</v>
      </c>
      <c r="CS17" s="1" t="s">
        <v>455</v>
      </c>
      <c r="CT17" s="1" t="s">
        <v>456</v>
      </c>
      <c r="CU17" s="1" t="s">
        <v>457</v>
      </c>
      <c r="CV17" s="1" t="s">
        <v>458</v>
      </c>
      <c r="CW17">
        <v>60</v>
      </c>
      <c r="CX17">
        <v>51.6</v>
      </c>
      <c r="CY17">
        <v>56.6</v>
      </c>
      <c r="CZ17" s="1" t="s">
        <v>171</v>
      </c>
      <c r="DA17">
        <v>1</v>
      </c>
      <c r="DB17" t="s">
        <v>153</v>
      </c>
      <c r="DC17">
        <v>48</v>
      </c>
      <c r="DD17">
        <v>71.454680968620096</v>
      </c>
      <c r="DE17">
        <v>-23.45468096862</v>
      </c>
      <c r="DF17" t="e">
        <f>_xlfn.XLOOKUP(Table1[[#This Row],[Player ID]],Table2[feed_id],Table2[trade_status])</f>
        <v>#N/A</v>
      </c>
      <c r="DG17">
        <f>_xlfn.NUMBERVALUE(Table1[[#This Row],[predicted]])</f>
        <v>71.454680968620096</v>
      </c>
    </row>
    <row r="18" spans="1:111" hidden="1" x14ac:dyDescent="0.25">
      <c r="A18">
        <v>53327</v>
      </c>
      <c r="B18">
        <v>5670</v>
      </c>
      <c r="C18" t="s">
        <v>459</v>
      </c>
      <c r="D18" t="s">
        <v>460</v>
      </c>
      <c r="E18">
        <v>2016</v>
      </c>
      <c r="F18">
        <v>261043</v>
      </c>
      <c r="G18" t="s">
        <v>461</v>
      </c>
      <c r="H18" t="s">
        <v>462</v>
      </c>
      <c r="I18" t="s">
        <v>249</v>
      </c>
      <c r="J18">
        <v>7</v>
      </c>
      <c r="K18">
        <v>42</v>
      </c>
      <c r="L18">
        <v>43</v>
      </c>
      <c r="M18">
        <v>56</v>
      </c>
      <c r="N18">
        <v>34</v>
      </c>
      <c r="O18">
        <v>42</v>
      </c>
      <c r="P18">
        <v>6</v>
      </c>
      <c r="Q18">
        <v>1</v>
      </c>
      <c r="R18">
        <v>6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113</v>
      </c>
      <c r="Z18" t="s">
        <v>179</v>
      </c>
      <c r="AA18" t="s">
        <v>463</v>
      </c>
      <c r="AE18">
        <v>0</v>
      </c>
      <c r="AF18">
        <v>234600</v>
      </c>
      <c r="AG18">
        <v>64</v>
      </c>
      <c r="AH18" t="s">
        <v>181</v>
      </c>
      <c r="AI18">
        <v>40</v>
      </c>
      <c r="AJ18">
        <v>4</v>
      </c>
      <c r="AK18">
        <v>31.75</v>
      </c>
      <c r="AL18">
        <v>41.25</v>
      </c>
      <c r="AM18">
        <v>0.32</v>
      </c>
      <c r="AN18">
        <v>0.43</v>
      </c>
      <c r="AO18">
        <v>0.36</v>
      </c>
      <c r="AP18">
        <v>192000</v>
      </c>
      <c r="AQ18">
        <v>47</v>
      </c>
      <c r="AS18">
        <v>0</v>
      </c>
      <c r="AT18">
        <v>0</v>
      </c>
      <c r="AU18">
        <v>1</v>
      </c>
      <c r="AV18">
        <v>100</v>
      </c>
      <c r="AW18">
        <v>84</v>
      </c>
      <c r="AZ18" t="b">
        <v>0</v>
      </c>
      <c r="BA18">
        <v>1414</v>
      </c>
      <c r="BB18">
        <v>1885</v>
      </c>
      <c r="BC18">
        <v>9</v>
      </c>
      <c r="BD18" t="s">
        <v>464</v>
      </c>
      <c r="BE18">
        <v>101</v>
      </c>
      <c r="BF18">
        <v>0</v>
      </c>
      <c r="BG18">
        <v>72</v>
      </c>
      <c r="BH18">
        <v>0</v>
      </c>
      <c r="BI18" s="1" t="s">
        <v>211</v>
      </c>
      <c r="BJ18">
        <v>5.2</v>
      </c>
      <c r="BK18">
        <v>4</v>
      </c>
      <c r="BL18" s="1" t="s">
        <v>160</v>
      </c>
      <c r="BM18" s="1" t="s">
        <v>125</v>
      </c>
      <c r="BN18" s="1" t="s">
        <v>212</v>
      </c>
      <c r="BO18" s="1" t="s">
        <v>159</v>
      </c>
      <c r="BP18" s="1" t="s">
        <v>126</v>
      </c>
      <c r="BQ18">
        <v>0</v>
      </c>
      <c r="BR18">
        <v>0.2</v>
      </c>
      <c r="BS18">
        <v>0</v>
      </c>
      <c r="BT18">
        <v>0.4</v>
      </c>
      <c r="BU18">
        <v>0</v>
      </c>
      <c r="BV18" s="1" t="s">
        <v>238</v>
      </c>
      <c r="BW18">
        <v>0</v>
      </c>
      <c r="BX18">
        <v>0</v>
      </c>
      <c r="BY18">
        <v>0</v>
      </c>
      <c r="BZ18">
        <v>0</v>
      </c>
      <c r="CA18" s="1" t="s">
        <v>465</v>
      </c>
      <c r="CB18" s="1" t="s">
        <v>466</v>
      </c>
      <c r="CC18" s="1" t="s">
        <v>467</v>
      </c>
      <c r="CD18">
        <v>0.33400000000000002</v>
      </c>
      <c r="CE18">
        <v>0.12</v>
      </c>
      <c r="CF18" s="1" t="s">
        <v>468</v>
      </c>
      <c r="CG18">
        <v>1</v>
      </c>
      <c r="CH18">
        <v>3</v>
      </c>
      <c r="CI18">
        <v>0</v>
      </c>
      <c r="CJ18" s="1" t="s">
        <v>213</v>
      </c>
      <c r="CK18" s="1" t="s">
        <v>129</v>
      </c>
      <c r="CL18">
        <v>1.2</v>
      </c>
      <c r="CM18">
        <v>83</v>
      </c>
      <c r="CN18">
        <v>85.4</v>
      </c>
      <c r="CO18" s="1" t="s">
        <v>239</v>
      </c>
      <c r="CP18">
        <v>78.599999999999994</v>
      </c>
      <c r="CS18" s="1" t="s">
        <v>469</v>
      </c>
      <c r="CT18" s="1" t="s">
        <v>470</v>
      </c>
      <c r="CU18" s="1" t="s">
        <v>471</v>
      </c>
      <c r="CV18" s="1" t="s">
        <v>472</v>
      </c>
      <c r="CW18">
        <v>49.8</v>
      </c>
      <c r="CX18">
        <v>54.1</v>
      </c>
      <c r="CY18">
        <v>48.8</v>
      </c>
      <c r="CZ18">
        <v>45</v>
      </c>
      <c r="DA18">
        <v>1</v>
      </c>
      <c r="DB18" t="s">
        <v>179</v>
      </c>
      <c r="DC18">
        <v>43</v>
      </c>
      <c r="DD18" s="1" t="s">
        <v>473</v>
      </c>
      <c r="DE18">
        <v>0.94827371840216301</v>
      </c>
      <c r="DF18" t="e">
        <f>_xlfn.XLOOKUP(Table1[[#This Row],[Player ID]],Table2[feed_id],Table2[trade_status])</f>
        <v>#N/A</v>
      </c>
      <c r="DG18">
        <f>_xlfn.NUMBERVALUE(Table1[[#This Row],[predicted]])</f>
        <v>42.051726281597801</v>
      </c>
    </row>
    <row r="19" spans="1:111" hidden="1" x14ac:dyDescent="0.25">
      <c r="A19">
        <v>53665</v>
      </c>
      <c r="B19">
        <v>5678</v>
      </c>
      <c r="C19" t="s">
        <v>474</v>
      </c>
      <c r="D19" t="s">
        <v>475</v>
      </c>
      <c r="E19">
        <v>2016</v>
      </c>
      <c r="F19">
        <v>280386</v>
      </c>
      <c r="G19" t="s">
        <v>476</v>
      </c>
      <c r="H19" t="s">
        <v>477</v>
      </c>
      <c r="I19" t="s">
        <v>178</v>
      </c>
      <c r="J19">
        <v>9</v>
      </c>
      <c r="K19">
        <v>54</v>
      </c>
      <c r="L19">
        <v>53</v>
      </c>
      <c r="M19">
        <v>73</v>
      </c>
      <c r="N19">
        <v>37</v>
      </c>
      <c r="O19">
        <v>51</v>
      </c>
      <c r="P19">
        <v>7</v>
      </c>
      <c r="Q19">
        <v>3</v>
      </c>
      <c r="R19">
        <v>2</v>
      </c>
      <c r="S19">
        <v>5</v>
      </c>
      <c r="T19">
        <v>0</v>
      </c>
      <c r="U19">
        <v>1</v>
      </c>
      <c r="V19">
        <v>0</v>
      </c>
      <c r="W19">
        <v>0</v>
      </c>
      <c r="X19">
        <v>0</v>
      </c>
      <c r="Y19" t="s">
        <v>113</v>
      </c>
      <c r="Z19" t="s">
        <v>153</v>
      </c>
      <c r="AA19" t="s">
        <v>354</v>
      </c>
      <c r="AD19">
        <v>445400</v>
      </c>
      <c r="AE19">
        <v>0</v>
      </c>
      <c r="AF19">
        <v>402600</v>
      </c>
      <c r="AG19">
        <v>115</v>
      </c>
      <c r="AH19" t="s">
        <v>181</v>
      </c>
      <c r="AI19">
        <v>46</v>
      </c>
      <c r="AJ19">
        <v>3</v>
      </c>
      <c r="AK19">
        <v>78.67</v>
      </c>
      <c r="AL19">
        <v>69.33</v>
      </c>
      <c r="AM19">
        <v>0.33</v>
      </c>
      <c r="AN19">
        <v>0.34</v>
      </c>
      <c r="AO19">
        <v>0.44</v>
      </c>
      <c r="AP19">
        <v>426000</v>
      </c>
      <c r="AQ19">
        <v>91</v>
      </c>
      <c r="AS19">
        <v>4</v>
      </c>
      <c r="AT19">
        <v>2</v>
      </c>
      <c r="AU19">
        <v>0</v>
      </c>
      <c r="AV19">
        <v>60</v>
      </c>
      <c r="AW19">
        <v>57</v>
      </c>
      <c r="AZ19" t="b">
        <v>0</v>
      </c>
      <c r="BA19">
        <v>1744</v>
      </c>
      <c r="BB19">
        <v>1542</v>
      </c>
      <c r="BC19">
        <v>10</v>
      </c>
      <c r="BD19" t="s">
        <v>478</v>
      </c>
      <c r="BE19">
        <v>96</v>
      </c>
      <c r="BF19">
        <v>0</v>
      </c>
      <c r="BG19">
        <v>73</v>
      </c>
      <c r="BH19">
        <v>0</v>
      </c>
      <c r="BI19" s="1" t="s">
        <v>253</v>
      </c>
      <c r="BJ19">
        <v>8.8000000000000007</v>
      </c>
      <c r="BK19">
        <v>10</v>
      </c>
      <c r="BL19">
        <v>8.8000000000000007</v>
      </c>
      <c r="BM19" s="1" t="s">
        <v>125</v>
      </c>
      <c r="BN19" s="1" t="s">
        <v>211</v>
      </c>
      <c r="BO19" s="1" t="s">
        <v>169</v>
      </c>
      <c r="BP19">
        <v>2.6</v>
      </c>
      <c r="BQ19">
        <v>0</v>
      </c>
      <c r="BR19">
        <v>0</v>
      </c>
      <c r="BS19" s="1" t="s">
        <v>128</v>
      </c>
      <c r="BT19" s="1" t="s">
        <v>129</v>
      </c>
      <c r="BU19" s="1" t="s">
        <v>129</v>
      </c>
      <c r="BV19" s="1" t="s">
        <v>231</v>
      </c>
      <c r="BW19">
        <v>0</v>
      </c>
      <c r="BX19" s="1" t="s">
        <v>213</v>
      </c>
      <c r="BY19">
        <v>0</v>
      </c>
      <c r="BZ19">
        <v>6.6666666666666596E-2</v>
      </c>
      <c r="CA19">
        <v>0.22</v>
      </c>
      <c r="CB19" s="1" t="s">
        <v>479</v>
      </c>
      <c r="CC19" s="1" t="s">
        <v>480</v>
      </c>
      <c r="CD19" s="1" t="s">
        <v>481</v>
      </c>
      <c r="CE19" s="1" t="s">
        <v>482</v>
      </c>
      <c r="CF19">
        <v>9.7080000000000002</v>
      </c>
      <c r="CG19" s="1" t="s">
        <v>204</v>
      </c>
      <c r="CH19">
        <v>6</v>
      </c>
      <c r="CI19" s="1" t="s">
        <v>169</v>
      </c>
      <c r="CJ19">
        <v>2</v>
      </c>
      <c r="CK19" s="1" t="s">
        <v>128</v>
      </c>
      <c r="CL19">
        <v>1.6</v>
      </c>
      <c r="CM19" s="1" t="s">
        <v>483</v>
      </c>
      <c r="CN19" s="1" t="s">
        <v>484</v>
      </c>
      <c r="CO19" s="1" t="s">
        <v>141</v>
      </c>
      <c r="CP19">
        <v>69</v>
      </c>
      <c r="CS19" s="1" t="s">
        <v>485</v>
      </c>
      <c r="CT19" s="1" t="s">
        <v>486</v>
      </c>
      <c r="CU19" s="1" t="s">
        <v>487</v>
      </c>
      <c r="CV19" s="1" t="s">
        <v>488</v>
      </c>
      <c r="CW19">
        <v>74.900000000000006</v>
      </c>
      <c r="CX19">
        <v>57.3</v>
      </c>
      <c r="CY19">
        <v>54.6</v>
      </c>
      <c r="CZ19">
        <v>59</v>
      </c>
      <c r="DA19">
        <v>1</v>
      </c>
      <c r="DB19" t="s">
        <v>153</v>
      </c>
      <c r="DC19">
        <v>53</v>
      </c>
      <c r="DD19" s="1" t="s">
        <v>489</v>
      </c>
      <c r="DE19">
        <v>-27.7760477282078</v>
      </c>
      <c r="DF19" t="e">
        <f>_xlfn.XLOOKUP(Table1[[#This Row],[Player ID]],Table2[feed_id],Table2[trade_status])</f>
        <v>#N/A</v>
      </c>
      <c r="DG19">
        <f>_xlfn.NUMBERVALUE(Table1[[#This Row],[predicted]])</f>
        <v>80.7760477282078</v>
      </c>
    </row>
    <row r="20" spans="1:111" hidden="1" x14ac:dyDescent="0.25">
      <c r="A20">
        <v>53929</v>
      </c>
      <c r="B20">
        <v>5684</v>
      </c>
      <c r="C20" t="s">
        <v>490</v>
      </c>
      <c r="D20" t="s">
        <v>491</v>
      </c>
      <c r="E20">
        <v>2016</v>
      </c>
      <c r="F20">
        <v>270830</v>
      </c>
      <c r="G20" t="s">
        <v>492</v>
      </c>
      <c r="H20" t="s">
        <v>493</v>
      </c>
      <c r="I20" t="s">
        <v>291</v>
      </c>
      <c r="J20">
        <v>4</v>
      </c>
      <c r="K20">
        <v>44</v>
      </c>
      <c r="L20">
        <v>65</v>
      </c>
      <c r="M20">
        <v>56</v>
      </c>
      <c r="N20">
        <v>35</v>
      </c>
      <c r="O20">
        <v>48</v>
      </c>
      <c r="P20">
        <v>5</v>
      </c>
      <c r="Q20">
        <v>6</v>
      </c>
      <c r="R20">
        <v>3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113</v>
      </c>
      <c r="Z20" t="s">
        <v>494</v>
      </c>
      <c r="AA20" t="s">
        <v>495</v>
      </c>
      <c r="AB20" t="s">
        <v>179</v>
      </c>
      <c r="AC20" t="s">
        <v>496</v>
      </c>
      <c r="AD20">
        <v>305000</v>
      </c>
      <c r="AE20">
        <v>0</v>
      </c>
      <c r="AF20">
        <v>316000</v>
      </c>
      <c r="AG20">
        <v>85</v>
      </c>
      <c r="AH20" t="s">
        <v>181</v>
      </c>
      <c r="AI20">
        <v>20</v>
      </c>
      <c r="AJ20">
        <v>4</v>
      </c>
      <c r="AK20">
        <v>47.5</v>
      </c>
      <c r="AL20">
        <v>48.5</v>
      </c>
      <c r="AM20">
        <v>0.12</v>
      </c>
      <c r="AN20">
        <v>0.15</v>
      </c>
      <c r="AO20">
        <v>0.08</v>
      </c>
      <c r="AP20">
        <v>292000</v>
      </c>
      <c r="AQ20">
        <v>76</v>
      </c>
      <c r="AS20">
        <v>4</v>
      </c>
      <c r="AT20">
        <v>0</v>
      </c>
      <c r="AU20">
        <v>0</v>
      </c>
      <c r="AV20">
        <v>81</v>
      </c>
      <c r="AW20">
        <v>70</v>
      </c>
      <c r="AZ20" t="b">
        <v>1</v>
      </c>
      <c r="BA20">
        <v>1701</v>
      </c>
      <c r="BB20">
        <v>1556</v>
      </c>
      <c r="BC20">
        <v>11</v>
      </c>
      <c r="BD20" t="s">
        <v>497</v>
      </c>
      <c r="BE20">
        <v>96</v>
      </c>
      <c r="BF20">
        <v>0</v>
      </c>
      <c r="BG20">
        <v>73</v>
      </c>
      <c r="BH20">
        <v>0</v>
      </c>
      <c r="BI20">
        <v>6</v>
      </c>
      <c r="BJ20" s="1" t="s">
        <v>498</v>
      </c>
      <c r="BK20" s="1" t="s">
        <v>449</v>
      </c>
      <c r="BL20" s="1" t="s">
        <v>499</v>
      </c>
      <c r="BM20" s="1" t="s">
        <v>138</v>
      </c>
      <c r="BN20" s="1" t="s">
        <v>189</v>
      </c>
      <c r="BO20" s="1" t="s">
        <v>138</v>
      </c>
      <c r="BP20">
        <v>2.6</v>
      </c>
      <c r="BQ20">
        <v>0</v>
      </c>
      <c r="BR20">
        <v>0</v>
      </c>
      <c r="BS20" s="1" t="s">
        <v>129</v>
      </c>
      <c r="BT20">
        <v>0.4</v>
      </c>
      <c r="BU20" s="1" t="s">
        <v>128</v>
      </c>
      <c r="BV20" s="1" t="s">
        <v>162</v>
      </c>
      <c r="BW20">
        <v>0</v>
      </c>
      <c r="BX20">
        <v>0</v>
      </c>
      <c r="BY20">
        <v>0</v>
      </c>
      <c r="BZ20">
        <v>6.6666666666666596E-2</v>
      </c>
      <c r="CA20">
        <v>0.12</v>
      </c>
      <c r="CB20" s="1" t="s">
        <v>500</v>
      </c>
      <c r="CC20">
        <v>0.15</v>
      </c>
      <c r="CD20" s="1" t="s">
        <v>501</v>
      </c>
      <c r="CE20">
        <v>0.08</v>
      </c>
      <c r="CF20" s="1" t="s">
        <v>502</v>
      </c>
      <c r="CG20">
        <v>4</v>
      </c>
      <c r="CH20">
        <v>3.4</v>
      </c>
      <c r="CI20" s="1" t="s">
        <v>129</v>
      </c>
      <c r="CJ20">
        <v>0.4</v>
      </c>
      <c r="CK20">
        <v>1</v>
      </c>
      <c r="CL20">
        <v>1.8</v>
      </c>
      <c r="CM20">
        <v>81</v>
      </c>
      <c r="CN20" s="1" t="s">
        <v>241</v>
      </c>
      <c r="CO20" s="1" t="s">
        <v>437</v>
      </c>
      <c r="CP20" s="1" t="s">
        <v>438</v>
      </c>
      <c r="CS20">
        <v>1608</v>
      </c>
      <c r="CT20" s="1" t="s">
        <v>503</v>
      </c>
      <c r="CU20" s="1" t="s">
        <v>504</v>
      </c>
      <c r="CV20" s="1" t="s">
        <v>505</v>
      </c>
      <c r="CW20">
        <v>61.6</v>
      </c>
      <c r="CX20">
        <v>54.7</v>
      </c>
      <c r="CY20">
        <v>52</v>
      </c>
      <c r="CZ20">
        <v>56</v>
      </c>
      <c r="DA20">
        <v>1</v>
      </c>
      <c r="DB20" t="s">
        <v>494</v>
      </c>
      <c r="DC20">
        <v>65</v>
      </c>
      <c r="DD20" s="1" t="s">
        <v>506</v>
      </c>
      <c r="DE20">
        <v>-7.6549308405695902</v>
      </c>
      <c r="DF20" t="e">
        <f>_xlfn.XLOOKUP(Table1[[#This Row],[Player ID]],Table2[feed_id],Table2[trade_status])</f>
        <v>#N/A</v>
      </c>
      <c r="DG20">
        <f>_xlfn.NUMBERVALUE(Table1[[#This Row],[predicted]])</f>
        <v>72.654930840569506</v>
      </c>
    </row>
    <row r="21" spans="1:111" hidden="1" x14ac:dyDescent="0.25">
      <c r="A21">
        <v>54060</v>
      </c>
      <c r="B21">
        <v>5687</v>
      </c>
      <c r="C21" t="s">
        <v>507</v>
      </c>
      <c r="D21" t="s">
        <v>491</v>
      </c>
      <c r="E21">
        <v>2016</v>
      </c>
      <c r="F21">
        <v>250118</v>
      </c>
      <c r="G21" t="s">
        <v>508</v>
      </c>
      <c r="H21" t="s">
        <v>509</v>
      </c>
      <c r="I21" t="s">
        <v>510</v>
      </c>
      <c r="J21">
        <v>2</v>
      </c>
      <c r="K21">
        <v>24</v>
      </c>
      <c r="L21">
        <v>40</v>
      </c>
      <c r="M21">
        <v>34</v>
      </c>
      <c r="N21">
        <v>19</v>
      </c>
      <c r="O21">
        <v>30</v>
      </c>
      <c r="P21">
        <v>3</v>
      </c>
      <c r="Q21">
        <v>3</v>
      </c>
      <c r="R21">
        <v>1</v>
      </c>
      <c r="S21">
        <v>3</v>
      </c>
      <c r="T21">
        <v>0</v>
      </c>
      <c r="U21">
        <v>0</v>
      </c>
      <c r="V21">
        <v>2</v>
      </c>
      <c r="W21">
        <v>0</v>
      </c>
      <c r="X21">
        <v>0</v>
      </c>
      <c r="Y21" t="s">
        <v>113</v>
      </c>
      <c r="Z21" t="s">
        <v>153</v>
      </c>
      <c r="AA21" t="s">
        <v>511</v>
      </c>
      <c r="AD21">
        <v>394500</v>
      </c>
      <c r="AE21">
        <v>0</v>
      </c>
      <c r="AF21">
        <v>350100</v>
      </c>
      <c r="AG21">
        <v>104</v>
      </c>
      <c r="AH21" t="s">
        <v>118</v>
      </c>
      <c r="AI21">
        <v>7</v>
      </c>
      <c r="AJ21">
        <v>1</v>
      </c>
      <c r="AK21">
        <v>36</v>
      </c>
      <c r="AL21">
        <v>52</v>
      </c>
      <c r="AM21">
        <v>0.66</v>
      </c>
      <c r="AN21">
        <v>1.1100000000000001</v>
      </c>
      <c r="AO21">
        <v>0.91</v>
      </c>
      <c r="AP21">
        <v>360000</v>
      </c>
      <c r="AQ21">
        <v>95</v>
      </c>
      <c r="AS21">
        <v>3</v>
      </c>
      <c r="AT21">
        <v>0</v>
      </c>
      <c r="AU21">
        <v>2</v>
      </c>
      <c r="AV21">
        <v>83</v>
      </c>
      <c r="AW21">
        <v>77</v>
      </c>
      <c r="AZ21" t="b">
        <v>0</v>
      </c>
      <c r="BA21">
        <v>1561</v>
      </c>
      <c r="BB21">
        <v>1714</v>
      </c>
      <c r="BC21">
        <v>11</v>
      </c>
      <c r="BD21" t="s">
        <v>512</v>
      </c>
      <c r="BE21">
        <v>96</v>
      </c>
      <c r="BF21">
        <v>0</v>
      </c>
      <c r="BG21">
        <v>73</v>
      </c>
      <c r="BH21">
        <v>0</v>
      </c>
      <c r="BI21" s="1" t="s">
        <v>183</v>
      </c>
      <c r="BJ21">
        <v>9</v>
      </c>
      <c r="BK21" s="1" t="s">
        <v>211</v>
      </c>
      <c r="BL21">
        <v>6</v>
      </c>
      <c r="BM21">
        <v>3</v>
      </c>
      <c r="BN21" s="1" t="s">
        <v>256</v>
      </c>
      <c r="BO21" s="1" t="s">
        <v>169</v>
      </c>
      <c r="BP21" s="1" t="s">
        <v>138</v>
      </c>
      <c r="BQ21">
        <v>0</v>
      </c>
      <c r="BR21">
        <v>6.6666666666666596E-2</v>
      </c>
      <c r="BS21" s="1" t="s">
        <v>128</v>
      </c>
      <c r="BT21" s="1" t="s">
        <v>238</v>
      </c>
      <c r="BU21" s="1" t="s">
        <v>126</v>
      </c>
      <c r="BV21" s="1" t="s">
        <v>130</v>
      </c>
      <c r="BW21">
        <v>0</v>
      </c>
      <c r="BX21" s="1" t="s">
        <v>213</v>
      </c>
      <c r="BY21" s="1" t="s">
        <v>129</v>
      </c>
      <c r="BZ21">
        <v>0.2</v>
      </c>
      <c r="CA21">
        <v>0.44</v>
      </c>
      <c r="CB21" s="1" t="s">
        <v>513</v>
      </c>
      <c r="CC21" s="1" t="s">
        <v>514</v>
      </c>
      <c r="CD21">
        <v>15.78</v>
      </c>
      <c r="CE21" s="1" t="s">
        <v>515</v>
      </c>
      <c r="CF21">
        <v>16.565999999999999</v>
      </c>
      <c r="CG21" s="1" t="s">
        <v>125</v>
      </c>
      <c r="CH21" s="1" t="s">
        <v>229</v>
      </c>
      <c r="CI21">
        <v>0</v>
      </c>
      <c r="CJ21" s="1" t="s">
        <v>162</v>
      </c>
      <c r="CK21">
        <v>2</v>
      </c>
      <c r="CL21">
        <v>2.2000000000000002</v>
      </c>
      <c r="CM21" s="1" t="s">
        <v>516</v>
      </c>
      <c r="CN21">
        <v>74.400000000000006</v>
      </c>
      <c r="CO21">
        <v>80</v>
      </c>
      <c r="CP21" s="1" t="s">
        <v>517</v>
      </c>
      <c r="CS21" s="1" t="s">
        <v>518</v>
      </c>
      <c r="CT21">
        <v>1621.2</v>
      </c>
      <c r="CU21" s="1" t="s">
        <v>519</v>
      </c>
      <c r="CV21" s="1" t="s">
        <v>520</v>
      </c>
      <c r="CW21">
        <v>62.95</v>
      </c>
      <c r="CX21">
        <v>61.4</v>
      </c>
      <c r="CY21">
        <v>53</v>
      </c>
      <c r="CZ21">
        <v>51</v>
      </c>
      <c r="DA21">
        <v>1</v>
      </c>
      <c r="DB21" t="s">
        <v>153</v>
      </c>
      <c r="DC21">
        <v>40</v>
      </c>
      <c r="DD21" s="1" t="s">
        <v>521</v>
      </c>
      <c r="DE21">
        <v>-29.941320097267798</v>
      </c>
      <c r="DF21" t="e">
        <f>_xlfn.XLOOKUP(Table1[[#This Row],[Player ID]],Table2[feed_id],Table2[trade_status])</f>
        <v>#N/A</v>
      </c>
      <c r="DG21">
        <f>_xlfn.NUMBERVALUE(Table1[[#This Row],[predicted]])</f>
        <v>69.941320097267806</v>
      </c>
    </row>
    <row r="22" spans="1:111" hidden="1" x14ac:dyDescent="0.25">
      <c r="A22">
        <v>54206</v>
      </c>
      <c r="B22">
        <v>5690</v>
      </c>
      <c r="C22" t="s">
        <v>522</v>
      </c>
      <c r="D22" t="s">
        <v>491</v>
      </c>
      <c r="E22">
        <v>2016</v>
      </c>
      <c r="F22">
        <v>281025</v>
      </c>
      <c r="G22" t="s">
        <v>176</v>
      </c>
      <c r="H22" t="s">
        <v>523</v>
      </c>
      <c r="I22" t="s">
        <v>524</v>
      </c>
      <c r="J22">
        <v>8</v>
      </c>
      <c r="K22">
        <v>53</v>
      </c>
      <c r="L22">
        <v>43</v>
      </c>
      <c r="M22">
        <v>37</v>
      </c>
      <c r="N22">
        <v>45</v>
      </c>
      <c r="O22">
        <v>59</v>
      </c>
      <c r="P22">
        <v>8</v>
      </c>
      <c r="Q22">
        <v>4</v>
      </c>
      <c r="R22">
        <v>6</v>
      </c>
      <c r="S22">
        <v>1</v>
      </c>
      <c r="T22">
        <v>0</v>
      </c>
      <c r="U22">
        <v>0</v>
      </c>
      <c r="V22">
        <v>1</v>
      </c>
      <c r="W22">
        <v>0</v>
      </c>
      <c r="X22">
        <v>2</v>
      </c>
      <c r="Y22" t="s">
        <v>113</v>
      </c>
      <c r="Z22" t="s">
        <v>525</v>
      </c>
      <c r="AA22" t="s">
        <v>526</v>
      </c>
      <c r="AD22">
        <v>317200</v>
      </c>
      <c r="AE22">
        <v>0</v>
      </c>
      <c r="AF22">
        <v>266000</v>
      </c>
      <c r="AG22">
        <v>128</v>
      </c>
      <c r="AH22" t="s">
        <v>155</v>
      </c>
      <c r="AI22">
        <v>8</v>
      </c>
      <c r="AJ22">
        <v>1</v>
      </c>
      <c r="AK22">
        <v>19</v>
      </c>
      <c r="AL22">
        <v>15</v>
      </c>
      <c r="AM22">
        <v>0.23</v>
      </c>
      <c r="AN22">
        <v>0.48</v>
      </c>
      <c r="AO22">
        <v>0.13</v>
      </c>
      <c r="AP22">
        <v>284000</v>
      </c>
      <c r="AQ22">
        <v>82</v>
      </c>
      <c r="AS22">
        <v>1</v>
      </c>
      <c r="AT22">
        <v>0</v>
      </c>
      <c r="AU22">
        <v>1</v>
      </c>
      <c r="AV22">
        <v>75</v>
      </c>
      <c r="AW22">
        <v>78</v>
      </c>
      <c r="AZ22" t="b">
        <v>0</v>
      </c>
      <c r="BA22">
        <v>1808</v>
      </c>
      <c r="BB22">
        <v>1448</v>
      </c>
      <c r="BC22">
        <v>11</v>
      </c>
      <c r="BD22" t="s">
        <v>527</v>
      </c>
      <c r="BE22">
        <v>96</v>
      </c>
      <c r="BF22">
        <v>0</v>
      </c>
      <c r="BG22">
        <v>73</v>
      </c>
      <c r="BH22">
        <v>0</v>
      </c>
      <c r="BI22" s="1" t="s">
        <v>160</v>
      </c>
      <c r="BJ22" s="1" t="s">
        <v>448</v>
      </c>
      <c r="BK22" s="1" t="s">
        <v>397</v>
      </c>
      <c r="BL22" s="1" t="s">
        <v>124</v>
      </c>
      <c r="BM22" s="1" t="s">
        <v>159</v>
      </c>
      <c r="BN22" s="1" t="s">
        <v>528</v>
      </c>
      <c r="BO22" s="1" t="s">
        <v>159</v>
      </c>
      <c r="BP22" s="1" t="s">
        <v>373</v>
      </c>
      <c r="BQ22">
        <v>0</v>
      </c>
      <c r="BR22">
        <v>6.6666666666666596E-2</v>
      </c>
      <c r="BS22">
        <v>0</v>
      </c>
      <c r="BT22" s="1" t="s">
        <v>129</v>
      </c>
      <c r="BU22" s="1" t="s">
        <v>129</v>
      </c>
      <c r="BV22" s="1" t="s">
        <v>129</v>
      </c>
      <c r="BW22">
        <v>0</v>
      </c>
      <c r="BX22">
        <v>0.4</v>
      </c>
      <c r="BY22" s="1" t="s">
        <v>128</v>
      </c>
      <c r="BZ22" s="1" t="s">
        <v>238</v>
      </c>
      <c r="CA22">
        <v>0.24</v>
      </c>
      <c r="CB22" s="1" t="s">
        <v>529</v>
      </c>
      <c r="CC22" s="1" t="s">
        <v>451</v>
      </c>
      <c r="CD22">
        <v>0.28399999999999997</v>
      </c>
      <c r="CE22" s="1" t="s">
        <v>213</v>
      </c>
      <c r="CF22" s="1" t="s">
        <v>530</v>
      </c>
      <c r="CG22" s="1" t="s">
        <v>159</v>
      </c>
      <c r="CH22">
        <v>3.4</v>
      </c>
      <c r="CI22" s="1" t="s">
        <v>129</v>
      </c>
      <c r="CJ22">
        <v>1.2</v>
      </c>
      <c r="CK22" s="1" t="s">
        <v>128</v>
      </c>
      <c r="CL22" s="1" t="s">
        <v>206</v>
      </c>
      <c r="CM22">
        <v>86</v>
      </c>
      <c r="CN22">
        <v>70.8</v>
      </c>
      <c r="CO22" s="1" t="s">
        <v>215</v>
      </c>
      <c r="CP22" s="1" t="s">
        <v>531</v>
      </c>
      <c r="CS22" s="1" t="s">
        <v>532</v>
      </c>
      <c r="CT22" s="1" t="s">
        <v>533</v>
      </c>
      <c r="CU22" s="1" t="s">
        <v>534</v>
      </c>
      <c r="CV22" s="1" t="s">
        <v>535</v>
      </c>
      <c r="CW22">
        <v>46.25</v>
      </c>
      <c r="CX22">
        <v>42.2</v>
      </c>
      <c r="CY22">
        <v>36</v>
      </c>
      <c r="CZ22" s="1" t="s">
        <v>536</v>
      </c>
      <c r="DA22">
        <v>1</v>
      </c>
      <c r="DB22" t="s">
        <v>525</v>
      </c>
      <c r="DC22">
        <v>43</v>
      </c>
      <c r="DD22" s="1" t="s">
        <v>537</v>
      </c>
      <c r="DE22">
        <v>-6.84998496373046</v>
      </c>
      <c r="DF22" t="e">
        <f>_xlfn.XLOOKUP(Table1[[#This Row],[Player ID]],Table2[feed_id],Table2[trade_status])</f>
        <v>#N/A</v>
      </c>
      <c r="DG22">
        <f>_xlfn.NUMBERVALUE(Table1[[#This Row],[predicted]])</f>
        <v>49.8499849637304</v>
      </c>
    </row>
    <row r="23" spans="1:111" hidden="1" x14ac:dyDescent="0.25">
      <c r="A23">
        <v>54249</v>
      </c>
      <c r="B23">
        <v>5691</v>
      </c>
      <c r="C23" t="s">
        <v>538</v>
      </c>
      <c r="D23" t="s">
        <v>539</v>
      </c>
      <c r="E23">
        <v>2016</v>
      </c>
      <c r="F23">
        <v>240180</v>
      </c>
      <c r="G23" t="s">
        <v>540</v>
      </c>
      <c r="H23" t="s">
        <v>541</v>
      </c>
      <c r="I23" t="s">
        <v>317</v>
      </c>
      <c r="J23">
        <v>4</v>
      </c>
      <c r="K23">
        <v>43</v>
      </c>
      <c r="L23">
        <v>44</v>
      </c>
      <c r="M23">
        <v>30</v>
      </c>
      <c r="N23">
        <v>34</v>
      </c>
      <c r="O23">
        <v>45</v>
      </c>
      <c r="P23">
        <v>7</v>
      </c>
      <c r="Q23">
        <v>2</v>
      </c>
      <c r="R23">
        <v>4</v>
      </c>
      <c r="S23">
        <v>2</v>
      </c>
      <c r="T23">
        <v>0</v>
      </c>
      <c r="U23">
        <v>1</v>
      </c>
      <c r="V23">
        <v>1</v>
      </c>
      <c r="W23">
        <v>0</v>
      </c>
      <c r="X23">
        <v>0</v>
      </c>
      <c r="Y23" t="s">
        <v>113</v>
      </c>
      <c r="Z23" t="s">
        <v>542</v>
      </c>
      <c r="AA23" t="s">
        <v>543</v>
      </c>
      <c r="AD23">
        <v>318500</v>
      </c>
      <c r="AE23">
        <v>0</v>
      </c>
      <c r="AF23">
        <v>355400</v>
      </c>
      <c r="AG23">
        <v>72</v>
      </c>
      <c r="AH23" t="s">
        <v>181</v>
      </c>
      <c r="AI23">
        <v>25</v>
      </c>
      <c r="AJ23">
        <v>7</v>
      </c>
      <c r="AK23">
        <v>55.29</v>
      </c>
      <c r="AL23">
        <v>67.430000000000007</v>
      </c>
      <c r="AM23">
        <v>0.2</v>
      </c>
      <c r="AN23">
        <v>0.32</v>
      </c>
      <c r="AO23">
        <v>0.2</v>
      </c>
      <c r="AP23">
        <v>299000</v>
      </c>
      <c r="AQ23">
        <v>58</v>
      </c>
      <c r="AS23">
        <v>1</v>
      </c>
      <c r="AT23">
        <v>0</v>
      </c>
      <c r="AU23">
        <v>1</v>
      </c>
      <c r="AV23">
        <v>100</v>
      </c>
      <c r="AW23">
        <v>90</v>
      </c>
      <c r="AZ23" t="b">
        <v>0</v>
      </c>
      <c r="BA23">
        <v>1865</v>
      </c>
      <c r="BB23">
        <v>1425</v>
      </c>
      <c r="BC23">
        <v>12</v>
      </c>
      <c r="BD23" t="s">
        <v>544</v>
      </c>
      <c r="BE23">
        <v>99</v>
      </c>
      <c r="BF23">
        <v>0</v>
      </c>
      <c r="BG23">
        <v>72</v>
      </c>
      <c r="BH23">
        <v>0</v>
      </c>
      <c r="BI23" s="1" t="s">
        <v>545</v>
      </c>
      <c r="BJ23" s="1" t="s">
        <v>158</v>
      </c>
      <c r="BK23">
        <v>3</v>
      </c>
      <c r="BL23" s="1" t="s">
        <v>160</v>
      </c>
      <c r="BM23">
        <v>5</v>
      </c>
      <c r="BN23">
        <v>5.8</v>
      </c>
      <c r="BO23" s="1" t="s">
        <v>126</v>
      </c>
      <c r="BP23" s="1" t="s">
        <v>275</v>
      </c>
      <c r="BQ23">
        <v>0</v>
      </c>
      <c r="BR23" s="1" t="s">
        <v>184</v>
      </c>
      <c r="BS23" s="1" t="s">
        <v>126</v>
      </c>
      <c r="BT23" s="1" t="s">
        <v>128</v>
      </c>
      <c r="BU23" s="1" t="s">
        <v>128</v>
      </c>
      <c r="BV23" s="1" t="s">
        <v>130</v>
      </c>
      <c r="BW23">
        <v>0</v>
      </c>
      <c r="BX23">
        <v>6.6666666666666596E-2</v>
      </c>
      <c r="BY23">
        <v>0</v>
      </c>
      <c r="BZ23" s="1" t="s">
        <v>213</v>
      </c>
      <c r="CA23" s="1" t="s">
        <v>546</v>
      </c>
      <c r="CB23" s="1" t="s">
        <v>547</v>
      </c>
      <c r="CC23" s="1" t="s">
        <v>548</v>
      </c>
      <c r="CD23" s="1" t="s">
        <v>549</v>
      </c>
      <c r="CE23" s="1" t="s">
        <v>550</v>
      </c>
      <c r="CF23" s="1" t="s">
        <v>551</v>
      </c>
      <c r="CG23" s="1" t="s">
        <v>125</v>
      </c>
      <c r="CH23" s="1" t="s">
        <v>212</v>
      </c>
      <c r="CI23">
        <v>0</v>
      </c>
      <c r="CJ23" s="1" t="s">
        <v>213</v>
      </c>
      <c r="CK23">
        <v>1</v>
      </c>
      <c r="CL23" s="1" t="s">
        <v>257</v>
      </c>
      <c r="CM23" s="1" t="s">
        <v>552</v>
      </c>
      <c r="CN23" s="1" t="s">
        <v>553</v>
      </c>
      <c r="CO23" s="1" t="s">
        <v>554</v>
      </c>
      <c r="CP23">
        <v>87.4</v>
      </c>
      <c r="CS23" s="1" t="s">
        <v>555</v>
      </c>
      <c r="CT23" s="1" t="s">
        <v>556</v>
      </c>
      <c r="CU23" s="1" t="s">
        <v>557</v>
      </c>
      <c r="CV23">
        <v>1623.2</v>
      </c>
      <c r="CW23">
        <v>74.150000000000006</v>
      </c>
      <c r="CX23">
        <v>65.400000000000006</v>
      </c>
      <c r="CY23">
        <v>66.400000000000006</v>
      </c>
      <c r="CZ23" s="1" t="s">
        <v>558</v>
      </c>
      <c r="DA23">
        <v>1</v>
      </c>
      <c r="DB23" t="s">
        <v>542</v>
      </c>
      <c r="DC23">
        <v>44</v>
      </c>
      <c r="DD23" s="1" t="s">
        <v>559</v>
      </c>
      <c r="DE23">
        <v>-17.515398872980501</v>
      </c>
      <c r="DF23" t="e">
        <f>_xlfn.XLOOKUP(Table1[[#This Row],[Player ID]],Table2[feed_id],Table2[trade_status])</f>
        <v>#N/A</v>
      </c>
      <c r="DG23">
        <f>_xlfn.NUMBERVALUE(Table1[[#This Row],[predicted]])</f>
        <v>61.515398872980498</v>
      </c>
    </row>
    <row r="24" spans="1:111" hidden="1" x14ac:dyDescent="0.25">
      <c r="A24">
        <v>54444</v>
      </c>
      <c r="B24">
        <v>5697</v>
      </c>
      <c r="C24" t="s">
        <v>560</v>
      </c>
      <c r="D24" t="s">
        <v>539</v>
      </c>
      <c r="E24">
        <v>2016</v>
      </c>
      <c r="F24">
        <v>240419</v>
      </c>
      <c r="G24" t="s">
        <v>561</v>
      </c>
      <c r="H24" t="s">
        <v>562</v>
      </c>
      <c r="I24" t="s">
        <v>112</v>
      </c>
      <c r="J24">
        <v>3</v>
      </c>
      <c r="K24">
        <v>36</v>
      </c>
      <c r="L24">
        <v>48</v>
      </c>
      <c r="M24">
        <v>47</v>
      </c>
      <c r="N24">
        <v>28</v>
      </c>
      <c r="O24">
        <v>39</v>
      </c>
      <c r="P24">
        <v>6</v>
      </c>
      <c r="Q24">
        <v>4</v>
      </c>
      <c r="R24">
        <v>1</v>
      </c>
      <c r="S24">
        <v>2</v>
      </c>
      <c r="T24">
        <v>0</v>
      </c>
      <c r="U24">
        <v>2</v>
      </c>
      <c r="V24">
        <v>1</v>
      </c>
      <c r="W24">
        <v>0</v>
      </c>
      <c r="X24">
        <v>0</v>
      </c>
      <c r="Y24" t="s">
        <v>113</v>
      </c>
      <c r="Z24" t="s">
        <v>226</v>
      </c>
      <c r="AA24" t="s">
        <v>563</v>
      </c>
      <c r="AD24">
        <v>246300</v>
      </c>
      <c r="AE24">
        <v>0</v>
      </c>
      <c r="AF24">
        <v>273300</v>
      </c>
      <c r="AG24">
        <v>99</v>
      </c>
      <c r="AH24" t="s">
        <v>181</v>
      </c>
      <c r="AI24">
        <v>34</v>
      </c>
      <c r="AJ24">
        <v>7</v>
      </c>
      <c r="AK24">
        <v>42.57</v>
      </c>
      <c r="AL24">
        <v>48.29</v>
      </c>
      <c r="AM24">
        <v>0.41</v>
      </c>
      <c r="AN24">
        <v>0.45</v>
      </c>
      <c r="AO24">
        <v>0.28999999999999998</v>
      </c>
      <c r="AP24">
        <v>235000</v>
      </c>
      <c r="AQ24">
        <v>75</v>
      </c>
      <c r="AS24">
        <v>6</v>
      </c>
      <c r="AT24">
        <v>0</v>
      </c>
      <c r="AU24">
        <v>1</v>
      </c>
      <c r="AV24">
        <v>70</v>
      </c>
      <c r="AW24">
        <v>92</v>
      </c>
      <c r="AZ24" t="b">
        <v>0</v>
      </c>
      <c r="BA24">
        <v>1693</v>
      </c>
      <c r="BB24">
        <v>1595</v>
      </c>
      <c r="BC24">
        <v>12</v>
      </c>
      <c r="BD24" t="s">
        <v>564</v>
      </c>
      <c r="BE24">
        <v>99</v>
      </c>
      <c r="BF24">
        <v>0</v>
      </c>
      <c r="BG24">
        <v>72</v>
      </c>
      <c r="BH24">
        <v>0</v>
      </c>
      <c r="BI24">
        <v>4</v>
      </c>
      <c r="BJ24" s="1" t="s">
        <v>565</v>
      </c>
      <c r="BK24">
        <v>4</v>
      </c>
      <c r="BL24" s="1" t="s">
        <v>398</v>
      </c>
      <c r="BM24" s="1" t="s">
        <v>126</v>
      </c>
      <c r="BN24" s="1" t="s">
        <v>566</v>
      </c>
      <c r="BO24" s="1" t="s">
        <v>126</v>
      </c>
      <c r="BP24" s="1" t="s">
        <v>321</v>
      </c>
      <c r="BQ24">
        <v>0</v>
      </c>
      <c r="BR24">
        <v>0</v>
      </c>
      <c r="BS24">
        <v>1</v>
      </c>
      <c r="BT24" s="1" t="s">
        <v>231</v>
      </c>
      <c r="BU24" s="1" t="s">
        <v>129</v>
      </c>
      <c r="BV24">
        <v>0.8</v>
      </c>
      <c r="BW24">
        <v>0</v>
      </c>
      <c r="BX24">
        <v>0</v>
      </c>
      <c r="BY24">
        <v>0</v>
      </c>
      <c r="BZ24">
        <v>6.6666666666666596E-2</v>
      </c>
      <c r="CA24" s="1" t="s">
        <v>567</v>
      </c>
      <c r="CB24" s="1" t="s">
        <v>568</v>
      </c>
      <c r="CC24" s="1" t="s">
        <v>432</v>
      </c>
      <c r="CD24" s="1" t="s">
        <v>569</v>
      </c>
      <c r="CE24" s="1" t="s">
        <v>570</v>
      </c>
      <c r="CF24" s="1" t="s">
        <v>571</v>
      </c>
      <c r="CG24">
        <v>4</v>
      </c>
      <c r="CH24" s="1" t="s">
        <v>211</v>
      </c>
      <c r="CI24">
        <v>0</v>
      </c>
      <c r="CJ24">
        <v>0.2</v>
      </c>
      <c r="CK24" s="1" t="s">
        <v>128</v>
      </c>
      <c r="CL24">
        <v>1.6</v>
      </c>
      <c r="CM24">
        <v>82</v>
      </c>
      <c r="CN24">
        <v>73.8</v>
      </c>
      <c r="CO24" s="1" t="s">
        <v>572</v>
      </c>
      <c r="CP24" s="1" t="s">
        <v>573</v>
      </c>
      <c r="CS24">
        <v>1642</v>
      </c>
      <c r="CT24" s="1" t="s">
        <v>574</v>
      </c>
      <c r="CU24">
        <v>1629</v>
      </c>
      <c r="CV24" s="1" t="s">
        <v>575</v>
      </c>
      <c r="CW24">
        <v>50.95</v>
      </c>
      <c r="CX24">
        <v>45.1</v>
      </c>
      <c r="CY24">
        <v>45.2</v>
      </c>
      <c r="CZ24" s="1" t="s">
        <v>576</v>
      </c>
      <c r="DA24">
        <v>1</v>
      </c>
      <c r="DB24" t="s">
        <v>226</v>
      </c>
      <c r="DC24">
        <v>48</v>
      </c>
      <c r="DD24" s="1" t="s">
        <v>577</v>
      </c>
      <c r="DE24">
        <v>-27.8458000295837</v>
      </c>
      <c r="DF24" t="e">
        <f>_xlfn.XLOOKUP(Table1[[#This Row],[Player ID]],Table2[feed_id],Table2[trade_status])</f>
        <v>#N/A</v>
      </c>
      <c r="DG24">
        <f>_xlfn.NUMBERVALUE(Table1[[#This Row],[predicted]])</f>
        <v>75.8458000295837</v>
      </c>
    </row>
    <row r="25" spans="1:111" hidden="1" x14ac:dyDescent="0.25">
      <c r="A25">
        <v>54742</v>
      </c>
      <c r="B25">
        <v>5704</v>
      </c>
      <c r="C25" t="s">
        <v>578</v>
      </c>
      <c r="D25" t="s">
        <v>579</v>
      </c>
      <c r="E25">
        <v>2016</v>
      </c>
      <c r="F25">
        <v>250257</v>
      </c>
      <c r="G25" t="s">
        <v>580</v>
      </c>
      <c r="H25" t="s">
        <v>581</v>
      </c>
      <c r="I25" t="s">
        <v>582</v>
      </c>
      <c r="J25">
        <v>4</v>
      </c>
      <c r="K25">
        <v>46</v>
      </c>
      <c r="L25">
        <v>50</v>
      </c>
      <c r="M25">
        <v>60</v>
      </c>
      <c r="N25">
        <v>37</v>
      </c>
      <c r="O25">
        <v>51</v>
      </c>
      <c r="P25">
        <v>7</v>
      </c>
      <c r="Q25">
        <v>5</v>
      </c>
      <c r="R25">
        <v>3</v>
      </c>
      <c r="S25">
        <v>2</v>
      </c>
      <c r="T25">
        <v>0</v>
      </c>
      <c r="U25">
        <v>1</v>
      </c>
      <c r="V25">
        <v>1</v>
      </c>
      <c r="W25">
        <v>0</v>
      </c>
      <c r="X25">
        <v>0</v>
      </c>
      <c r="Y25" t="s">
        <v>113</v>
      </c>
      <c r="Z25" t="s">
        <v>542</v>
      </c>
      <c r="AA25" t="s">
        <v>583</v>
      </c>
      <c r="AD25">
        <v>358400</v>
      </c>
      <c r="AE25">
        <v>0</v>
      </c>
      <c r="AF25">
        <v>324700</v>
      </c>
      <c r="AG25">
        <v>101</v>
      </c>
      <c r="AH25" t="s">
        <v>181</v>
      </c>
      <c r="AI25">
        <v>18</v>
      </c>
      <c r="AJ25">
        <v>1</v>
      </c>
      <c r="AK25">
        <v>45</v>
      </c>
      <c r="AL25">
        <v>47</v>
      </c>
      <c r="AM25">
        <v>0.16</v>
      </c>
      <c r="AN25">
        <v>0.26</v>
      </c>
      <c r="AO25">
        <v>0.2</v>
      </c>
      <c r="AQ25">
        <v>79</v>
      </c>
      <c r="AS25">
        <v>5</v>
      </c>
      <c r="AT25">
        <v>0</v>
      </c>
      <c r="AU25">
        <v>2</v>
      </c>
      <c r="AV25">
        <v>75</v>
      </c>
      <c r="AW25">
        <v>72</v>
      </c>
      <c r="AZ25" t="b">
        <v>0</v>
      </c>
      <c r="BA25">
        <v>1760</v>
      </c>
      <c r="BB25">
        <v>1477</v>
      </c>
      <c r="BC25">
        <v>13</v>
      </c>
      <c r="BD25" t="s">
        <v>584</v>
      </c>
      <c r="BE25" s="1" t="s">
        <v>585</v>
      </c>
      <c r="BF25">
        <v>0</v>
      </c>
      <c r="BG25">
        <v>75</v>
      </c>
      <c r="BH25">
        <v>0</v>
      </c>
      <c r="BI25" s="1" t="s">
        <v>124</v>
      </c>
      <c r="BJ25" s="1" t="s">
        <v>586</v>
      </c>
      <c r="BK25" s="1" t="s">
        <v>160</v>
      </c>
      <c r="BL25" s="1" t="s">
        <v>587</v>
      </c>
      <c r="BM25" s="1" t="s">
        <v>125</v>
      </c>
      <c r="BN25" s="1" t="s">
        <v>565</v>
      </c>
      <c r="BO25">
        <v>2</v>
      </c>
      <c r="BP25" s="1" t="s">
        <v>327</v>
      </c>
      <c r="BQ25">
        <v>0</v>
      </c>
      <c r="BR25">
        <v>0</v>
      </c>
      <c r="BS25">
        <v>1</v>
      </c>
      <c r="BT25" s="1" t="s">
        <v>399</v>
      </c>
      <c r="BU25" s="1" t="s">
        <v>128</v>
      </c>
      <c r="BV25" s="1" t="s">
        <v>130</v>
      </c>
      <c r="BW25" s="1" t="s">
        <v>129</v>
      </c>
      <c r="BX25" s="1" t="s">
        <v>213</v>
      </c>
      <c r="BY25">
        <v>0</v>
      </c>
      <c r="BZ25">
        <v>0</v>
      </c>
      <c r="CA25" s="1" t="s">
        <v>588</v>
      </c>
      <c r="CB25" s="1" t="s">
        <v>589</v>
      </c>
      <c r="CC25" s="1" t="s">
        <v>590</v>
      </c>
      <c r="CD25">
        <v>0.22800000000000001</v>
      </c>
      <c r="CE25" s="1" t="s">
        <v>591</v>
      </c>
      <c r="CF25" s="1" t="s">
        <v>592</v>
      </c>
      <c r="CG25">
        <v>4</v>
      </c>
      <c r="CH25">
        <v>3.6</v>
      </c>
      <c r="CI25" s="1" t="s">
        <v>129</v>
      </c>
      <c r="CJ25" s="1" t="s">
        <v>130</v>
      </c>
      <c r="CK25">
        <v>1</v>
      </c>
      <c r="CL25">
        <v>2</v>
      </c>
      <c r="CM25" s="1" t="s">
        <v>437</v>
      </c>
      <c r="CN25">
        <v>77.599999999999994</v>
      </c>
      <c r="CO25" s="1" t="s">
        <v>593</v>
      </c>
      <c r="CP25">
        <v>64</v>
      </c>
      <c r="CS25">
        <v>1558</v>
      </c>
      <c r="CT25" s="1" t="s">
        <v>594</v>
      </c>
      <c r="CU25" s="1" t="s">
        <v>595</v>
      </c>
      <c r="CV25">
        <v>1604.2</v>
      </c>
      <c r="CW25">
        <v>58.1</v>
      </c>
      <c r="CX25">
        <v>53.1</v>
      </c>
      <c r="CY25">
        <v>54.8</v>
      </c>
      <c r="CZ25">
        <v>49</v>
      </c>
      <c r="DA25">
        <v>1</v>
      </c>
      <c r="DB25" t="s">
        <v>542</v>
      </c>
      <c r="DC25">
        <v>50</v>
      </c>
      <c r="DD25" s="1" t="s">
        <v>596</v>
      </c>
      <c r="DE25" s="1" t="s">
        <v>597</v>
      </c>
      <c r="DF25" t="e">
        <f>_xlfn.XLOOKUP(Table1[[#This Row],[Player ID]],Table2[feed_id],Table2[trade_status])</f>
        <v>#N/A</v>
      </c>
      <c r="DG25">
        <f>_xlfn.NUMBERVALUE(Table1[[#This Row],[predicted]])</f>
        <v>49.135621616949898</v>
      </c>
    </row>
    <row r="26" spans="1:111" hidden="1" x14ac:dyDescent="0.25">
      <c r="A26">
        <v>55538</v>
      </c>
      <c r="B26">
        <v>5722</v>
      </c>
      <c r="C26" t="s">
        <v>598</v>
      </c>
      <c r="D26" t="s">
        <v>599</v>
      </c>
      <c r="E26">
        <v>2016</v>
      </c>
      <c r="F26">
        <v>240546</v>
      </c>
      <c r="G26" t="s">
        <v>600</v>
      </c>
      <c r="H26" t="s">
        <v>601</v>
      </c>
      <c r="I26" t="s">
        <v>317</v>
      </c>
      <c r="J26">
        <v>19</v>
      </c>
      <c r="K26">
        <v>51</v>
      </c>
      <c r="L26">
        <v>51</v>
      </c>
      <c r="M26">
        <v>54</v>
      </c>
      <c r="N26">
        <v>48</v>
      </c>
      <c r="O26">
        <v>54</v>
      </c>
      <c r="P26">
        <v>1</v>
      </c>
      <c r="Q26">
        <v>1</v>
      </c>
      <c r="R26">
        <v>0</v>
      </c>
      <c r="S26">
        <v>3</v>
      </c>
      <c r="T26">
        <v>39</v>
      </c>
      <c r="U26">
        <v>1</v>
      </c>
      <c r="V26">
        <v>2</v>
      </c>
      <c r="W26">
        <v>0</v>
      </c>
      <c r="X26">
        <v>0</v>
      </c>
      <c r="Y26" t="s">
        <v>113</v>
      </c>
      <c r="Z26" t="s">
        <v>602</v>
      </c>
      <c r="AA26" t="s">
        <v>603</v>
      </c>
      <c r="AD26">
        <v>476400</v>
      </c>
      <c r="AE26">
        <v>0</v>
      </c>
      <c r="AF26">
        <v>514900</v>
      </c>
      <c r="AG26">
        <v>208</v>
      </c>
      <c r="AH26" t="s">
        <v>274</v>
      </c>
      <c r="AI26">
        <v>20</v>
      </c>
      <c r="AJ26">
        <v>2</v>
      </c>
      <c r="AK26">
        <v>52.5</v>
      </c>
      <c r="AL26">
        <v>52.5</v>
      </c>
      <c r="AM26">
        <v>0.35</v>
      </c>
      <c r="AN26">
        <v>0.5</v>
      </c>
      <c r="AO26">
        <v>0.55000000000000004</v>
      </c>
      <c r="AP26">
        <v>416000</v>
      </c>
      <c r="AQ26">
        <v>130</v>
      </c>
      <c r="AS26">
        <v>3</v>
      </c>
      <c r="AT26">
        <v>0</v>
      </c>
      <c r="AU26">
        <v>4</v>
      </c>
      <c r="AV26">
        <v>0</v>
      </c>
      <c r="AW26">
        <v>73</v>
      </c>
      <c r="AZ26" t="b">
        <v>0</v>
      </c>
      <c r="BA26">
        <v>1696</v>
      </c>
      <c r="BB26">
        <v>1573</v>
      </c>
      <c r="BC26">
        <v>16</v>
      </c>
      <c r="BD26" t="s">
        <v>604</v>
      </c>
      <c r="BE26" s="1" t="s">
        <v>605</v>
      </c>
      <c r="BF26">
        <v>0</v>
      </c>
      <c r="BG26">
        <v>75</v>
      </c>
      <c r="BH26">
        <v>0</v>
      </c>
      <c r="BI26" s="1" t="s">
        <v>138</v>
      </c>
      <c r="BJ26">
        <v>5.6</v>
      </c>
      <c r="BK26">
        <v>3</v>
      </c>
      <c r="BL26" s="1" t="s">
        <v>229</v>
      </c>
      <c r="BM26" s="1" t="s">
        <v>126</v>
      </c>
      <c r="BN26" s="1" t="s">
        <v>255</v>
      </c>
      <c r="BO26">
        <v>2</v>
      </c>
      <c r="BP26" s="1" t="s">
        <v>375</v>
      </c>
      <c r="BQ26">
        <v>29</v>
      </c>
      <c r="BR26">
        <v>25.2</v>
      </c>
      <c r="BS26">
        <v>1</v>
      </c>
      <c r="BT26" s="1" t="s">
        <v>257</v>
      </c>
      <c r="BU26">
        <v>2</v>
      </c>
      <c r="BV26" s="1" t="s">
        <v>162</v>
      </c>
      <c r="BW26">
        <v>0</v>
      </c>
      <c r="BX26">
        <v>0.6</v>
      </c>
      <c r="BY26">
        <v>0</v>
      </c>
      <c r="BZ26">
        <v>6.6666666666666596E-2</v>
      </c>
      <c r="CA26" s="1" t="s">
        <v>606</v>
      </c>
      <c r="CB26">
        <v>0.314</v>
      </c>
      <c r="CC26">
        <v>0.6</v>
      </c>
      <c r="CD26" s="1" t="s">
        <v>607</v>
      </c>
      <c r="CE26">
        <v>0.64</v>
      </c>
      <c r="CF26">
        <v>7.1120000000000001</v>
      </c>
      <c r="CG26">
        <v>4</v>
      </c>
      <c r="CH26">
        <v>6.6</v>
      </c>
      <c r="CI26">
        <v>1</v>
      </c>
      <c r="CJ26" s="1" t="s">
        <v>566</v>
      </c>
      <c r="CK26" s="1" t="s">
        <v>169</v>
      </c>
      <c r="CL26" s="1" t="s">
        <v>375</v>
      </c>
      <c r="CM26" s="1" t="s">
        <v>608</v>
      </c>
      <c r="CN26" s="1" t="s">
        <v>609</v>
      </c>
      <c r="CO26" s="1" t="s">
        <v>610</v>
      </c>
      <c r="CP26">
        <v>69.400000000000006</v>
      </c>
      <c r="CS26" s="1" t="s">
        <v>611</v>
      </c>
      <c r="CT26" s="1" t="s">
        <v>612</v>
      </c>
      <c r="CU26">
        <v>1724</v>
      </c>
      <c r="CV26" s="1" t="s">
        <v>613</v>
      </c>
      <c r="CW26">
        <v>87.45</v>
      </c>
      <c r="CX26">
        <v>78.400000000000006</v>
      </c>
      <c r="CY26">
        <v>62</v>
      </c>
      <c r="CZ26">
        <v>52</v>
      </c>
      <c r="DA26">
        <v>1</v>
      </c>
      <c r="DB26" t="s">
        <v>602</v>
      </c>
      <c r="DC26">
        <v>51</v>
      </c>
      <c r="DD26" s="1" t="s">
        <v>614</v>
      </c>
      <c r="DE26">
        <v>-37.940052349840997</v>
      </c>
      <c r="DF26" t="e">
        <f>_xlfn.XLOOKUP(Table1[[#This Row],[Player ID]],Table2[feed_id],Table2[trade_status])</f>
        <v>#N/A</v>
      </c>
      <c r="DG26">
        <f>_xlfn.NUMBERVALUE(Table1[[#This Row],[predicted]])</f>
        <v>88.940052349840997</v>
      </c>
    </row>
    <row r="27" spans="1:111" hidden="1" x14ac:dyDescent="0.25">
      <c r="A27">
        <v>56072</v>
      </c>
      <c r="B27">
        <v>5735</v>
      </c>
      <c r="C27" t="s">
        <v>615</v>
      </c>
      <c r="D27" t="s">
        <v>616</v>
      </c>
      <c r="E27">
        <v>2016</v>
      </c>
      <c r="F27">
        <v>250703</v>
      </c>
      <c r="G27" t="s">
        <v>617</v>
      </c>
      <c r="H27" t="s">
        <v>618</v>
      </c>
      <c r="I27" t="s">
        <v>619</v>
      </c>
      <c r="J27">
        <v>12</v>
      </c>
      <c r="K27">
        <v>69</v>
      </c>
      <c r="L27">
        <v>81</v>
      </c>
      <c r="M27">
        <v>89</v>
      </c>
      <c r="N27">
        <v>58</v>
      </c>
      <c r="O27">
        <v>78</v>
      </c>
      <c r="P27">
        <v>13</v>
      </c>
      <c r="Q27">
        <v>6</v>
      </c>
      <c r="R27">
        <v>7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 t="s">
        <v>113</v>
      </c>
      <c r="Z27" t="s">
        <v>179</v>
      </c>
      <c r="AA27" t="s">
        <v>620</v>
      </c>
      <c r="AD27">
        <v>394900</v>
      </c>
      <c r="AE27">
        <v>0</v>
      </c>
      <c r="AF27">
        <v>392500</v>
      </c>
      <c r="AG27">
        <v>54</v>
      </c>
      <c r="AH27" t="s">
        <v>181</v>
      </c>
      <c r="AI27">
        <v>42</v>
      </c>
      <c r="AJ27">
        <v>13</v>
      </c>
      <c r="AK27">
        <v>76.540000000000006</v>
      </c>
      <c r="AL27">
        <v>77.92</v>
      </c>
      <c r="AM27">
        <v>0.28000000000000003</v>
      </c>
      <c r="AN27">
        <v>0.33</v>
      </c>
      <c r="AO27">
        <v>0.56999999999999995</v>
      </c>
      <c r="AP27">
        <v>381000</v>
      </c>
      <c r="AQ27">
        <v>74</v>
      </c>
      <c r="AS27">
        <v>6</v>
      </c>
      <c r="AT27">
        <v>0</v>
      </c>
      <c r="AU27">
        <v>3</v>
      </c>
      <c r="AV27">
        <v>89</v>
      </c>
      <c r="AW27">
        <v>86</v>
      </c>
      <c r="AZ27" t="b">
        <v>0</v>
      </c>
      <c r="BA27">
        <v>1636</v>
      </c>
      <c r="BB27">
        <v>1640</v>
      </c>
      <c r="BC27">
        <v>17</v>
      </c>
      <c r="BD27" t="s">
        <v>621</v>
      </c>
      <c r="BE27">
        <v>99</v>
      </c>
      <c r="BF27">
        <v>0</v>
      </c>
      <c r="BG27">
        <v>74</v>
      </c>
      <c r="BH27">
        <v>1</v>
      </c>
      <c r="BI27" s="1" t="s">
        <v>622</v>
      </c>
      <c r="BJ27" s="1" t="s">
        <v>623</v>
      </c>
      <c r="BK27" s="1" t="s">
        <v>124</v>
      </c>
      <c r="BL27" s="1" t="s">
        <v>624</v>
      </c>
      <c r="BM27" s="1" t="s">
        <v>204</v>
      </c>
      <c r="BN27" s="1" t="s">
        <v>398</v>
      </c>
      <c r="BO27">
        <v>1</v>
      </c>
      <c r="BP27">
        <v>1.6</v>
      </c>
      <c r="BQ27">
        <v>0</v>
      </c>
      <c r="BR27">
        <v>0</v>
      </c>
      <c r="BS27">
        <v>0</v>
      </c>
      <c r="BT27" s="1" t="s">
        <v>129</v>
      </c>
      <c r="BU27" s="1" t="s">
        <v>161</v>
      </c>
      <c r="BV27" s="1" t="s">
        <v>257</v>
      </c>
      <c r="BW27">
        <v>0</v>
      </c>
      <c r="BX27">
        <v>0</v>
      </c>
      <c r="BY27">
        <v>0</v>
      </c>
      <c r="BZ27">
        <v>0</v>
      </c>
      <c r="CA27" s="1" t="s">
        <v>625</v>
      </c>
      <c r="CB27" s="1" t="s">
        <v>626</v>
      </c>
      <c r="CC27">
        <v>0.32</v>
      </c>
      <c r="CD27" s="1" t="s">
        <v>627</v>
      </c>
      <c r="CE27" s="1" t="s">
        <v>453</v>
      </c>
      <c r="CF27" s="1" t="s">
        <v>628</v>
      </c>
      <c r="CG27">
        <v>6</v>
      </c>
      <c r="CH27" s="1" t="s">
        <v>587</v>
      </c>
      <c r="CI27">
        <v>0</v>
      </c>
      <c r="CJ27">
        <v>6.6666666666666596E-2</v>
      </c>
      <c r="CK27">
        <v>3</v>
      </c>
      <c r="CL27" s="1" t="s">
        <v>138</v>
      </c>
      <c r="CM27">
        <v>85</v>
      </c>
      <c r="CN27" s="1" t="s">
        <v>629</v>
      </c>
      <c r="CO27" s="1" t="s">
        <v>630</v>
      </c>
      <c r="CP27" s="1" t="s">
        <v>631</v>
      </c>
      <c r="CS27" s="1" t="s">
        <v>632</v>
      </c>
      <c r="CT27">
        <v>1549</v>
      </c>
      <c r="CU27" s="1" t="s">
        <v>633</v>
      </c>
      <c r="CV27" s="1" t="s">
        <v>634</v>
      </c>
      <c r="CW27">
        <v>78.2</v>
      </c>
      <c r="CX27">
        <v>78.5</v>
      </c>
      <c r="CY27">
        <v>86</v>
      </c>
      <c r="CZ27" s="1" t="s">
        <v>630</v>
      </c>
      <c r="DA27">
        <v>1</v>
      </c>
      <c r="DB27" t="s">
        <v>179</v>
      </c>
      <c r="DC27">
        <v>81</v>
      </c>
      <c r="DD27" s="1" t="s">
        <v>635</v>
      </c>
      <c r="DE27" s="1" t="s">
        <v>636</v>
      </c>
      <c r="DF27" t="e">
        <f>_xlfn.XLOOKUP(Table1[[#This Row],[Player ID]],Table2[feed_id],Table2[trade_status])</f>
        <v>#N/A</v>
      </c>
      <c r="DG27">
        <f>_xlfn.NUMBERVALUE(Table1[[#This Row],[predicted]])</f>
        <v>68.872339245208806</v>
      </c>
    </row>
    <row r="28" spans="1:111" hidden="1" x14ac:dyDescent="0.25">
      <c r="A28">
        <v>56100</v>
      </c>
      <c r="B28">
        <v>5735</v>
      </c>
      <c r="C28" t="s">
        <v>615</v>
      </c>
      <c r="D28" t="s">
        <v>616</v>
      </c>
      <c r="E28">
        <v>2016</v>
      </c>
      <c r="F28">
        <v>270303</v>
      </c>
      <c r="G28" t="s">
        <v>176</v>
      </c>
      <c r="H28" t="s">
        <v>637</v>
      </c>
      <c r="I28" t="s">
        <v>152</v>
      </c>
      <c r="J28">
        <v>5</v>
      </c>
      <c r="K28">
        <v>44</v>
      </c>
      <c r="L28">
        <v>48</v>
      </c>
      <c r="M28">
        <v>40</v>
      </c>
      <c r="N28">
        <v>38</v>
      </c>
      <c r="O28">
        <v>51</v>
      </c>
      <c r="P28">
        <v>4</v>
      </c>
      <c r="Q28">
        <v>7</v>
      </c>
      <c r="R28">
        <v>4</v>
      </c>
      <c r="S28">
        <v>2</v>
      </c>
      <c r="T28">
        <v>0</v>
      </c>
      <c r="U28">
        <v>1</v>
      </c>
      <c r="V28">
        <v>1</v>
      </c>
      <c r="W28">
        <v>0</v>
      </c>
      <c r="X28">
        <v>0</v>
      </c>
      <c r="Y28" t="s">
        <v>113</v>
      </c>
      <c r="Z28" t="s">
        <v>179</v>
      </c>
      <c r="AA28" t="s">
        <v>638</v>
      </c>
      <c r="AD28">
        <v>202800</v>
      </c>
      <c r="AE28">
        <v>0</v>
      </c>
      <c r="AF28">
        <v>244800</v>
      </c>
      <c r="AG28">
        <v>39</v>
      </c>
      <c r="AH28" t="s">
        <v>181</v>
      </c>
      <c r="AI28">
        <v>21</v>
      </c>
      <c r="AJ28">
        <v>3</v>
      </c>
      <c r="AK28">
        <v>32.33</v>
      </c>
      <c r="AL28">
        <v>43.67</v>
      </c>
      <c r="AM28">
        <v>0.26</v>
      </c>
      <c r="AN28">
        <v>0.24</v>
      </c>
      <c r="AO28">
        <v>0.16</v>
      </c>
      <c r="AP28">
        <v>184000</v>
      </c>
      <c r="AQ28">
        <v>40</v>
      </c>
      <c r="AS28">
        <v>4</v>
      </c>
      <c r="AT28">
        <v>1</v>
      </c>
      <c r="AU28">
        <v>1</v>
      </c>
      <c r="AV28">
        <v>90</v>
      </c>
      <c r="AW28">
        <v>98</v>
      </c>
      <c r="AZ28" t="b">
        <v>0</v>
      </c>
      <c r="BA28">
        <v>1640</v>
      </c>
      <c r="BB28">
        <v>1636</v>
      </c>
      <c r="BC28">
        <v>17</v>
      </c>
      <c r="BD28" t="s">
        <v>639</v>
      </c>
      <c r="BE28">
        <v>99</v>
      </c>
      <c r="BF28">
        <v>0</v>
      </c>
      <c r="BG28">
        <v>74</v>
      </c>
      <c r="BH28">
        <v>0</v>
      </c>
      <c r="BI28">
        <v>3</v>
      </c>
      <c r="BJ28" s="1" t="s">
        <v>640</v>
      </c>
      <c r="BK28" s="1" t="s">
        <v>397</v>
      </c>
      <c r="BL28">
        <v>5.2</v>
      </c>
      <c r="BM28">
        <v>4</v>
      </c>
      <c r="BN28">
        <v>4</v>
      </c>
      <c r="BO28" s="1" t="s">
        <v>159</v>
      </c>
      <c r="BP28" s="1" t="s">
        <v>304</v>
      </c>
      <c r="BQ28">
        <v>0</v>
      </c>
      <c r="BR28">
        <v>6.6666666666666596E-2</v>
      </c>
      <c r="BS28" s="1" t="s">
        <v>126</v>
      </c>
      <c r="BT28">
        <v>0.6</v>
      </c>
      <c r="BU28" s="1" t="s">
        <v>128</v>
      </c>
      <c r="BV28" s="1" t="s">
        <v>127</v>
      </c>
      <c r="BW28">
        <v>0</v>
      </c>
      <c r="BX28">
        <v>0</v>
      </c>
      <c r="BY28">
        <v>0</v>
      </c>
      <c r="BZ28">
        <v>0</v>
      </c>
      <c r="CA28" s="1" t="s">
        <v>641</v>
      </c>
      <c r="CB28" s="1" t="s">
        <v>642</v>
      </c>
      <c r="CC28" s="1" t="s">
        <v>643</v>
      </c>
      <c r="CD28" s="1" t="s">
        <v>644</v>
      </c>
      <c r="CE28" s="1" t="s">
        <v>467</v>
      </c>
      <c r="CF28">
        <v>0.82</v>
      </c>
      <c r="CG28" s="1" t="s">
        <v>211</v>
      </c>
      <c r="CH28" s="1" t="s">
        <v>140</v>
      </c>
      <c r="CI28" s="1" t="s">
        <v>129</v>
      </c>
      <c r="CJ28" s="1" t="s">
        <v>213</v>
      </c>
      <c r="CK28" s="1" t="s">
        <v>128</v>
      </c>
      <c r="CL28" s="1" t="s">
        <v>126</v>
      </c>
      <c r="CM28">
        <v>89</v>
      </c>
      <c r="CN28" s="1" t="s">
        <v>438</v>
      </c>
      <c r="CO28" s="1" t="s">
        <v>645</v>
      </c>
      <c r="CP28" s="1" t="s">
        <v>646</v>
      </c>
      <c r="CS28" s="1" t="s">
        <v>647</v>
      </c>
      <c r="CT28" s="1" t="s">
        <v>648</v>
      </c>
      <c r="CU28">
        <v>1725</v>
      </c>
      <c r="CV28">
        <v>1650.6</v>
      </c>
      <c r="CW28">
        <v>45.7</v>
      </c>
      <c r="CX28">
        <v>44.1</v>
      </c>
      <c r="CY28">
        <v>47.6</v>
      </c>
      <c r="CZ28" s="1" t="s">
        <v>649</v>
      </c>
      <c r="DA28">
        <v>1</v>
      </c>
      <c r="DB28" t="s">
        <v>179</v>
      </c>
      <c r="DC28">
        <v>48</v>
      </c>
      <c r="DD28" s="1" t="s">
        <v>650</v>
      </c>
      <c r="DE28" s="1" t="s">
        <v>651</v>
      </c>
      <c r="DF28" t="e">
        <f>_xlfn.XLOOKUP(Table1[[#This Row],[Player ID]],Table2[feed_id],Table2[trade_status])</f>
        <v>#N/A</v>
      </c>
      <c r="DG28">
        <f>_xlfn.NUMBERVALUE(Table1[[#This Row],[predicted]])</f>
        <v>41.364442582649303</v>
      </c>
    </row>
    <row r="29" spans="1:111" hidden="1" x14ac:dyDescent="0.25">
      <c r="A29">
        <v>56123</v>
      </c>
      <c r="B29">
        <v>5736</v>
      </c>
      <c r="C29" t="s">
        <v>652</v>
      </c>
      <c r="D29" t="s">
        <v>653</v>
      </c>
      <c r="E29">
        <v>2016</v>
      </c>
      <c r="F29">
        <v>210027</v>
      </c>
      <c r="G29" t="s">
        <v>654</v>
      </c>
      <c r="H29" t="s">
        <v>655</v>
      </c>
      <c r="I29" t="s">
        <v>338</v>
      </c>
      <c r="J29">
        <v>3</v>
      </c>
      <c r="K29">
        <v>37</v>
      </c>
      <c r="L29">
        <v>36</v>
      </c>
      <c r="M29">
        <v>48</v>
      </c>
      <c r="N29">
        <v>30</v>
      </c>
      <c r="O29">
        <v>39</v>
      </c>
      <c r="P29">
        <v>5</v>
      </c>
      <c r="Q29">
        <v>3</v>
      </c>
      <c r="R29">
        <v>4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113</v>
      </c>
      <c r="Z29" t="s">
        <v>656</v>
      </c>
      <c r="AA29" t="s">
        <v>657</v>
      </c>
      <c r="AD29">
        <v>279200</v>
      </c>
      <c r="AE29">
        <v>0</v>
      </c>
      <c r="AF29">
        <v>317500</v>
      </c>
      <c r="AG29">
        <v>129</v>
      </c>
      <c r="AH29" t="s">
        <v>181</v>
      </c>
      <c r="AI29">
        <v>25</v>
      </c>
      <c r="AJ29">
        <v>6</v>
      </c>
      <c r="AK29">
        <v>41.17</v>
      </c>
      <c r="AL29">
        <v>50.83</v>
      </c>
      <c r="AM29">
        <v>0.36</v>
      </c>
      <c r="AN29">
        <v>0.42</v>
      </c>
      <c r="AO29">
        <v>0.61</v>
      </c>
      <c r="AP29">
        <v>242000</v>
      </c>
      <c r="AQ29">
        <v>63</v>
      </c>
      <c r="AS29">
        <v>4</v>
      </c>
      <c r="AT29">
        <v>0</v>
      </c>
      <c r="AU29">
        <v>1</v>
      </c>
      <c r="AV29">
        <v>62</v>
      </c>
      <c r="AW29">
        <v>77</v>
      </c>
      <c r="AZ29" t="b">
        <v>0</v>
      </c>
      <c r="BA29">
        <v>1655</v>
      </c>
      <c r="BB29">
        <v>1619</v>
      </c>
      <c r="BC29">
        <v>18</v>
      </c>
      <c r="BD29" t="s">
        <v>658</v>
      </c>
      <c r="BE29">
        <v>97</v>
      </c>
      <c r="BF29">
        <v>0</v>
      </c>
      <c r="BG29">
        <v>73</v>
      </c>
      <c r="BH29">
        <v>0</v>
      </c>
      <c r="BI29" s="1" t="s">
        <v>160</v>
      </c>
      <c r="BJ29">
        <v>5.6</v>
      </c>
      <c r="BK29">
        <v>3</v>
      </c>
      <c r="BL29">
        <v>6.4</v>
      </c>
      <c r="BM29" s="1" t="s">
        <v>125</v>
      </c>
      <c r="BN29">
        <v>3.6</v>
      </c>
      <c r="BO29">
        <v>1</v>
      </c>
      <c r="BP29" s="1" t="s">
        <v>206</v>
      </c>
      <c r="BQ29">
        <v>0</v>
      </c>
      <c r="BR29">
        <v>0</v>
      </c>
      <c r="BS29" s="1" t="s">
        <v>129</v>
      </c>
      <c r="BT29" s="1" t="s">
        <v>130</v>
      </c>
      <c r="BU29" s="1" t="s">
        <v>129</v>
      </c>
      <c r="BV29" s="1" t="s">
        <v>231</v>
      </c>
      <c r="BW29" s="1" t="s">
        <v>129</v>
      </c>
      <c r="BX29" s="1" t="s">
        <v>213</v>
      </c>
      <c r="BY29" s="1" t="s">
        <v>128</v>
      </c>
      <c r="BZ29">
        <v>0.2</v>
      </c>
      <c r="CA29" s="1" t="s">
        <v>659</v>
      </c>
      <c r="CB29" s="1" t="s">
        <v>660</v>
      </c>
      <c r="CC29">
        <v>0.45</v>
      </c>
      <c r="CD29" s="1" t="s">
        <v>661</v>
      </c>
      <c r="CE29">
        <v>0.66</v>
      </c>
      <c r="CF29" s="1" t="s">
        <v>662</v>
      </c>
      <c r="CG29">
        <v>3</v>
      </c>
      <c r="CH29">
        <v>5.6</v>
      </c>
      <c r="CI29">
        <v>0</v>
      </c>
      <c r="CJ29">
        <v>6.6666666666666596E-2</v>
      </c>
      <c r="CK29" s="1" t="s">
        <v>126</v>
      </c>
      <c r="CL29">
        <v>1.4</v>
      </c>
      <c r="CM29">
        <v>74</v>
      </c>
      <c r="CN29">
        <v>78.400000000000006</v>
      </c>
      <c r="CO29">
        <v>81</v>
      </c>
      <c r="CP29" s="1" t="s">
        <v>663</v>
      </c>
      <c r="CS29" s="1" t="s">
        <v>664</v>
      </c>
      <c r="CT29" s="1" t="s">
        <v>665</v>
      </c>
      <c r="CU29">
        <v>1655</v>
      </c>
      <c r="CV29" s="1" t="s">
        <v>666</v>
      </c>
      <c r="CW29">
        <v>61.5</v>
      </c>
      <c r="CX29">
        <v>59.7</v>
      </c>
      <c r="CY29">
        <v>56.8</v>
      </c>
      <c r="CZ29" s="1" t="s">
        <v>667</v>
      </c>
      <c r="DA29">
        <v>1</v>
      </c>
      <c r="DB29" t="s">
        <v>656</v>
      </c>
      <c r="DC29">
        <v>36</v>
      </c>
      <c r="DD29" s="1" t="s">
        <v>668</v>
      </c>
      <c r="DE29">
        <v>-24.983220806736099</v>
      </c>
      <c r="DF29" t="e">
        <f>_xlfn.XLOOKUP(Table1[[#This Row],[Player ID]],Table2[feed_id],Table2[trade_status])</f>
        <v>#N/A</v>
      </c>
      <c r="DG29">
        <f>_xlfn.NUMBERVALUE(Table1[[#This Row],[predicted]])</f>
        <v>60.983220806736099</v>
      </c>
    </row>
    <row r="30" spans="1:111" hidden="1" x14ac:dyDescent="0.25">
      <c r="A30">
        <v>56435</v>
      </c>
      <c r="B30">
        <v>5743</v>
      </c>
      <c r="C30" t="s">
        <v>669</v>
      </c>
      <c r="D30" t="s">
        <v>653</v>
      </c>
      <c r="E30">
        <v>2016</v>
      </c>
      <c r="F30">
        <v>293431</v>
      </c>
      <c r="G30" t="s">
        <v>670</v>
      </c>
      <c r="H30" t="s">
        <v>671</v>
      </c>
      <c r="I30" t="s">
        <v>291</v>
      </c>
      <c r="J30">
        <v>14</v>
      </c>
      <c r="K30">
        <v>69</v>
      </c>
      <c r="L30">
        <v>49</v>
      </c>
      <c r="M30">
        <v>54</v>
      </c>
      <c r="N30">
        <v>60</v>
      </c>
      <c r="O30">
        <v>78</v>
      </c>
      <c r="P30">
        <v>7</v>
      </c>
      <c r="Q30">
        <v>12</v>
      </c>
      <c r="R30">
        <v>4</v>
      </c>
      <c r="S30">
        <v>1</v>
      </c>
      <c r="T30">
        <v>0</v>
      </c>
      <c r="U30">
        <v>2</v>
      </c>
      <c r="V30">
        <v>0</v>
      </c>
      <c r="W30">
        <v>1</v>
      </c>
      <c r="X30">
        <v>0</v>
      </c>
      <c r="Y30" t="s">
        <v>113</v>
      </c>
      <c r="Z30" t="s">
        <v>525</v>
      </c>
      <c r="AA30" t="s">
        <v>672</v>
      </c>
      <c r="AD30">
        <v>356300</v>
      </c>
      <c r="AE30">
        <v>0</v>
      </c>
      <c r="AF30">
        <v>324900</v>
      </c>
      <c r="AG30">
        <v>72</v>
      </c>
      <c r="AH30" t="s">
        <v>155</v>
      </c>
      <c r="AI30">
        <v>35</v>
      </c>
      <c r="AJ30">
        <v>14</v>
      </c>
      <c r="AK30">
        <v>67.709999999999994</v>
      </c>
      <c r="AL30">
        <v>69.930000000000007</v>
      </c>
      <c r="AM30">
        <v>6.19</v>
      </c>
      <c r="AN30">
        <v>15.61</v>
      </c>
      <c r="AO30">
        <v>11.75</v>
      </c>
      <c r="AP30">
        <v>337000</v>
      </c>
      <c r="AQ30">
        <v>79</v>
      </c>
      <c r="AS30">
        <v>9</v>
      </c>
      <c r="AT30">
        <v>0</v>
      </c>
      <c r="AU30">
        <v>4</v>
      </c>
      <c r="AV30">
        <v>57</v>
      </c>
      <c r="AW30">
        <v>65</v>
      </c>
      <c r="AZ30" t="b">
        <v>0</v>
      </c>
      <c r="BA30">
        <v>1704</v>
      </c>
      <c r="BB30">
        <v>1565</v>
      </c>
      <c r="BC30">
        <v>18</v>
      </c>
      <c r="BD30" t="s">
        <v>673</v>
      </c>
      <c r="BE30">
        <v>97</v>
      </c>
      <c r="BF30">
        <v>0</v>
      </c>
      <c r="BG30">
        <v>73</v>
      </c>
      <c r="BH30">
        <v>0</v>
      </c>
      <c r="BI30">
        <v>7</v>
      </c>
      <c r="BJ30" s="1" t="s">
        <v>158</v>
      </c>
      <c r="BK30" s="1" t="s">
        <v>294</v>
      </c>
      <c r="BL30" s="1" t="s">
        <v>674</v>
      </c>
      <c r="BM30" s="1" t="s">
        <v>169</v>
      </c>
      <c r="BN30" s="1" t="s">
        <v>431</v>
      </c>
      <c r="BO30" s="1" t="s">
        <v>161</v>
      </c>
      <c r="BP30">
        <v>2.6</v>
      </c>
      <c r="BQ30">
        <v>0</v>
      </c>
      <c r="BR30">
        <v>0</v>
      </c>
      <c r="BS30" s="1" t="s">
        <v>126</v>
      </c>
      <c r="BT30" s="1" t="s">
        <v>130</v>
      </c>
      <c r="BU30">
        <v>0</v>
      </c>
      <c r="BV30" s="1" t="s">
        <v>231</v>
      </c>
      <c r="BW30" s="1" t="s">
        <v>128</v>
      </c>
      <c r="BX30" s="1" t="s">
        <v>399</v>
      </c>
      <c r="BY30" s="1" t="s">
        <v>128</v>
      </c>
      <c r="BZ30">
        <v>0.4</v>
      </c>
      <c r="CA30" s="1" t="s">
        <v>675</v>
      </c>
      <c r="CB30" s="1" t="s">
        <v>676</v>
      </c>
      <c r="CC30" s="1" t="s">
        <v>677</v>
      </c>
      <c r="CD30" s="1" t="s">
        <v>678</v>
      </c>
      <c r="CE30" s="1" t="s">
        <v>679</v>
      </c>
      <c r="CF30">
        <v>13.552</v>
      </c>
      <c r="CG30" s="1" t="s">
        <v>124</v>
      </c>
      <c r="CH30" s="1" t="s">
        <v>680</v>
      </c>
      <c r="CI30" s="1" t="s">
        <v>129</v>
      </c>
      <c r="CJ30">
        <v>1.2</v>
      </c>
      <c r="CK30" s="1" t="s">
        <v>159</v>
      </c>
      <c r="CL30">
        <v>2</v>
      </c>
      <c r="CM30" s="1" t="s">
        <v>681</v>
      </c>
      <c r="CN30" s="1" t="s">
        <v>682</v>
      </c>
      <c r="CO30" s="1" t="s">
        <v>683</v>
      </c>
      <c r="CP30" s="1" t="s">
        <v>684</v>
      </c>
      <c r="CS30">
        <v>1706</v>
      </c>
      <c r="CT30" s="1" t="s">
        <v>145</v>
      </c>
      <c r="CU30" s="1" t="s">
        <v>685</v>
      </c>
      <c r="CV30" s="1" t="s">
        <v>686</v>
      </c>
      <c r="CW30">
        <v>61.8</v>
      </c>
      <c r="CX30">
        <v>63.2</v>
      </c>
      <c r="CY30">
        <v>59</v>
      </c>
      <c r="CZ30" s="1" t="s">
        <v>687</v>
      </c>
      <c r="DA30">
        <v>1</v>
      </c>
      <c r="DB30" t="s">
        <v>525</v>
      </c>
      <c r="DC30">
        <v>49</v>
      </c>
      <c r="DD30" s="1" t="s">
        <v>688</v>
      </c>
      <c r="DE30">
        <v>-13.000570393568401</v>
      </c>
      <c r="DF30" t="e">
        <f>_xlfn.XLOOKUP(Table1[[#This Row],[Player ID]],Table2[feed_id],Table2[trade_status])</f>
        <v>#N/A</v>
      </c>
      <c r="DG30">
        <f>_xlfn.NUMBERVALUE(Table1[[#This Row],[predicted]])</f>
        <v>62.000570393568402</v>
      </c>
    </row>
    <row r="31" spans="1:111" hidden="1" x14ac:dyDescent="0.25">
      <c r="A31">
        <v>56511</v>
      </c>
      <c r="B31">
        <v>5745</v>
      </c>
      <c r="C31" t="s">
        <v>689</v>
      </c>
      <c r="D31" t="s">
        <v>690</v>
      </c>
      <c r="E31">
        <v>2016</v>
      </c>
      <c r="F31">
        <v>291386</v>
      </c>
      <c r="G31" t="s">
        <v>670</v>
      </c>
      <c r="H31" t="s">
        <v>691</v>
      </c>
      <c r="I31" t="s">
        <v>112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113</v>
      </c>
      <c r="Z31" t="s">
        <v>114</v>
      </c>
      <c r="AA31" t="s">
        <v>692</v>
      </c>
      <c r="AB31" t="s">
        <v>226</v>
      </c>
      <c r="AC31" t="s">
        <v>693</v>
      </c>
      <c r="AD31">
        <v>333500</v>
      </c>
      <c r="AE31">
        <v>0</v>
      </c>
      <c r="AF31">
        <v>355300</v>
      </c>
      <c r="AG31">
        <v>45</v>
      </c>
      <c r="AH31" t="s">
        <v>181</v>
      </c>
      <c r="AI31">
        <v>28</v>
      </c>
      <c r="AJ31">
        <v>11</v>
      </c>
      <c r="AK31">
        <v>60.09</v>
      </c>
      <c r="AL31">
        <v>67.27</v>
      </c>
      <c r="AM31">
        <v>0.4</v>
      </c>
      <c r="AN31">
        <v>0.48</v>
      </c>
      <c r="AO31">
        <v>0.6</v>
      </c>
      <c r="AP31">
        <v>321000</v>
      </c>
      <c r="AQ31">
        <v>48</v>
      </c>
      <c r="AS31">
        <v>0</v>
      </c>
      <c r="AT31">
        <v>0</v>
      </c>
      <c r="AU31">
        <v>0</v>
      </c>
      <c r="AV31">
        <v>0</v>
      </c>
      <c r="AW31">
        <v>3</v>
      </c>
      <c r="AZ31" t="b">
        <v>1</v>
      </c>
      <c r="BA31">
        <v>1722</v>
      </c>
      <c r="BB31">
        <v>1530</v>
      </c>
      <c r="BC31">
        <v>19</v>
      </c>
      <c r="BD31" t="s">
        <v>694</v>
      </c>
      <c r="BE31" s="1" t="s">
        <v>320</v>
      </c>
      <c r="BF31">
        <v>0</v>
      </c>
      <c r="BG31">
        <v>73</v>
      </c>
      <c r="BH31">
        <v>0</v>
      </c>
      <c r="BI31" s="1" t="s">
        <v>204</v>
      </c>
      <c r="BJ31">
        <v>8.1999999999999993</v>
      </c>
      <c r="BK31" s="1" t="s">
        <v>397</v>
      </c>
      <c r="BL31">
        <v>7.4</v>
      </c>
      <c r="BM31" s="1" t="s">
        <v>159</v>
      </c>
      <c r="BN31" s="1" t="s">
        <v>528</v>
      </c>
      <c r="BO31">
        <v>1</v>
      </c>
      <c r="BP31" s="1" t="s">
        <v>170</v>
      </c>
      <c r="BQ31">
        <v>0</v>
      </c>
      <c r="BR31">
        <v>0</v>
      </c>
      <c r="BS31" s="1" t="s">
        <v>128</v>
      </c>
      <c r="BT31" s="1" t="s">
        <v>130</v>
      </c>
      <c r="BU31" s="1" t="s">
        <v>129</v>
      </c>
      <c r="BV31" s="1" t="s">
        <v>129</v>
      </c>
      <c r="BW31" s="1" t="s">
        <v>129</v>
      </c>
      <c r="BX31" s="1" t="s">
        <v>213</v>
      </c>
      <c r="BY31">
        <v>0</v>
      </c>
      <c r="BZ31" s="1" t="s">
        <v>213</v>
      </c>
      <c r="CA31" s="1" t="s">
        <v>695</v>
      </c>
      <c r="CB31" s="1" t="s">
        <v>696</v>
      </c>
      <c r="CC31" s="1" t="s">
        <v>697</v>
      </c>
      <c r="CD31" s="1" t="s">
        <v>698</v>
      </c>
      <c r="CE31" s="1" t="s">
        <v>699</v>
      </c>
      <c r="CF31" s="1" t="s">
        <v>700</v>
      </c>
      <c r="CG31" s="1" t="s">
        <v>160</v>
      </c>
      <c r="CH31" s="1" t="s">
        <v>230</v>
      </c>
      <c r="CI31">
        <v>2</v>
      </c>
      <c r="CJ31" s="1" t="s">
        <v>231</v>
      </c>
      <c r="CK31" s="1" t="s">
        <v>126</v>
      </c>
      <c r="CL31" s="1" t="s">
        <v>126</v>
      </c>
      <c r="CM31">
        <v>60</v>
      </c>
      <c r="CN31" s="1" t="s">
        <v>701</v>
      </c>
      <c r="CO31">
        <v>57</v>
      </c>
      <c r="CP31">
        <v>74</v>
      </c>
      <c r="CS31" s="1" t="s">
        <v>702</v>
      </c>
      <c r="CT31" s="1" t="s">
        <v>703</v>
      </c>
      <c r="CU31" s="1" t="s">
        <v>704</v>
      </c>
      <c r="CV31" s="1" t="s">
        <v>705</v>
      </c>
      <c r="CW31">
        <v>60</v>
      </c>
      <c r="CX31">
        <v>65.599999999999994</v>
      </c>
      <c r="CY31">
        <v>67.400000000000006</v>
      </c>
      <c r="CZ31" s="1" t="s">
        <v>706</v>
      </c>
      <c r="DA31">
        <v>1</v>
      </c>
      <c r="DB31" t="s">
        <v>114</v>
      </c>
      <c r="DC31">
        <v>0</v>
      </c>
      <c r="DD31" s="1" t="s">
        <v>707</v>
      </c>
      <c r="DE31">
        <v>-43.391348842669899</v>
      </c>
      <c r="DF31" t="e">
        <f>_xlfn.XLOOKUP(Table1[[#This Row],[Player ID]],Table2[feed_id],Table2[trade_status])</f>
        <v>#N/A</v>
      </c>
      <c r="DG31">
        <f>_xlfn.NUMBERVALUE(Table1[[#This Row],[predicted]])</f>
        <v>43.391348842669899</v>
      </c>
    </row>
    <row r="32" spans="1:111" hidden="1" x14ac:dyDescent="0.25">
      <c r="A32">
        <v>56907</v>
      </c>
      <c r="B32">
        <v>5754</v>
      </c>
      <c r="C32" t="s">
        <v>708</v>
      </c>
      <c r="D32" t="s">
        <v>709</v>
      </c>
      <c r="E32">
        <v>2016</v>
      </c>
      <c r="F32">
        <v>240087</v>
      </c>
      <c r="G32" t="s">
        <v>710</v>
      </c>
      <c r="H32" t="s">
        <v>711</v>
      </c>
      <c r="I32" t="s">
        <v>712</v>
      </c>
      <c r="J32">
        <v>13</v>
      </c>
      <c r="K32">
        <v>73</v>
      </c>
      <c r="L32">
        <v>71</v>
      </c>
      <c r="M32">
        <v>35</v>
      </c>
      <c r="N32">
        <v>57</v>
      </c>
      <c r="O32">
        <v>78</v>
      </c>
      <c r="P32">
        <v>16</v>
      </c>
      <c r="Q32">
        <v>2</v>
      </c>
      <c r="R32">
        <v>6</v>
      </c>
      <c r="S32">
        <v>2</v>
      </c>
      <c r="T32">
        <v>0</v>
      </c>
      <c r="U32">
        <v>1</v>
      </c>
      <c r="V32">
        <v>2</v>
      </c>
      <c r="W32">
        <v>0</v>
      </c>
      <c r="X32">
        <v>0</v>
      </c>
      <c r="Y32" t="s">
        <v>113</v>
      </c>
      <c r="Z32" t="s">
        <v>525</v>
      </c>
      <c r="AA32" t="s">
        <v>713</v>
      </c>
      <c r="AD32">
        <v>277800</v>
      </c>
      <c r="AE32">
        <v>0</v>
      </c>
      <c r="AF32">
        <v>269700</v>
      </c>
      <c r="AG32">
        <v>52</v>
      </c>
      <c r="AH32" t="s">
        <v>181</v>
      </c>
      <c r="AI32">
        <v>44</v>
      </c>
      <c r="AJ32">
        <v>6</v>
      </c>
      <c r="AK32">
        <v>50</v>
      </c>
      <c r="AL32">
        <v>49.5</v>
      </c>
      <c r="AM32">
        <v>0.64</v>
      </c>
      <c r="AN32">
        <v>0.87</v>
      </c>
      <c r="AO32">
        <v>0.62</v>
      </c>
      <c r="AP32">
        <v>271000</v>
      </c>
      <c r="AQ32">
        <v>60</v>
      </c>
      <c r="AS32">
        <v>7</v>
      </c>
      <c r="AT32">
        <v>0</v>
      </c>
      <c r="AU32">
        <v>3</v>
      </c>
      <c r="AV32">
        <v>77</v>
      </c>
      <c r="AW32">
        <v>80</v>
      </c>
      <c r="AZ32" t="b">
        <v>0</v>
      </c>
      <c r="BA32">
        <v>1754</v>
      </c>
      <c r="BB32">
        <v>1515</v>
      </c>
      <c r="BC32">
        <v>20</v>
      </c>
      <c r="BD32" t="s">
        <v>714</v>
      </c>
      <c r="BE32">
        <v>97</v>
      </c>
      <c r="BF32">
        <v>0</v>
      </c>
      <c r="BG32">
        <v>73</v>
      </c>
      <c r="BH32">
        <v>0</v>
      </c>
      <c r="BI32" s="1" t="s">
        <v>157</v>
      </c>
      <c r="BJ32" s="1" t="s">
        <v>430</v>
      </c>
      <c r="BK32" s="1" t="s">
        <v>397</v>
      </c>
      <c r="BL32">
        <v>5.6</v>
      </c>
      <c r="BM32" s="1" t="s">
        <v>160</v>
      </c>
      <c r="BN32" s="1" t="s">
        <v>256</v>
      </c>
      <c r="BO32">
        <v>2</v>
      </c>
      <c r="BP32" s="1" t="s">
        <v>373</v>
      </c>
      <c r="BQ32">
        <v>0</v>
      </c>
      <c r="BR32">
        <v>0</v>
      </c>
      <c r="BS32" s="1" t="s">
        <v>129</v>
      </c>
      <c r="BT32" s="1" t="s">
        <v>127</v>
      </c>
      <c r="BU32" s="1" t="s">
        <v>128</v>
      </c>
      <c r="BV32">
        <v>1</v>
      </c>
      <c r="BW32">
        <v>0</v>
      </c>
      <c r="BX32" s="1" t="s">
        <v>399</v>
      </c>
      <c r="BY32">
        <v>0</v>
      </c>
      <c r="BZ32" s="1" t="s">
        <v>238</v>
      </c>
      <c r="CA32" s="1" t="s">
        <v>715</v>
      </c>
      <c r="CB32" s="1" t="s">
        <v>716</v>
      </c>
      <c r="CC32" s="1" t="s">
        <v>717</v>
      </c>
      <c r="CD32" s="1" t="s">
        <v>718</v>
      </c>
      <c r="CE32">
        <v>0.79</v>
      </c>
      <c r="CF32" s="1" t="s">
        <v>719</v>
      </c>
      <c r="CG32" s="1" t="s">
        <v>211</v>
      </c>
      <c r="CH32" s="1" t="s">
        <v>640</v>
      </c>
      <c r="CI32">
        <v>0</v>
      </c>
      <c r="CJ32" s="1" t="s">
        <v>231</v>
      </c>
      <c r="CK32" s="1" t="s">
        <v>161</v>
      </c>
      <c r="CL32">
        <v>1.6</v>
      </c>
      <c r="CM32">
        <v>84</v>
      </c>
      <c r="CN32" s="1" t="s">
        <v>663</v>
      </c>
      <c r="CO32" s="1" t="s">
        <v>268</v>
      </c>
      <c r="CP32" s="1" t="s">
        <v>720</v>
      </c>
      <c r="CS32">
        <v>1576</v>
      </c>
      <c r="CT32">
        <v>1641.4</v>
      </c>
      <c r="CU32" s="1" t="s">
        <v>721</v>
      </c>
      <c r="CV32" s="1" t="s">
        <v>722</v>
      </c>
      <c r="CW32">
        <v>57.3</v>
      </c>
      <c r="CX32">
        <v>59</v>
      </c>
      <c r="CY32">
        <v>52.6</v>
      </c>
      <c r="CZ32" s="1" t="s">
        <v>558</v>
      </c>
      <c r="DA32">
        <v>1</v>
      </c>
      <c r="DB32" t="s">
        <v>525</v>
      </c>
      <c r="DC32">
        <v>71</v>
      </c>
      <c r="DD32" s="1" t="s">
        <v>723</v>
      </c>
      <c r="DE32" s="1" t="s">
        <v>724</v>
      </c>
      <c r="DF32" t="e">
        <f>_xlfn.XLOOKUP(Table1[[#This Row],[Player ID]],Table2[feed_id],Table2[trade_status])</f>
        <v>#N/A</v>
      </c>
      <c r="DG32">
        <f>_xlfn.NUMBERVALUE(Table1[[#This Row],[predicted]])</f>
        <v>64.487759295326597</v>
      </c>
    </row>
    <row r="33" spans="1:111" hidden="1" x14ac:dyDescent="0.25">
      <c r="A33">
        <v>57153</v>
      </c>
      <c r="B33">
        <v>5760</v>
      </c>
      <c r="C33" t="s">
        <v>725</v>
      </c>
      <c r="D33" t="s">
        <v>709</v>
      </c>
      <c r="E33">
        <v>2016</v>
      </c>
      <c r="F33">
        <v>260394</v>
      </c>
      <c r="G33" t="s">
        <v>315</v>
      </c>
      <c r="H33" t="s">
        <v>726</v>
      </c>
      <c r="I33" t="s">
        <v>291</v>
      </c>
      <c r="J33">
        <v>16</v>
      </c>
      <c r="K33">
        <v>62</v>
      </c>
      <c r="L33">
        <v>65</v>
      </c>
      <c r="M33">
        <v>80</v>
      </c>
      <c r="N33">
        <v>51</v>
      </c>
      <c r="O33">
        <v>63</v>
      </c>
      <c r="P33">
        <v>5</v>
      </c>
      <c r="Q33">
        <v>3</v>
      </c>
      <c r="R33">
        <v>5</v>
      </c>
      <c r="S33">
        <v>4</v>
      </c>
      <c r="T33">
        <v>5</v>
      </c>
      <c r="U33">
        <v>1</v>
      </c>
      <c r="V33">
        <v>1</v>
      </c>
      <c r="W33">
        <v>1</v>
      </c>
      <c r="X33">
        <v>1</v>
      </c>
      <c r="Y33" t="s">
        <v>113</v>
      </c>
      <c r="Z33" t="s">
        <v>656</v>
      </c>
      <c r="AA33" t="s">
        <v>727</v>
      </c>
      <c r="AD33">
        <v>307500</v>
      </c>
      <c r="AE33">
        <v>0</v>
      </c>
      <c r="AF33">
        <v>264700</v>
      </c>
      <c r="AG33">
        <v>81</v>
      </c>
      <c r="AH33" t="s">
        <v>155</v>
      </c>
      <c r="AI33">
        <v>6</v>
      </c>
      <c r="AJ33">
        <v>4</v>
      </c>
      <c r="AK33">
        <v>51.5</v>
      </c>
      <c r="AL33">
        <v>49.4</v>
      </c>
      <c r="AM33">
        <v>7.0000000000000007E-2</v>
      </c>
      <c r="AN33">
        <v>0.09</v>
      </c>
      <c r="AO33">
        <v>0.08</v>
      </c>
      <c r="AP33">
        <v>285000</v>
      </c>
      <c r="AQ33">
        <v>49</v>
      </c>
      <c r="AS33">
        <v>2</v>
      </c>
      <c r="AT33">
        <v>1</v>
      </c>
      <c r="AU33">
        <v>1</v>
      </c>
      <c r="AV33">
        <v>87</v>
      </c>
      <c r="AW33">
        <v>80</v>
      </c>
      <c r="AZ33" t="b">
        <v>0</v>
      </c>
      <c r="BA33">
        <v>1462</v>
      </c>
      <c r="BB33">
        <v>1782</v>
      </c>
      <c r="BC33">
        <v>20</v>
      </c>
      <c r="BD33" t="s">
        <v>728</v>
      </c>
      <c r="BE33">
        <v>97</v>
      </c>
      <c r="BF33">
        <v>0</v>
      </c>
      <c r="BG33">
        <v>73</v>
      </c>
      <c r="BH33">
        <v>0</v>
      </c>
      <c r="BI33">
        <v>6</v>
      </c>
      <c r="BJ33" s="1" t="s">
        <v>729</v>
      </c>
      <c r="BK33" s="1" t="s">
        <v>125</v>
      </c>
      <c r="BL33">
        <v>5.4</v>
      </c>
      <c r="BM33">
        <v>3</v>
      </c>
      <c r="BN33" s="1" t="s">
        <v>256</v>
      </c>
      <c r="BO33" s="1" t="s">
        <v>211</v>
      </c>
      <c r="BP33" s="1" t="s">
        <v>566</v>
      </c>
      <c r="BQ33" s="1" t="s">
        <v>169</v>
      </c>
      <c r="BR33" s="1" t="s">
        <v>237</v>
      </c>
      <c r="BS33" s="1" t="s">
        <v>161</v>
      </c>
      <c r="BT33" s="1" t="s">
        <v>126</v>
      </c>
      <c r="BU33" s="1" t="s">
        <v>128</v>
      </c>
      <c r="BV33" s="1" t="s">
        <v>399</v>
      </c>
      <c r="BW33">
        <v>1</v>
      </c>
      <c r="BX33">
        <v>0.8</v>
      </c>
      <c r="BY33" s="1" t="s">
        <v>129</v>
      </c>
      <c r="BZ33">
        <v>0.8</v>
      </c>
      <c r="CA33">
        <v>7.0000000000000007E-2</v>
      </c>
      <c r="CB33" s="1" t="s">
        <v>730</v>
      </c>
      <c r="CC33">
        <v>9.6666666666666595E-2</v>
      </c>
      <c r="CD33" s="1" t="s">
        <v>731</v>
      </c>
      <c r="CE33">
        <v>0.08</v>
      </c>
      <c r="CF33" s="1" t="s">
        <v>732</v>
      </c>
      <c r="CG33" s="1" t="s">
        <v>211</v>
      </c>
      <c r="CH33">
        <v>5.4</v>
      </c>
      <c r="CI33" s="1" t="s">
        <v>129</v>
      </c>
      <c r="CJ33" s="1" t="s">
        <v>130</v>
      </c>
      <c r="CK33" s="1" t="s">
        <v>125</v>
      </c>
      <c r="CL33" s="1" t="s">
        <v>169</v>
      </c>
      <c r="CM33" s="1" t="s">
        <v>195</v>
      </c>
      <c r="CN33">
        <v>67.400000000000006</v>
      </c>
      <c r="CO33">
        <v>82</v>
      </c>
      <c r="CP33" s="1" t="s">
        <v>733</v>
      </c>
      <c r="CS33" s="1" t="s">
        <v>734</v>
      </c>
      <c r="CT33" s="1" t="s">
        <v>735</v>
      </c>
      <c r="CU33" s="1" t="s">
        <v>736</v>
      </c>
      <c r="CV33" s="1" t="s">
        <v>737</v>
      </c>
      <c r="CW33">
        <v>56.35</v>
      </c>
      <c r="CX33">
        <v>58.9</v>
      </c>
      <c r="CY33">
        <v>52.8</v>
      </c>
      <c r="CZ33">
        <v>48</v>
      </c>
      <c r="DA33">
        <v>1</v>
      </c>
      <c r="DB33" t="s">
        <v>656</v>
      </c>
      <c r="DC33">
        <v>65</v>
      </c>
      <c r="DD33" s="1" t="s">
        <v>738</v>
      </c>
      <c r="DE33" s="1" t="s">
        <v>739</v>
      </c>
      <c r="DF33" t="e">
        <f>_xlfn.XLOOKUP(Table1[[#This Row],[Player ID]],Table2[feed_id],Table2[trade_status])</f>
        <v>#N/A</v>
      </c>
      <c r="DG33">
        <f>_xlfn.NUMBERVALUE(Table1[[#This Row],[predicted]])</f>
        <v>59.546962590953697</v>
      </c>
    </row>
    <row r="34" spans="1:111" hidden="1" x14ac:dyDescent="0.25">
      <c r="A34">
        <v>57175</v>
      </c>
      <c r="B34">
        <v>5760</v>
      </c>
      <c r="C34" t="s">
        <v>725</v>
      </c>
      <c r="D34" t="s">
        <v>709</v>
      </c>
      <c r="E34">
        <v>2016</v>
      </c>
      <c r="F34">
        <v>230132</v>
      </c>
      <c r="G34" t="s">
        <v>740</v>
      </c>
      <c r="H34" t="s">
        <v>741</v>
      </c>
      <c r="I34" t="s">
        <v>524</v>
      </c>
      <c r="J34">
        <v>9</v>
      </c>
      <c r="K34">
        <v>45</v>
      </c>
      <c r="L34">
        <v>50</v>
      </c>
      <c r="M34">
        <v>32</v>
      </c>
      <c r="N34">
        <v>37</v>
      </c>
      <c r="O34">
        <v>48</v>
      </c>
      <c r="P34">
        <v>6</v>
      </c>
      <c r="Q34">
        <v>4</v>
      </c>
      <c r="R34">
        <v>3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 t="s">
        <v>113</v>
      </c>
      <c r="Z34" t="s">
        <v>742</v>
      </c>
      <c r="AA34" t="s">
        <v>743</v>
      </c>
      <c r="AB34" t="s">
        <v>226</v>
      </c>
      <c r="AC34" t="s">
        <v>744</v>
      </c>
      <c r="AD34">
        <v>413700</v>
      </c>
      <c r="AE34">
        <v>0</v>
      </c>
      <c r="AF34">
        <v>362000</v>
      </c>
      <c r="AG34">
        <v>95</v>
      </c>
      <c r="AH34" t="s">
        <v>181</v>
      </c>
      <c r="AI34">
        <v>7</v>
      </c>
      <c r="AJ34">
        <v>15</v>
      </c>
      <c r="AK34">
        <v>78</v>
      </c>
      <c r="AL34">
        <v>73.239999999999995</v>
      </c>
      <c r="AM34">
        <v>3.38</v>
      </c>
      <c r="AN34">
        <v>5.16</v>
      </c>
      <c r="AO34">
        <v>4.93</v>
      </c>
      <c r="AP34">
        <v>401000</v>
      </c>
      <c r="AQ34">
        <v>72</v>
      </c>
      <c r="AS34">
        <v>2</v>
      </c>
      <c r="AT34">
        <v>0</v>
      </c>
      <c r="AU34">
        <v>1</v>
      </c>
      <c r="AV34">
        <v>90</v>
      </c>
      <c r="AW34">
        <v>67</v>
      </c>
      <c r="AZ34" t="b">
        <v>0</v>
      </c>
      <c r="BA34">
        <v>1782</v>
      </c>
      <c r="BB34">
        <v>1462</v>
      </c>
      <c r="BC34">
        <v>20</v>
      </c>
      <c r="BD34" t="s">
        <v>745</v>
      </c>
      <c r="BE34">
        <v>97</v>
      </c>
      <c r="BF34">
        <v>0</v>
      </c>
      <c r="BG34">
        <v>73</v>
      </c>
      <c r="BH34">
        <v>0</v>
      </c>
      <c r="BI34" s="1" t="s">
        <v>276</v>
      </c>
      <c r="BJ34" s="1" t="s">
        <v>746</v>
      </c>
      <c r="BK34" s="1" t="s">
        <v>124</v>
      </c>
      <c r="BL34">
        <v>7.4</v>
      </c>
      <c r="BM34" s="1" t="s">
        <v>204</v>
      </c>
      <c r="BN34">
        <v>5.4</v>
      </c>
      <c r="BO34">
        <v>1</v>
      </c>
      <c r="BP34">
        <v>2.6</v>
      </c>
      <c r="BQ34">
        <v>0</v>
      </c>
      <c r="BR34" s="1" t="s">
        <v>184</v>
      </c>
      <c r="BS34">
        <v>1</v>
      </c>
      <c r="BT34" s="1" t="s">
        <v>162</v>
      </c>
      <c r="BU34" s="1" t="s">
        <v>126</v>
      </c>
      <c r="BV34" s="1" t="s">
        <v>298</v>
      </c>
      <c r="BW34" s="1" t="s">
        <v>129</v>
      </c>
      <c r="BX34" s="1" t="s">
        <v>184</v>
      </c>
      <c r="BY34">
        <v>0</v>
      </c>
      <c r="BZ34" s="1" t="s">
        <v>184</v>
      </c>
      <c r="CA34">
        <v>3.38</v>
      </c>
      <c r="CB34" s="1" t="s">
        <v>747</v>
      </c>
      <c r="CC34" s="1" t="s">
        <v>748</v>
      </c>
      <c r="CD34" s="1" t="s">
        <v>749</v>
      </c>
      <c r="CE34" s="1" t="s">
        <v>750</v>
      </c>
      <c r="CF34" s="1" t="s">
        <v>751</v>
      </c>
      <c r="CG34">
        <v>3</v>
      </c>
      <c r="CH34" s="1" t="s">
        <v>752</v>
      </c>
      <c r="CI34" s="1" t="s">
        <v>128</v>
      </c>
      <c r="CJ34" s="1" t="s">
        <v>126</v>
      </c>
      <c r="CK34">
        <v>3</v>
      </c>
      <c r="CL34" s="1" t="s">
        <v>138</v>
      </c>
      <c r="CM34">
        <v>79</v>
      </c>
      <c r="CN34" s="1" t="s">
        <v>753</v>
      </c>
      <c r="CO34" s="1" t="s">
        <v>754</v>
      </c>
      <c r="CP34" s="1" t="s">
        <v>755</v>
      </c>
      <c r="CS34" s="1" t="s">
        <v>756</v>
      </c>
      <c r="CT34" s="1" t="s">
        <v>757</v>
      </c>
      <c r="CU34" s="1" t="s">
        <v>758</v>
      </c>
      <c r="CV34">
        <v>1739.6</v>
      </c>
      <c r="CW34">
        <v>76.75</v>
      </c>
      <c r="CX34">
        <v>68.2</v>
      </c>
      <c r="CY34">
        <v>74.2</v>
      </c>
      <c r="CZ34" s="1" t="s">
        <v>759</v>
      </c>
      <c r="DA34">
        <v>1</v>
      </c>
      <c r="DB34" t="s">
        <v>742</v>
      </c>
      <c r="DC34">
        <v>50</v>
      </c>
      <c r="DD34" s="1" t="s">
        <v>760</v>
      </c>
      <c r="DE34">
        <v>-1.93912761421971</v>
      </c>
      <c r="DF34" t="e">
        <f>_xlfn.XLOOKUP(Table1[[#This Row],[Player ID]],Table2[feed_id],Table2[trade_status])</f>
        <v>#N/A</v>
      </c>
      <c r="DG34">
        <f>_xlfn.NUMBERVALUE(Table1[[#This Row],[predicted]])</f>
        <v>51.9391276142197</v>
      </c>
    </row>
    <row r="35" spans="1:111" hidden="1" x14ac:dyDescent="0.25">
      <c r="A35">
        <v>57342</v>
      </c>
      <c r="B35">
        <v>5764</v>
      </c>
      <c r="C35" t="s">
        <v>761</v>
      </c>
      <c r="D35" t="s">
        <v>762</v>
      </c>
      <c r="E35">
        <v>2016</v>
      </c>
      <c r="F35">
        <v>270779</v>
      </c>
      <c r="G35" t="s">
        <v>223</v>
      </c>
      <c r="H35" t="s">
        <v>763</v>
      </c>
      <c r="I35" t="s">
        <v>425</v>
      </c>
      <c r="J35">
        <v>10</v>
      </c>
      <c r="K35">
        <v>55</v>
      </c>
      <c r="L35">
        <v>64</v>
      </c>
      <c r="M35">
        <v>37</v>
      </c>
      <c r="N35">
        <v>43</v>
      </c>
      <c r="O35">
        <v>63</v>
      </c>
      <c r="P35">
        <v>10</v>
      </c>
      <c r="Q35">
        <v>3</v>
      </c>
      <c r="R35">
        <v>4</v>
      </c>
      <c r="S35">
        <v>4</v>
      </c>
      <c r="T35">
        <v>0</v>
      </c>
      <c r="U35">
        <v>0</v>
      </c>
      <c r="V35">
        <v>3</v>
      </c>
      <c r="W35">
        <v>0</v>
      </c>
      <c r="X35">
        <v>0</v>
      </c>
      <c r="Y35" t="s">
        <v>113</v>
      </c>
      <c r="Z35" t="s">
        <v>179</v>
      </c>
      <c r="AA35" t="s">
        <v>764</v>
      </c>
      <c r="AD35">
        <v>217800</v>
      </c>
      <c r="AE35">
        <v>0</v>
      </c>
      <c r="AF35">
        <v>251900</v>
      </c>
      <c r="AG35">
        <v>27</v>
      </c>
      <c r="AH35" t="s">
        <v>155</v>
      </c>
      <c r="AI35">
        <v>14</v>
      </c>
      <c r="AJ35">
        <v>13</v>
      </c>
      <c r="AK35">
        <v>45.38</v>
      </c>
      <c r="AL35">
        <v>50.62</v>
      </c>
      <c r="AM35">
        <v>0.09</v>
      </c>
      <c r="AN35">
        <v>0.09</v>
      </c>
      <c r="AO35">
        <v>0.2</v>
      </c>
      <c r="AP35">
        <v>210000</v>
      </c>
      <c r="AQ35">
        <v>35</v>
      </c>
      <c r="AS35">
        <v>5</v>
      </c>
      <c r="AT35">
        <v>0</v>
      </c>
      <c r="AU35">
        <v>4</v>
      </c>
      <c r="AV35">
        <v>84</v>
      </c>
      <c r="AW35">
        <v>79</v>
      </c>
      <c r="AZ35" t="b">
        <v>0</v>
      </c>
      <c r="BA35">
        <v>1975</v>
      </c>
      <c r="BB35">
        <v>1293</v>
      </c>
      <c r="BC35">
        <v>21</v>
      </c>
      <c r="BD35" t="s">
        <v>765</v>
      </c>
      <c r="BE35">
        <v>98</v>
      </c>
      <c r="BF35">
        <v>0</v>
      </c>
      <c r="BG35">
        <v>75</v>
      </c>
      <c r="BH35">
        <v>0</v>
      </c>
      <c r="BI35">
        <v>9</v>
      </c>
      <c r="BJ35" s="1" t="s">
        <v>729</v>
      </c>
      <c r="BK35" s="1" t="s">
        <v>211</v>
      </c>
      <c r="BL35">
        <v>4.2</v>
      </c>
      <c r="BM35" s="1" t="s">
        <v>125</v>
      </c>
      <c r="BN35" s="1" t="s">
        <v>766</v>
      </c>
      <c r="BO35">
        <v>2</v>
      </c>
      <c r="BP35" s="1" t="s">
        <v>375</v>
      </c>
      <c r="BQ35">
        <v>0</v>
      </c>
      <c r="BR35">
        <v>0</v>
      </c>
      <c r="BS35">
        <v>0</v>
      </c>
      <c r="BT35">
        <v>0.6</v>
      </c>
      <c r="BU35" s="1" t="s">
        <v>161</v>
      </c>
      <c r="BV35" s="1" t="s">
        <v>162</v>
      </c>
      <c r="BW35">
        <v>0</v>
      </c>
      <c r="BX35">
        <v>0</v>
      </c>
      <c r="BY35">
        <v>0</v>
      </c>
      <c r="BZ35">
        <v>0</v>
      </c>
      <c r="CA35">
        <v>0.09</v>
      </c>
      <c r="CB35">
        <v>0.16600000000000001</v>
      </c>
      <c r="CC35">
        <v>0.09</v>
      </c>
      <c r="CD35" s="1" t="s">
        <v>767</v>
      </c>
      <c r="CE35" s="1" t="s">
        <v>768</v>
      </c>
      <c r="CF35" s="1" t="s">
        <v>550</v>
      </c>
      <c r="CG35" s="1" t="s">
        <v>160</v>
      </c>
      <c r="CH35">
        <v>4.2</v>
      </c>
      <c r="CI35" s="1" t="s">
        <v>129</v>
      </c>
      <c r="CJ35" s="1" t="s">
        <v>213</v>
      </c>
      <c r="CK35" s="1" t="s">
        <v>169</v>
      </c>
      <c r="CL35" s="1" t="s">
        <v>170</v>
      </c>
      <c r="CM35">
        <v>82</v>
      </c>
      <c r="CN35" s="1" t="s">
        <v>241</v>
      </c>
      <c r="CO35">
        <v>83</v>
      </c>
      <c r="CP35">
        <v>80.599999999999994</v>
      </c>
      <c r="CS35" s="1" t="s">
        <v>769</v>
      </c>
      <c r="CT35" s="1" t="s">
        <v>770</v>
      </c>
      <c r="CU35">
        <v>1665</v>
      </c>
      <c r="CV35" s="1" t="s">
        <v>771</v>
      </c>
      <c r="CW35">
        <v>51</v>
      </c>
      <c r="CX35">
        <v>54.1</v>
      </c>
      <c r="CY35">
        <v>55.6</v>
      </c>
      <c r="CZ35" s="1" t="s">
        <v>772</v>
      </c>
      <c r="DA35">
        <v>1</v>
      </c>
      <c r="DB35" t="s">
        <v>179</v>
      </c>
      <c r="DC35">
        <v>64</v>
      </c>
      <c r="DD35" s="1" t="s">
        <v>773</v>
      </c>
      <c r="DE35" s="1" t="s">
        <v>774</v>
      </c>
      <c r="DF35" t="e">
        <f>_xlfn.XLOOKUP(Table1[[#This Row],[Player ID]],Table2[feed_id],Table2[trade_status])</f>
        <v>#N/A</v>
      </c>
      <c r="DG35">
        <f>_xlfn.NUMBERVALUE(Table1[[#This Row],[predicted]])</f>
        <v>47.9721887598769</v>
      </c>
    </row>
    <row r="36" spans="1:111" hidden="1" x14ac:dyDescent="0.25">
      <c r="A36">
        <v>57406</v>
      </c>
      <c r="B36">
        <v>5766</v>
      </c>
      <c r="C36" t="s">
        <v>775</v>
      </c>
      <c r="D36" t="s">
        <v>762</v>
      </c>
      <c r="E36">
        <v>2016</v>
      </c>
      <c r="F36">
        <v>290815</v>
      </c>
      <c r="G36" t="s">
        <v>776</v>
      </c>
      <c r="H36" t="s">
        <v>777</v>
      </c>
      <c r="I36" t="s">
        <v>524</v>
      </c>
      <c r="J36">
        <v>21</v>
      </c>
      <c r="K36">
        <v>73</v>
      </c>
      <c r="L36">
        <v>66</v>
      </c>
      <c r="M36">
        <v>88</v>
      </c>
      <c r="N36">
        <v>60</v>
      </c>
      <c r="O36">
        <v>75</v>
      </c>
      <c r="P36">
        <v>3</v>
      </c>
      <c r="Q36">
        <v>7</v>
      </c>
      <c r="R36">
        <v>2</v>
      </c>
      <c r="S36">
        <v>5</v>
      </c>
      <c r="T36">
        <v>18</v>
      </c>
      <c r="U36">
        <v>0</v>
      </c>
      <c r="V36">
        <v>0</v>
      </c>
      <c r="W36">
        <v>1</v>
      </c>
      <c r="X36">
        <v>0</v>
      </c>
      <c r="Y36" t="s">
        <v>113</v>
      </c>
      <c r="Z36" t="s">
        <v>778</v>
      </c>
      <c r="AA36" t="s">
        <v>779</v>
      </c>
      <c r="AB36" t="s">
        <v>602</v>
      </c>
      <c r="AD36">
        <v>397600</v>
      </c>
      <c r="AE36">
        <v>0</v>
      </c>
      <c r="AF36">
        <v>412100</v>
      </c>
      <c r="AG36">
        <v>78</v>
      </c>
      <c r="AH36" t="s">
        <v>274</v>
      </c>
      <c r="AI36">
        <v>22</v>
      </c>
      <c r="AJ36">
        <v>14</v>
      </c>
      <c r="AK36">
        <v>77.569999999999993</v>
      </c>
      <c r="AL36">
        <v>83.71</v>
      </c>
      <c r="AM36">
        <v>0.76</v>
      </c>
      <c r="AN36">
        <v>0.51</v>
      </c>
      <c r="AO36">
        <v>1.01</v>
      </c>
      <c r="AP36">
        <v>384000</v>
      </c>
      <c r="AQ36">
        <v>82</v>
      </c>
      <c r="AS36">
        <v>8</v>
      </c>
      <c r="AT36">
        <v>1</v>
      </c>
      <c r="AU36">
        <v>1</v>
      </c>
      <c r="AV36">
        <v>40</v>
      </c>
      <c r="AW36">
        <v>78</v>
      </c>
      <c r="AZ36" t="b">
        <v>1</v>
      </c>
      <c r="BA36">
        <v>1668</v>
      </c>
      <c r="BB36">
        <v>1592</v>
      </c>
      <c r="BC36">
        <v>21</v>
      </c>
      <c r="BD36" t="s">
        <v>780</v>
      </c>
      <c r="BE36">
        <v>98</v>
      </c>
      <c r="BF36">
        <v>0</v>
      </c>
      <c r="BG36">
        <v>75</v>
      </c>
      <c r="BH36">
        <v>0</v>
      </c>
      <c r="BI36" s="1" t="s">
        <v>125</v>
      </c>
      <c r="BJ36">
        <v>3.6</v>
      </c>
      <c r="BK36" s="1" t="s">
        <v>545</v>
      </c>
      <c r="BL36">
        <v>8.4</v>
      </c>
      <c r="BM36" s="1" t="s">
        <v>169</v>
      </c>
      <c r="BN36" s="1" t="s">
        <v>159</v>
      </c>
      <c r="BO36" s="1" t="s">
        <v>124</v>
      </c>
      <c r="BP36" s="1" t="s">
        <v>781</v>
      </c>
      <c r="BQ36">
        <v>17</v>
      </c>
      <c r="BR36">
        <v>22</v>
      </c>
      <c r="BS36" s="1" t="s">
        <v>129</v>
      </c>
      <c r="BT36" s="1" t="s">
        <v>128</v>
      </c>
      <c r="BU36" s="1" t="s">
        <v>128</v>
      </c>
      <c r="BV36" s="1" t="s">
        <v>206</v>
      </c>
      <c r="BW36" s="1" t="s">
        <v>129</v>
      </c>
      <c r="BX36" s="1" t="s">
        <v>213</v>
      </c>
      <c r="BY36">
        <v>0</v>
      </c>
      <c r="BZ36" s="1" t="s">
        <v>213</v>
      </c>
      <c r="CA36" s="1" t="s">
        <v>782</v>
      </c>
      <c r="CB36" s="1" t="s">
        <v>783</v>
      </c>
      <c r="CC36" s="1" t="s">
        <v>784</v>
      </c>
      <c r="CD36" s="1" t="s">
        <v>785</v>
      </c>
      <c r="CE36">
        <v>1.01</v>
      </c>
      <c r="CF36" s="1" t="s">
        <v>786</v>
      </c>
      <c r="CG36" s="1" t="s">
        <v>157</v>
      </c>
      <c r="CH36" s="1" t="s">
        <v>396</v>
      </c>
      <c r="CI36" s="1" t="s">
        <v>125</v>
      </c>
      <c r="CJ36">
        <v>3.4</v>
      </c>
      <c r="CK36" s="1" t="s">
        <v>126</v>
      </c>
      <c r="CL36" s="1" t="s">
        <v>255</v>
      </c>
      <c r="CM36" s="1" t="s">
        <v>787</v>
      </c>
      <c r="CN36" s="1" t="s">
        <v>788</v>
      </c>
      <c r="CO36">
        <v>80</v>
      </c>
      <c r="CP36" s="1" t="s">
        <v>789</v>
      </c>
      <c r="CS36" s="1" t="s">
        <v>790</v>
      </c>
      <c r="CT36" s="1" t="s">
        <v>791</v>
      </c>
      <c r="CU36">
        <v>1644</v>
      </c>
      <c r="CV36" s="1" t="s">
        <v>792</v>
      </c>
      <c r="CW36">
        <v>79.95</v>
      </c>
      <c r="CX36">
        <v>82.5</v>
      </c>
      <c r="CY36">
        <v>84</v>
      </c>
      <c r="CZ36">
        <v>81</v>
      </c>
      <c r="DA36">
        <v>1</v>
      </c>
      <c r="DB36" t="s">
        <v>778</v>
      </c>
      <c r="DC36">
        <v>66</v>
      </c>
      <c r="DD36">
        <v>85.481182222126904</v>
      </c>
      <c r="DE36">
        <v>-19.4811822221269</v>
      </c>
      <c r="DF36" t="e">
        <f>_xlfn.XLOOKUP(Table1[[#This Row],[Player ID]],Table2[feed_id],Table2[trade_status])</f>
        <v>#N/A</v>
      </c>
      <c r="DG36">
        <f>_xlfn.NUMBERVALUE(Table1[[#This Row],[predicted]])</f>
        <v>85.481182222126904</v>
      </c>
    </row>
    <row r="37" spans="1:111" hidden="1" x14ac:dyDescent="0.25">
      <c r="A37">
        <v>57542</v>
      </c>
      <c r="B37">
        <v>5769</v>
      </c>
      <c r="C37" t="s">
        <v>793</v>
      </c>
      <c r="D37" t="s">
        <v>762</v>
      </c>
      <c r="E37">
        <v>2016</v>
      </c>
      <c r="F37">
        <v>240014</v>
      </c>
      <c r="G37" t="s">
        <v>247</v>
      </c>
      <c r="H37" t="s">
        <v>794</v>
      </c>
      <c r="I37" t="s">
        <v>249</v>
      </c>
      <c r="J37">
        <v>3</v>
      </c>
      <c r="K37">
        <v>34</v>
      </c>
      <c r="L37">
        <v>37</v>
      </c>
      <c r="M37">
        <v>40</v>
      </c>
      <c r="N37">
        <v>30</v>
      </c>
      <c r="O37">
        <v>42</v>
      </c>
      <c r="P37">
        <v>2</v>
      </c>
      <c r="Q37">
        <v>9</v>
      </c>
      <c r="R37">
        <v>2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113</v>
      </c>
      <c r="Z37" t="s">
        <v>656</v>
      </c>
      <c r="AA37" t="s">
        <v>795</v>
      </c>
      <c r="AD37">
        <v>315900</v>
      </c>
      <c r="AE37">
        <v>0</v>
      </c>
      <c r="AF37">
        <v>290700</v>
      </c>
      <c r="AG37">
        <v>105</v>
      </c>
      <c r="AH37" t="s">
        <v>181</v>
      </c>
      <c r="AI37">
        <v>1</v>
      </c>
      <c r="AJ37">
        <v>10</v>
      </c>
      <c r="AK37">
        <v>56.1</v>
      </c>
      <c r="AL37">
        <v>54</v>
      </c>
      <c r="AM37">
        <v>0.66</v>
      </c>
      <c r="AN37">
        <v>1.21</v>
      </c>
      <c r="AO37">
        <v>7.72</v>
      </c>
      <c r="AP37">
        <v>299000</v>
      </c>
      <c r="AQ37">
        <v>83</v>
      </c>
      <c r="AS37">
        <v>4</v>
      </c>
      <c r="AT37">
        <v>0</v>
      </c>
      <c r="AU37">
        <v>1</v>
      </c>
      <c r="AV37">
        <v>54</v>
      </c>
      <c r="AW37">
        <v>83</v>
      </c>
      <c r="AZ37" t="b">
        <v>0</v>
      </c>
      <c r="BA37">
        <v>1810</v>
      </c>
      <c r="BB37">
        <v>1456</v>
      </c>
      <c r="BC37">
        <v>21</v>
      </c>
      <c r="BD37" t="s">
        <v>796</v>
      </c>
      <c r="BE37">
        <v>98</v>
      </c>
      <c r="BF37">
        <v>0</v>
      </c>
      <c r="BG37">
        <v>75</v>
      </c>
      <c r="BH37">
        <v>0</v>
      </c>
      <c r="BI37" s="1" t="s">
        <v>160</v>
      </c>
      <c r="BJ37" s="1" t="s">
        <v>448</v>
      </c>
      <c r="BK37" s="1" t="s">
        <v>253</v>
      </c>
      <c r="BL37">
        <v>4.2</v>
      </c>
      <c r="BM37" s="1" t="s">
        <v>159</v>
      </c>
      <c r="BN37">
        <v>3.6</v>
      </c>
      <c r="BO37" s="1" t="s">
        <v>126</v>
      </c>
      <c r="BP37">
        <v>2</v>
      </c>
      <c r="BQ37">
        <v>0</v>
      </c>
      <c r="BR37" s="1" t="s">
        <v>184</v>
      </c>
      <c r="BS37" s="1" t="s">
        <v>129</v>
      </c>
      <c r="BT37" s="1" t="s">
        <v>298</v>
      </c>
      <c r="BU37">
        <v>1</v>
      </c>
      <c r="BV37" s="1" t="s">
        <v>162</v>
      </c>
      <c r="BW37">
        <v>0</v>
      </c>
      <c r="BX37" s="1" t="s">
        <v>126</v>
      </c>
      <c r="BY37" s="1" t="s">
        <v>129</v>
      </c>
      <c r="BZ37" s="1" t="s">
        <v>130</v>
      </c>
      <c r="CA37" s="1" t="s">
        <v>797</v>
      </c>
      <c r="CB37" s="1" t="s">
        <v>798</v>
      </c>
      <c r="CC37" s="1" t="s">
        <v>799</v>
      </c>
      <c r="CD37" s="1" t="s">
        <v>800</v>
      </c>
      <c r="CE37" s="1" t="s">
        <v>801</v>
      </c>
      <c r="CF37" s="1" t="s">
        <v>802</v>
      </c>
      <c r="CG37" s="1" t="s">
        <v>449</v>
      </c>
      <c r="CH37" s="1" t="s">
        <v>565</v>
      </c>
      <c r="CI37" s="1" t="s">
        <v>129</v>
      </c>
      <c r="CJ37" s="1" t="s">
        <v>184</v>
      </c>
      <c r="CK37" s="1" t="s">
        <v>125</v>
      </c>
      <c r="CL37">
        <v>2.6</v>
      </c>
      <c r="CM37" s="1" t="s">
        <v>329</v>
      </c>
      <c r="CN37">
        <v>60.6</v>
      </c>
      <c r="CO37">
        <v>82</v>
      </c>
      <c r="CP37" s="1" t="s">
        <v>803</v>
      </c>
      <c r="CS37" s="1" t="s">
        <v>804</v>
      </c>
      <c r="CT37" s="1" t="s">
        <v>805</v>
      </c>
      <c r="CU37">
        <v>1782</v>
      </c>
      <c r="CV37" s="1" t="s">
        <v>806</v>
      </c>
      <c r="CW37">
        <v>54.1</v>
      </c>
      <c r="CX37">
        <v>52.5</v>
      </c>
      <c r="CY37">
        <v>46.4</v>
      </c>
      <c r="CZ37" s="1" t="s">
        <v>807</v>
      </c>
      <c r="DA37">
        <v>1</v>
      </c>
      <c r="DB37" t="s">
        <v>656</v>
      </c>
      <c r="DC37">
        <v>37</v>
      </c>
      <c r="DD37" s="1" t="s">
        <v>808</v>
      </c>
      <c r="DE37">
        <v>-24.439908790535</v>
      </c>
      <c r="DF37" t="e">
        <f>_xlfn.XLOOKUP(Table1[[#This Row],[Player ID]],Table2[feed_id],Table2[trade_status])</f>
        <v>#N/A</v>
      </c>
      <c r="DG37">
        <f>_xlfn.NUMBERVALUE(Table1[[#This Row],[predicted]])</f>
        <v>61.439908790535</v>
      </c>
    </row>
    <row r="38" spans="1:111" hidden="1" x14ac:dyDescent="0.25">
      <c r="A38">
        <v>57770</v>
      </c>
      <c r="B38">
        <v>5774</v>
      </c>
      <c r="C38" t="s">
        <v>809</v>
      </c>
      <c r="D38" t="s">
        <v>810</v>
      </c>
      <c r="E38">
        <v>2016</v>
      </c>
      <c r="F38">
        <v>250623</v>
      </c>
      <c r="G38" t="s">
        <v>811</v>
      </c>
      <c r="H38" t="s">
        <v>812</v>
      </c>
      <c r="I38" t="s">
        <v>813</v>
      </c>
      <c r="J38">
        <v>11</v>
      </c>
      <c r="K38">
        <v>60</v>
      </c>
      <c r="L38">
        <v>49</v>
      </c>
      <c r="M38">
        <v>50</v>
      </c>
      <c r="N38">
        <v>50</v>
      </c>
      <c r="O38">
        <v>66</v>
      </c>
      <c r="P38">
        <v>6</v>
      </c>
      <c r="Q38">
        <v>8</v>
      </c>
      <c r="R38">
        <v>4</v>
      </c>
      <c r="S38">
        <v>2</v>
      </c>
      <c r="T38">
        <v>0</v>
      </c>
      <c r="U38">
        <v>0</v>
      </c>
      <c r="V38">
        <v>0</v>
      </c>
      <c r="W38">
        <v>1</v>
      </c>
      <c r="X38">
        <v>0</v>
      </c>
      <c r="Y38" t="s">
        <v>113</v>
      </c>
      <c r="Z38" t="s">
        <v>814</v>
      </c>
      <c r="AA38" t="s">
        <v>815</v>
      </c>
      <c r="AB38" t="s">
        <v>525</v>
      </c>
      <c r="AC38" t="s">
        <v>816</v>
      </c>
      <c r="AD38">
        <v>270000</v>
      </c>
      <c r="AE38">
        <v>0</v>
      </c>
      <c r="AF38">
        <v>251600</v>
      </c>
      <c r="AG38">
        <v>99</v>
      </c>
      <c r="AH38" t="s">
        <v>155</v>
      </c>
      <c r="AI38">
        <v>28</v>
      </c>
      <c r="AJ38">
        <v>7</v>
      </c>
      <c r="AK38">
        <v>45.57</v>
      </c>
      <c r="AL38">
        <v>47.43</v>
      </c>
      <c r="AM38">
        <v>0.11</v>
      </c>
      <c r="AN38">
        <v>0.17</v>
      </c>
      <c r="AO38">
        <v>7.0000000000000007E-2</v>
      </c>
      <c r="AP38">
        <v>259000</v>
      </c>
      <c r="AQ38">
        <v>87</v>
      </c>
      <c r="AS38">
        <v>5</v>
      </c>
      <c r="AT38">
        <v>1</v>
      </c>
      <c r="AU38">
        <v>4</v>
      </c>
      <c r="AV38">
        <v>64</v>
      </c>
      <c r="AW38">
        <v>68</v>
      </c>
      <c r="AZ38" t="b">
        <v>0</v>
      </c>
      <c r="BA38">
        <v>1798</v>
      </c>
      <c r="BB38">
        <v>1476</v>
      </c>
      <c r="BC38">
        <v>22</v>
      </c>
      <c r="BD38" t="s">
        <v>817</v>
      </c>
      <c r="BE38">
        <v>97</v>
      </c>
      <c r="BF38">
        <v>0</v>
      </c>
      <c r="BG38">
        <v>73</v>
      </c>
      <c r="BH38">
        <v>0</v>
      </c>
      <c r="BI38" s="1" t="s">
        <v>204</v>
      </c>
      <c r="BJ38" s="1" t="s">
        <v>818</v>
      </c>
      <c r="BK38" s="1" t="s">
        <v>160</v>
      </c>
      <c r="BL38" s="1" t="s">
        <v>436</v>
      </c>
      <c r="BM38">
        <v>3</v>
      </c>
      <c r="BN38" s="1" t="s">
        <v>189</v>
      </c>
      <c r="BO38" s="1" t="s">
        <v>169</v>
      </c>
      <c r="BP38">
        <v>3.4</v>
      </c>
      <c r="BQ38">
        <v>0</v>
      </c>
      <c r="BR38">
        <v>0</v>
      </c>
      <c r="BS38">
        <v>0</v>
      </c>
      <c r="BT38">
        <v>0.6</v>
      </c>
      <c r="BU38" s="1" t="s">
        <v>129</v>
      </c>
      <c r="BV38">
        <v>0.4</v>
      </c>
      <c r="BW38" s="1" t="s">
        <v>129</v>
      </c>
      <c r="BX38">
        <v>1</v>
      </c>
      <c r="BY38">
        <v>1</v>
      </c>
      <c r="BZ38" s="1" t="s">
        <v>399</v>
      </c>
      <c r="CA38" s="1" t="s">
        <v>819</v>
      </c>
      <c r="CB38" s="1" t="s">
        <v>820</v>
      </c>
      <c r="CC38">
        <v>0.17</v>
      </c>
      <c r="CD38">
        <v>0.316</v>
      </c>
      <c r="CE38">
        <v>7.3333333333333306E-2</v>
      </c>
      <c r="CF38" s="1" t="s">
        <v>821</v>
      </c>
      <c r="CG38" s="1" t="s">
        <v>160</v>
      </c>
      <c r="CH38" s="1" t="s">
        <v>211</v>
      </c>
      <c r="CI38" s="1" t="s">
        <v>129</v>
      </c>
      <c r="CJ38" s="1" t="s">
        <v>231</v>
      </c>
      <c r="CK38" s="1" t="s">
        <v>169</v>
      </c>
      <c r="CL38" s="1" t="s">
        <v>304</v>
      </c>
      <c r="CM38">
        <v>56</v>
      </c>
      <c r="CN38" s="1" t="s">
        <v>822</v>
      </c>
      <c r="CO38">
        <v>76</v>
      </c>
      <c r="CP38" s="1" t="s">
        <v>172</v>
      </c>
      <c r="CS38">
        <v>1601</v>
      </c>
      <c r="CT38">
        <v>1636.8</v>
      </c>
      <c r="CU38" s="1" t="s">
        <v>823</v>
      </c>
      <c r="CV38" s="1" t="s">
        <v>824</v>
      </c>
      <c r="CW38">
        <v>56.55</v>
      </c>
      <c r="CX38">
        <v>56.5</v>
      </c>
      <c r="CY38">
        <v>50.2</v>
      </c>
      <c r="CZ38" s="1" t="s">
        <v>825</v>
      </c>
      <c r="DA38">
        <v>1</v>
      </c>
      <c r="DB38" t="s">
        <v>814</v>
      </c>
      <c r="DC38">
        <v>49</v>
      </c>
      <c r="DD38" s="1" t="s">
        <v>826</v>
      </c>
      <c r="DE38">
        <v>-33.562892412775</v>
      </c>
      <c r="DF38" t="e">
        <f>_xlfn.XLOOKUP(Table1[[#This Row],[Player ID]],Table2[feed_id],Table2[trade_status])</f>
        <v>#N/A</v>
      </c>
      <c r="DG38">
        <f>_xlfn.NUMBERVALUE(Table1[[#This Row],[predicted]])</f>
        <v>82.562892412775</v>
      </c>
    </row>
    <row r="39" spans="1:111" hidden="1" x14ac:dyDescent="0.25">
      <c r="A39">
        <v>58090</v>
      </c>
      <c r="B39">
        <v>5782</v>
      </c>
      <c r="C39" t="s">
        <v>827</v>
      </c>
      <c r="D39" t="s">
        <v>109</v>
      </c>
      <c r="E39">
        <v>2016</v>
      </c>
      <c r="F39">
        <v>291963</v>
      </c>
      <c r="G39" t="s">
        <v>828</v>
      </c>
      <c r="H39" t="s">
        <v>829</v>
      </c>
      <c r="I39" t="s">
        <v>813</v>
      </c>
      <c r="J39">
        <v>14</v>
      </c>
      <c r="K39">
        <v>74</v>
      </c>
      <c r="L39">
        <v>75</v>
      </c>
      <c r="M39">
        <v>95</v>
      </c>
      <c r="N39">
        <v>58</v>
      </c>
      <c r="O39">
        <v>78</v>
      </c>
      <c r="P39">
        <v>12</v>
      </c>
      <c r="Q39">
        <v>6</v>
      </c>
      <c r="R39">
        <v>3</v>
      </c>
      <c r="S39">
        <v>3</v>
      </c>
      <c r="T39">
        <v>0</v>
      </c>
      <c r="U39">
        <v>2</v>
      </c>
      <c r="V39">
        <v>1</v>
      </c>
      <c r="W39">
        <v>1</v>
      </c>
      <c r="X39">
        <v>0</v>
      </c>
      <c r="Y39" t="s">
        <v>113</v>
      </c>
      <c r="Z39" t="s">
        <v>226</v>
      </c>
      <c r="AA39" t="s">
        <v>830</v>
      </c>
      <c r="AD39">
        <v>307900</v>
      </c>
      <c r="AE39">
        <v>0</v>
      </c>
      <c r="AF39">
        <v>356100</v>
      </c>
      <c r="AG39">
        <v>88</v>
      </c>
      <c r="AH39" t="s">
        <v>118</v>
      </c>
      <c r="AI39">
        <v>2</v>
      </c>
      <c r="AJ39">
        <v>11</v>
      </c>
      <c r="AK39">
        <v>59.45</v>
      </c>
      <c r="AL39">
        <v>69.540000000000006</v>
      </c>
      <c r="AM39">
        <v>0.36</v>
      </c>
      <c r="AN39">
        <v>0.86</v>
      </c>
      <c r="AO39">
        <v>0.9</v>
      </c>
      <c r="AP39">
        <v>319000</v>
      </c>
      <c r="AQ39">
        <v>59</v>
      </c>
      <c r="AS39">
        <v>5</v>
      </c>
      <c r="AT39">
        <v>0</v>
      </c>
      <c r="AU39">
        <v>6</v>
      </c>
      <c r="AV39">
        <v>77</v>
      </c>
      <c r="AW39">
        <v>80</v>
      </c>
      <c r="AZ39" t="b">
        <v>0</v>
      </c>
      <c r="BA39">
        <v>1572</v>
      </c>
      <c r="BB39">
        <v>1693</v>
      </c>
      <c r="BC39">
        <v>23</v>
      </c>
      <c r="BD39" t="s">
        <v>831</v>
      </c>
      <c r="BE39">
        <v>94</v>
      </c>
      <c r="BF39">
        <v>0</v>
      </c>
      <c r="BG39">
        <v>69</v>
      </c>
      <c r="BH39">
        <v>1</v>
      </c>
      <c r="BI39" s="1" t="s">
        <v>157</v>
      </c>
      <c r="BJ39">
        <v>10.8</v>
      </c>
      <c r="BK39">
        <v>4</v>
      </c>
      <c r="BL39" s="1" t="s">
        <v>565</v>
      </c>
      <c r="BM39" s="1" t="s">
        <v>211</v>
      </c>
      <c r="BN39" s="1" t="s">
        <v>125</v>
      </c>
      <c r="BO39" s="1" t="s">
        <v>138</v>
      </c>
      <c r="BP39" s="1" t="s">
        <v>159</v>
      </c>
      <c r="BQ39">
        <v>0</v>
      </c>
      <c r="BR39">
        <v>0</v>
      </c>
      <c r="BS39">
        <v>1</v>
      </c>
      <c r="BT39">
        <v>0.6</v>
      </c>
      <c r="BU39" s="1" t="s">
        <v>129</v>
      </c>
      <c r="BV39">
        <v>0.4</v>
      </c>
      <c r="BW39" s="1" t="s">
        <v>129</v>
      </c>
      <c r="BX39" s="1" t="s">
        <v>213</v>
      </c>
      <c r="BY39">
        <v>0</v>
      </c>
      <c r="BZ39" s="1" t="s">
        <v>213</v>
      </c>
      <c r="CA39">
        <v>0.36</v>
      </c>
      <c r="CB39" s="1" t="s">
        <v>832</v>
      </c>
      <c r="CC39" s="1" t="s">
        <v>399</v>
      </c>
      <c r="CD39" s="1" t="s">
        <v>833</v>
      </c>
      <c r="CE39">
        <v>0.91</v>
      </c>
      <c r="CF39" s="1" t="s">
        <v>834</v>
      </c>
      <c r="CG39" s="1" t="s">
        <v>125</v>
      </c>
      <c r="CH39">
        <v>3.6</v>
      </c>
      <c r="CI39" s="1" t="s">
        <v>129</v>
      </c>
      <c r="CJ39">
        <v>0.8</v>
      </c>
      <c r="CK39" s="1" t="s">
        <v>159</v>
      </c>
      <c r="CL39" s="1" t="s">
        <v>566</v>
      </c>
      <c r="CM39">
        <v>85</v>
      </c>
      <c r="CN39">
        <v>81.2</v>
      </c>
      <c r="CO39" s="1" t="s">
        <v>437</v>
      </c>
      <c r="CP39">
        <v>81.599999999999994</v>
      </c>
      <c r="CS39" s="1" t="s">
        <v>835</v>
      </c>
      <c r="CT39" s="1" t="s">
        <v>836</v>
      </c>
      <c r="CU39">
        <v>1643</v>
      </c>
      <c r="CV39" s="1" t="s">
        <v>837</v>
      </c>
      <c r="CW39">
        <v>64.05</v>
      </c>
      <c r="CX39">
        <v>67.2</v>
      </c>
      <c r="CY39">
        <v>77.599999999999994</v>
      </c>
      <c r="CZ39" s="1" t="s">
        <v>593</v>
      </c>
      <c r="DA39">
        <v>1</v>
      </c>
      <c r="DB39" t="s">
        <v>226</v>
      </c>
      <c r="DC39">
        <v>75</v>
      </c>
      <c r="DD39" s="1" t="s">
        <v>838</v>
      </c>
      <c r="DE39">
        <v>-13.3766560040124</v>
      </c>
      <c r="DF39" t="e">
        <f>_xlfn.XLOOKUP(Table1[[#This Row],[Player ID]],Table2[feed_id],Table2[trade_status])</f>
        <v>#N/A</v>
      </c>
      <c r="DG39">
        <f>_xlfn.NUMBERVALUE(Table1[[#This Row],[predicted]])</f>
        <v>88.376656004012403</v>
      </c>
    </row>
    <row r="40" spans="1:111" hidden="1" x14ac:dyDescent="0.25">
      <c r="A40">
        <v>58307</v>
      </c>
      <c r="B40">
        <v>5787</v>
      </c>
      <c r="C40" t="s">
        <v>839</v>
      </c>
      <c r="D40" t="s">
        <v>109</v>
      </c>
      <c r="E40">
        <v>2016</v>
      </c>
      <c r="F40">
        <v>261257</v>
      </c>
      <c r="G40" t="s">
        <v>840</v>
      </c>
      <c r="H40" t="s">
        <v>841</v>
      </c>
      <c r="I40" t="s">
        <v>249</v>
      </c>
      <c r="J40">
        <v>18</v>
      </c>
      <c r="K40">
        <v>70</v>
      </c>
      <c r="L40">
        <v>71</v>
      </c>
      <c r="M40">
        <v>87</v>
      </c>
      <c r="N40">
        <v>59</v>
      </c>
      <c r="O40">
        <v>76</v>
      </c>
      <c r="P40">
        <v>9</v>
      </c>
      <c r="Q40">
        <v>7</v>
      </c>
      <c r="R40">
        <v>6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 t="s">
        <v>113</v>
      </c>
      <c r="Z40" t="s">
        <v>542</v>
      </c>
      <c r="AA40" t="s">
        <v>842</v>
      </c>
      <c r="AD40">
        <v>311600</v>
      </c>
      <c r="AE40">
        <v>0</v>
      </c>
      <c r="AF40">
        <v>290300</v>
      </c>
      <c r="AG40">
        <v>80</v>
      </c>
      <c r="AH40" t="s">
        <v>118</v>
      </c>
      <c r="AI40">
        <v>33</v>
      </c>
      <c r="AJ40">
        <v>12</v>
      </c>
      <c r="AK40">
        <v>64.08</v>
      </c>
      <c r="AL40">
        <v>65.67</v>
      </c>
      <c r="AM40">
        <v>0.14000000000000001</v>
      </c>
      <c r="AN40">
        <v>0.23</v>
      </c>
      <c r="AO40">
        <v>3.15</v>
      </c>
      <c r="AP40">
        <v>305000</v>
      </c>
      <c r="AQ40">
        <v>75</v>
      </c>
      <c r="AS40">
        <v>2</v>
      </c>
      <c r="AT40">
        <v>1</v>
      </c>
      <c r="AU40">
        <v>2</v>
      </c>
      <c r="AV40">
        <v>75</v>
      </c>
      <c r="AW40">
        <v>77</v>
      </c>
      <c r="AZ40" t="b">
        <v>0</v>
      </c>
      <c r="BA40">
        <v>1571</v>
      </c>
      <c r="BB40">
        <v>1698</v>
      </c>
      <c r="BC40">
        <v>23</v>
      </c>
      <c r="BD40" t="s">
        <v>843</v>
      </c>
      <c r="BE40">
        <v>94</v>
      </c>
      <c r="BF40">
        <v>0</v>
      </c>
      <c r="BG40">
        <v>69</v>
      </c>
      <c r="BH40">
        <v>1</v>
      </c>
      <c r="BI40" s="1" t="s">
        <v>253</v>
      </c>
      <c r="BJ40">
        <v>7.8</v>
      </c>
      <c r="BK40">
        <v>6</v>
      </c>
      <c r="BL40">
        <v>6.2</v>
      </c>
      <c r="BM40" s="1" t="s">
        <v>449</v>
      </c>
      <c r="BN40">
        <v>5.4</v>
      </c>
      <c r="BO40" s="1" t="s">
        <v>126</v>
      </c>
      <c r="BP40">
        <v>1.2</v>
      </c>
      <c r="BQ40">
        <v>0</v>
      </c>
      <c r="BR40">
        <v>0.4</v>
      </c>
      <c r="BS40" s="1" t="s">
        <v>129</v>
      </c>
      <c r="BT40" s="1" t="s">
        <v>231</v>
      </c>
      <c r="BU40">
        <v>0</v>
      </c>
      <c r="BV40" s="1" t="s">
        <v>184</v>
      </c>
      <c r="BW40" s="1" t="s">
        <v>128</v>
      </c>
      <c r="BX40" s="1" t="s">
        <v>126</v>
      </c>
      <c r="BY40" s="1" t="s">
        <v>129</v>
      </c>
      <c r="BZ40" s="1" t="s">
        <v>130</v>
      </c>
      <c r="CA40" s="1" t="s">
        <v>844</v>
      </c>
      <c r="CB40" s="1" t="s">
        <v>845</v>
      </c>
      <c r="CC40" s="1" t="s">
        <v>846</v>
      </c>
      <c r="CD40" s="1" t="s">
        <v>847</v>
      </c>
      <c r="CE40" s="1" t="s">
        <v>848</v>
      </c>
      <c r="CF40" s="1" t="s">
        <v>849</v>
      </c>
      <c r="CG40" s="1" t="s">
        <v>159</v>
      </c>
      <c r="CH40" s="1" t="s">
        <v>125</v>
      </c>
      <c r="CI40" s="1" t="s">
        <v>128</v>
      </c>
      <c r="CJ40" s="1" t="s">
        <v>128</v>
      </c>
      <c r="CK40" s="1" t="s">
        <v>128</v>
      </c>
      <c r="CL40">
        <v>1.4</v>
      </c>
      <c r="CM40" s="1" t="s">
        <v>403</v>
      </c>
      <c r="CN40">
        <v>78.599999999999994</v>
      </c>
      <c r="CO40" s="1" t="s">
        <v>305</v>
      </c>
      <c r="CP40" s="1" t="s">
        <v>850</v>
      </c>
      <c r="CS40" s="1" t="s">
        <v>851</v>
      </c>
      <c r="CT40" s="1" t="s">
        <v>852</v>
      </c>
      <c r="CU40" s="1" t="s">
        <v>853</v>
      </c>
      <c r="CV40" s="1" t="s">
        <v>854</v>
      </c>
      <c r="CW40">
        <v>64.25</v>
      </c>
      <c r="CX40">
        <v>61.6</v>
      </c>
      <c r="CY40">
        <v>58</v>
      </c>
      <c r="CZ40">
        <v>57</v>
      </c>
      <c r="DA40">
        <v>1</v>
      </c>
      <c r="DB40" t="s">
        <v>542</v>
      </c>
      <c r="DC40">
        <v>71</v>
      </c>
      <c r="DD40" s="1" t="s">
        <v>855</v>
      </c>
      <c r="DE40" s="1" t="s">
        <v>856</v>
      </c>
      <c r="DF40" t="e">
        <f>_xlfn.XLOOKUP(Table1[[#This Row],[Player ID]],Table2[feed_id],Table2[trade_status])</f>
        <v>#N/A</v>
      </c>
      <c r="DG40">
        <f>_xlfn.NUMBERVALUE(Table1[[#This Row],[predicted]])</f>
        <v>56.582735210083001</v>
      </c>
    </row>
    <row r="41" spans="1:111" hidden="1" x14ac:dyDescent="0.25">
      <c r="A41">
        <v>58384</v>
      </c>
      <c r="B41">
        <v>5789</v>
      </c>
      <c r="C41" t="s">
        <v>857</v>
      </c>
      <c r="D41" t="s">
        <v>109</v>
      </c>
      <c r="E41">
        <v>2016</v>
      </c>
      <c r="F41">
        <v>230214</v>
      </c>
      <c r="G41" t="s">
        <v>858</v>
      </c>
      <c r="H41" t="s">
        <v>859</v>
      </c>
      <c r="I41" t="s">
        <v>619</v>
      </c>
      <c r="J41">
        <v>21</v>
      </c>
      <c r="K41">
        <v>118</v>
      </c>
      <c r="L41">
        <v>106</v>
      </c>
      <c r="M41">
        <v>149</v>
      </c>
      <c r="N41">
        <v>96</v>
      </c>
      <c r="O41">
        <v>130</v>
      </c>
      <c r="P41">
        <v>16</v>
      </c>
      <c r="Q41">
        <v>15</v>
      </c>
      <c r="R41">
        <v>9</v>
      </c>
      <c r="S41">
        <v>3</v>
      </c>
      <c r="T41">
        <v>0</v>
      </c>
      <c r="U41">
        <v>0</v>
      </c>
      <c r="V41">
        <v>0</v>
      </c>
      <c r="W41">
        <v>0</v>
      </c>
      <c r="X41">
        <v>1</v>
      </c>
      <c r="Y41" t="s">
        <v>113</v>
      </c>
      <c r="Z41" t="s">
        <v>339</v>
      </c>
      <c r="AA41" t="s">
        <v>860</v>
      </c>
      <c r="AB41" t="s">
        <v>861</v>
      </c>
      <c r="AC41" t="s">
        <v>862</v>
      </c>
      <c r="AD41">
        <v>337000</v>
      </c>
      <c r="AE41">
        <v>0</v>
      </c>
      <c r="AF41">
        <v>293300</v>
      </c>
      <c r="AG41">
        <v>39</v>
      </c>
      <c r="AH41" t="s">
        <v>118</v>
      </c>
      <c r="AI41">
        <v>48</v>
      </c>
      <c r="AJ41">
        <v>9</v>
      </c>
      <c r="AK41">
        <v>71</v>
      </c>
      <c r="AL41">
        <v>64</v>
      </c>
      <c r="AM41">
        <v>0.67</v>
      </c>
      <c r="AN41">
        <v>1.05</v>
      </c>
      <c r="AO41">
        <v>0.94</v>
      </c>
      <c r="AP41">
        <v>342000</v>
      </c>
      <c r="AQ41">
        <v>60</v>
      </c>
      <c r="AS41">
        <v>8</v>
      </c>
      <c r="AT41">
        <v>3</v>
      </c>
      <c r="AU41">
        <v>3</v>
      </c>
      <c r="AV41">
        <v>77</v>
      </c>
      <c r="AW41">
        <v>85</v>
      </c>
      <c r="AZ41" t="b">
        <v>0</v>
      </c>
      <c r="BA41">
        <v>1736</v>
      </c>
      <c r="BB41">
        <v>1531</v>
      </c>
      <c r="BC41">
        <v>23</v>
      </c>
      <c r="BD41" t="s">
        <v>863</v>
      </c>
      <c r="BE41">
        <v>94</v>
      </c>
      <c r="BF41">
        <v>1</v>
      </c>
      <c r="BG41">
        <v>69</v>
      </c>
      <c r="BH41">
        <v>1</v>
      </c>
      <c r="BI41" s="1" t="s">
        <v>276</v>
      </c>
      <c r="BJ41" s="1" t="s">
        <v>396</v>
      </c>
      <c r="BK41">
        <v>12</v>
      </c>
      <c r="BL41" s="1" t="s">
        <v>864</v>
      </c>
      <c r="BM41">
        <v>7</v>
      </c>
      <c r="BN41" s="1" t="s">
        <v>449</v>
      </c>
      <c r="BO41" s="1" t="s">
        <v>169</v>
      </c>
      <c r="BP41" s="1" t="s">
        <v>375</v>
      </c>
      <c r="BQ41">
        <v>0</v>
      </c>
      <c r="BR41">
        <v>0</v>
      </c>
      <c r="BS41">
        <v>0</v>
      </c>
      <c r="BT41">
        <v>0.6</v>
      </c>
      <c r="BU41">
        <v>0</v>
      </c>
      <c r="BV41" s="1" t="s">
        <v>213</v>
      </c>
      <c r="BW41">
        <v>0</v>
      </c>
      <c r="BX41" s="1" t="s">
        <v>238</v>
      </c>
      <c r="BY41" s="1" t="s">
        <v>129</v>
      </c>
      <c r="BZ41">
        <v>0.4</v>
      </c>
      <c r="CA41" s="1" t="s">
        <v>865</v>
      </c>
      <c r="CB41" s="1" t="s">
        <v>866</v>
      </c>
      <c r="CC41" s="1" t="s">
        <v>867</v>
      </c>
      <c r="CD41" s="1" t="s">
        <v>868</v>
      </c>
      <c r="CE41">
        <v>0.9</v>
      </c>
      <c r="CF41" s="1" t="s">
        <v>869</v>
      </c>
      <c r="CG41" s="1" t="s">
        <v>397</v>
      </c>
      <c r="CH41" s="1" t="s">
        <v>752</v>
      </c>
      <c r="CI41" s="1" t="s">
        <v>161</v>
      </c>
      <c r="CJ41" s="1" t="s">
        <v>127</v>
      </c>
      <c r="CK41" s="1" t="s">
        <v>161</v>
      </c>
      <c r="CL41" s="1" t="s">
        <v>161</v>
      </c>
      <c r="CM41" s="1" t="s">
        <v>610</v>
      </c>
      <c r="CN41" s="1" t="s">
        <v>870</v>
      </c>
      <c r="CO41">
        <v>85</v>
      </c>
      <c r="CP41">
        <v>79.8</v>
      </c>
      <c r="CS41" s="1" t="s">
        <v>871</v>
      </c>
      <c r="CT41" s="1" t="s">
        <v>872</v>
      </c>
      <c r="CU41" s="1" t="s">
        <v>873</v>
      </c>
      <c r="CV41" s="1" t="s">
        <v>874</v>
      </c>
      <c r="CW41">
        <v>68</v>
      </c>
      <c r="CX41">
        <v>67.099999999999994</v>
      </c>
      <c r="CY41">
        <v>69.599999999999994</v>
      </c>
      <c r="CZ41">
        <v>83</v>
      </c>
      <c r="DA41">
        <v>1</v>
      </c>
      <c r="DB41" t="s">
        <v>339</v>
      </c>
      <c r="DC41">
        <v>106</v>
      </c>
      <c r="DD41">
        <v>75.611002866830802</v>
      </c>
      <c r="DE41" s="1" t="s">
        <v>875</v>
      </c>
      <c r="DF41" t="e">
        <f>_xlfn.XLOOKUP(Table1[[#This Row],[Player ID]],Table2[feed_id],Table2[trade_status])</f>
        <v>#N/A</v>
      </c>
      <c r="DG41">
        <f>_xlfn.NUMBERVALUE(Table1[[#This Row],[predicted]])</f>
        <v>75.611002866830802</v>
      </c>
    </row>
    <row r="42" spans="1:111" hidden="1" x14ac:dyDescent="0.25">
      <c r="A42">
        <v>58387</v>
      </c>
      <c r="B42">
        <v>5789</v>
      </c>
      <c r="C42" t="s">
        <v>857</v>
      </c>
      <c r="D42" t="s">
        <v>109</v>
      </c>
      <c r="E42">
        <v>2016</v>
      </c>
      <c r="F42">
        <v>230041</v>
      </c>
      <c r="G42" t="s">
        <v>150</v>
      </c>
      <c r="H42" t="s">
        <v>876</v>
      </c>
      <c r="I42" t="s">
        <v>619</v>
      </c>
      <c r="J42">
        <v>20</v>
      </c>
      <c r="K42">
        <v>95</v>
      </c>
      <c r="L42">
        <v>75</v>
      </c>
      <c r="M42">
        <v>120</v>
      </c>
      <c r="N42">
        <v>76</v>
      </c>
      <c r="O42">
        <v>100</v>
      </c>
      <c r="P42">
        <v>13</v>
      </c>
      <c r="Q42">
        <v>9</v>
      </c>
      <c r="R42">
        <v>6</v>
      </c>
      <c r="S42">
        <v>3</v>
      </c>
      <c r="T42">
        <v>0</v>
      </c>
      <c r="U42">
        <v>1</v>
      </c>
      <c r="V42">
        <v>0</v>
      </c>
      <c r="W42">
        <v>1</v>
      </c>
      <c r="X42">
        <v>1</v>
      </c>
      <c r="Y42" t="s">
        <v>113</v>
      </c>
      <c r="Z42" t="s">
        <v>877</v>
      </c>
      <c r="AA42" t="s">
        <v>878</v>
      </c>
      <c r="AD42">
        <v>475100</v>
      </c>
      <c r="AE42">
        <v>0</v>
      </c>
      <c r="AF42">
        <v>405000</v>
      </c>
      <c r="AG42">
        <v>84</v>
      </c>
      <c r="AH42" t="s">
        <v>118</v>
      </c>
      <c r="AI42">
        <v>17</v>
      </c>
      <c r="AJ42">
        <v>17</v>
      </c>
      <c r="AK42">
        <v>89</v>
      </c>
      <c r="AL42">
        <v>82</v>
      </c>
      <c r="AM42">
        <v>0.68</v>
      </c>
      <c r="AN42">
        <v>0.6</v>
      </c>
      <c r="AO42">
        <v>0.8</v>
      </c>
      <c r="AP42">
        <v>455000</v>
      </c>
      <c r="AQ42">
        <v>92</v>
      </c>
      <c r="AS42">
        <v>8</v>
      </c>
      <c r="AT42">
        <v>4</v>
      </c>
      <c r="AU42">
        <v>2</v>
      </c>
      <c r="AV42">
        <v>63</v>
      </c>
      <c r="AW42">
        <v>76</v>
      </c>
      <c r="AZ42" t="b">
        <v>0</v>
      </c>
      <c r="BA42">
        <v>1736</v>
      </c>
      <c r="BB42">
        <v>1531</v>
      </c>
      <c r="BC42">
        <v>23</v>
      </c>
      <c r="BD42" t="s">
        <v>863</v>
      </c>
      <c r="BE42">
        <v>94</v>
      </c>
      <c r="BF42">
        <v>0</v>
      </c>
      <c r="BG42">
        <v>69</v>
      </c>
      <c r="BH42">
        <v>1</v>
      </c>
      <c r="BI42" s="1" t="s">
        <v>622</v>
      </c>
      <c r="BJ42" s="1" t="s">
        <v>121</v>
      </c>
      <c r="BK42" s="1" t="s">
        <v>204</v>
      </c>
      <c r="BL42" s="1" t="s">
        <v>879</v>
      </c>
      <c r="BM42" s="1" t="s">
        <v>397</v>
      </c>
      <c r="BN42">
        <v>6.2</v>
      </c>
      <c r="BO42">
        <v>3</v>
      </c>
      <c r="BP42" s="1" t="s">
        <v>528</v>
      </c>
      <c r="BQ42" s="1" t="s">
        <v>129</v>
      </c>
      <c r="BR42" s="1" t="s">
        <v>129</v>
      </c>
      <c r="BS42">
        <v>1</v>
      </c>
      <c r="BT42" s="1" t="s">
        <v>238</v>
      </c>
      <c r="BU42" s="1" t="s">
        <v>129</v>
      </c>
      <c r="BV42" s="1" t="s">
        <v>129</v>
      </c>
      <c r="BW42" s="1" t="s">
        <v>128</v>
      </c>
      <c r="BX42" s="1" t="s">
        <v>129</v>
      </c>
      <c r="BY42" s="1" t="s">
        <v>126</v>
      </c>
      <c r="BZ42">
        <v>0.8</v>
      </c>
      <c r="CA42">
        <v>0.68</v>
      </c>
      <c r="CB42">
        <v>0.65</v>
      </c>
      <c r="CC42" s="1" t="s">
        <v>880</v>
      </c>
      <c r="CD42" s="1" t="s">
        <v>210</v>
      </c>
      <c r="CE42" s="1" t="s">
        <v>881</v>
      </c>
      <c r="CF42" s="1" t="s">
        <v>882</v>
      </c>
      <c r="CG42">
        <v>6</v>
      </c>
      <c r="CH42" s="1" t="s">
        <v>253</v>
      </c>
      <c r="CI42" s="1" t="s">
        <v>169</v>
      </c>
      <c r="CJ42">
        <v>3</v>
      </c>
      <c r="CK42" s="1" t="s">
        <v>169</v>
      </c>
      <c r="CL42" s="1" t="s">
        <v>255</v>
      </c>
      <c r="CM42">
        <v>62</v>
      </c>
      <c r="CN42" s="1" t="s">
        <v>883</v>
      </c>
      <c r="CO42" s="1" t="s">
        <v>261</v>
      </c>
      <c r="CP42" s="1" t="s">
        <v>517</v>
      </c>
      <c r="CS42" s="1" t="s">
        <v>884</v>
      </c>
      <c r="CT42" s="1" t="s">
        <v>885</v>
      </c>
      <c r="CU42">
        <v>1667</v>
      </c>
      <c r="CV42">
        <v>1718.6</v>
      </c>
      <c r="CW42">
        <v>81.400000000000006</v>
      </c>
      <c r="CX42">
        <v>80.099999999999994</v>
      </c>
      <c r="CY42">
        <v>80.599999999999994</v>
      </c>
      <c r="CZ42" s="1" t="s">
        <v>364</v>
      </c>
      <c r="DA42">
        <v>1</v>
      </c>
      <c r="DB42" t="s">
        <v>877</v>
      </c>
      <c r="DC42">
        <v>75</v>
      </c>
      <c r="DD42" s="1" t="s">
        <v>886</v>
      </c>
      <c r="DE42" s="1" t="s">
        <v>887</v>
      </c>
      <c r="DF42" t="e">
        <f>_xlfn.XLOOKUP(Table1[[#This Row],[Player ID]],Table2[feed_id],Table2[trade_status])</f>
        <v>#N/A</v>
      </c>
      <c r="DG42">
        <f>_xlfn.NUMBERVALUE(Table1[[#This Row],[predicted]])</f>
        <v>65.818190634426699</v>
      </c>
    </row>
    <row r="43" spans="1:111" hidden="1" x14ac:dyDescent="0.25">
      <c r="A43">
        <v>58502</v>
      </c>
      <c r="B43">
        <v>5791</v>
      </c>
      <c r="C43" t="s">
        <v>888</v>
      </c>
      <c r="D43" t="s">
        <v>198</v>
      </c>
      <c r="E43">
        <v>2016</v>
      </c>
      <c r="F43">
        <v>296027</v>
      </c>
      <c r="G43" t="s">
        <v>889</v>
      </c>
      <c r="H43" t="s">
        <v>890</v>
      </c>
      <c r="I43" t="s">
        <v>291</v>
      </c>
      <c r="J43">
        <v>5</v>
      </c>
      <c r="K43">
        <v>60</v>
      </c>
      <c r="L43">
        <v>52</v>
      </c>
      <c r="M43">
        <v>49</v>
      </c>
      <c r="N43">
        <v>47</v>
      </c>
      <c r="O43">
        <v>63</v>
      </c>
      <c r="P43">
        <v>7</v>
      </c>
      <c r="Q43">
        <v>7</v>
      </c>
      <c r="R43">
        <v>4</v>
      </c>
      <c r="S43">
        <v>3</v>
      </c>
      <c r="T43">
        <v>0</v>
      </c>
      <c r="U43">
        <v>1</v>
      </c>
      <c r="V43">
        <v>0</v>
      </c>
      <c r="W43">
        <v>0</v>
      </c>
      <c r="X43">
        <v>0</v>
      </c>
      <c r="Y43" t="s">
        <v>113</v>
      </c>
      <c r="Z43" t="s">
        <v>525</v>
      </c>
      <c r="AA43" t="s">
        <v>891</v>
      </c>
      <c r="AB43" t="s">
        <v>542</v>
      </c>
      <c r="AC43" t="s">
        <v>892</v>
      </c>
      <c r="AD43">
        <v>405800</v>
      </c>
      <c r="AE43">
        <v>0</v>
      </c>
      <c r="AF43">
        <v>363700</v>
      </c>
      <c r="AG43">
        <v>34</v>
      </c>
      <c r="AH43" t="s">
        <v>118</v>
      </c>
      <c r="AI43">
        <v>45</v>
      </c>
      <c r="AJ43">
        <v>9</v>
      </c>
      <c r="AK43">
        <v>79.78</v>
      </c>
      <c r="AL43">
        <v>76.33</v>
      </c>
      <c r="AM43">
        <v>0.17</v>
      </c>
      <c r="AN43">
        <v>0.33</v>
      </c>
      <c r="AO43">
        <v>0.32</v>
      </c>
      <c r="AP43">
        <v>385000</v>
      </c>
      <c r="AQ43">
        <v>55</v>
      </c>
      <c r="AS43">
        <v>3</v>
      </c>
      <c r="AT43">
        <v>0</v>
      </c>
      <c r="AU43">
        <v>0</v>
      </c>
      <c r="AV43">
        <v>85</v>
      </c>
      <c r="AW43">
        <v>79</v>
      </c>
      <c r="AZ43" t="b">
        <v>0</v>
      </c>
      <c r="BA43">
        <v>1954</v>
      </c>
      <c r="BB43">
        <v>1317</v>
      </c>
      <c r="BC43">
        <v>24</v>
      </c>
      <c r="BD43" t="s">
        <v>893</v>
      </c>
      <c r="BE43">
        <v>99</v>
      </c>
      <c r="BF43">
        <v>0</v>
      </c>
      <c r="BG43">
        <v>72</v>
      </c>
      <c r="BH43">
        <v>0</v>
      </c>
      <c r="BI43" s="1" t="s">
        <v>137</v>
      </c>
      <c r="BJ43" s="1" t="s">
        <v>303</v>
      </c>
      <c r="BK43">
        <v>10</v>
      </c>
      <c r="BL43" s="1" t="s">
        <v>295</v>
      </c>
      <c r="BM43" s="1" t="s">
        <v>211</v>
      </c>
      <c r="BN43" s="1" t="s">
        <v>256</v>
      </c>
      <c r="BO43" s="1" t="s">
        <v>449</v>
      </c>
      <c r="BP43" s="1" t="s">
        <v>321</v>
      </c>
      <c r="BQ43">
        <v>0</v>
      </c>
      <c r="BR43">
        <v>0</v>
      </c>
      <c r="BS43">
        <v>1</v>
      </c>
      <c r="BT43" s="1" t="s">
        <v>238</v>
      </c>
      <c r="BU43">
        <v>0</v>
      </c>
      <c r="BV43" s="1" t="s">
        <v>128</v>
      </c>
      <c r="BW43" s="1" t="s">
        <v>129</v>
      </c>
      <c r="BX43">
        <v>0.2</v>
      </c>
      <c r="BY43">
        <v>0</v>
      </c>
      <c r="BZ43">
        <v>6.6666666666666596E-2</v>
      </c>
      <c r="CA43" s="1" t="s">
        <v>467</v>
      </c>
      <c r="CB43">
        <v>0.186</v>
      </c>
      <c r="CC43" s="1" t="s">
        <v>894</v>
      </c>
      <c r="CD43" s="1" t="s">
        <v>895</v>
      </c>
      <c r="CE43" s="1" t="s">
        <v>896</v>
      </c>
      <c r="CF43" s="1" t="s">
        <v>897</v>
      </c>
      <c r="CG43">
        <v>5</v>
      </c>
      <c r="CH43" s="1" t="s">
        <v>898</v>
      </c>
      <c r="CI43">
        <v>1</v>
      </c>
      <c r="CJ43">
        <v>1.8</v>
      </c>
      <c r="CK43" s="1" t="s">
        <v>129</v>
      </c>
      <c r="CL43" s="1" t="s">
        <v>566</v>
      </c>
      <c r="CM43" s="1" t="s">
        <v>268</v>
      </c>
      <c r="CN43" s="1" t="s">
        <v>754</v>
      </c>
      <c r="CO43">
        <v>77</v>
      </c>
      <c r="CP43" s="1" t="s">
        <v>382</v>
      </c>
      <c r="CS43" s="1" t="s">
        <v>899</v>
      </c>
      <c r="CT43" s="1" t="s">
        <v>900</v>
      </c>
      <c r="CU43" s="1" t="s">
        <v>901</v>
      </c>
      <c r="CV43" s="1" t="s">
        <v>331</v>
      </c>
      <c r="CW43">
        <v>60.85</v>
      </c>
      <c r="CX43">
        <v>73.7</v>
      </c>
      <c r="CY43">
        <v>78.599999999999994</v>
      </c>
      <c r="CZ43" s="1" t="s">
        <v>516</v>
      </c>
      <c r="DA43">
        <v>1</v>
      </c>
      <c r="DB43" t="s">
        <v>525</v>
      </c>
      <c r="DC43">
        <v>52</v>
      </c>
      <c r="DD43" s="1" t="s">
        <v>902</v>
      </c>
      <c r="DE43">
        <v>-11.491234946458899</v>
      </c>
      <c r="DF43" t="e">
        <f>_xlfn.XLOOKUP(Table1[[#This Row],[Player ID]],Table2[feed_id],Table2[trade_status])</f>
        <v>#N/A</v>
      </c>
      <c r="DG43">
        <f>_xlfn.NUMBERVALUE(Table1[[#This Row],[predicted]])</f>
        <v>63.491234946458903</v>
      </c>
    </row>
    <row r="44" spans="1:111" hidden="1" x14ac:dyDescent="0.25">
      <c r="A44">
        <v>58526</v>
      </c>
      <c r="B44">
        <v>5792</v>
      </c>
      <c r="C44" t="s">
        <v>903</v>
      </c>
      <c r="D44" t="s">
        <v>198</v>
      </c>
      <c r="E44">
        <v>2016</v>
      </c>
      <c r="F44">
        <v>240245</v>
      </c>
      <c r="G44" t="s">
        <v>904</v>
      </c>
      <c r="H44" t="s">
        <v>905</v>
      </c>
      <c r="I44" t="s">
        <v>619</v>
      </c>
      <c r="J44">
        <v>14</v>
      </c>
      <c r="K44">
        <v>61</v>
      </c>
      <c r="L44">
        <v>46</v>
      </c>
      <c r="M44">
        <v>77</v>
      </c>
      <c r="N44">
        <v>51</v>
      </c>
      <c r="O44">
        <v>64</v>
      </c>
      <c r="P44">
        <v>10</v>
      </c>
      <c r="Q44">
        <v>3</v>
      </c>
      <c r="R44">
        <v>6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 t="s">
        <v>113</v>
      </c>
      <c r="Z44" t="s">
        <v>525</v>
      </c>
      <c r="AA44" t="s">
        <v>906</v>
      </c>
      <c r="AD44">
        <v>280000</v>
      </c>
      <c r="AE44">
        <v>0</v>
      </c>
      <c r="AF44">
        <v>261300</v>
      </c>
      <c r="AG44">
        <v>77</v>
      </c>
      <c r="AH44" t="s">
        <v>181</v>
      </c>
      <c r="AI44">
        <v>15</v>
      </c>
      <c r="AJ44">
        <v>13</v>
      </c>
      <c r="AK44">
        <v>63.54</v>
      </c>
      <c r="AL44">
        <v>64.849999999999994</v>
      </c>
      <c r="AM44">
        <v>1.0900000000000001</v>
      </c>
      <c r="AN44">
        <v>2.25</v>
      </c>
      <c r="AO44">
        <v>1.22</v>
      </c>
      <c r="AP44">
        <v>279000</v>
      </c>
      <c r="AQ44">
        <v>79</v>
      </c>
      <c r="AS44">
        <v>2</v>
      </c>
      <c r="AT44">
        <v>0</v>
      </c>
      <c r="AU44">
        <v>2</v>
      </c>
      <c r="AV44">
        <v>61</v>
      </c>
      <c r="AW44">
        <v>77</v>
      </c>
      <c r="AZ44" t="b">
        <v>0</v>
      </c>
      <c r="BA44">
        <v>1482</v>
      </c>
      <c r="BB44">
        <v>1786</v>
      </c>
      <c r="BC44">
        <v>24</v>
      </c>
      <c r="BD44" t="s">
        <v>907</v>
      </c>
      <c r="BE44">
        <v>99</v>
      </c>
      <c r="BF44">
        <v>0</v>
      </c>
      <c r="BG44">
        <v>72</v>
      </c>
      <c r="BH44">
        <v>0</v>
      </c>
      <c r="BI44" s="1" t="s">
        <v>294</v>
      </c>
      <c r="BJ44">
        <v>10.8</v>
      </c>
      <c r="BK44">
        <v>3</v>
      </c>
      <c r="BL44" s="1" t="s">
        <v>436</v>
      </c>
      <c r="BM44" s="1" t="s">
        <v>449</v>
      </c>
      <c r="BN44">
        <v>4.2</v>
      </c>
      <c r="BO44">
        <v>0</v>
      </c>
      <c r="BP44">
        <v>1.8</v>
      </c>
      <c r="BQ44">
        <v>0</v>
      </c>
      <c r="BR44">
        <v>0</v>
      </c>
      <c r="BS44">
        <v>0</v>
      </c>
      <c r="BT44">
        <v>0.6</v>
      </c>
      <c r="BU44">
        <v>1</v>
      </c>
      <c r="BV44" s="1" t="s">
        <v>162</v>
      </c>
      <c r="BW44" s="1" t="s">
        <v>129</v>
      </c>
      <c r="BX44" s="1" t="s">
        <v>129</v>
      </c>
      <c r="BY44" s="1" t="s">
        <v>128</v>
      </c>
      <c r="BZ44">
        <v>0.4</v>
      </c>
      <c r="CA44" s="1" t="s">
        <v>908</v>
      </c>
      <c r="CB44" s="1" t="s">
        <v>909</v>
      </c>
      <c r="CC44" s="1" t="s">
        <v>910</v>
      </c>
      <c r="CD44" s="1" t="s">
        <v>911</v>
      </c>
      <c r="CE44" s="1" t="s">
        <v>161</v>
      </c>
      <c r="CF44">
        <v>1.73</v>
      </c>
      <c r="CG44">
        <v>2</v>
      </c>
      <c r="CH44">
        <v>4.8</v>
      </c>
      <c r="CI44" s="1" t="s">
        <v>129</v>
      </c>
      <c r="CJ44" s="1" t="s">
        <v>162</v>
      </c>
      <c r="CK44" s="1" t="s">
        <v>138</v>
      </c>
      <c r="CL44">
        <v>3</v>
      </c>
      <c r="CM44" s="1" t="s">
        <v>350</v>
      </c>
      <c r="CN44">
        <v>73.2</v>
      </c>
      <c r="CO44" s="1" t="s">
        <v>516</v>
      </c>
      <c r="CP44">
        <v>81.2</v>
      </c>
      <c r="CS44" s="1" t="s">
        <v>912</v>
      </c>
      <c r="CT44" s="1" t="s">
        <v>913</v>
      </c>
      <c r="CU44" s="1" t="s">
        <v>914</v>
      </c>
      <c r="CV44">
        <v>1730.8</v>
      </c>
      <c r="CW44">
        <v>59.75</v>
      </c>
      <c r="CX44">
        <v>53.6</v>
      </c>
      <c r="CY44">
        <v>44</v>
      </c>
      <c r="CZ44" s="1" t="s">
        <v>385</v>
      </c>
      <c r="DA44">
        <v>1</v>
      </c>
      <c r="DB44" t="s">
        <v>525</v>
      </c>
      <c r="DC44">
        <v>46</v>
      </c>
      <c r="DD44" s="1" t="s">
        <v>915</v>
      </c>
      <c r="DE44">
        <v>-14.193872028488</v>
      </c>
      <c r="DF44" t="e">
        <f>_xlfn.XLOOKUP(Table1[[#This Row],[Player ID]],Table2[feed_id],Table2[trade_status])</f>
        <v>#N/A</v>
      </c>
      <c r="DG44">
        <f>_xlfn.NUMBERVALUE(Table1[[#This Row],[predicted]])</f>
        <v>60.193872028488002</v>
      </c>
    </row>
    <row r="45" spans="1:111" hidden="1" x14ac:dyDescent="0.25">
      <c r="A45">
        <v>58586</v>
      </c>
      <c r="B45">
        <v>5793</v>
      </c>
      <c r="C45" t="s">
        <v>916</v>
      </c>
      <c r="D45" t="s">
        <v>198</v>
      </c>
      <c r="E45">
        <v>2016</v>
      </c>
      <c r="F45">
        <v>270737</v>
      </c>
      <c r="G45" t="s">
        <v>917</v>
      </c>
      <c r="H45" t="s">
        <v>918</v>
      </c>
      <c r="I45" t="s">
        <v>317</v>
      </c>
      <c r="J45">
        <v>20</v>
      </c>
      <c r="K45">
        <v>57</v>
      </c>
      <c r="L45">
        <v>61</v>
      </c>
      <c r="M45">
        <v>56</v>
      </c>
      <c r="N45">
        <v>53</v>
      </c>
      <c r="O45">
        <v>59</v>
      </c>
      <c r="P45">
        <v>2</v>
      </c>
      <c r="Q45">
        <v>3</v>
      </c>
      <c r="R45">
        <v>1</v>
      </c>
      <c r="S45">
        <v>2</v>
      </c>
      <c r="T45">
        <v>29</v>
      </c>
      <c r="U45">
        <v>2</v>
      </c>
      <c r="V45">
        <v>1</v>
      </c>
      <c r="W45">
        <v>1</v>
      </c>
      <c r="X45">
        <v>0</v>
      </c>
      <c r="Y45" t="s">
        <v>113</v>
      </c>
      <c r="Z45" t="s">
        <v>602</v>
      </c>
      <c r="AA45" t="s">
        <v>919</v>
      </c>
      <c r="AD45">
        <v>354800</v>
      </c>
      <c r="AE45">
        <v>0</v>
      </c>
      <c r="AF45">
        <v>359400</v>
      </c>
      <c r="AG45">
        <v>48</v>
      </c>
      <c r="AH45" t="s">
        <v>274</v>
      </c>
      <c r="AI45">
        <v>16</v>
      </c>
      <c r="AJ45">
        <v>19</v>
      </c>
      <c r="AK45">
        <v>64.790000000000006</v>
      </c>
      <c r="AL45">
        <v>72.260000000000005</v>
      </c>
      <c r="AM45">
        <v>1.02</v>
      </c>
      <c r="AN45">
        <v>1.28</v>
      </c>
      <c r="AO45">
        <v>3.01</v>
      </c>
      <c r="AP45">
        <v>346000</v>
      </c>
      <c r="AQ45">
        <v>83</v>
      </c>
      <c r="AS45">
        <v>4</v>
      </c>
      <c r="AT45">
        <v>2</v>
      </c>
      <c r="AU45">
        <v>2</v>
      </c>
      <c r="AV45">
        <v>80</v>
      </c>
      <c r="AW45">
        <v>85</v>
      </c>
      <c r="AZ45" t="b">
        <v>0</v>
      </c>
      <c r="BA45">
        <v>1962</v>
      </c>
      <c r="BB45">
        <v>1328</v>
      </c>
      <c r="BC45">
        <v>24</v>
      </c>
      <c r="BD45" t="s">
        <v>920</v>
      </c>
      <c r="BE45">
        <v>99</v>
      </c>
      <c r="BF45">
        <v>0</v>
      </c>
      <c r="BG45">
        <v>72</v>
      </c>
      <c r="BH45">
        <v>0</v>
      </c>
      <c r="BI45" s="1" t="s">
        <v>125</v>
      </c>
      <c r="BJ45" s="1" t="s">
        <v>640</v>
      </c>
      <c r="BK45">
        <v>4</v>
      </c>
      <c r="BL45">
        <v>4.5999999999999996</v>
      </c>
      <c r="BM45" s="1" t="s">
        <v>169</v>
      </c>
      <c r="BN45" s="1" t="s">
        <v>169</v>
      </c>
      <c r="BO45">
        <v>2</v>
      </c>
      <c r="BP45" s="1" t="s">
        <v>566</v>
      </c>
      <c r="BQ45" s="1" t="s">
        <v>921</v>
      </c>
      <c r="BR45" s="1" t="s">
        <v>922</v>
      </c>
      <c r="BS45" s="1" t="s">
        <v>161</v>
      </c>
      <c r="BT45" s="1" t="s">
        <v>206</v>
      </c>
      <c r="BU45" s="1" t="s">
        <v>128</v>
      </c>
      <c r="BV45">
        <v>1.6</v>
      </c>
      <c r="BW45" s="1" t="s">
        <v>128</v>
      </c>
      <c r="BX45" s="1" t="s">
        <v>184</v>
      </c>
      <c r="BY45">
        <v>0</v>
      </c>
      <c r="BZ45">
        <v>6.6666666666666596E-2</v>
      </c>
      <c r="CA45" s="1" t="s">
        <v>923</v>
      </c>
      <c r="CB45" s="1" t="s">
        <v>924</v>
      </c>
      <c r="CC45" s="1" t="s">
        <v>925</v>
      </c>
      <c r="CD45">
        <v>1.1639999999999999</v>
      </c>
      <c r="CE45" s="1" t="s">
        <v>926</v>
      </c>
      <c r="CF45" s="1" t="s">
        <v>927</v>
      </c>
      <c r="CG45">
        <v>6</v>
      </c>
      <c r="CH45">
        <v>5.2</v>
      </c>
      <c r="CI45">
        <v>2</v>
      </c>
      <c r="CJ45" s="1" t="s">
        <v>257</v>
      </c>
      <c r="CK45" s="1" t="s">
        <v>126</v>
      </c>
      <c r="CL45">
        <v>2.6</v>
      </c>
      <c r="CM45">
        <v>90</v>
      </c>
      <c r="CN45" s="1" t="s">
        <v>701</v>
      </c>
      <c r="CO45" s="1" t="s">
        <v>142</v>
      </c>
      <c r="CP45" s="1" t="s">
        <v>928</v>
      </c>
      <c r="CS45">
        <v>1493</v>
      </c>
      <c r="CT45">
        <v>1630.4</v>
      </c>
      <c r="CU45" s="1" t="s">
        <v>929</v>
      </c>
      <c r="CV45" s="1" t="s">
        <v>520</v>
      </c>
      <c r="CW45">
        <v>74</v>
      </c>
      <c r="CX45">
        <v>78.5</v>
      </c>
      <c r="CY45">
        <v>67.8</v>
      </c>
      <c r="CZ45" s="1" t="s">
        <v>930</v>
      </c>
      <c r="DA45">
        <v>1</v>
      </c>
      <c r="DB45" t="s">
        <v>602</v>
      </c>
      <c r="DC45">
        <v>61</v>
      </c>
      <c r="DD45" s="1" t="s">
        <v>931</v>
      </c>
      <c r="DE45">
        <v>-21.455299960901598</v>
      </c>
      <c r="DF45" t="e">
        <f>_xlfn.XLOOKUP(Table1[[#This Row],[Player ID]],Table2[feed_id],Table2[trade_status])</f>
        <v>#N/A</v>
      </c>
      <c r="DG45">
        <f>_xlfn.NUMBERVALUE(Table1[[#This Row],[predicted]])</f>
        <v>82.455299960901598</v>
      </c>
    </row>
    <row r="46" spans="1:111" hidden="1" x14ac:dyDescent="0.25">
      <c r="A46">
        <v>58632</v>
      </c>
      <c r="B46">
        <v>5794</v>
      </c>
      <c r="C46" t="s">
        <v>932</v>
      </c>
      <c r="D46" t="s">
        <v>198</v>
      </c>
      <c r="E46">
        <v>2016</v>
      </c>
      <c r="F46">
        <v>230195</v>
      </c>
      <c r="G46" t="s">
        <v>933</v>
      </c>
      <c r="H46" t="s">
        <v>934</v>
      </c>
      <c r="I46" t="s">
        <v>425</v>
      </c>
      <c r="J46">
        <v>15</v>
      </c>
      <c r="K46">
        <v>60</v>
      </c>
      <c r="L46">
        <v>77</v>
      </c>
      <c r="M46">
        <v>45</v>
      </c>
      <c r="N46">
        <v>54</v>
      </c>
      <c r="O46">
        <v>66</v>
      </c>
      <c r="P46">
        <v>6</v>
      </c>
      <c r="Q46">
        <v>7</v>
      </c>
      <c r="R46">
        <v>3</v>
      </c>
      <c r="S46">
        <v>0</v>
      </c>
      <c r="T46">
        <v>0</v>
      </c>
      <c r="U46">
        <v>1</v>
      </c>
      <c r="V46">
        <v>0</v>
      </c>
      <c r="W46">
        <v>3</v>
      </c>
      <c r="X46">
        <v>0</v>
      </c>
      <c r="Y46" t="s">
        <v>113</v>
      </c>
      <c r="Z46" t="s">
        <v>656</v>
      </c>
      <c r="AA46" t="s">
        <v>935</v>
      </c>
      <c r="AD46">
        <v>275400</v>
      </c>
      <c r="AE46">
        <v>0</v>
      </c>
      <c r="AF46">
        <v>306800</v>
      </c>
      <c r="AG46">
        <v>129</v>
      </c>
      <c r="AH46" t="s">
        <v>155</v>
      </c>
      <c r="AI46">
        <v>28</v>
      </c>
      <c r="AJ46">
        <v>6</v>
      </c>
      <c r="AK46">
        <v>45.17</v>
      </c>
      <c r="AL46">
        <v>54.17</v>
      </c>
      <c r="AM46">
        <v>0.19</v>
      </c>
      <c r="AN46">
        <v>0.25</v>
      </c>
      <c r="AO46">
        <v>0.32</v>
      </c>
      <c r="AP46">
        <v>264000</v>
      </c>
      <c r="AQ46">
        <v>86</v>
      </c>
      <c r="AS46">
        <v>7</v>
      </c>
      <c r="AT46">
        <v>1</v>
      </c>
      <c r="AU46">
        <v>1</v>
      </c>
      <c r="AV46">
        <v>84</v>
      </c>
      <c r="AW46">
        <v>86</v>
      </c>
      <c r="AZ46" t="b">
        <v>0</v>
      </c>
      <c r="BA46">
        <v>1646</v>
      </c>
      <c r="BB46">
        <v>1622</v>
      </c>
      <c r="BC46">
        <v>24</v>
      </c>
      <c r="BD46" t="s">
        <v>936</v>
      </c>
      <c r="BE46">
        <v>99</v>
      </c>
      <c r="BF46">
        <v>0</v>
      </c>
      <c r="BG46">
        <v>72</v>
      </c>
      <c r="BH46">
        <v>1</v>
      </c>
      <c r="BI46" s="1" t="s">
        <v>125</v>
      </c>
      <c r="BJ46">
        <v>5.6</v>
      </c>
      <c r="BK46" s="1" t="s">
        <v>160</v>
      </c>
      <c r="BL46" s="1" t="s">
        <v>587</v>
      </c>
      <c r="BM46" s="1" t="s">
        <v>159</v>
      </c>
      <c r="BN46" s="1" t="s">
        <v>212</v>
      </c>
      <c r="BO46">
        <v>1</v>
      </c>
      <c r="BP46" s="1" t="s">
        <v>566</v>
      </c>
      <c r="BQ46">
        <v>0</v>
      </c>
      <c r="BR46">
        <v>0</v>
      </c>
      <c r="BS46" s="1" t="s">
        <v>128</v>
      </c>
      <c r="BT46" s="1" t="s">
        <v>130</v>
      </c>
      <c r="BU46" s="1" t="s">
        <v>129</v>
      </c>
      <c r="BV46" s="1" t="s">
        <v>127</v>
      </c>
      <c r="BW46" s="1" t="s">
        <v>126</v>
      </c>
      <c r="BX46" s="1" t="s">
        <v>566</v>
      </c>
      <c r="BY46" s="1" t="s">
        <v>128</v>
      </c>
      <c r="BZ46">
        <v>0.6</v>
      </c>
      <c r="CA46">
        <v>0.19</v>
      </c>
      <c r="CB46" s="1" t="s">
        <v>937</v>
      </c>
      <c r="CC46" s="1" t="s">
        <v>938</v>
      </c>
      <c r="CD46" s="1" t="s">
        <v>939</v>
      </c>
      <c r="CE46">
        <v>0.32</v>
      </c>
      <c r="CF46" s="1" t="s">
        <v>940</v>
      </c>
      <c r="CG46">
        <v>5</v>
      </c>
      <c r="CH46">
        <v>4</v>
      </c>
      <c r="CI46" s="1" t="s">
        <v>129</v>
      </c>
      <c r="CJ46" s="1" t="s">
        <v>213</v>
      </c>
      <c r="CK46" s="1" t="s">
        <v>126</v>
      </c>
      <c r="CL46" s="1" t="s">
        <v>304</v>
      </c>
      <c r="CM46" s="1" t="s">
        <v>822</v>
      </c>
      <c r="CN46" s="1" t="s">
        <v>517</v>
      </c>
      <c r="CO46" s="1" t="s">
        <v>268</v>
      </c>
      <c r="CP46" s="1" t="s">
        <v>941</v>
      </c>
      <c r="CS46" s="1" t="s">
        <v>456</v>
      </c>
      <c r="CT46" s="1" t="s">
        <v>942</v>
      </c>
      <c r="CU46">
        <v>1672</v>
      </c>
      <c r="CV46" s="1" t="s">
        <v>943</v>
      </c>
      <c r="CW46">
        <v>64.900000000000006</v>
      </c>
      <c r="CX46">
        <v>61.4</v>
      </c>
      <c r="CY46">
        <v>57.2</v>
      </c>
      <c r="CZ46" s="1" t="s">
        <v>944</v>
      </c>
      <c r="DA46">
        <v>1</v>
      </c>
      <c r="DB46" t="s">
        <v>656</v>
      </c>
      <c r="DC46">
        <v>77</v>
      </c>
      <c r="DD46" s="1" t="s">
        <v>945</v>
      </c>
      <c r="DE46" s="1" t="s">
        <v>946</v>
      </c>
      <c r="DF46" t="e">
        <f>_xlfn.XLOOKUP(Table1[[#This Row],[Player ID]],Table2[feed_id],Table2[trade_status])</f>
        <v>#N/A</v>
      </c>
      <c r="DG46">
        <f>_xlfn.NUMBERVALUE(Table1[[#This Row],[predicted]])</f>
        <v>64.293503489649794</v>
      </c>
    </row>
    <row r="47" spans="1:111" hidden="1" x14ac:dyDescent="0.25">
      <c r="A47">
        <v>58634</v>
      </c>
      <c r="B47">
        <v>5794</v>
      </c>
      <c r="C47" t="s">
        <v>932</v>
      </c>
      <c r="D47" t="s">
        <v>198</v>
      </c>
      <c r="E47">
        <v>2016</v>
      </c>
      <c r="F47">
        <v>261083</v>
      </c>
      <c r="G47" t="s">
        <v>508</v>
      </c>
      <c r="H47" t="s">
        <v>947</v>
      </c>
      <c r="I47" t="s">
        <v>425</v>
      </c>
      <c r="J47">
        <v>4</v>
      </c>
      <c r="K47">
        <v>53</v>
      </c>
      <c r="L47">
        <v>53</v>
      </c>
      <c r="M47">
        <v>32</v>
      </c>
      <c r="N47">
        <v>37</v>
      </c>
      <c r="O47">
        <v>51</v>
      </c>
      <c r="P47">
        <v>10</v>
      </c>
      <c r="Q47">
        <v>1</v>
      </c>
      <c r="R47">
        <v>3</v>
      </c>
      <c r="S47">
        <v>3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113</v>
      </c>
      <c r="Z47" t="s">
        <v>226</v>
      </c>
      <c r="AA47" t="s">
        <v>948</v>
      </c>
      <c r="AD47">
        <v>325000</v>
      </c>
      <c r="AE47">
        <v>0</v>
      </c>
      <c r="AF47">
        <v>370900</v>
      </c>
      <c r="AG47">
        <v>111</v>
      </c>
      <c r="AH47" t="s">
        <v>181</v>
      </c>
      <c r="AI47">
        <v>48</v>
      </c>
      <c r="AJ47">
        <v>14</v>
      </c>
      <c r="AK47">
        <v>60.43</v>
      </c>
      <c r="AL47">
        <v>69.709999999999994</v>
      </c>
      <c r="AM47">
        <v>0.24</v>
      </c>
      <c r="AN47">
        <v>0.23</v>
      </c>
      <c r="AO47">
        <v>0.46</v>
      </c>
      <c r="AP47">
        <v>309000</v>
      </c>
      <c r="AQ47">
        <v>82</v>
      </c>
      <c r="AS47">
        <v>4</v>
      </c>
      <c r="AT47">
        <v>0</v>
      </c>
      <c r="AU47">
        <v>3</v>
      </c>
      <c r="AV47">
        <v>54</v>
      </c>
      <c r="AW47">
        <v>78</v>
      </c>
      <c r="AZ47" t="b">
        <v>0</v>
      </c>
      <c r="BA47">
        <v>1646</v>
      </c>
      <c r="BB47">
        <v>1622</v>
      </c>
      <c r="BC47">
        <v>24</v>
      </c>
      <c r="BD47" t="s">
        <v>936</v>
      </c>
      <c r="BE47">
        <v>99</v>
      </c>
      <c r="BF47">
        <v>0</v>
      </c>
      <c r="BG47">
        <v>72</v>
      </c>
      <c r="BH47">
        <v>0</v>
      </c>
      <c r="BI47" s="1" t="s">
        <v>183</v>
      </c>
      <c r="BJ47" s="1" t="s">
        <v>949</v>
      </c>
      <c r="BK47">
        <v>2</v>
      </c>
      <c r="BL47" s="1" t="s">
        <v>138</v>
      </c>
      <c r="BM47" s="1" t="s">
        <v>169</v>
      </c>
      <c r="BN47">
        <v>3.6</v>
      </c>
      <c r="BO47" s="1" t="s">
        <v>159</v>
      </c>
      <c r="BP47">
        <v>2.4</v>
      </c>
      <c r="BQ47">
        <v>0</v>
      </c>
      <c r="BR47">
        <v>0</v>
      </c>
      <c r="BS47" s="1" t="s">
        <v>129</v>
      </c>
      <c r="BT47">
        <v>0.6</v>
      </c>
      <c r="BU47">
        <v>0</v>
      </c>
      <c r="BV47" s="1" t="s">
        <v>129</v>
      </c>
      <c r="BW47" s="1" t="s">
        <v>129</v>
      </c>
      <c r="BX47" s="1" t="s">
        <v>184</v>
      </c>
      <c r="BY47">
        <v>0</v>
      </c>
      <c r="BZ47">
        <v>6.6666666666666596E-2</v>
      </c>
      <c r="CA47" s="1" t="s">
        <v>950</v>
      </c>
      <c r="CB47" s="1" t="s">
        <v>951</v>
      </c>
      <c r="CC47" s="1" t="s">
        <v>952</v>
      </c>
      <c r="CD47">
        <v>0.19400000000000001</v>
      </c>
      <c r="CE47">
        <v>0.47</v>
      </c>
      <c r="CF47" s="1" t="s">
        <v>164</v>
      </c>
      <c r="CG47">
        <v>5</v>
      </c>
      <c r="CH47" s="1" t="s">
        <v>124</v>
      </c>
      <c r="CI47" s="1" t="s">
        <v>129</v>
      </c>
      <c r="CJ47">
        <v>0.4</v>
      </c>
      <c r="CK47">
        <v>1</v>
      </c>
      <c r="CL47">
        <v>2.2000000000000002</v>
      </c>
      <c r="CM47" s="1" t="s">
        <v>593</v>
      </c>
      <c r="CN47">
        <v>72.400000000000006</v>
      </c>
      <c r="CO47">
        <v>76</v>
      </c>
      <c r="CP47">
        <v>77.400000000000006</v>
      </c>
      <c r="CS47" s="1" t="s">
        <v>953</v>
      </c>
      <c r="CT47" s="1" t="s">
        <v>954</v>
      </c>
      <c r="CU47" s="1" t="s">
        <v>955</v>
      </c>
      <c r="CV47">
        <v>1645</v>
      </c>
      <c r="CW47">
        <v>68.150000000000006</v>
      </c>
      <c r="CX47">
        <v>73</v>
      </c>
      <c r="CY47">
        <v>71.599999999999994</v>
      </c>
      <c r="CZ47" s="1" t="s">
        <v>195</v>
      </c>
      <c r="DA47">
        <v>1</v>
      </c>
      <c r="DB47" t="s">
        <v>226</v>
      </c>
      <c r="DC47">
        <v>53</v>
      </c>
      <c r="DD47" s="1" t="s">
        <v>956</v>
      </c>
      <c r="DE47">
        <v>-34.884794307279797</v>
      </c>
      <c r="DF47" t="e">
        <f>_xlfn.XLOOKUP(Table1[[#This Row],[Player ID]],Table2[feed_id],Table2[trade_status])</f>
        <v>#N/A</v>
      </c>
      <c r="DG47">
        <f>_xlfn.NUMBERVALUE(Table1[[#This Row],[predicted]])</f>
        <v>87.884794307279805</v>
      </c>
    </row>
    <row r="48" spans="1:111" hidden="1" x14ac:dyDescent="0.25">
      <c r="A48">
        <v>58698</v>
      </c>
      <c r="B48">
        <v>5796</v>
      </c>
      <c r="C48" t="s">
        <v>957</v>
      </c>
      <c r="D48" t="s">
        <v>198</v>
      </c>
      <c r="E48">
        <v>2016</v>
      </c>
      <c r="F48">
        <v>240708</v>
      </c>
      <c r="G48" t="s">
        <v>958</v>
      </c>
      <c r="H48" t="s">
        <v>959</v>
      </c>
      <c r="I48" t="s">
        <v>152</v>
      </c>
      <c r="J48">
        <v>12</v>
      </c>
      <c r="K48">
        <v>64</v>
      </c>
      <c r="L48">
        <v>72</v>
      </c>
      <c r="M48">
        <v>79</v>
      </c>
      <c r="N48">
        <v>56</v>
      </c>
      <c r="O48">
        <v>73</v>
      </c>
      <c r="P48">
        <v>8</v>
      </c>
      <c r="Q48">
        <v>9</v>
      </c>
      <c r="R48">
        <v>7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 t="s">
        <v>113</v>
      </c>
      <c r="Z48" t="s">
        <v>179</v>
      </c>
      <c r="AA48" t="s">
        <v>960</v>
      </c>
      <c r="AD48">
        <v>305800</v>
      </c>
      <c r="AE48">
        <v>0</v>
      </c>
      <c r="AF48">
        <v>350700</v>
      </c>
      <c r="AG48">
        <v>119</v>
      </c>
      <c r="AH48" t="s">
        <v>181</v>
      </c>
      <c r="AI48">
        <v>25</v>
      </c>
      <c r="AJ48">
        <v>11</v>
      </c>
      <c r="AK48">
        <v>56.91</v>
      </c>
      <c r="AL48">
        <v>69.55</v>
      </c>
      <c r="AM48">
        <v>0.13</v>
      </c>
      <c r="AN48">
        <v>0.32</v>
      </c>
      <c r="AO48">
        <v>0.25</v>
      </c>
      <c r="AP48">
        <v>297000</v>
      </c>
      <c r="AQ48">
        <v>88</v>
      </c>
      <c r="AS48">
        <v>8</v>
      </c>
      <c r="AT48">
        <v>0</v>
      </c>
      <c r="AU48">
        <v>1</v>
      </c>
      <c r="AV48">
        <v>88</v>
      </c>
      <c r="AW48">
        <v>85</v>
      </c>
      <c r="AZ48" t="b">
        <v>0</v>
      </c>
      <c r="BA48">
        <v>1449</v>
      </c>
      <c r="BB48">
        <v>1821</v>
      </c>
      <c r="BC48">
        <v>24</v>
      </c>
      <c r="BD48" t="s">
        <v>961</v>
      </c>
      <c r="BE48">
        <v>99</v>
      </c>
      <c r="BF48">
        <v>0</v>
      </c>
      <c r="BG48">
        <v>72</v>
      </c>
      <c r="BH48">
        <v>1</v>
      </c>
      <c r="BI48" s="1" t="s">
        <v>204</v>
      </c>
      <c r="BJ48" s="1" t="s">
        <v>962</v>
      </c>
      <c r="BK48" s="1" t="s">
        <v>204</v>
      </c>
      <c r="BL48" s="1" t="s">
        <v>963</v>
      </c>
      <c r="BM48" s="1" t="s">
        <v>449</v>
      </c>
      <c r="BN48" s="1" t="s">
        <v>964</v>
      </c>
      <c r="BO48" s="1" t="s">
        <v>128</v>
      </c>
      <c r="BP48" s="1" t="s">
        <v>161</v>
      </c>
      <c r="BQ48">
        <v>0</v>
      </c>
      <c r="BR48" s="1" t="s">
        <v>130</v>
      </c>
      <c r="BS48" s="1" t="s">
        <v>129</v>
      </c>
      <c r="BT48" s="1" t="s">
        <v>231</v>
      </c>
      <c r="BU48" s="1" t="s">
        <v>128</v>
      </c>
      <c r="BV48" s="1" t="s">
        <v>327</v>
      </c>
      <c r="BW48">
        <v>0</v>
      </c>
      <c r="BX48">
        <v>0</v>
      </c>
      <c r="BY48" s="1" t="s">
        <v>129</v>
      </c>
      <c r="BZ48" s="1" t="s">
        <v>213</v>
      </c>
      <c r="CA48">
        <v>0.13</v>
      </c>
      <c r="CB48" s="1" t="s">
        <v>965</v>
      </c>
      <c r="CC48">
        <v>0.32</v>
      </c>
      <c r="CD48" s="1" t="s">
        <v>966</v>
      </c>
      <c r="CE48">
        <v>0.25</v>
      </c>
      <c r="CF48" s="1" t="s">
        <v>967</v>
      </c>
      <c r="CG48" s="1" t="s">
        <v>211</v>
      </c>
      <c r="CH48" s="1" t="s">
        <v>229</v>
      </c>
      <c r="CI48">
        <v>0</v>
      </c>
      <c r="CJ48" s="1" t="s">
        <v>184</v>
      </c>
      <c r="CK48" s="1" t="s">
        <v>161</v>
      </c>
      <c r="CL48" s="1" t="s">
        <v>373</v>
      </c>
      <c r="CM48" s="1" t="s">
        <v>968</v>
      </c>
      <c r="CN48" s="1" t="s">
        <v>969</v>
      </c>
      <c r="CO48">
        <v>75</v>
      </c>
      <c r="CP48">
        <v>82.6</v>
      </c>
      <c r="CS48">
        <v>1716</v>
      </c>
      <c r="CT48">
        <v>1619.6</v>
      </c>
      <c r="CU48">
        <v>1550</v>
      </c>
      <c r="CV48" s="1" t="s">
        <v>970</v>
      </c>
      <c r="CW48">
        <v>71.849999999999994</v>
      </c>
      <c r="CX48">
        <v>69</v>
      </c>
      <c r="CY48">
        <v>65.599999999999994</v>
      </c>
      <c r="CZ48" s="1" t="s">
        <v>971</v>
      </c>
      <c r="DA48">
        <v>1</v>
      </c>
      <c r="DB48" t="s">
        <v>179</v>
      </c>
      <c r="DC48">
        <v>72</v>
      </c>
      <c r="DD48" s="1" t="s">
        <v>972</v>
      </c>
      <c r="DE48" s="1" t="s">
        <v>973</v>
      </c>
      <c r="DF48" t="e">
        <f>_xlfn.XLOOKUP(Table1[[#This Row],[Player ID]],Table2[feed_id],Table2[trade_status])</f>
        <v>#N/A</v>
      </c>
      <c r="DG48">
        <f>_xlfn.NUMBERVALUE(Table1[[#This Row],[predicted]])</f>
        <v>58.7391772688458</v>
      </c>
    </row>
    <row r="49" spans="1:111" hidden="1" x14ac:dyDescent="0.25">
      <c r="A49">
        <v>58700</v>
      </c>
      <c r="B49">
        <v>5796</v>
      </c>
      <c r="C49" t="s">
        <v>957</v>
      </c>
      <c r="D49" t="s">
        <v>198</v>
      </c>
      <c r="E49">
        <v>2016</v>
      </c>
      <c r="F49">
        <v>230243</v>
      </c>
      <c r="G49" t="s">
        <v>974</v>
      </c>
      <c r="H49" t="s">
        <v>975</v>
      </c>
      <c r="I49" t="s">
        <v>152</v>
      </c>
      <c r="J49">
        <v>5</v>
      </c>
      <c r="K49">
        <v>54</v>
      </c>
      <c r="L49">
        <v>80</v>
      </c>
      <c r="M49">
        <v>68</v>
      </c>
      <c r="N49">
        <v>45</v>
      </c>
      <c r="O49">
        <v>60</v>
      </c>
      <c r="P49">
        <v>5</v>
      </c>
      <c r="Q49">
        <v>8</v>
      </c>
      <c r="R49">
        <v>5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113</v>
      </c>
      <c r="Z49" t="s">
        <v>179</v>
      </c>
      <c r="AA49" t="s">
        <v>976</v>
      </c>
      <c r="AD49">
        <v>326300</v>
      </c>
      <c r="AE49">
        <v>0</v>
      </c>
      <c r="AF49">
        <v>350700</v>
      </c>
      <c r="AG49">
        <v>53</v>
      </c>
      <c r="AH49" t="s">
        <v>181</v>
      </c>
      <c r="AI49">
        <v>24</v>
      </c>
      <c r="AJ49">
        <v>18</v>
      </c>
      <c r="AK49">
        <v>56.33</v>
      </c>
      <c r="AL49">
        <v>64.72</v>
      </c>
      <c r="AM49">
        <v>0.25</v>
      </c>
      <c r="AN49">
        <v>0.44</v>
      </c>
      <c r="AO49">
        <v>0.48</v>
      </c>
      <c r="AP49">
        <v>302000</v>
      </c>
      <c r="AQ49">
        <v>37</v>
      </c>
      <c r="AS49">
        <v>4</v>
      </c>
      <c r="AT49">
        <v>0</v>
      </c>
      <c r="AU49">
        <v>0</v>
      </c>
      <c r="AV49">
        <v>92</v>
      </c>
      <c r="AW49">
        <v>99</v>
      </c>
      <c r="AZ49" t="b">
        <v>0</v>
      </c>
      <c r="BA49">
        <v>1449</v>
      </c>
      <c r="BB49">
        <v>1821</v>
      </c>
      <c r="BC49">
        <v>24</v>
      </c>
      <c r="BD49" t="s">
        <v>961</v>
      </c>
      <c r="BE49">
        <v>99</v>
      </c>
      <c r="BF49">
        <v>0</v>
      </c>
      <c r="BG49">
        <v>72</v>
      </c>
      <c r="BH49">
        <v>1</v>
      </c>
      <c r="BI49" s="1" t="s">
        <v>977</v>
      </c>
      <c r="BJ49">
        <v>8.8000000000000007</v>
      </c>
      <c r="BK49" s="1" t="s">
        <v>449</v>
      </c>
      <c r="BL49">
        <v>5.8</v>
      </c>
      <c r="BM49" s="1" t="s">
        <v>204</v>
      </c>
      <c r="BN49" s="1" t="s">
        <v>397</v>
      </c>
      <c r="BO49">
        <v>2</v>
      </c>
      <c r="BP49">
        <v>1.4</v>
      </c>
      <c r="BQ49">
        <v>0</v>
      </c>
      <c r="BR49">
        <v>0</v>
      </c>
      <c r="BS49">
        <v>1</v>
      </c>
      <c r="BT49" s="1" t="s">
        <v>231</v>
      </c>
      <c r="BU49" s="1" t="s">
        <v>128</v>
      </c>
      <c r="BV49">
        <v>0.8</v>
      </c>
      <c r="BW49" s="1" t="s">
        <v>129</v>
      </c>
      <c r="BX49">
        <v>6.6666666666666596E-2</v>
      </c>
      <c r="BY49">
        <v>0</v>
      </c>
      <c r="BZ49">
        <v>0</v>
      </c>
      <c r="CA49">
        <v>0.23</v>
      </c>
      <c r="CB49">
        <v>0.15</v>
      </c>
      <c r="CC49" s="1" t="s">
        <v>978</v>
      </c>
      <c r="CD49" s="1" t="s">
        <v>979</v>
      </c>
      <c r="CE49" s="1" t="s">
        <v>980</v>
      </c>
      <c r="CF49" s="1" t="s">
        <v>981</v>
      </c>
      <c r="CG49">
        <v>5</v>
      </c>
      <c r="CH49" s="1" t="s">
        <v>752</v>
      </c>
      <c r="CI49">
        <v>0</v>
      </c>
      <c r="CJ49">
        <v>6.6666666666666596E-2</v>
      </c>
      <c r="CK49">
        <v>1</v>
      </c>
      <c r="CL49" s="1" t="s">
        <v>327</v>
      </c>
      <c r="CM49">
        <v>90</v>
      </c>
      <c r="CN49">
        <v>84.8</v>
      </c>
      <c r="CO49" s="1" t="s">
        <v>217</v>
      </c>
      <c r="CP49">
        <v>91</v>
      </c>
      <c r="CS49" s="1" t="s">
        <v>982</v>
      </c>
      <c r="CT49" s="1" t="s">
        <v>983</v>
      </c>
      <c r="CU49">
        <v>1579</v>
      </c>
      <c r="CV49">
        <v>1636</v>
      </c>
      <c r="CW49">
        <v>67.8</v>
      </c>
      <c r="CX49">
        <v>71.400000000000006</v>
      </c>
      <c r="CY49">
        <v>76.2</v>
      </c>
      <c r="CZ49" s="1" t="s">
        <v>968</v>
      </c>
      <c r="DA49">
        <v>1</v>
      </c>
      <c r="DB49" t="s">
        <v>179</v>
      </c>
      <c r="DC49">
        <v>80</v>
      </c>
      <c r="DD49" s="1" t="s">
        <v>984</v>
      </c>
      <c r="DE49" s="1" t="s">
        <v>985</v>
      </c>
      <c r="DF49" t="e">
        <f>_xlfn.XLOOKUP(Table1[[#This Row],[Player ID]],Table2[feed_id],Table2[trade_status])</f>
        <v>#N/A</v>
      </c>
      <c r="DG49">
        <f>_xlfn.NUMBERVALUE(Table1[[#This Row],[predicted]])</f>
        <v>57.641676237617197</v>
      </c>
    </row>
    <row r="50" spans="1:111" hidden="1" x14ac:dyDescent="0.25">
      <c r="A50">
        <v>58722</v>
      </c>
      <c r="B50">
        <v>5796</v>
      </c>
      <c r="C50" t="s">
        <v>957</v>
      </c>
      <c r="D50" t="s">
        <v>198</v>
      </c>
      <c r="E50">
        <v>2016</v>
      </c>
      <c r="F50">
        <v>230147</v>
      </c>
      <c r="G50" t="s">
        <v>289</v>
      </c>
      <c r="H50" t="s">
        <v>986</v>
      </c>
      <c r="I50" t="s">
        <v>201</v>
      </c>
      <c r="J50">
        <v>9</v>
      </c>
      <c r="K50">
        <v>42</v>
      </c>
      <c r="L50">
        <v>65</v>
      </c>
      <c r="M50">
        <v>34</v>
      </c>
      <c r="N50">
        <v>33</v>
      </c>
      <c r="O50">
        <v>42</v>
      </c>
      <c r="P50">
        <v>5</v>
      </c>
      <c r="Q50">
        <v>2</v>
      </c>
      <c r="R50">
        <v>3</v>
      </c>
      <c r="S50">
        <v>2</v>
      </c>
      <c r="T50">
        <v>0</v>
      </c>
      <c r="U50">
        <v>0</v>
      </c>
      <c r="V50">
        <v>0</v>
      </c>
      <c r="W50">
        <v>1</v>
      </c>
      <c r="X50">
        <v>0</v>
      </c>
      <c r="Y50" t="s">
        <v>113</v>
      </c>
      <c r="Z50" t="s">
        <v>987</v>
      </c>
      <c r="AA50" t="s">
        <v>988</v>
      </c>
      <c r="AD50">
        <v>151700</v>
      </c>
      <c r="AE50">
        <v>0</v>
      </c>
      <c r="AF50">
        <v>236300</v>
      </c>
      <c r="AG50">
        <v>29</v>
      </c>
      <c r="AH50" t="s">
        <v>181</v>
      </c>
      <c r="AI50">
        <v>21</v>
      </c>
      <c r="AJ50">
        <v>18</v>
      </c>
      <c r="AK50">
        <v>33.89</v>
      </c>
      <c r="AL50">
        <v>52.83</v>
      </c>
      <c r="AM50">
        <v>0.66</v>
      </c>
      <c r="AN50">
        <v>0.48</v>
      </c>
      <c r="AO50">
        <v>2.04</v>
      </c>
      <c r="AP50">
        <v>148000</v>
      </c>
      <c r="AQ50">
        <v>-3</v>
      </c>
      <c r="AS50">
        <v>3</v>
      </c>
      <c r="AT50">
        <v>0</v>
      </c>
      <c r="AU50">
        <v>0</v>
      </c>
      <c r="AV50">
        <v>100</v>
      </c>
      <c r="AW50">
        <v>97</v>
      </c>
      <c r="AZ50" t="b">
        <v>0</v>
      </c>
      <c r="BA50">
        <v>1821</v>
      </c>
      <c r="BB50">
        <v>1449</v>
      </c>
      <c r="BC50">
        <v>24</v>
      </c>
      <c r="BD50" t="s">
        <v>989</v>
      </c>
      <c r="BE50">
        <v>99</v>
      </c>
      <c r="BF50">
        <v>0</v>
      </c>
      <c r="BG50">
        <v>72</v>
      </c>
      <c r="BH50">
        <v>0</v>
      </c>
      <c r="BI50" s="1" t="s">
        <v>125</v>
      </c>
      <c r="BJ50">
        <v>5</v>
      </c>
      <c r="BK50" s="1" t="s">
        <v>161</v>
      </c>
      <c r="BL50" s="1" t="s">
        <v>990</v>
      </c>
      <c r="BM50" s="1" t="s">
        <v>159</v>
      </c>
      <c r="BN50" s="1" t="s">
        <v>528</v>
      </c>
      <c r="BO50" s="1" t="s">
        <v>128</v>
      </c>
      <c r="BP50" s="1" t="s">
        <v>206</v>
      </c>
      <c r="BQ50">
        <v>0</v>
      </c>
      <c r="BR50">
        <v>0</v>
      </c>
      <c r="BS50" s="1" t="s">
        <v>129</v>
      </c>
      <c r="BT50">
        <v>1.2</v>
      </c>
      <c r="BU50">
        <v>1</v>
      </c>
      <c r="BV50">
        <v>2</v>
      </c>
      <c r="BW50" s="1" t="s">
        <v>129</v>
      </c>
      <c r="BX50">
        <v>6.6666666666666596E-2</v>
      </c>
      <c r="BY50">
        <v>0</v>
      </c>
      <c r="BZ50">
        <v>0</v>
      </c>
      <c r="CA50">
        <v>0.54</v>
      </c>
      <c r="CB50" s="1" t="s">
        <v>588</v>
      </c>
      <c r="CC50">
        <v>0.47</v>
      </c>
      <c r="CD50" s="1" t="s">
        <v>991</v>
      </c>
      <c r="CE50" s="1" t="s">
        <v>992</v>
      </c>
      <c r="CF50" s="1" t="s">
        <v>993</v>
      </c>
      <c r="CG50" s="1" t="s">
        <v>138</v>
      </c>
      <c r="CH50" s="1" t="s">
        <v>205</v>
      </c>
      <c r="CI50">
        <v>0</v>
      </c>
      <c r="CJ50" s="1" t="s">
        <v>213</v>
      </c>
      <c r="CK50" s="1" t="s">
        <v>161</v>
      </c>
      <c r="CL50" s="1" t="s">
        <v>255</v>
      </c>
      <c r="CM50" s="1" t="s">
        <v>333</v>
      </c>
      <c r="CN50" s="1" t="s">
        <v>994</v>
      </c>
      <c r="CO50" s="1" t="s">
        <v>995</v>
      </c>
      <c r="CP50" s="1" t="s">
        <v>996</v>
      </c>
      <c r="CS50">
        <v>1029</v>
      </c>
      <c r="CT50">
        <v>1409.4</v>
      </c>
      <c r="CU50" s="1" t="s">
        <v>997</v>
      </c>
      <c r="CV50" s="1" t="s">
        <v>998</v>
      </c>
      <c r="CW50">
        <v>55.1</v>
      </c>
      <c r="CX50">
        <v>49.6</v>
      </c>
      <c r="CY50">
        <v>41.8</v>
      </c>
      <c r="CZ50" s="1" t="s">
        <v>999</v>
      </c>
      <c r="DA50">
        <v>1</v>
      </c>
      <c r="DB50" t="s">
        <v>987</v>
      </c>
      <c r="DC50">
        <v>65</v>
      </c>
      <c r="DD50" s="1" t="s">
        <v>1000</v>
      </c>
      <c r="DE50">
        <v>-8.97905362904452</v>
      </c>
      <c r="DF50" t="e">
        <f>_xlfn.XLOOKUP(Table1[[#This Row],[Player ID]],Table2[feed_id],Table2[trade_status])</f>
        <v>#N/A</v>
      </c>
      <c r="DG50">
        <f>_xlfn.NUMBERVALUE(Table1[[#This Row],[predicted]])</f>
        <v>73.9790536290445</v>
      </c>
    </row>
    <row r="51" spans="1:111" hidden="1" x14ac:dyDescent="0.25">
      <c r="A51">
        <v>58775</v>
      </c>
      <c r="B51">
        <v>5798</v>
      </c>
      <c r="C51" t="s">
        <v>1001</v>
      </c>
      <c r="D51" t="s">
        <v>198</v>
      </c>
      <c r="E51">
        <v>2016</v>
      </c>
      <c r="F51">
        <v>200032</v>
      </c>
      <c r="G51" t="s">
        <v>1002</v>
      </c>
      <c r="H51" t="s">
        <v>1003</v>
      </c>
      <c r="I51" t="s">
        <v>178</v>
      </c>
      <c r="J51">
        <v>26</v>
      </c>
      <c r="K51">
        <v>102</v>
      </c>
      <c r="L51">
        <v>96</v>
      </c>
      <c r="M51">
        <v>130</v>
      </c>
      <c r="N51">
        <v>84</v>
      </c>
      <c r="O51">
        <v>105</v>
      </c>
      <c r="P51">
        <v>14</v>
      </c>
      <c r="Q51">
        <v>6</v>
      </c>
      <c r="R51">
        <v>10</v>
      </c>
      <c r="S51">
        <v>2</v>
      </c>
      <c r="T51">
        <v>0</v>
      </c>
      <c r="U51">
        <v>1</v>
      </c>
      <c r="V51">
        <v>0</v>
      </c>
      <c r="W51">
        <v>1</v>
      </c>
      <c r="X51">
        <v>3</v>
      </c>
      <c r="Y51" t="s">
        <v>113</v>
      </c>
      <c r="Z51" t="s">
        <v>1004</v>
      </c>
      <c r="AA51" t="s">
        <v>1005</v>
      </c>
      <c r="AB51" t="s">
        <v>656</v>
      </c>
      <c r="AC51" t="s">
        <v>1006</v>
      </c>
      <c r="AD51">
        <v>389800</v>
      </c>
      <c r="AE51">
        <v>0</v>
      </c>
      <c r="AF51">
        <v>392400</v>
      </c>
      <c r="AG51">
        <v>75</v>
      </c>
      <c r="AH51" t="s">
        <v>155</v>
      </c>
      <c r="AI51">
        <v>29</v>
      </c>
      <c r="AJ51">
        <v>17</v>
      </c>
      <c r="AK51">
        <v>71.41</v>
      </c>
      <c r="AL51">
        <v>77.349999999999994</v>
      </c>
      <c r="AM51">
        <v>0.39</v>
      </c>
      <c r="AN51">
        <v>0.46</v>
      </c>
      <c r="AO51">
        <v>0.7</v>
      </c>
      <c r="AP51">
        <v>372000</v>
      </c>
      <c r="AQ51">
        <v>76</v>
      </c>
      <c r="AS51">
        <v>7</v>
      </c>
      <c r="AT51">
        <v>0</v>
      </c>
      <c r="AU51">
        <v>1</v>
      </c>
      <c r="AV51">
        <v>60</v>
      </c>
      <c r="AW51">
        <v>95</v>
      </c>
      <c r="AZ51" t="b">
        <v>0</v>
      </c>
      <c r="BA51">
        <v>1515</v>
      </c>
      <c r="BB51">
        <v>1744</v>
      </c>
      <c r="BC51">
        <v>24</v>
      </c>
      <c r="BD51" t="s">
        <v>1007</v>
      </c>
      <c r="BE51">
        <v>99</v>
      </c>
      <c r="BF51">
        <v>0</v>
      </c>
      <c r="BG51">
        <v>72</v>
      </c>
      <c r="BH51">
        <v>1</v>
      </c>
      <c r="BI51" s="1" t="s">
        <v>1008</v>
      </c>
      <c r="BJ51" s="1" t="s">
        <v>137</v>
      </c>
      <c r="BK51">
        <v>5</v>
      </c>
      <c r="BL51">
        <v>5.4</v>
      </c>
      <c r="BM51" s="1" t="s">
        <v>204</v>
      </c>
      <c r="BN51">
        <v>4.8</v>
      </c>
      <c r="BO51" s="1" t="s">
        <v>138</v>
      </c>
      <c r="BP51" s="1" t="s">
        <v>321</v>
      </c>
      <c r="BQ51">
        <v>0</v>
      </c>
      <c r="BR51">
        <v>0.2</v>
      </c>
      <c r="BS51">
        <v>1</v>
      </c>
      <c r="BT51" s="1" t="s">
        <v>162</v>
      </c>
      <c r="BU51" s="1" t="s">
        <v>128</v>
      </c>
      <c r="BV51">
        <v>0.8</v>
      </c>
      <c r="BW51" s="1" t="s">
        <v>161</v>
      </c>
      <c r="BX51" s="1" t="s">
        <v>161</v>
      </c>
      <c r="BY51" s="1" t="s">
        <v>126</v>
      </c>
      <c r="BZ51" s="1" t="s">
        <v>206</v>
      </c>
      <c r="CA51">
        <v>0.39</v>
      </c>
      <c r="CB51" s="1" t="s">
        <v>567</v>
      </c>
      <c r="CC51">
        <v>0.46</v>
      </c>
      <c r="CD51" s="1" t="s">
        <v>1009</v>
      </c>
      <c r="CE51" s="1" t="s">
        <v>1010</v>
      </c>
      <c r="CF51" s="1" t="s">
        <v>1011</v>
      </c>
      <c r="CG51" s="1" t="s">
        <v>183</v>
      </c>
      <c r="CH51" s="1" t="s">
        <v>680</v>
      </c>
      <c r="CI51">
        <v>0</v>
      </c>
      <c r="CJ51">
        <v>0.4</v>
      </c>
      <c r="CK51" s="1" t="s">
        <v>161</v>
      </c>
      <c r="CL51" s="1" t="s">
        <v>161</v>
      </c>
      <c r="CM51">
        <v>66</v>
      </c>
      <c r="CN51" s="1" t="s">
        <v>1012</v>
      </c>
      <c r="CO51" s="1" t="s">
        <v>1013</v>
      </c>
      <c r="CP51" s="1" t="s">
        <v>1014</v>
      </c>
      <c r="CS51" s="1" t="s">
        <v>1015</v>
      </c>
      <c r="CT51">
        <v>1569.2</v>
      </c>
      <c r="CU51">
        <v>1668</v>
      </c>
      <c r="CV51" s="1" t="s">
        <v>1016</v>
      </c>
      <c r="CW51">
        <v>76.900000000000006</v>
      </c>
      <c r="CX51">
        <v>85.8</v>
      </c>
      <c r="CY51">
        <v>83</v>
      </c>
      <c r="CZ51">
        <v>88</v>
      </c>
      <c r="DA51">
        <v>1</v>
      </c>
      <c r="DB51" t="s">
        <v>1004</v>
      </c>
      <c r="DC51">
        <v>96</v>
      </c>
      <c r="DD51">
        <v>78.633397049065394</v>
      </c>
      <c r="DE51" s="1" t="s">
        <v>1017</v>
      </c>
      <c r="DF51" t="e">
        <f>_xlfn.XLOOKUP(Table1[[#This Row],[Player ID]],Table2[feed_id],Table2[trade_status])</f>
        <v>#N/A</v>
      </c>
      <c r="DG51">
        <f>_xlfn.NUMBERVALUE(Table1[[#This Row],[predicted]])</f>
        <v>78.633397049065394</v>
      </c>
    </row>
    <row r="52" spans="1:111" hidden="1" x14ac:dyDescent="0.25">
      <c r="A52">
        <v>58967</v>
      </c>
      <c r="B52">
        <v>5804</v>
      </c>
      <c r="C52" t="s">
        <v>1018</v>
      </c>
      <c r="D52" t="s">
        <v>314</v>
      </c>
      <c r="E52">
        <v>2016</v>
      </c>
      <c r="F52">
        <v>960491</v>
      </c>
      <c r="G52" t="s">
        <v>1019</v>
      </c>
      <c r="H52" t="s">
        <v>1020</v>
      </c>
      <c r="I52" t="s">
        <v>813</v>
      </c>
      <c r="J52">
        <v>18</v>
      </c>
      <c r="K52">
        <v>81</v>
      </c>
      <c r="L52">
        <v>53</v>
      </c>
      <c r="M52">
        <v>36</v>
      </c>
      <c r="N52">
        <v>68</v>
      </c>
      <c r="O52">
        <v>95</v>
      </c>
      <c r="P52">
        <v>17</v>
      </c>
      <c r="Q52">
        <v>8</v>
      </c>
      <c r="R52">
        <v>6</v>
      </c>
      <c r="S52">
        <v>0</v>
      </c>
      <c r="T52">
        <v>0</v>
      </c>
      <c r="U52">
        <v>0</v>
      </c>
      <c r="V52">
        <v>2</v>
      </c>
      <c r="W52">
        <v>0</v>
      </c>
      <c r="X52">
        <v>2</v>
      </c>
      <c r="Y52" t="s">
        <v>113</v>
      </c>
      <c r="Z52" t="s">
        <v>861</v>
      </c>
      <c r="AA52" t="s">
        <v>1021</v>
      </c>
      <c r="AD52">
        <v>458000</v>
      </c>
      <c r="AE52">
        <v>0</v>
      </c>
      <c r="AF52">
        <v>427000</v>
      </c>
      <c r="AG52">
        <v>84</v>
      </c>
      <c r="AH52" t="s">
        <v>155</v>
      </c>
      <c r="AI52">
        <v>29</v>
      </c>
      <c r="AJ52">
        <v>21</v>
      </c>
      <c r="AK52">
        <v>87.19</v>
      </c>
      <c r="AL52">
        <v>91.86</v>
      </c>
      <c r="AM52">
        <v>2.27</v>
      </c>
      <c r="AN52">
        <v>3.17</v>
      </c>
      <c r="AO52">
        <v>2.71</v>
      </c>
      <c r="AP52">
        <v>438000</v>
      </c>
      <c r="AQ52">
        <v>60</v>
      </c>
      <c r="AS52">
        <v>7</v>
      </c>
      <c r="AT52">
        <v>2</v>
      </c>
      <c r="AU52">
        <v>8</v>
      </c>
      <c r="AV52">
        <v>56</v>
      </c>
      <c r="AW52">
        <v>89</v>
      </c>
      <c r="AZ52" t="b">
        <v>0</v>
      </c>
      <c r="BA52">
        <v>1808</v>
      </c>
      <c r="BB52">
        <v>1457</v>
      </c>
      <c r="BC52">
        <v>30</v>
      </c>
      <c r="BD52" t="s">
        <v>1022</v>
      </c>
      <c r="BE52" s="1" t="s">
        <v>1023</v>
      </c>
      <c r="BF52">
        <v>0</v>
      </c>
      <c r="BG52">
        <v>72</v>
      </c>
      <c r="BH52">
        <v>0</v>
      </c>
      <c r="BI52">
        <v>16</v>
      </c>
      <c r="BJ52">
        <v>12.8</v>
      </c>
      <c r="BK52" s="1" t="s">
        <v>276</v>
      </c>
      <c r="BL52">
        <v>8.6</v>
      </c>
      <c r="BM52">
        <v>6</v>
      </c>
      <c r="BN52" s="1" t="s">
        <v>230</v>
      </c>
      <c r="BO52">
        <v>2</v>
      </c>
      <c r="BP52" s="1" t="s">
        <v>322</v>
      </c>
      <c r="BQ52">
        <v>0</v>
      </c>
      <c r="BR52">
        <v>0</v>
      </c>
      <c r="BS52" s="1" t="s">
        <v>128</v>
      </c>
      <c r="BT52" s="1" t="s">
        <v>130</v>
      </c>
      <c r="BU52" s="1" t="s">
        <v>128</v>
      </c>
      <c r="BV52" s="1" t="s">
        <v>128</v>
      </c>
      <c r="BW52" s="1" t="s">
        <v>161</v>
      </c>
      <c r="BX52" s="1" t="s">
        <v>327</v>
      </c>
      <c r="BY52" s="1" t="s">
        <v>161</v>
      </c>
      <c r="BZ52">
        <v>1</v>
      </c>
      <c r="CA52" s="1" t="s">
        <v>1024</v>
      </c>
      <c r="CB52">
        <v>1.85</v>
      </c>
      <c r="CC52" s="1" t="s">
        <v>1025</v>
      </c>
      <c r="CD52" s="1" t="s">
        <v>1026</v>
      </c>
      <c r="CE52" s="1" t="s">
        <v>1027</v>
      </c>
      <c r="CF52" s="1" t="s">
        <v>159</v>
      </c>
      <c r="CG52">
        <v>8</v>
      </c>
      <c r="CH52" s="1" t="s">
        <v>139</v>
      </c>
      <c r="CI52" s="1" t="s">
        <v>126</v>
      </c>
      <c r="CJ52">
        <v>1.6</v>
      </c>
      <c r="CK52" s="1" t="s">
        <v>138</v>
      </c>
      <c r="CL52">
        <v>2.2000000000000002</v>
      </c>
      <c r="CM52">
        <v>68</v>
      </c>
      <c r="CN52">
        <v>70.8</v>
      </c>
      <c r="CO52" s="1" t="s">
        <v>1028</v>
      </c>
      <c r="CP52" s="1" t="s">
        <v>310</v>
      </c>
      <c r="CS52" s="1" t="s">
        <v>1029</v>
      </c>
      <c r="CT52">
        <v>1619.2</v>
      </c>
      <c r="CU52" s="1" t="s">
        <v>1030</v>
      </c>
      <c r="CV52" s="1" t="s">
        <v>1031</v>
      </c>
      <c r="CW52">
        <v>88.75</v>
      </c>
      <c r="CX52">
        <v>90.4</v>
      </c>
      <c r="CY52">
        <v>87</v>
      </c>
      <c r="CZ52">
        <v>105</v>
      </c>
      <c r="DA52">
        <v>1</v>
      </c>
      <c r="DB52" t="s">
        <v>861</v>
      </c>
      <c r="DC52">
        <v>53</v>
      </c>
      <c r="DD52" s="1" t="s">
        <v>1032</v>
      </c>
      <c r="DE52">
        <v>-38.212128070281402</v>
      </c>
      <c r="DF52" t="e">
        <f>_xlfn.XLOOKUP(Table1[[#This Row],[Player ID]],Table2[feed_id],Table2[trade_status])</f>
        <v>#N/A</v>
      </c>
      <c r="DG52">
        <f>_xlfn.NUMBERVALUE(Table1[[#This Row],[predicted]])</f>
        <v>91.212128070281395</v>
      </c>
    </row>
    <row r="53" spans="1:111" hidden="1" x14ac:dyDescent="0.25">
      <c r="A53">
        <v>58969</v>
      </c>
      <c r="B53">
        <v>5804</v>
      </c>
      <c r="C53" t="s">
        <v>1018</v>
      </c>
      <c r="D53" t="s">
        <v>314</v>
      </c>
      <c r="E53">
        <v>2016</v>
      </c>
      <c r="F53">
        <v>220023</v>
      </c>
      <c r="G53" t="s">
        <v>740</v>
      </c>
      <c r="H53" t="s">
        <v>1033</v>
      </c>
      <c r="I53" t="s">
        <v>813</v>
      </c>
      <c r="J53">
        <v>12</v>
      </c>
      <c r="K53">
        <v>71</v>
      </c>
      <c r="L53">
        <v>109</v>
      </c>
      <c r="M53">
        <v>50</v>
      </c>
      <c r="N53">
        <v>63</v>
      </c>
      <c r="O53">
        <v>93</v>
      </c>
      <c r="P53">
        <v>8</v>
      </c>
      <c r="Q53">
        <v>21</v>
      </c>
      <c r="R53">
        <v>1</v>
      </c>
      <c r="S53">
        <v>1</v>
      </c>
      <c r="T53">
        <v>0</v>
      </c>
      <c r="U53">
        <v>1</v>
      </c>
      <c r="V53">
        <v>1</v>
      </c>
      <c r="W53">
        <v>0</v>
      </c>
      <c r="X53">
        <v>0</v>
      </c>
      <c r="Y53" t="s">
        <v>113</v>
      </c>
      <c r="Z53" t="s">
        <v>525</v>
      </c>
      <c r="AA53" t="s">
        <v>1034</v>
      </c>
      <c r="AD53">
        <v>456900</v>
      </c>
      <c r="AE53">
        <v>0</v>
      </c>
      <c r="AF53">
        <v>472200</v>
      </c>
      <c r="AG53">
        <v>98</v>
      </c>
      <c r="AH53" t="s">
        <v>118</v>
      </c>
      <c r="AI53">
        <v>15</v>
      </c>
      <c r="AJ53">
        <v>20</v>
      </c>
      <c r="AK53">
        <v>87.8</v>
      </c>
      <c r="AL53">
        <v>89.7</v>
      </c>
      <c r="AM53">
        <v>0.62</v>
      </c>
      <c r="AN53">
        <v>0.91</v>
      </c>
      <c r="AO53">
        <v>1.1299999999999999</v>
      </c>
      <c r="AP53">
        <v>441000</v>
      </c>
      <c r="AQ53">
        <v>81</v>
      </c>
      <c r="AS53">
        <v>12</v>
      </c>
      <c r="AT53">
        <v>6</v>
      </c>
      <c r="AU53">
        <v>2</v>
      </c>
      <c r="AV53">
        <v>86</v>
      </c>
      <c r="AW53">
        <v>92</v>
      </c>
      <c r="AZ53" t="b">
        <v>0</v>
      </c>
      <c r="BA53">
        <v>1808</v>
      </c>
      <c r="BB53">
        <v>1457</v>
      </c>
      <c r="BC53">
        <v>30</v>
      </c>
      <c r="BD53" t="s">
        <v>1022</v>
      </c>
      <c r="BE53" s="1" t="s">
        <v>1023</v>
      </c>
      <c r="BF53">
        <v>1</v>
      </c>
      <c r="BG53">
        <v>72</v>
      </c>
      <c r="BH53">
        <v>1</v>
      </c>
      <c r="BI53">
        <v>11</v>
      </c>
      <c r="BJ53">
        <v>11.2</v>
      </c>
      <c r="BK53" s="1" t="s">
        <v>296</v>
      </c>
      <c r="BL53" s="1" t="s">
        <v>1035</v>
      </c>
      <c r="BM53" s="1" t="s">
        <v>125</v>
      </c>
      <c r="BN53">
        <v>3.6</v>
      </c>
      <c r="BO53" s="1" t="s">
        <v>161</v>
      </c>
      <c r="BP53" s="1" t="s">
        <v>138</v>
      </c>
      <c r="BQ53">
        <v>0</v>
      </c>
      <c r="BR53" s="1" t="s">
        <v>184</v>
      </c>
      <c r="BS53" s="1" t="s">
        <v>129</v>
      </c>
      <c r="BT53" s="1" t="s">
        <v>238</v>
      </c>
      <c r="BU53" s="1" t="s">
        <v>129</v>
      </c>
      <c r="BV53">
        <v>0.4</v>
      </c>
      <c r="BW53" s="1" t="s">
        <v>128</v>
      </c>
      <c r="BX53">
        <v>0.2</v>
      </c>
      <c r="BY53">
        <v>0</v>
      </c>
      <c r="BZ53" s="1" t="s">
        <v>213</v>
      </c>
      <c r="CA53" s="1" t="s">
        <v>1036</v>
      </c>
      <c r="CB53" s="1" t="s">
        <v>1037</v>
      </c>
      <c r="CC53">
        <v>0.91</v>
      </c>
      <c r="CD53" s="1" t="s">
        <v>1038</v>
      </c>
      <c r="CE53" s="1" t="s">
        <v>1039</v>
      </c>
      <c r="CF53" s="1" t="s">
        <v>1040</v>
      </c>
      <c r="CG53">
        <v>9</v>
      </c>
      <c r="CH53" s="1" t="s">
        <v>1041</v>
      </c>
      <c r="CI53" s="1" t="s">
        <v>159</v>
      </c>
      <c r="CJ53" s="1" t="s">
        <v>237</v>
      </c>
      <c r="CK53" s="1" t="s">
        <v>126</v>
      </c>
      <c r="CL53" s="1" t="s">
        <v>275</v>
      </c>
      <c r="CM53">
        <v>81</v>
      </c>
      <c r="CN53" s="1" t="s">
        <v>870</v>
      </c>
      <c r="CO53" s="1" t="s">
        <v>1013</v>
      </c>
      <c r="CP53" s="1" t="s">
        <v>1042</v>
      </c>
      <c r="CS53" s="1" t="s">
        <v>1029</v>
      </c>
      <c r="CT53" s="1" t="s">
        <v>1043</v>
      </c>
      <c r="CU53" s="1" t="s">
        <v>1030</v>
      </c>
      <c r="CV53">
        <v>1629.4</v>
      </c>
      <c r="CW53">
        <v>92.7</v>
      </c>
      <c r="CX53">
        <v>98.7</v>
      </c>
      <c r="CY53">
        <v>101.2</v>
      </c>
      <c r="CZ53">
        <v>110</v>
      </c>
      <c r="DA53">
        <v>1</v>
      </c>
      <c r="DB53" t="s">
        <v>525</v>
      </c>
      <c r="DC53">
        <v>109</v>
      </c>
      <c r="DD53" s="1" t="s">
        <v>1044</v>
      </c>
      <c r="DE53" s="1" t="s">
        <v>1045</v>
      </c>
      <c r="DF53" t="e">
        <f>_xlfn.XLOOKUP(Table1[[#This Row],[Player ID]],Table2[feed_id],Table2[trade_status])</f>
        <v>#N/A</v>
      </c>
      <c r="DG53">
        <f>_xlfn.NUMBERVALUE(Table1[[#This Row],[predicted]])</f>
        <v>88.601512823409195</v>
      </c>
    </row>
    <row r="54" spans="1:111" hidden="1" x14ac:dyDescent="0.25">
      <c r="A54">
        <v>58973</v>
      </c>
      <c r="B54">
        <v>5804</v>
      </c>
      <c r="C54" t="s">
        <v>1018</v>
      </c>
      <c r="D54" t="s">
        <v>314</v>
      </c>
      <c r="E54">
        <v>2016</v>
      </c>
      <c r="F54">
        <v>230272</v>
      </c>
      <c r="G54" t="s">
        <v>461</v>
      </c>
      <c r="H54" t="s">
        <v>1046</v>
      </c>
      <c r="I54" t="s">
        <v>813</v>
      </c>
      <c r="J54">
        <v>8</v>
      </c>
      <c r="K54">
        <v>62</v>
      </c>
      <c r="L54">
        <v>82</v>
      </c>
      <c r="M54">
        <v>43</v>
      </c>
      <c r="N54">
        <v>54</v>
      </c>
      <c r="O54">
        <v>72</v>
      </c>
      <c r="P54">
        <v>8</v>
      </c>
      <c r="Q54">
        <v>11</v>
      </c>
      <c r="R54">
        <v>5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 t="s">
        <v>113</v>
      </c>
      <c r="Z54" t="s">
        <v>179</v>
      </c>
      <c r="AA54" t="s">
        <v>1047</v>
      </c>
      <c r="AD54">
        <v>226500</v>
      </c>
      <c r="AE54">
        <v>0</v>
      </c>
      <c r="AF54">
        <v>236400</v>
      </c>
      <c r="AG54">
        <v>52</v>
      </c>
      <c r="AH54" t="s">
        <v>181</v>
      </c>
      <c r="AI54">
        <v>11</v>
      </c>
      <c r="AJ54">
        <v>20</v>
      </c>
      <c r="AK54">
        <v>45.4</v>
      </c>
      <c r="AL54">
        <v>54.2</v>
      </c>
      <c r="AM54">
        <v>0.5</v>
      </c>
      <c r="AN54">
        <v>0.77</v>
      </c>
      <c r="AO54">
        <v>0.93</v>
      </c>
      <c r="AP54">
        <v>214000</v>
      </c>
      <c r="AQ54">
        <v>41</v>
      </c>
      <c r="AS54">
        <v>7</v>
      </c>
      <c r="AT54">
        <v>0</v>
      </c>
      <c r="AU54">
        <v>1</v>
      </c>
      <c r="AV54">
        <v>89</v>
      </c>
      <c r="AW54">
        <v>89</v>
      </c>
      <c r="AZ54" t="b">
        <v>0</v>
      </c>
      <c r="BA54">
        <v>1808</v>
      </c>
      <c r="BB54">
        <v>1457</v>
      </c>
      <c r="BC54">
        <v>30</v>
      </c>
      <c r="BD54" t="s">
        <v>1022</v>
      </c>
      <c r="BE54" s="1" t="s">
        <v>1023</v>
      </c>
      <c r="BF54">
        <v>0</v>
      </c>
      <c r="BG54">
        <v>72</v>
      </c>
      <c r="BH54">
        <v>1</v>
      </c>
      <c r="BI54" s="1" t="s">
        <v>545</v>
      </c>
      <c r="BJ54" s="1" t="s">
        <v>398</v>
      </c>
      <c r="BK54" s="1" t="s">
        <v>137</v>
      </c>
      <c r="BL54" s="1" t="s">
        <v>205</v>
      </c>
      <c r="BM54">
        <v>5</v>
      </c>
      <c r="BN54" s="1" t="s">
        <v>138</v>
      </c>
      <c r="BO54" s="1" t="s">
        <v>129</v>
      </c>
      <c r="BP54" s="1" t="s">
        <v>298</v>
      </c>
      <c r="BQ54">
        <v>0</v>
      </c>
      <c r="BR54">
        <v>0</v>
      </c>
      <c r="BS54" s="1" t="s">
        <v>128</v>
      </c>
      <c r="BT54">
        <v>0.6</v>
      </c>
      <c r="BU54">
        <v>0</v>
      </c>
      <c r="BV54" s="1" t="s">
        <v>128</v>
      </c>
      <c r="BW54">
        <v>0</v>
      </c>
      <c r="BX54">
        <v>0</v>
      </c>
      <c r="BY54">
        <v>0</v>
      </c>
      <c r="BZ54">
        <v>0</v>
      </c>
      <c r="CA54" s="1" t="s">
        <v>1048</v>
      </c>
      <c r="CB54" s="1" t="s">
        <v>1049</v>
      </c>
      <c r="CC54" s="1" t="s">
        <v>1050</v>
      </c>
      <c r="CD54">
        <v>0.72199999999999998</v>
      </c>
      <c r="CE54" s="1" t="s">
        <v>1051</v>
      </c>
      <c r="CF54" s="1" t="s">
        <v>1052</v>
      </c>
      <c r="CG54" s="1" t="s">
        <v>204</v>
      </c>
      <c r="CH54" s="1" t="s">
        <v>205</v>
      </c>
      <c r="CI54">
        <v>0</v>
      </c>
      <c r="CJ54">
        <v>0</v>
      </c>
      <c r="CK54">
        <v>2</v>
      </c>
      <c r="CL54">
        <v>2</v>
      </c>
      <c r="CM54" s="1" t="s">
        <v>683</v>
      </c>
      <c r="CN54" s="1" t="s">
        <v>1053</v>
      </c>
      <c r="CO54">
        <v>90</v>
      </c>
      <c r="CP54" s="1" t="s">
        <v>1054</v>
      </c>
      <c r="CS54" s="1" t="s">
        <v>1029</v>
      </c>
      <c r="CT54">
        <v>1619.2</v>
      </c>
      <c r="CU54" s="1" t="s">
        <v>1030</v>
      </c>
      <c r="CV54" s="1" t="s">
        <v>1031</v>
      </c>
      <c r="CW54">
        <v>56.75</v>
      </c>
      <c r="CX54">
        <v>54.6</v>
      </c>
      <c r="CY54">
        <v>61.2</v>
      </c>
      <c r="CZ54">
        <v>69</v>
      </c>
      <c r="DA54">
        <v>1</v>
      </c>
      <c r="DB54" t="s">
        <v>179</v>
      </c>
      <c r="DC54">
        <v>82</v>
      </c>
      <c r="DD54" s="1" t="s">
        <v>1055</v>
      </c>
      <c r="DE54" s="1" t="s">
        <v>1056</v>
      </c>
      <c r="DF54" t="e">
        <f>_xlfn.XLOOKUP(Table1[[#This Row],[Player ID]],Table2[feed_id],Table2[trade_status])</f>
        <v>#N/A</v>
      </c>
      <c r="DG54">
        <f>_xlfn.NUMBERVALUE(Table1[[#This Row],[predicted]])</f>
        <v>53.642680032626899</v>
      </c>
    </row>
    <row r="55" spans="1:111" hidden="1" x14ac:dyDescent="0.25">
      <c r="A55">
        <v>59073</v>
      </c>
      <c r="B55">
        <v>5807</v>
      </c>
      <c r="C55" t="s">
        <v>1057</v>
      </c>
      <c r="D55" t="s">
        <v>1058</v>
      </c>
      <c r="E55">
        <v>2016</v>
      </c>
      <c r="F55">
        <v>220007</v>
      </c>
      <c r="G55" t="s">
        <v>1059</v>
      </c>
      <c r="H55" t="s">
        <v>1060</v>
      </c>
      <c r="I55" t="s">
        <v>1061</v>
      </c>
      <c r="J55">
        <v>20</v>
      </c>
      <c r="K55">
        <v>88</v>
      </c>
      <c r="L55">
        <v>86</v>
      </c>
      <c r="M55">
        <v>108</v>
      </c>
      <c r="N55">
        <v>70</v>
      </c>
      <c r="O55">
        <v>97</v>
      </c>
      <c r="P55">
        <v>14</v>
      </c>
      <c r="Q55">
        <v>12</v>
      </c>
      <c r="R55">
        <v>2</v>
      </c>
      <c r="S55">
        <v>2</v>
      </c>
      <c r="T55">
        <v>0</v>
      </c>
      <c r="U55">
        <v>1</v>
      </c>
      <c r="V55">
        <v>0</v>
      </c>
      <c r="W55">
        <v>1</v>
      </c>
      <c r="X55">
        <v>1</v>
      </c>
      <c r="Y55" t="s">
        <v>113</v>
      </c>
      <c r="Z55" t="s">
        <v>525</v>
      </c>
      <c r="AA55" t="s">
        <v>1062</v>
      </c>
      <c r="AD55">
        <v>0</v>
      </c>
      <c r="AE55">
        <v>0</v>
      </c>
      <c r="AF55">
        <v>0</v>
      </c>
      <c r="AG55">
        <v>160</v>
      </c>
      <c r="AH55" t="s">
        <v>181</v>
      </c>
      <c r="AI55">
        <v>3</v>
      </c>
      <c r="AJ55">
        <v>19</v>
      </c>
      <c r="AK55">
        <v>87.53</v>
      </c>
      <c r="AL55">
        <v>92.05</v>
      </c>
      <c r="AM55">
        <v>22.22</v>
      </c>
      <c r="AN55">
        <v>18.149999999999999</v>
      </c>
      <c r="AO55">
        <v>16.37</v>
      </c>
      <c r="AP55">
        <v>0</v>
      </c>
      <c r="AQ55">
        <v>112</v>
      </c>
      <c r="AS55">
        <v>8</v>
      </c>
      <c r="AT55">
        <v>0</v>
      </c>
      <c r="AU55">
        <v>1</v>
      </c>
      <c r="AV55">
        <v>76</v>
      </c>
      <c r="AW55">
        <v>87</v>
      </c>
      <c r="AZ55" t="b">
        <v>0</v>
      </c>
      <c r="BA55">
        <v>1794</v>
      </c>
      <c r="BB55">
        <v>1471</v>
      </c>
      <c r="BC55">
        <v>33</v>
      </c>
      <c r="BD55" t="s">
        <v>1063</v>
      </c>
      <c r="BE55">
        <v>99</v>
      </c>
      <c r="BF55">
        <v>0</v>
      </c>
      <c r="BG55">
        <v>77</v>
      </c>
      <c r="BH55">
        <v>1</v>
      </c>
      <c r="BI55">
        <v>11</v>
      </c>
      <c r="BJ55">
        <v>11.8</v>
      </c>
      <c r="BK55" s="1" t="s">
        <v>545</v>
      </c>
      <c r="BL55">
        <v>10.199999999999999</v>
      </c>
      <c r="BM55" s="1" t="s">
        <v>160</v>
      </c>
      <c r="BN55">
        <v>4.8</v>
      </c>
      <c r="BO55">
        <v>4</v>
      </c>
      <c r="BP55">
        <v>4</v>
      </c>
      <c r="BQ55">
        <v>0</v>
      </c>
      <c r="BR55">
        <v>0</v>
      </c>
      <c r="BS55" s="1" t="s">
        <v>126</v>
      </c>
      <c r="BT55">
        <v>1</v>
      </c>
      <c r="BU55">
        <v>1</v>
      </c>
      <c r="BV55" s="1" t="s">
        <v>399</v>
      </c>
      <c r="BW55" s="1" t="s">
        <v>126</v>
      </c>
      <c r="BX55" s="1" t="s">
        <v>238</v>
      </c>
      <c r="BY55" s="1" t="s">
        <v>129</v>
      </c>
      <c r="BZ55" s="1" t="s">
        <v>129</v>
      </c>
      <c r="CA55">
        <v>22.22</v>
      </c>
      <c r="CB55" s="1" t="s">
        <v>1064</v>
      </c>
      <c r="CC55">
        <v>18.149999999999999</v>
      </c>
      <c r="CD55" s="1" t="s">
        <v>1065</v>
      </c>
      <c r="CE55">
        <v>16.37</v>
      </c>
      <c r="CF55">
        <v>17.670000000000002</v>
      </c>
      <c r="CG55">
        <v>6</v>
      </c>
      <c r="CH55" s="1" t="s">
        <v>1066</v>
      </c>
      <c r="CI55">
        <v>0</v>
      </c>
      <c r="CJ55" s="1" t="s">
        <v>214</v>
      </c>
      <c r="CK55" s="1" t="s">
        <v>169</v>
      </c>
      <c r="CL55" s="1" t="s">
        <v>255</v>
      </c>
      <c r="CM55">
        <v>73</v>
      </c>
      <c r="CN55" s="1" t="s">
        <v>383</v>
      </c>
      <c r="CO55" s="1" t="s">
        <v>306</v>
      </c>
      <c r="CP55" s="1" t="s">
        <v>1067</v>
      </c>
      <c r="CS55" s="1" t="s">
        <v>1068</v>
      </c>
      <c r="CT55">
        <v>1690</v>
      </c>
      <c r="CU55" s="1" t="s">
        <v>1069</v>
      </c>
      <c r="CV55" s="1" t="s">
        <v>852</v>
      </c>
      <c r="CW55">
        <v>91.45</v>
      </c>
      <c r="CX55">
        <v>82.5</v>
      </c>
      <c r="CY55">
        <v>69.2</v>
      </c>
      <c r="CZ55" s="1" t="s">
        <v>994</v>
      </c>
      <c r="DA55">
        <v>1</v>
      </c>
      <c r="DB55" t="s">
        <v>525</v>
      </c>
      <c r="DC55">
        <v>86</v>
      </c>
      <c r="DD55" s="1" t="s">
        <v>1070</v>
      </c>
      <c r="DE55" s="1" t="s">
        <v>1071</v>
      </c>
      <c r="DF55" t="e">
        <f>_xlfn.XLOOKUP(Table1[[#This Row],[Player ID]],Table2[feed_id],Table2[trade_status])</f>
        <v>#N/A</v>
      </c>
      <c r="DG55">
        <f>_xlfn.NUMBERVALUE(Table1[[#This Row],[predicted]])</f>
        <v>82.992236282415504</v>
      </c>
    </row>
    <row r="56" spans="1:111" hidden="1" x14ac:dyDescent="0.25">
      <c r="A56">
        <v>59074</v>
      </c>
      <c r="B56">
        <v>5807</v>
      </c>
      <c r="C56" t="s">
        <v>1057</v>
      </c>
      <c r="D56" t="s">
        <v>1058</v>
      </c>
      <c r="E56">
        <v>2016</v>
      </c>
      <c r="F56">
        <v>200035</v>
      </c>
      <c r="G56" t="s">
        <v>1072</v>
      </c>
      <c r="H56" t="s">
        <v>1073</v>
      </c>
      <c r="I56" t="s">
        <v>1061</v>
      </c>
      <c r="J56">
        <v>19</v>
      </c>
      <c r="K56">
        <v>83</v>
      </c>
      <c r="L56">
        <v>99</v>
      </c>
      <c r="M56">
        <v>105</v>
      </c>
      <c r="N56">
        <v>67</v>
      </c>
      <c r="O56">
        <v>99</v>
      </c>
      <c r="P56">
        <v>10</v>
      </c>
      <c r="Q56">
        <v>16</v>
      </c>
      <c r="R56">
        <v>2</v>
      </c>
      <c r="S56">
        <v>5</v>
      </c>
      <c r="T56">
        <v>0</v>
      </c>
      <c r="U56">
        <v>1</v>
      </c>
      <c r="V56">
        <v>2</v>
      </c>
      <c r="W56">
        <v>0</v>
      </c>
      <c r="X56">
        <v>0</v>
      </c>
      <c r="Y56" t="s">
        <v>113</v>
      </c>
      <c r="Z56" t="s">
        <v>1074</v>
      </c>
      <c r="AA56" t="s">
        <v>1075</v>
      </c>
      <c r="AD56">
        <v>0</v>
      </c>
      <c r="AE56">
        <v>0</v>
      </c>
      <c r="AF56">
        <v>0</v>
      </c>
      <c r="AG56">
        <v>136</v>
      </c>
      <c r="AH56" t="s">
        <v>181</v>
      </c>
      <c r="AI56">
        <v>44</v>
      </c>
      <c r="AJ56">
        <v>20</v>
      </c>
      <c r="AK56">
        <v>90.7</v>
      </c>
      <c r="AL56">
        <v>102.05</v>
      </c>
      <c r="AM56">
        <v>5.9</v>
      </c>
      <c r="AN56">
        <v>5.83</v>
      </c>
      <c r="AO56">
        <v>4.3600000000000003</v>
      </c>
      <c r="AP56">
        <v>0</v>
      </c>
      <c r="AQ56">
        <v>91</v>
      </c>
      <c r="AS56">
        <v>9</v>
      </c>
      <c r="AT56">
        <v>0</v>
      </c>
      <c r="AU56">
        <v>4</v>
      </c>
      <c r="AV56">
        <v>73</v>
      </c>
      <c r="AW56">
        <v>90</v>
      </c>
      <c r="AZ56" t="b">
        <v>0</v>
      </c>
      <c r="BA56">
        <v>1794</v>
      </c>
      <c r="BB56">
        <v>1471</v>
      </c>
      <c r="BC56">
        <v>33</v>
      </c>
      <c r="BD56" t="s">
        <v>1063</v>
      </c>
      <c r="BE56">
        <v>99</v>
      </c>
      <c r="BF56">
        <v>1</v>
      </c>
      <c r="BG56">
        <v>77</v>
      </c>
      <c r="BH56">
        <v>1</v>
      </c>
      <c r="BI56" s="1" t="s">
        <v>977</v>
      </c>
      <c r="BJ56" s="1" t="s">
        <v>122</v>
      </c>
      <c r="BK56">
        <v>9</v>
      </c>
      <c r="BL56" s="1" t="s">
        <v>396</v>
      </c>
      <c r="BM56">
        <v>3</v>
      </c>
      <c r="BN56" s="1" t="s">
        <v>374</v>
      </c>
      <c r="BO56" s="1" t="s">
        <v>211</v>
      </c>
      <c r="BP56">
        <v>2.6</v>
      </c>
      <c r="BQ56">
        <v>0</v>
      </c>
      <c r="BR56">
        <v>6.6666666666666596E-2</v>
      </c>
      <c r="BS56" s="1" t="s">
        <v>129</v>
      </c>
      <c r="BT56" s="1" t="s">
        <v>231</v>
      </c>
      <c r="BU56" s="1" t="s">
        <v>126</v>
      </c>
      <c r="BV56">
        <v>1</v>
      </c>
      <c r="BW56">
        <v>0</v>
      </c>
      <c r="BX56" s="1" t="s">
        <v>213</v>
      </c>
      <c r="BY56" s="1" t="s">
        <v>129</v>
      </c>
      <c r="BZ56" s="1" t="s">
        <v>213</v>
      </c>
      <c r="CA56">
        <v>5.9</v>
      </c>
      <c r="CB56" s="1" t="s">
        <v>1076</v>
      </c>
      <c r="CC56">
        <v>5.83</v>
      </c>
      <c r="CD56" s="1" t="s">
        <v>1077</v>
      </c>
      <c r="CE56">
        <v>4.3600000000000003</v>
      </c>
      <c r="CF56" s="1" t="s">
        <v>1078</v>
      </c>
      <c r="CG56">
        <v>7</v>
      </c>
      <c r="CH56" s="1" t="s">
        <v>1079</v>
      </c>
      <c r="CI56">
        <v>1</v>
      </c>
      <c r="CJ56" s="1" t="s">
        <v>126</v>
      </c>
      <c r="CK56" s="1" t="s">
        <v>169</v>
      </c>
      <c r="CL56" s="1" t="s">
        <v>322</v>
      </c>
      <c r="CM56" s="1" t="s">
        <v>1080</v>
      </c>
      <c r="CN56" s="1" t="s">
        <v>994</v>
      </c>
      <c r="CO56">
        <v>88</v>
      </c>
      <c r="CP56" s="1" t="s">
        <v>1081</v>
      </c>
      <c r="CS56" s="1" t="s">
        <v>1068</v>
      </c>
      <c r="CT56" s="1" t="s">
        <v>1082</v>
      </c>
      <c r="CU56" s="1" t="s">
        <v>1069</v>
      </c>
      <c r="CV56" s="1" t="s">
        <v>1083</v>
      </c>
      <c r="CW56">
        <v>92.55</v>
      </c>
      <c r="CX56">
        <v>94.1</v>
      </c>
      <c r="CY56">
        <v>69.599999999999994</v>
      </c>
      <c r="CZ56" s="1" t="s">
        <v>406</v>
      </c>
      <c r="DA56">
        <v>1</v>
      </c>
      <c r="DB56" t="s">
        <v>1074</v>
      </c>
      <c r="DC56">
        <v>99</v>
      </c>
      <c r="DD56" s="1" t="s">
        <v>1084</v>
      </c>
      <c r="DE56" s="1" t="s">
        <v>1085</v>
      </c>
      <c r="DF56" t="e">
        <f>_xlfn.XLOOKUP(Table1[[#This Row],[Player ID]],Table2[feed_id],Table2[trade_status])</f>
        <v>#N/A</v>
      </c>
      <c r="DG56">
        <f>_xlfn.NUMBERVALUE(Table1[[#This Row],[predicted]])</f>
        <v>91.562031758920696</v>
      </c>
    </row>
    <row r="57" spans="1:111" hidden="1" x14ac:dyDescent="0.25">
      <c r="A57">
        <v>59133</v>
      </c>
      <c r="B57">
        <v>5808</v>
      </c>
      <c r="C57" t="s">
        <v>1086</v>
      </c>
      <c r="D57" t="s">
        <v>1058</v>
      </c>
      <c r="E57">
        <v>2016</v>
      </c>
      <c r="F57">
        <v>230170</v>
      </c>
      <c r="G57" t="s">
        <v>1087</v>
      </c>
      <c r="H57" t="s">
        <v>1088</v>
      </c>
      <c r="I57" t="s">
        <v>1089</v>
      </c>
      <c r="J57">
        <v>7</v>
      </c>
      <c r="K57">
        <v>29</v>
      </c>
      <c r="L57">
        <v>40</v>
      </c>
      <c r="M57">
        <v>42</v>
      </c>
      <c r="N57">
        <v>20</v>
      </c>
      <c r="O57">
        <v>33</v>
      </c>
      <c r="P57">
        <v>3</v>
      </c>
      <c r="Q57">
        <v>3</v>
      </c>
      <c r="R57">
        <v>0</v>
      </c>
      <c r="S57">
        <v>5</v>
      </c>
      <c r="T57">
        <v>0</v>
      </c>
      <c r="U57">
        <v>0</v>
      </c>
      <c r="V57">
        <v>2</v>
      </c>
      <c r="W57">
        <v>0</v>
      </c>
      <c r="X57">
        <v>0</v>
      </c>
      <c r="Y57" t="s">
        <v>113</v>
      </c>
      <c r="Z57" t="s">
        <v>179</v>
      </c>
      <c r="AA57" t="s">
        <v>1090</v>
      </c>
      <c r="AD57">
        <v>0</v>
      </c>
      <c r="AE57">
        <v>0</v>
      </c>
      <c r="AF57">
        <v>0</v>
      </c>
      <c r="AG57">
        <v>55</v>
      </c>
      <c r="AH57" t="s">
        <v>181</v>
      </c>
      <c r="AI57">
        <v>24</v>
      </c>
      <c r="AJ57">
        <v>19</v>
      </c>
      <c r="AK57">
        <v>46.16</v>
      </c>
      <c r="AL57">
        <v>48.26</v>
      </c>
      <c r="AM57">
        <v>0.6</v>
      </c>
      <c r="AN57">
        <v>0.92</v>
      </c>
      <c r="AO57">
        <v>0.69</v>
      </c>
      <c r="AP57">
        <v>0</v>
      </c>
      <c r="AQ57">
        <v>32</v>
      </c>
      <c r="AS57">
        <v>2</v>
      </c>
      <c r="AT57">
        <v>0</v>
      </c>
      <c r="AU57">
        <v>2</v>
      </c>
      <c r="AV57">
        <v>66</v>
      </c>
      <c r="AW57">
        <v>84</v>
      </c>
      <c r="AZ57" t="b">
        <v>0</v>
      </c>
      <c r="BA57">
        <v>1702</v>
      </c>
      <c r="BB57">
        <v>1576</v>
      </c>
      <c r="BC57">
        <v>33</v>
      </c>
      <c r="BD57" t="s">
        <v>1091</v>
      </c>
      <c r="BE57">
        <v>99</v>
      </c>
      <c r="BF57">
        <v>0</v>
      </c>
      <c r="BG57">
        <v>77</v>
      </c>
      <c r="BH57">
        <v>0</v>
      </c>
      <c r="BI57" s="1" t="s">
        <v>211</v>
      </c>
      <c r="BJ57" s="1" t="s">
        <v>1092</v>
      </c>
      <c r="BK57">
        <v>4</v>
      </c>
      <c r="BL57">
        <v>4.8</v>
      </c>
      <c r="BM57" s="1" t="s">
        <v>169</v>
      </c>
      <c r="BN57" s="1" t="s">
        <v>990</v>
      </c>
      <c r="BO57" s="1" t="s">
        <v>125</v>
      </c>
      <c r="BP57" s="1" t="s">
        <v>140</v>
      </c>
      <c r="BQ57">
        <v>0</v>
      </c>
      <c r="BR57">
        <v>6.6666666666666596E-2</v>
      </c>
      <c r="BS57" s="1" t="s">
        <v>129</v>
      </c>
      <c r="BT57" s="1" t="s">
        <v>184</v>
      </c>
      <c r="BU57" s="1" t="s">
        <v>128</v>
      </c>
      <c r="BV57" s="1" t="s">
        <v>298</v>
      </c>
      <c r="BW57">
        <v>0</v>
      </c>
      <c r="BX57">
        <v>0</v>
      </c>
      <c r="BY57">
        <v>0</v>
      </c>
      <c r="BZ57">
        <v>0</v>
      </c>
      <c r="CA57">
        <v>0.6</v>
      </c>
      <c r="CB57" s="1" t="s">
        <v>1093</v>
      </c>
      <c r="CC57">
        <v>0.92</v>
      </c>
      <c r="CD57" s="1" t="s">
        <v>1094</v>
      </c>
      <c r="CE57">
        <v>0.69</v>
      </c>
      <c r="CF57" s="1" t="s">
        <v>1095</v>
      </c>
      <c r="CG57" s="1" t="s">
        <v>138</v>
      </c>
      <c r="CH57" s="1" t="s">
        <v>766</v>
      </c>
      <c r="CI57" s="1" t="s">
        <v>129</v>
      </c>
      <c r="CJ57">
        <v>0.2</v>
      </c>
      <c r="CK57" s="1" t="s">
        <v>128</v>
      </c>
      <c r="CL57" s="1" t="s">
        <v>304</v>
      </c>
      <c r="CM57" s="1" t="s">
        <v>552</v>
      </c>
      <c r="CN57">
        <v>85.6</v>
      </c>
      <c r="CO57">
        <v>87</v>
      </c>
      <c r="CP57" s="1" t="s">
        <v>1096</v>
      </c>
      <c r="CS57" s="1" t="s">
        <v>1097</v>
      </c>
      <c r="CT57" s="1" t="s">
        <v>1098</v>
      </c>
      <c r="CU57" s="1" t="s">
        <v>835</v>
      </c>
      <c r="CV57" s="1" t="s">
        <v>1099</v>
      </c>
      <c r="CW57">
        <v>50</v>
      </c>
      <c r="CX57">
        <v>55.4</v>
      </c>
      <c r="CY57">
        <v>54</v>
      </c>
      <c r="CZ57" s="1" t="s">
        <v>1100</v>
      </c>
      <c r="DA57">
        <v>1</v>
      </c>
      <c r="DB57" t="s">
        <v>179</v>
      </c>
      <c r="DC57">
        <v>40</v>
      </c>
      <c r="DD57" s="1" t="s">
        <v>1101</v>
      </c>
      <c r="DE57">
        <v>-2.7325547211855201</v>
      </c>
      <c r="DF57" t="e">
        <f>_xlfn.XLOOKUP(Table1[[#This Row],[Player ID]],Table2[feed_id],Table2[trade_status])</f>
        <v>#N/A</v>
      </c>
      <c r="DG57">
        <f>_xlfn.NUMBERVALUE(Table1[[#This Row],[predicted]])</f>
        <v>42.732554721185501</v>
      </c>
    </row>
    <row r="58" spans="1:111" hidden="1" x14ac:dyDescent="0.25">
      <c r="A58">
        <v>59171</v>
      </c>
      <c r="B58">
        <v>5809</v>
      </c>
      <c r="C58" t="s">
        <v>1102</v>
      </c>
      <c r="D58" t="s">
        <v>388</v>
      </c>
      <c r="E58">
        <v>2016</v>
      </c>
      <c r="F58">
        <v>230140</v>
      </c>
      <c r="G58" t="s">
        <v>670</v>
      </c>
      <c r="H58" t="s">
        <v>1103</v>
      </c>
      <c r="I58" t="s">
        <v>338</v>
      </c>
      <c r="J58">
        <v>9</v>
      </c>
      <c r="K58">
        <v>61</v>
      </c>
      <c r="L58">
        <v>43</v>
      </c>
      <c r="M58">
        <v>83</v>
      </c>
      <c r="N58">
        <v>44</v>
      </c>
      <c r="O58">
        <v>58</v>
      </c>
      <c r="P58">
        <v>7</v>
      </c>
      <c r="Q58">
        <v>2</v>
      </c>
      <c r="R58">
        <v>5</v>
      </c>
      <c r="S58">
        <v>5</v>
      </c>
      <c r="T58">
        <v>0</v>
      </c>
      <c r="U58">
        <v>0</v>
      </c>
      <c r="V58">
        <v>0</v>
      </c>
      <c r="W58">
        <v>0</v>
      </c>
      <c r="X58">
        <v>1</v>
      </c>
      <c r="Y58" t="s">
        <v>113</v>
      </c>
      <c r="Z58" t="s">
        <v>525</v>
      </c>
      <c r="AA58" t="s">
        <v>1104</v>
      </c>
      <c r="AD58">
        <v>0</v>
      </c>
      <c r="AE58">
        <v>0</v>
      </c>
      <c r="AF58">
        <v>0</v>
      </c>
      <c r="AG58">
        <v>52</v>
      </c>
      <c r="AH58" t="s">
        <v>118</v>
      </c>
      <c r="AI58">
        <v>21</v>
      </c>
      <c r="AJ58">
        <v>13</v>
      </c>
      <c r="AK58">
        <v>65.69</v>
      </c>
      <c r="AL58">
        <v>65.69</v>
      </c>
      <c r="AM58">
        <v>0.15</v>
      </c>
      <c r="AN58">
        <v>0.18</v>
      </c>
      <c r="AO58">
        <v>0.3</v>
      </c>
      <c r="AP58">
        <v>0</v>
      </c>
      <c r="AQ58">
        <v>63</v>
      </c>
      <c r="AS58">
        <v>1</v>
      </c>
      <c r="AT58">
        <v>2</v>
      </c>
      <c r="AU58">
        <v>1</v>
      </c>
      <c r="AV58">
        <v>66</v>
      </c>
      <c r="AW58">
        <v>85</v>
      </c>
      <c r="AZ58" t="b">
        <v>0</v>
      </c>
      <c r="BA58">
        <v>1639</v>
      </c>
      <c r="BB58">
        <v>1639</v>
      </c>
      <c r="BC58">
        <v>34</v>
      </c>
      <c r="BD58" t="s">
        <v>1105</v>
      </c>
      <c r="BE58" s="1" t="s">
        <v>320</v>
      </c>
      <c r="BF58">
        <v>0</v>
      </c>
      <c r="BG58">
        <v>73</v>
      </c>
      <c r="BH58">
        <v>0</v>
      </c>
      <c r="BI58" s="1" t="s">
        <v>977</v>
      </c>
      <c r="BJ58" s="1" t="s">
        <v>1106</v>
      </c>
      <c r="BK58" s="1" t="s">
        <v>160</v>
      </c>
      <c r="BL58" s="1" t="s">
        <v>565</v>
      </c>
      <c r="BM58" s="1" t="s">
        <v>211</v>
      </c>
      <c r="BN58" s="1" t="s">
        <v>256</v>
      </c>
      <c r="BO58" s="1" t="s">
        <v>124</v>
      </c>
      <c r="BP58">
        <v>4.2</v>
      </c>
      <c r="BQ58">
        <v>0</v>
      </c>
      <c r="BR58">
        <v>0</v>
      </c>
      <c r="BS58" s="1" t="s">
        <v>126</v>
      </c>
      <c r="BT58">
        <v>1.2</v>
      </c>
      <c r="BU58">
        <v>1</v>
      </c>
      <c r="BV58">
        <v>0.8</v>
      </c>
      <c r="BW58" s="1" t="s">
        <v>126</v>
      </c>
      <c r="BX58">
        <v>1.4</v>
      </c>
      <c r="BY58">
        <v>1</v>
      </c>
      <c r="BZ58">
        <v>0.6</v>
      </c>
      <c r="CA58">
        <v>0.15</v>
      </c>
      <c r="CB58" s="1" t="s">
        <v>1107</v>
      </c>
      <c r="CC58">
        <v>0.18</v>
      </c>
      <c r="CD58" s="1" t="s">
        <v>1108</v>
      </c>
      <c r="CE58">
        <v>0.3</v>
      </c>
      <c r="CF58" s="1" t="s">
        <v>832</v>
      </c>
      <c r="CG58" s="1" t="s">
        <v>124</v>
      </c>
      <c r="CH58" s="1" t="s">
        <v>436</v>
      </c>
      <c r="CI58" s="1" t="s">
        <v>161</v>
      </c>
      <c r="CJ58">
        <v>1.4</v>
      </c>
      <c r="CK58" s="1" t="s">
        <v>159</v>
      </c>
      <c r="CL58">
        <v>2.2000000000000002</v>
      </c>
      <c r="CM58">
        <v>73</v>
      </c>
      <c r="CN58" s="1" t="s">
        <v>1109</v>
      </c>
      <c r="CO58" s="1" t="s">
        <v>1110</v>
      </c>
      <c r="CP58">
        <v>76.8</v>
      </c>
      <c r="CS58" s="1" t="s">
        <v>1111</v>
      </c>
      <c r="CT58">
        <v>1715</v>
      </c>
      <c r="CU58" s="1" t="s">
        <v>1112</v>
      </c>
      <c r="CV58" s="1" t="s">
        <v>1113</v>
      </c>
      <c r="CW58">
        <v>67.150000000000006</v>
      </c>
      <c r="CX58">
        <v>70.7</v>
      </c>
      <c r="CY58">
        <v>83</v>
      </c>
      <c r="CZ58" s="1" t="s">
        <v>142</v>
      </c>
      <c r="DA58">
        <v>1</v>
      </c>
      <c r="DB58" t="s">
        <v>525</v>
      </c>
      <c r="DC58">
        <v>43</v>
      </c>
      <c r="DD58" s="1" t="s">
        <v>1114</v>
      </c>
      <c r="DE58">
        <v>-22.783329543082999</v>
      </c>
      <c r="DF58" t="e">
        <f>_xlfn.XLOOKUP(Table1[[#This Row],[Player ID]],Table2[feed_id],Table2[trade_status])</f>
        <v>#N/A</v>
      </c>
      <c r="DG58">
        <f>_xlfn.NUMBERVALUE(Table1[[#This Row],[predicted]])</f>
        <v>65.783329543082999</v>
      </c>
    </row>
    <row r="59" spans="1:111" hidden="1" x14ac:dyDescent="0.25">
      <c r="A59">
        <v>59607</v>
      </c>
      <c r="B59">
        <v>6010</v>
      </c>
      <c r="C59" t="s">
        <v>1115</v>
      </c>
      <c r="D59" t="s">
        <v>422</v>
      </c>
      <c r="E59">
        <v>2017</v>
      </c>
      <c r="F59">
        <v>280747</v>
      </c>
      <c r="G59" t="s">
        <v>670</v>
      </c>
      <c r="H59" t="s">
        <v>1116</v>
      </c>
      <c r="I59" t="s">
        <v>317</v>
      </c>
      <c r="J59">
        <v>3</v>
      </c>
      <c r="K59">
        <v>25</v>
      </c>
      <c r="L59">
        <v>18</v>
      </c>
      <c r="M59">
        <v>34</v>
      </c>
      <c r="N59">
        <v>26</v>
      </c>
      <c r="O59">
        <v>34</v>
      </c>
      <c r="P59">
        <v>5</v>
      </c>
      <c r="Q59">
        <v>1</v>
      </c>
      <c r="R59">
        <v>4</v>
      </c>
      <c r="S59">
        <v>0</v>
      </c>
      <c r="T59">
        <v>3</v>
      </c>
      <c r="U59">
        <v>1</v>
      </c>
      <c r="V59">
        <v>3</v>
      </c>
      <c r="W59">
        <v>0</v>
      </c>
      <c r="X59">
        <v>1</v>
      </c>
      <c r="Y59" t="s">
        <v>113</v>
      </c>
      <c r="Z59" t="s">
        <v>494</v>
      </c>
      <c r="AA59" t="s">
        <v>1117</v>
      </c>
      <c r="AB59" t="s">
        <v>656</v>
      </c>
      <c r="AC59" t="s">
        <v>1118</v>
      </c>
      <c r="AH59" t="s">
        <v>155</v>
      </c>
      <c r="AI59">
        <v>24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403000</v>
      </c>
      <c r="AS59">
        <v>4</v>
      </c>
      <c r="AT59">
        <v>1</v>
      </c>
      <c r="AU59">
        <v>4</v>
      </c>
      <c r="AV59">
        <v>66</v>
      </c>
      <c r="AW59">
        <v>49</v>
      </c>
      <c r="AZ59" t="b">
        <v>1</v>
      </c>
      <c r="BA59">
        <v>1611</v>
      </c>
      <c r="BB59">
        <v>1646</v>
      </c>
      <c r="BC59">
        <v>3</v>
      </c>
      <c r="BD59" t="s">
        <v>1119</v>
      </c>
      <c r="BE59">
        <v>98</v>
      </c>
      <c r="BF59">
        <v>0</v>
      </c>
      <c r="BG59">
        <v>73</v>
      </c>
      <c r="BH59">
        <v>0</v>
      </c>
      <c r="BI59" s="1" t="s">
        <v>211</v>
      </c>
      <c r="BJ59">
        <v>6.2</v>
      </c>
      <c r="BK59" s="1" t="s">
        <v>169</v>
      </c>
      <c r="BL59" s="1" t="s">
        <v>256</v>
      </c>
      <c r="BM59" s="1" t="s">
        <v>125</v>
      </c>
      <c r="BN59">
        <v>4.5999999999999996</v>
      </c>
      <c r="BO59" s="1" t="s">
        <v>169</v>
      </c>
      <c r="BP59">
        <v>2.8</v>
      </c>
      <c r="BQ59">
        <v>7</v>
      </c>
      <c r="BR59" s="1" t="s">
        <v>729</v>
      </c>
      <c r="BS59" s="1" t="s">
        <v>128</v>
      </c>
      <c r="BT59">
        <v>1</v>
      </c>
      <c r="BU59">
        <v>2</v>
      </c>
      <c r="BV59">
        <v>1</v>
      </c>
      <c r="BW59">
        <v>0</v>
      </c>
      <c r="BX59" s="1" t="s">
        <v>162</v>
      </c>
      <c r="BY59" s="1" t="s">
        <v>129</v>
      </c>
      <c r="BZ59" s="1" t="s">
        <v>130</v>
      </c>
      <c r="CA59">
        <v>6.6666666666666596E-2</v>
      </c>
      <c r="CB59" s="1" t="s">
        <v>1120</v>
      </c>
      <c r="CC59">
        <v>0.09</v>
      </c>
      <c r="CD59" s="1" t="s">
        <v>1121</v>
      </c>
      <c r="CE59">
        <v>1.17</v>
      </c>
      <c r="CF59" s="1" t="s">
        <v>1122</v>
      </c>
      <c r="CG59" s="1" t="s">
        <v>125</v>
      </c>
      <c r="CH59">
        <v>5.4</v>
      </c>
      <c r="CI59" s="1" t="s">
        <v>128</v>
      </c>
      <c r="CJ59" s="1" t="s">
        <v>399</v>
      </c>
      <c r="CK59" s="1" t="s">
        <v>169</v>
      </c>
      <c r="CL59" s="1" t="s">
        <v>214</v>
      </c>
      <c r="CM59" s="1" t="s">
        <v>1123</v>
      </c>
      <c r="CN59" s="1" t="s">
        <v>1080</v>
      </c>
      <c r="CO59" s="1" t="s">
        <v>822</v>
      </c>
      <c r="CP59">
        <v>76</v>
      </c>
      <c r="CS59">
        <v>1725</v>
      </c>
      <c r="CT59">
        <v>1658.8</v>
      </c>
      <c r="CU59">
        <v>1545</v>
      </c>
      <c r="CV59" s="1" t="s">
        <v>1124</v>
      </c>
      <c r="CW59">
        <v>60.85</v>
      </c>
      <c r="CX59">
        <v>61.6</v>
      </c>
      <c r="CY59">
        <v>61.4</v>
      </c>
      <c r="CZ59">
        <v>45</v>
      </c>
      <c r="DA59">
        <v>1</v>
      </c>
      <c r="DB59" t="s">
        <v>494</v>
      </c>
      <c r="DC59">
        <v>18</v>
      </c>
      <c r="DD59" s="1" t="s">
        <v>1125</v>
      </c>
      <c r="DE59">
        <v>-53.317831356229803</v>
      </c>
      <c r="DF59" t="e">
        <f>_xlfn.XLOOKUP(Table1[[#This Row],[Player ID]],Table2[feed_id],Table2[trade_status])</f>
        <v>#N/A</v>
      </c>
      <c r="DG59">
        <f>_xlfn.NUMBERVALUE(Table1[[#This Row],[predicted]])</f>
        <v>71.317831356229803</v>
      </c>
    </row>
    <row r="60" spans="1:111" hidden="1" x14ac:dyDescent="0.25">
      <c r="A60">
        <v>59779</v>
      </c>
      <c r="B60">
        <v>6014</v>
      </c>
      <c r="C60" t="s">
        <v>1126</v>
      </c>
      <c r="D60" t="s">
        <v>422</v>
      </c>
      <c r="E60">
        <v>2017</v>
      </c>
      <c r="F60">
        <v>290810</v>
      </c>
      <c r="G60" t="s">
        <v>1127</v>
      </c>
      <c r="H60" t="s">
        <v>1128</v>
      </c>
      <c r="I60" t="s">
        <v>201</v>
      </c>
      <c r="J60">
        <v>1</v>
      </c>
      <c r="K60">
        <v>22</v>
      </c>
      <c r="L60">
        <v>40</v>
      </c>
      <c r="M60">
        <v>27</v>
      </c>
      <c r="N60">
        <v>18</v>
      </c>
      <c r="O60">
        <v>24</v>
      </c>
      <c r="P60">
        <v>2</v>
      </c>
      <c r="Q60">
        <v>4</v>
      </c>
      <c r="R60">
        <v>1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 t="s">
        <v>113</v>
      </c>
      <c r="Z60" t="s">
        <v>179</v>
      </c>
      <c r="AA60" t="s">
        <v>1129</v>
      </c>
      <c r="AH60" t="s">
        <v>181</v>
      </c>
      <c r="AI60">
        <v>45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273000</v>
      </c>
      <c r="AS60">
        <v>4</v>
      </c>
      <c r="AT60">
        <v>0</v>
      </c>
      <c r="AU60">
        <v>0</v>
      </c>
      <c r="AV60">
        <v>66</v>
      </c>
      <c r="AW60">
        <v>82</v>
      </c>
      <c r="AZ60" t="b">
        <v>0</v>
      </c>
      <c r="BA60">
        <v>1702</v>
      </c>
      <c r="BB60">
        <v>1558</v>
      </c>
      <c r="BC60">
        <v>3</v>
      </c>
      <c r="BD60" t="s">
        <v>1130</v>
      </c>
      <c r="BE60">
        <v>98</v>
      </c>
      <c r="BF60">
        <v>0</v>
      </c>
      <c r="BG60">
        <v>73</v>
      </c>
      <c r="BH60">
        <v>0</v>
      </c>
      <c r="BI60">
        <v>3</v>
      </c>
      <c r="BJ60">
        <v>4.2</v>
      </c>
      <c r="BK60">
        <v>4</v>
      </c>
      <c r="BL60" s="1" t="s">
        <v>499</v>
      </c>
      <c r="BM60" s="1" t="s">
        <v>161</v>
      </c>
      <c r="BN60">
        <v>2.8</v>
      </c>
      <c r="BO60">
        <v>2</v>
      </c>
      <c r="BP60">
        <v>2.6</v>
      </c>
      <c r="BQ60">
        <v>0</v>
      </c>
      <c r="BR60">
        <v>0</v>
      </c>
      <c r="BS60" s="1" t="s">
        <v>128</v>
      </c>
      <c r="BT60" s="1" t="s">
        <v>129</v>
      </c>
      <c r="BU60" s="1" t="s">
        <v>128</v>
      </c>
      <c r="BV60" s="1" t="s">
        <v>129</v>
      </c>
      <c r="BW60">
        <v>0</v>
      </c>
      <c r="BX60">
        <v>0</v>
      </c>
      <c r="BY60">
        <v>0</v>
      </c>
      <c r="BZ60">
        <v>0</v>
      </c>
      <c r="CA60" s="1" t="s">
        <v>1131</v>
      </c>
      <c r="CB60">
        <v>1.532</v>
      </c>
      <c r="CC60" s="1" t="s">
        <v>1132</v>
      </c>
      <c r="CD60" s="1" t="s">
        <v>1133</v>
      </c>
      <c r="CE60" s="1" t="s">
        <v>1134</v>
      </c>
      <c r="CF60" s="1" t="s">
        <v>1135</v>
      </c>
      <c r="CG60">
        <v>3</v>
      </c>
      <c r="CH60" s="1" t="s">
        <v>138</v>
      </c>
      <c r="CI60">
        <v>0</v>
      </c>
      <c r="CJ60">
        <v>6.6666666666666596E-2</v>
      </c>
      <c r="CK60" s="1" t="s">
        <v>128</v>
      </c>
      <c r="CL60" s="1" t="s">
        <v>399</v>
      </c>
      <c r="CM60">
        <v>79</v>
      </c>
      <c r="CN60" s="1" t="s">
        <v>403</v>
      </c>
      <c r="CO60">
        <v>86</v>
      </c>
      <c r="CP60">
        <v>87.8</v>
      </c>
      <c r="CS60" s="1" t="s">
        <v>1136</v>
      </c>
      <c r="CT60" s="1" t="s">
        <v>504</v>
      </c>
      <c r="CU60">
        <v>1750</v>
      </c>
      <c r="CV60" s="1" t="s">
        <v>1137</v>
      </c>
      <c r="CW60">
        <v>54.5</v>
      </c>
      <c r="CX60">
        <v>53.5</v>
      </c>
      <c r="CY60">
        <v>47</v>
      </c>
      <c r="CZ60">
        <v>38</v>
      </c>
      <c r="DA60">
        <v>1</v>
      </c>
      <c r="DB60" t="s">
        <v>179</v>
      </c>
      <c r="DC60">
        <v>40</v>
      </c>
      <c r="DD60">
        <v>44.859874011708797</v>
      </c>
      <c r="DE60">
        <v>-4.85987401170879</v>
      </c>
      <c r="DF60" t="e">
        <f>_xlfn.XLOOKUP(Table1[[#This Row],[Player ID]],Table2[feed_id],Table2[trade_status])</f>
        <v>#N/A</v>
      </c>
      <c r="DG60">
        <f>_xlfn.NUMBERVALUE(Table1[[#This Row],[predicted]])</f>
        <v>44.859874011708797</v>
      </c>
    </row>
    <row r="61" spans="1:111" hidden="1" x14ac:dyDescent="0.25">
      <c r="A61">
        <v>59972</v>
      </c>
      <c r="B61">
        <v>6018</v>
      </c>
      <c r="C61" t="s">
        <v>1138</v>
      </c>
      <c r="D61" t="s">
        <v>422</v>
      </c>
      <c r="E61">
        <v>2017</v>
      </c>
      <c r="F61">
        <v>240552</v>
      </c>
      <c r="G61" t="s">
        <v>1139</v>
      </c>
      <c r="H61" t="s">
        <v>1140</v>
      </c>
      <c r="I61" t="s">
        <v>178</v>
      </c>
      <c r="J61">
        <v>2</v>
      </c>
      <c r="K61">
        <v>22</v>
      </c>
      <c r="L61">
        <v>28</v>
      </c>
      <c r="M61">
        <v>25</v>
      </c>
      <c r="N61">
        <v>17</v>
      </c>
      <c r="O61">
        <v>21</v>
      </c>
      <c r="P61">
        <v>1</v>
      </c>
      <c r="Q61">
        <v>2</v>
      </c>
      <c r="R61">
        <v>2</v>
      </c>
      <c r="S61">
        <v>2</v>
      </c>
      <c r="T61">
        <v>0</v>
      </c>
      <c r="U61">
        <v>1</v>
      </c>
      <c r="V61">
        <v>0</v>
      </c>
      <c r="W61">
        <v>0</v>
      </c>
      <c r="X61">
        <v>0</v>
      </c>
      <c r="Y61" t="s">
        <v>113</v>
      </c>
      <c r="Z61" t="s">
        <v>179</v>
      </c>
      <c r="AA61" t="s">
        <v>1141</v>
      </c>
      <c r="AH61" t="s">
        <v>181</v>
      </c>
      <c r="AI61">
        <v>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199000</v>
      </c>
      <c r="AS61">
        <v>3</v>
      </c>
      <c r="AT61">
        <v>0</v>
      </c>
      <c r="AU61">
        <v>0</v>
      </c>
      <c r="AV61">
        <v>66</v>
      </c>
      <c r="AW61">
        <v>89</v>
      </c>
      <c r="AZ61" t="b">
        <v>0</v>
      </c>
      <c r="BA61">
        <v>1864</v>
      </c>
      <c r="BB61">
        <v>1423</v>
      </c>
      <c r="BC61">
        <v>3</v>
      </c>
      <c r="BD61" t="s">
        <v>1142</v>
      </c>
      <c r="BE61">
        <v>98</v>
      </c>
      <c r="BF61">
        <v>0</v>
      </c>
      <c r="BG61">
        <v>73</v>
      </c>
      <c r="BH61">
        <v>0</v>
      </c>
      <c r="BI61" s="1" t="s">
        <v>126</v>
      </c>
      <c r="BJ61" s="1" t="s">
        <v>159</v>
      </c>
      <c r="BK61">
        <v>2</v>
      </c>
      <c r="BL61">
        <v>5.8</v>
      </c>
      <c r="BM61" s="1" t="s">
        <v>128</v>
      </c>
      <c r="BN61">
        <v>2.4</v>
      </c>
      <c r="BO61">
        <v>3</v>
      </c>
      <c r="BP61" s="1" t="s">
        <v>214</v>
      </c>
      <c r="BQ61">
        <v>0</v>
      </c>
      <c r="BR61">
        <v>0.8</v>
      </c>
      <c r="BS61">
        <v>1</v>
      </c>
      <c r="BT61" s="1" t="s">
        <v>399</v>
      </c>
      <c r="BU61">
        <v>1</v>
      </c>
      <c r="BV61" s="1" t="s">
        <v>327</v>
      </c>
      <c r="BW61">
        <v>0</v>
      </c>
      <c r="BX61">
        <v>0</v>
      </c>
      <c r="BY61">
        <v>0</v>
      </c>
      <c r="BZ61">
        <v>0</v>
      </c>
      <c r="CA61">
        <v>0.63</v>
      </c>
      <c r="CB61" s="1" t="s">
        <v>1143</v>
      </c>
      <c r="CC61" s="1" t="s">
        <v>1144</v>
      </c>
      <c r="CD61" s="1" t="s">
        <v>1145</v>
      </c>
      <c r="CE61" s="1" t="s">
        <v>1146</v>
      </c>
      <c r="CF61" s="1" t="s">
        <v>1147</v>
      </c>
      <c r="CG61" s="1" t="s">
        <v>169</v>
      </c>
      <c r="CH61">
        <v>4.4000000000000004</v>
      </c>
      <c r="CI61" s="1" t="s">
        <v>129</v>
      </c>
      <c r="CJ61" s="1" t="s">
        <v>213</v>
      </c>
      <c r="CK61">
        <v>1</v>
      </c>
      <c r="CL61" s="1" t="s">
        <v>159</v>
      </c>
      <c r="CM61" s="1" t="s">
        <v>552</v>
      </c>
      <c r="CN61" s="1" t="s">
        <v>365</v>
      </c>
      <c r="CO61" s="1" t="s">
        <v>142</v>
      </c>
      <c r="CP61" s="1" t="s">
        <v>1148</v>
      </c>
      <c r="CS61" s="1" t="s">
        <v>1149</v>
      </c>
      <c r="CT61" s="1" t="s">
        <v>1150</v>
      </c>
      <c r="CU61" s="1" t="s">
        <v>1151</v>
      </c>
      <c r="CV61" s="1" t="s">
        <v>1152</v>
      </c>
      <c r="CW61">
        <v>46.55</v>
      </c>
      <c r="CX61">
        <v>48.4</v>
      </c>
      <c r="CY61">
        <v>37.799999999999997</v>
      </c>
      <c r="CZ61">
        <v>31</v>
      </c>
      <c r="DA61">
        <v>1</v>
      </c>
      <c r="DB61" t="s">
        <v>179</v>
      </c>
      <c r="DC61">
        <v>28</v>
      </c>
      <c r="DD61" s="1" t="s">
        <v>1153</v>
      </c>
      <c r="DE61">
        <v>-10.2688839526521</v>
      </c>
      <c r="DF61" t="e">
        <f>_xlfn.XLOOKUP(Table1[[#This Row],[Player ID]],Table2[feed_id],Table2[trade_status])</f>
        <v>#N/A</v>
      </c>
      <c r="DG61">
        <f>_xlfn.NUMBERVALUE(Table1[[#This Row],[predicted]])</f>
        <v>38.268883952652097</v>
      </c>
    </row>
    <row r="62" spans="1:111" hidden="1" x14ac:dyDescent="0.25">
      <c r="A62">
        <v>60116</v>
      </c>
      <c r="B62">
        <v>6022</v>
      </c>
      <c r="C62" t="s">
        <v>1154</v>
      </c>
      <c r="D62" t="s">
        <v>1155</v>
      </c>
      <c r="E62">
        <v>2017</v>
      </c>
      <c r="F62">
        <v>291473</v>
      </c>
      <c r="G62" t="s">
        <v>776</v>
      </c>
      <c r="H62" t="s">
        <v>1156</v>
      </c>
      <c r="I62" t="s">
        <v>1061</v>
      </c>
      <c r="J62">
        <v>8</v>
      </c>
      <c r="K62">
        <v>55</v>
      </c>
      <c r="L62">
        <v>50</v>
      </c>
      <c r="M62">
        <v>72</v>
      </c>
      <c r="N62">
        <v>46</v>
      </c>
      <c r="O62">
        <v>66</v>
      </c>
      <c r="P62">
        <v>11</v>
      </c>
      <c r="Q62">
        <v>6</v>
      </c>
      <c r="R62">
        <v>4</v>
      </c>
      <c r="S62">
        <v>1</v>
      </c>
      <c r="T62">
        <v>0</v>
      </c>
      <c r="U62">
        <v>0</v>
      </c>
      <c r="V62">
        <v>2</v>
      </c>
      <c r="W62">
        <v>0</v>
      </c>
      <c r="X62">
        <v>0</v>
      </c>
      <c r="Y62" t="s">
        <v>113</v>
      </c>
      <c r="Z62" t="s">
        <v>179</v>
      </c>
      <c r="AA62" t="s">
        <v>1157</v>
      </c>
      <c r="AH62" t="s">
        <v>181</v>
      </c>
      <c r="AI62">
        <v>36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S62">
        <v>3</v>
      </c>
      <c r="AT62">
        <v>0</v>
      </c>
      <c r="AU62">
        <v>3</v>
      </c>
      <c r="AV62">
        <v>64</v>
      </c>
      <c r="AW62">
        <v>80</v>
      </c>
      <c r="AZ62" t="b">
        <v>0</v>
      </c>
      <c r="BA62">
        <v>1660</v>
      </c>
      <c r="BB62">
        <v>1627</v>
      </c>
      <c r="BC62">
        <v>4</v>
      </c>
      <c r="BD62" t="s">
        <v>1158</v>
      </c>
      <c r="BE62">
        <v>99</v>
      </c>
      <c r="BF62">
        <v>0</v>
      </c>
      <c r="BG62">
        <v>73</v>
      </c>
      <c r="BH62">
        <v>0</v>
      </c>
      <c r="BI62" s="1" t="s">
        <v>294</v>
      </c>
      <c r="BJ62" s="1" t="s">
        <v>1159</v>
      </c>
      <c r="BK62" s="1" t="s">
        <v>183</v>
      </c>
      <c r="BL62">
        <v>5.8</v>
      </c>
      <c r="BM62" s="1" t="s">
        <v>159</v>
      </c>
      <c r="BN62">
        <v>4</v>
      </c>
      <c r="BO62" s="1" t="s">
        <v>159</v>
      </c>
      <c r="BP62">
        <v>2.2000000000000002</v>
      </c>
      <c r="BQ62">
        <v>0</v>
      </c>
      <c r="BR62" s="1" t="s">
        <v>213</v>
      </c>
      <c r="BS62" s="1" t="s">
        <v>126</v>
      </c>
      <c r="BT62" s="1" t="s">
        <v>298</v>
      </c>
      <c r="BU62">
        <v>1</v>
      </c>
      <c r="BV62" s="1" t="s">
        <v>128</v>
      </c>
      <c r="BW62">
        <v>0</v>
      </c>
      <c r="BX62">
        <v>0</v>
      </c>
      <c r="BY62">
        <v>0</v>
      </c>
      <c r="BZ62">
        <v>6.6666666666666596E-2</v>
      </c>
      <c r="CA62">
        <v>0</v>
      </c>
      <c r="CB62" s="1" t="s">
        <v>1160</v>
      </c>
      <c r="CC62">
        <v>0</v>
      </c>
      <c r="CD62" s="1" t="s">
        <v>1161</v>
      </c>
      <c r="CE62">
        <v>0</v>
      </c>
      <c r="CF62" s="1" t="s">
        <v>1162</v>
      </c>
      <c r="CG62" s="1" t="s">
        <v>124</v>
      </c>
      <c r="CH62" s="1" t="s">
        <v>205</v>
      </c>
      <c r="CI62" s="1" t="s">
        <v>129</v>
      </c>
      <c r="CJ62" s="1" t="s">
        <v>130</v>
      </c>
      <c r="CK62" s="1" t="s">
        <v>169</v>
      </c>
      <c r="CL62" s="1" t="s">
        <v>566</v>
      </c>
      <c r="CM62" s="1" t="s">
        <v>883</v>
      </c>
      <c r="CN62" s="1" t="s">
        <v>1163</v>
      </c>
      <c r="CO62" s="1" t="s">
        <v>994</v>
      </c>
      <c r="CP62">
        <v>71.599999999999994</v>
      </c>
      <c r="CS62" s="1" t="s">
        <v>1164</v>
      </c>
      <c r="CT62">
        <v>1586.6</v>
      </c>
      <c r="CU62" s="1" t="s">
        <v>1165</v>
      </c>
      <c r="CV62">
        <v>1455.6</v>
      </c>
      <c r="CW62">
        <v>61.25</v>
      </c>
      <c r="CX62">
        <v>59.6</v>
      </c>
      <c r="CY62">
        <v>59.8</v>
      </c>
      <c r="CZ62" s="1" t="s">
        <v>1166</v>
      </c>
      <c r="DA62">
        <v>1</v>
      </c>
      <c r="DB62" t="s">
        <v>179</v>
      </c>
      <c r="DC62">
        <v>50</v>
      </c>
      <c r="DD62" s="1" t="s">
        <v>1167</v>
      </c>
      <c r="DE62">
        <v>-7.8814568068554296</v>
      </c>
      <c r="DF62" t="e">
        <f>_xlfn.XLOOKUP(Table1[[#This Row],[Player ID]],Table2[feed_id],Table2[trade_status])</f>
        <v>#N/A</v>
      </c>
      <c r="DG62">
        <f>_xlfn.NUMBERVALUE(Table1[[#This Row],[predicted]])</f>
        <v>57.881456806855397</v>
      </c>
    </row>
    <row r="63" spans="1:111" hidden="1" x14ac:dyDescent="0.25">
      <c r="A63">
        <v>60293</v>
      </c>
      <c r="B63">
        <v>6026</v>
      </c>
      <c r="C63" t="s">
        <v>1168</v>
      </c>
      <c r="D63" t="s">
        <v>1155</v>
      </c>
      <c r="E63">
        <v>2017</v>
      </c>
      <c r="F63">
        <v>261231</v>
      </c>
      <c r="G63" t="s">
        <v>1169</v>
      </c>
      <c r="H63" t="s">
        <v>1170</v>
      </c>
      <c r="I63" t="s">
        <v>249</v>
      </c>
      <c r="J63">
        <v>5</v>
      </c>
      <c r="K63">
        <v>42</v>
      </c>
      <c r="L63">
        <v>39</v>
      </c>
      <c r="M63">
        <v>56</v>
      </c>
      <c r="N63">
        <v>38</v>
      </c>
      <c r="O63">
        <v>54</v>
      </c>
      <c r="P63">
        <v>6</v>
      </c>
      <c r="Q63">
        <v>6</v>
      </c>
      <c r="R63">
        <v>4</v>
      </c>
      <c r="S63">
        <v>2</v>
      </c>
      <c r="T63">
        <v>0</v>
      </c>
      <c r="U63">
        <v>1</v>
      </c>
      <c r="V63">
        <v>3</v>
      </c>
      <c r="W63">
        <v>0</v>
      </c>
      <c r="X63">
        <v>0</v>
      </c>
      <c r="Y63" t="s">
        <v>113</v>
      </c>
      <c r="Z63" t="s">
        <v>542</v>
      </c>
      <c r="AA63" t="s">
        <v>1171</v>
      </c>
      <c r="AH63" t="s">
        <v>155</v>
      </c>
      <c r="AI63">
        <v>24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S63">
        <v>5</v>
      </c>
      <c r="AT63">
        <v>0</v>
      </c>
      <c r="AU63">
        <v>6</v>
      </c>
      <c r="AV63">
        <v>75</v>
      </c>
      <c r="AW63">
        <v>69</v>
      </c>
      <c r="AZ63" t="b">
        <v>0</v>
      </c>
      <c r="BA63">
        <v>1514</v>
      </c>
      <c r="BB63">
        <v>1741</v>
      </c>
      <c r="BC63">
        <v>4</v>
      </c>
      <c r="BD63" t="s">
        <v>1172</v>
      </c>
      <c r="BE63">
        <v>99</v>
      </c>
      <c r="BF63">
        <v>0</v>
      </c>
      <c r="BG63">
        <v>73</v>
      </c>
      <c r="BH63">
        <v>0</v>
      </c>
      <c r="BI63">
        <v>7</v>
      </c>
      <c r="BJ63">
        <v>8.4</v>
      </c>
      <c r="BK63" s="1" t="s">
        <v>124</v>
      </c>
      <c r="BL63" s="1" t="s">
        <v>343</v>
      </c>
      <c r="BM63">
        <v>5</v>
      </c>
      <c r="BN63" s="1" t="s">
        <v>160</v>
      </c>
      <c r="BO63" s="1" t="s">
        <v>159</v>
      </c>
      <c r="BP63" s="1" t="s">
        <v>159</v>
      </c>
      <c r="BQ63">
        <v>0</v>
      </c>
      <c r="BR63">
        <v>0</v>
      </c>
      <c r="BS63">
        <v>1</v>
      </c>
      <c r="BT63">
        <v>0.8</v>
      </c>
      <c r="BU63">
        <v>2</v>
      </c>
      <c r="BV63" s="1" t="s">
        <v>399</v>
      </c>
      <c r="BW63">
        <v>0</v>
      </c>
      <c r="BX63" s="1" t="s">
        <v>162</v>
      </c>
      <c r="BY63">
        <v>0</v>
      </c>
      <c r="BZ63">
        <v>0.6</v>
      </c>
      <c r="CA63">
        <v>6.6666666666666596E-2</v>
      </c>
      <c r="CB63" s="1" t="s">
        <v>1173</v>
      </c>
      <c r="CC63" s="1" t="s">
        <v>1174</v>
      </c>
      <c r="CD63" s="1" t="s">
        <v>1175</v>
      </c>
      <c r="CE63" s="1" t="s">
        <v>819</v>
      </c>
      <c r="CF63">
        <v>0.16200000000000001</v>
      </c>
      <c r="CG63" s="1" t="s">
        <v>211</v>
      </c>
      <c r="CH63">
        <v>5.8</v>
      </c>
      <c r="CI63">
        <v>0</v>
      </c>
      <c r="CJ63">
        <v>0.6</v>
      </c>
      <c r="CK63" s="1" t="s">
        <v>211</v>
      </c>
      <c r="CL63" s="1" t="s">
        <v>169</v>
      </c>
      <c r="CM63" s="1" t="s">
        <v>1176</v>
      </c>
      <c r="CN63" s="1" t="s">
        <v>172</v>
      </c>
      <c r="CO63">
        <v>77</v>
      </c>
      <c r="CP63" s="1" t="s">
        <v>1177</v>
      </c>
      <c r="CS63" s="1" t="s">
        <v>1178</v>
      </c>
      <c r="CT63" s="1" t="s">
        <v>1179</v>
      </c>
      <c r="CU63">
        <v>1664</v>
      </c>
      <c r="CV63" s="1" t="s">
        <v>1180</v>
      </c>
      <c r="CW63">
        <v>63.45</v>
      </c>
      <c r="CX63">
        <v>59.5</v>
      </c>
      <c r="CY63">
        <v>38.6</v>
      </c>
      <c r="CZ63" s="1" t="s">
        <v>608</v>
      </c>
      <c r="DA63">
        <v>1</v>
      </c>
      <c r="DB63" t="s">
        <v>542</v>
      </c>
      <c r="DC63">
        <v>39</v>
      </c>
      <c r="DD63" s="1" t="s">
        <v>1181</v>
      </c>
      <c r="DE63">
        <v>-17.629753150305199</v>
      </c>
      <c r="DF63" t="e">
        <f>_xlfn.XLOOKUP(Table1[[#This Row],[Player ID]],Table2[feed_id],Table2[trade_status])</f>
        <v>#N/A</v>
      </c>
      <c r="DG63">
        <f>_xlfn.NUMBERVALUE(Table1[[#This Row],[predicted]])</f>
        <v>56.629753150305199</v>
      </c>
    </row>
    <row r="64" spans="1:111" hidden="1" x14ac:dyDescent="0.25">
      <c r="A64">
        <v>60639</v>
      </c>
      <c r="B64">
        <v>6034</v>
      </c>
      <c r="C64" t="s">
        <v>1182</v>
      </c>
      <c r="D64" t="s">
        <v>1183</v>
      </c>
      <c r="E64">
        <v>2017</v>
      </c>
      <c r="F64">
        <v>250212</v>
      </c>
      <c r="G64" t="s">
        <v>1184</v>
      </c>
      <c r="H64" t="s">
        <v>1185</v>
      </c>
      <c r="I64" t="s">
        <v>112</v>
      </c>
      <c r="J64">
        <v>8</v>
      </c>
      <c r="K64">
        <v>24</v>
      </c>
      <c r="L64">
        <v>38</v>
      </c>
      <c r="M64">
        <v>29</v>
      </c>
      <c r="N64">
        <v>25</v>
      </c>
      <c r="O64">
        <v>33</v>
      </c>
      <c r="P64">
        <v>3</v>
      </c>
      <c r="Q64">
        <v>3</v>
      </c>
      <c r="R64">
        <v>2</v>
      </c>
      <c r="S64">
        <v>0</v>
      </c>
      <c r="T64">
        <v>2</v>
      </c>
      <c r="U64">
        <v>0</v>
      </c>
      <c r="V64">
        <v>2</v>
      </c>
      <c r="W64">
        <v>1</v>
      </c>
      <c r="X64">
        <v>1</v>
      </c>
      <c r="Y64" t="s">
        <v>113</v>
      </c>
      <c r="Z64" t="s">
        <v>656</v>
      </c>
      <c r="AA64" t="s">
        <v>1186</v>
      </c>
      <c r="AD64">
        <v>424200</v>
      </c>
      <c r="AE64">
        <v>0</v>
      </c>
      <c r="AF64">
        <v>379200</v>
      </c>
      <c r="AG64">
        <v>106</v>
      </c>
      <c r="AH64" t="s">
        <v>155</v>
      </c>
      <c r="AI64">
        <v>9</v>
      </c>
      <c r="AJ64">
        <v>3</v>
      </c>
      <c r="AK64">
        <v>73.67</v>
      </c>
      <c r="AL64">
        <v>61.33</v>
      </c>
      <c r="AM64">
        <v>0.17</v>
      </c>
      <c r="AN64">
        <v>0.21</v>
      </c>
      <c r="AO64">
        <v>0.25</v>
      </c>
      <c r="AP64">
        <v>429000</v>
      </c>
      <c r="AQ64">
        <v>70</v>
      </c>
      <c r="AS64">
        <v>4</v>
      </c>
      <c r="AT64">
        <v>0</v>
      </c>
      <c r="AU64">
        <v>2</v>
      </c>
      <c r="AV64">
        <v>66</v>
      </c>
      <c r="AW64">
        <v>84</v>
      </c>
      <c r="AZ64" t="b">
        <v>0</v>
      </c>
      <c r="BA64">
        <v>1718</v>
      </c>
      <c r="BB64">
        <v>1554</v>
      </c>
      <c r="BC64">
        <v>5</v>
      </c>
      <c r="BD64" t="s">
        <v>1187</v>
      </c>
      <c r="BE64">
        <v>95</v>
      </c>
      <c r="BF64">
        <v>0</v>
      </c>
      <c r="BG64">
        <v>73</v>
      </c>
      <c r="BH64">
        <v>0</v>
      </c>
      <c r="BI64">
        <v>7</v>
      </c>
      <c r="BJ64" s="1" t="s">
        <v>294</v>
      </c>
      <c r="BK64" s="1" t="s">
        <v>125</v>
      </c>
      <c r="BL64">
        <v>3.4</v>
      </c>
      <c r="BM64" s="1" t="s">
        <v>125</v>
      </c>
      <c r="BN64" s="1" t="s">
        <v>205</v>
      </c>
      <c r="BO64" s="1" t="s">
        <v>126</v>
      </c>
      <c r="BP64" s="1" t="s">
        <v>566</v>
      </c>
      <c r="BQ64" s="1" t="s">
        <v>125</v>
      </c>
      <c r="BR64" s="1" t="s">
        <v>766</v>
      </c>
      <c r="BS64" s="1" t="s">
        <v>128</v>
      </c>
      <c r="BT64" s="1" t="s">
        <v>399</v>
      </c>
      <c r="BU64" s="1" t="s">
        <v>161</v>
      </c>
      <c r="BV64">
        <v>1</v>
      </c>
      <c r="BW64" s="1" t="s">
        <v>126</v>
      </c>
      <c r="BX64">
        <v>1.4</v>
      </c>
      <c r="BY64" s="1" t="s">
        <v>126</v>
      </c>
      <c r="BZ64" s="1" t="s">
        <v>126</v>
      </c>
      <c r="CA64">
        <v>5.6666666666666601E-2</v>
      </c>
      <c r="CB64" s="1" t="s">
        <v>1188</v>
      </c>
      <c r="CC64">
        <v>6.9999999999999896E-2</v>
      </c>
      <c r="CD64" s="1" t="s">
        <v>1189</v>
      </c>
      <c r="CE64">
        <v>8.3333333333333301E-2</v>
      </c>
      <c r="CF64" s="1" t="s">
        <v>1190</v>
      </c>
      <c r="CG64">
        <v>5</v>
      </c>
      <c r="CH64" s="1" t="s">
        <v>963</v>
      </c>
      <c r="CI64">
        <v>1</v>
      </c>
      <c r="CJ64">
        <v>0.8</v>
      </c>
      <c r="CK64" s="1" t="s">
        <v>169</v>
      </c>
      <c r="CL64">
        <v>2</v>
      </c>
      <c r="CM64">
        <v>66</v>
      </c>
      <c r="CN64">
        <v>66.400000000000006</v>
      </c>
      <c r="CO64" s="1" t="s">
        <v>968</v>
      </c>
      <c r="CP64">
        <v>83.6</v>
      </c>
      <c r="CS64" s="1" t="s">
        <v>1191</v>
      </c>
      <c r="CT64">
        <v>1656.2</v>
      </c>
      <c r="CU64" s="1" t="s">
        <v>1192</v>
      </c>
      <c r="CV64" s="1" t="s">
        <v>1193</v>
      </c>
      <c r="CW64">
        <v>70</v>
      </c>
      <c r="CX64">
        <v>68.5</v>
      </c>
      <c r="CY64">
        <v>59.8</v>
      </c>
      <c r="CZ64">
        <v>51</v>
      </c>
      <c r="DA64">
        <v>1</v>
      </c>
      <c r="DB64" t="s">
        <v>656</v>
      </c>
      <c r="DC64">
        <v>38</v>
      </c>
      <c r="DD64" s="1" t="s">
        <v>1194</v>
      </c>
      <c r="DE64">
        <v>-31.188388744210201</v>
      </c>
      <c r="DF64" t="e">
        <f>_xlfn.XLOOKUP(Table1[[#This Row],[Player ID]],Table2[feed_id],Table2[trade_status])</f>
        <v>#N/A</v>
      </c>
      <c r="DG64">
        <f>_xlfn.NUMBERVALUE(Table1[[#This Row],[predicted]])</f>
        <v>69.188388744210201</v>
      </c>
    </row>
    <row r="65" spans="1:111" hidden="1" x14ac:dyDescent="0.25">
      <c r="A65">
        <v>61255</v>
      </c>
      <c r="B65">
        <v>6048</v>
      </c>
      <c r="C65" t="s">
        <v>1195</v>
      </c>
      <c r="D65" t="s">
        <v>443</v>
      </c>
      <c r="E65">
        <v>2017</v>
      </c>
      <c r="F65">
        <v>270899</v>
      </c>
      <c r="G65" t="s">
        <v>1196</v>
      </c>
      <c r="H65" t="s">
        <v>1197</v>
      </c>
      <c r="I65" t="s">
        <v>338</v>
      </c>
      <c r="J65">
        <v>4</v>
      </c>
      <c r="K65">
        <v>51</v>
      </c>
      <c r="L65">
        <v>72</v>
      </c>
      <c r="M65">
        <v>44</v>
      </c>
      <c r="N65">
        <v>40</v>
      </c>
      <c r="O65">
        <v>57</v>
      </c>
      <c r="P65">
        <v>5</v>
      </c>
      <c r="Q65">
        <v>9</v>
      </c>
      <c r="R65">
        <v>2</v>
      </c>
      <c r="S65">
        <v>3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113</v>
      </c>
      <c r="Z65" t="s">
        <v>1074</v>
      </c>
      <c r="AA65" t="s">
        <v>1198</v>
      </c>
      <c r="AD65">
        <v>269200</v>
      </c>
      <c r="AE65">
        <v>0</v>
      </c>
      <c r="AF65">
        <v>316000</v>
      </c>
      <c r="AG65">
        <v>47</v>
      </c>
      <c r="AH65" t="s">
        <v>181</v>
      </c>
      <c r="AI65">
        <v>11</v>
      </c>
      <c r="AJ65">
        <v>2</v>
      </c>
      <c r="AK65">
        <v>62.5</v>
      </c>
      <c r="AL65">
        <v>69</v>
      </c>
      <c r="AM65">
        <v>0.38</v>
      </c>
      <c r="AN65">
        <v>0.24</v>
      </c>
      <c r="AO65">
        <v>0.43</v>
      </c>
      <c r="AP65">
        <v>292000</v>
      </c>
      <c r="AQ65">
        <v>32</v>
      </c>
      <c r="AS65">
        <v>7</v>
      </c>
      <c r="AT65">
        <v>0</v>
      </c>
      <c r="AU65">
        <v>1</v>
      </c>
      <c r="AV65">
        <v>85</v>
      </c>
      <c r="AW65">
        <v>75</v>
      </c>
      <c r="AZ65" t="b">
        <v>0</v>
      </c>
      <c r="BA65">
        <v>1755</v>
      </c>
      <c r="BB65">
        <v>1529</v>
      </c>
      <c r="BC65">
        <v>7</v>
      </c>
      <c r="BD65" t="s">
        <v>1199</v>
      </c>
      <c r="BE65">
        <v>98</v>
      </c>
      <c r="BF65">
        <v>0</v>
      </c>
      <c r="BG65">
        <v>72</v>
      </c>
      <c r="BH65">
        <v>1</v>
      </c>
      <c r="BI65">
        <v>7</v>
      </c>
      <c r="BJ65" s="1" t="s">
        <v>898</v>
      </c>
      <c r="BK65" s="1" t="s">
        <v>253</v>
      </c>
      <c r="BL65" s="1" t="s">
        <v>398</v>
      </c>
      <c r="BM65" s="1" t="s">
        <v>138</v>
      </c>
      <c r="BN65">
        <v>2.8</v>
      </c>
      <c r="BO65">
        <v>3</v>
      </c>
      <c r="BP65">
        <v>2.4</v>
      </c>
      <c r="BQ65">
        <v>0</v>
      </c>
      <c r="BR65">
        <v>0</v>
      </c>
      <c r="BS65" s="1" t="s">
        <v>128</v>
      </c>
      <c r="BT65">
        <v>0.6</v>
      </c>
      <c r="BU65" s="1" t="s">
        <v>128</v>
      </c>
      <c r="BV65">
        <v>0.4</v>
      </c>
      <c r="BW65" s="1" t="s">
        <v>129</v>
      </c>
      <c r="BX65">
        <v>6.6666666666666596E-2</v>
      </c>
      <c r="BY65" s="1" t="s">
        <v>129</v>
      </c>
      <c r="BZ65">
        <v>6.6666666666666596E-2</v>
      </c>
      <c r="CA65" s="1" t="s">
        <v>1200</v>
      </c>
      <c r="CB65" s="1" t="s">
        <v>1201</v>
      </c>
      <c r="CC65">
        <v>0.08</v>
      </c>
      <c r="CD65" s="1" t="s">
        <v>1202</v>
      </c>
      <c r="CE65" s="1" t="s">
        <v>467</v>
      </c>
      <c r="CF65" s="1" t="s">
        <v>1203</v>
      </c>
      <c r="CG65" s="1" t="s">
        <v>160</v>
      </c>
      <c r="CH65" s="1" t="s">
        <v>499</v>
      </c>
      <c r="CI65" s="1" t="s">
        <v>129</v>
      </c>
      <c r="CJ65" s="1" t="s">
        <v>129</v>
      </c>
      <c r="CK65" s="1" t="s">
        <v>126</v>
      </c>
      <c r="CL65" s="1" t="s">
        <v>304</v>
      </c>
      <c r="CM65" s="1" t="s">
        <v>483</v>
      </c>
      <c r="CN65" s="1" t="s">
        <v>1204</v>
      </c>
      <c r="CO65">
        <v>77</v>
      </c>
      <c r="CP65">
        <v>74.599999999999994</v>
      </c>
      <c r="CS65" s="1" t="s">
        <v>1205</v>
      </c>
      <c r="CT65" s="1" t="s">
        <v>1206</v>
      </c>
      <c r="CU65">
        <v>1746</v>
      </c>
      <c r="CV65" s="1" t="s">
        <v>1207</v>
      </c>
      <c r="CW65">
        <v>61.15</v>
      </c>
      <c r="CX65">
        <v>54.9</v>
      </c>
      <c r="CY65">
        <v>64.400000000000006</v>
      </c>
      <c r="CZ65">
        <v>70</v>
      </c>
      <c r="DA65">
        <v>1</v>
      </c>
      <c r="DB65" t="s">
        <v>1074</v>
      </c>
      <c r="DC65">
        <v>72</v>
      </c>
      <c r="DD65" s="1" t="s">
        <v>1208</v>
      </c>
      <c r="DE65" s="1" t="s">
        <v>1209</v>
      </c>
      <c r="DF65" t="e">
        <f>_xlfn.XLOOKUP(Table1[[#This Row],[Player ID]],Table2[feed_id],Table2[trade_status])</f>
        <v>#N/A</v>
      </c>
      <c r="DG65">
        <f>_xlfn.NUMBERVALUE(Table1[[#This Row],[predicted]])</f>
        <v>69.605631791388305</v>
      </c>
    </row>
    <row r="66" spans="1:111" hidden="1" x14ac:dyDescent="0.25">
      <c r="A66">
        <v>61516</v>
      </c>
      <c r="B66">
        <v>6054</v>
      </c>
      <c r="C66" t="s">
        <v>1210</v>
      </c>
      <c r="D66" t="s">
        <v>443</v>
      </c>
      <c r="E66">
        <v>2017</v>
      </c>
      <c r="F66">
        <v>260433</v>
      </c>
      <c r="G66" t="s">
        <v>1211</v>
      </c>
      <c r="H66" t="s">
        <v>1212</v>
      </c>
      <c r="I66" t="s">
        <v>317</v>
      </c>
      <c r="J66">
        <v>13</v>
      </c>
      <c r="K66">
        <v>49</v>
      </c>
      <c r="L66">
        <v>40</v>
      </c>
      <c r="M66">
        <v>47</v>
      </c>
      <c r="N66">
        <v>32</v>
      </c>
      <c r="O66">
        <v>45</v>
      </c>
      <c r="P66">
        <v>5</v>
      </c>
      <c r="Q66">
        <v>3</v>
      </c>
      <c r="R66">
        <v>1</v>
      </c>
      <c r="S66">
        <v>6</v>
      </c>
      <c r="T66">
        <v>0</v>
      </c>
      <c r="U66">
        <v>1</v>
      </c>
      <c r="V66">
        <v>0</v>
      </c>
      <c r="W66">
        <v>0</v>
      </c>
      <c r="X66">
        <v>0</v>
      </c>
      <c r="Y66" t="s">
        <v>113</v>
      </c>
      <c r="Z66" t="s">
        <v>226</v>
      </c>
      <c r="AA66" t="s">
        <v>1213</v>
      </c>
      <c r="AD66">
        <v>243900</v>
      </c>
      <c r="AE66">
        <v>0</v>
      </c>
      <c r="AF66">
        <v>292400</v>
      </c>
      <c r="AG66">
        <v>57</v>
      </c>
      <c r="AH66" t="s">
        <v>181</v>
      </c>
      <c r="AI66">
        <v>38</v>
      </c>
      <c r="AJ66">
        <v>0</v>
      </c>
      <c r="AK66">
        <v>0</v>
      </c>
      <c r="AL66">
        <v>0</v>
      </c>
      <c r="AM66">
        <v>0.1</v>
      </c>
      <c r="AN66">
        <v>0.12</v>
      </c>
      <c r="AO66">
        <v>0.21</v>
      </c>
      <c r="AP66">
        <v>233000</v>
      </c>
      <c r="AQ66">
        <v>40</v>
      </c>
      <c r="AS66">
        <v>3</v>
      </c>
      <c r="AT66">
        <v>0</v>
      </c>
      <c r="AU66">
        <v>5</v>
      </c>
      <c r="AV66">
        <v>62</v>
      </c>
      <c r="AW66">
        <v>76</v>
      </c>
      <c r="AZ66" t="b">
        <v>0</v>
      </c>
      <c r="BA66">
        <v>1881</v>
      </c>
      <c r="BB66">
        <v>1380</v>
      </c>
      <c r="BC66">
        <v>7</v>
      </c>
      <c r="BD66" t="s">
        <v>1214</v>
      </c>
      <c r="BE66">
        <v>98</v>
      </c>
      <c r="BF66">
        <v>0</v>
      </c>
      <c r="BG66">
        <v>72</v>
      </c>
      <c r="BH66">
        <v>0</v>
      </c>
      <c r="BI66">
        <v>8</v>
      </c>
      <c r="BJ66" s="1" t="s">
        <v>781</v>
      </c>
      <c r="BK66" s="1" t="s">
        <v>124</v>
      </c>
      <c r="BL66" s="1" t="s">
        <v>898</v>
      </c>
      <c r="BM66" s="1" t="s">
        <v>159</v>
      </c>
      <c r="BN66" s="1" t="s">
        <v>275</v>
      </c>
      <c r="BO66" s="1" t="s">
        <v>125</v>
      </c>
      <c r="BP66" s="1" t="s">
        <v>138</v>
      </c>
      <c r="BQ66">
        <v>0</v>
      </c>
      <c r="BR66">
        <v>0</v>
      </c>
      <c r="BS66">
        <v>1</v>
      </c>
      <c r="BT66">
        <v>1</v>
      </c>
      <c r="BU66" s="1" t="s">
        <v>129</v>
      </c>
      <c r="BV66" s="1" t="s">
        <v>130</v>
      </c>
      <c r="BW66" s="1" t="s">
        <v>129</v>
      </c>
      <c r="BX66">
        <v>0.2</v>
      </c>
      <c r="BY66">
        <v>0</v>
      </c>
      <c r="BZ66" s="1" t="s">
        <v>213</v>
      </c>
      <c r="CA66" s="1" t="s">
        <v>1215</v>
      </c>
      <c r="CB66">
        <v>0.436</v>
      </c>
      <c r="CC66" s="1" t="s">
        <v>1216</v>
      </c>
      <c r="CD66">
        <v>0.97</v>
      </c>
      <c r="CE66" s="1" t="s">
        <v>1217</v>
      </c>
      <c r="CF66" s="1" t="s">
        <v>1218</v>
      </c>
      <c r="CG66" s="1" t="s">
        <v>124</v>
      </c>
      <c r="CH66" s="1" t="s">
        <v>160</v>
      </c>
      <c r="CI66" s="1" t="s">
        <v>129</v>
      </c>
      <c r="CJ66" s="1" t="s">
        <v>184</v>
      </c>
      <c r="CK66">
        <v>3</v>
      </c>
      <c r="CL66">
        <v>1.8</v>
      </c>
      <c r="CM66">
        <v>80</v>
      </c>
      <c r="CN66">
        <v>76.8</v>
      </c>
      <c r="CO66" s="1" t="s">
        <v>516</v>
      </c>
      <c r="CP66" s="1" t="s">
        <v>733</v>
      </c>
      <c r="CS66" s="1" t="s">
        <v>942</v>
      </c>
      <c r="CT66" s="1" t="s">
        <v>1219</v>
      </c>
      <c r="CU66" s="1" t="s">
        <v>901</v>
      </c>
      <c r="CV66" s="1" t="s">
        <v>1220</v>
      </c>
      <c r="CW66">
        <v>51.8</v>
      </c>
      <c r="CX66">
        <v>56.7</v>
      </c>
      <c r="CY66">
        <v>68</v>
      </c>
      <c r="CZ66" s="1" t="s">
        <v>1053</v>
      </c>
      <c r="DA66">
        <v>1</v>
      </c>
      <c r="DB66" t="s">
        <v>226</v>
      </c>
      <c r="DC66">
        <v>40</v>
      </c>
      <c r="DD66" s="1" t="s">
        <v>1221</v>
      </c>
      <c r="DE66">
        <v>-42.209597537813998</v>
      </c>
      <c r="DF66" t="e">
        <f>_xlfn.XLOOKUP(Table1[[#This Row],[Player ID]],Table2[feed_id],Table2[trade_status])</f>
        <v>#N/A</v>
      </c>
      <c r="DG66">
        <f>_xlfn.NUMBERVALUE(Table1[[#This Row],[predicted]])</f>
        <v>82.209597537814005</v>
      </c>
    </row>
    <row r="67" spans="1:111" hidden="1" x14ac:dyDescent="0.25">
      <c r="A67">
        <v>62140</v>
      </c>
      <c r="B67">
        <v>6069</v>
      </c>
      <c r="C67" t="s">
        <v>1222</v>
      </c>
      <c r="D67" t="s">
        <v>460</v>
      </c>
      <c r="E67">
        <v>2017</v>
      </c>
      <c r="F67">
        <v>293154</v>
      </c>
      <c r="G67" t="s">
        <v>540</v>
      </c>
      <c r="H67" t="s">
        <v>1223</v>
      </c>
      <c r="I67" t="s">
        <v>510</v>
      </c>
      <c r="J67">
        <v>5</v>
      </c>
      <c r="K67">
        <v>52</v>
      </c>
      <c r="L67">
        <v>46</v>
      </c>
      <c r="M67">
        <v>69</v>
      </c>
      <c r="N67">
        <v>41</v>
      </c>
      <c r="O67">
        <v>55</v>
      </c>
      <c r="P67">
        <v>7</v>
      </c>
      <c r="Q67">
        <v>4</v>
      </c>
      <c r="R67">
        <v>4</v>
      </c>
      <c r="S67">
        <v>3</v>
      </c>
      <c r="T67">
        <v>0</v>
      </c>
      <c r="U67">
        <v>1</v>
      </c>
      <c r="V67">
        <v>1</v>
      </c>
      <c r="W67">
        <v>0</v>
      </c>
      <c r="X67">
        <v>1</v>
      </c>
      <c r="Y67" t="s">
        <v>113</v>
      </c>
      <c r="Z67" t="s">
        <v>525</v>
      </c>
      <c r="AA67" t="s">
        <v>1224</v>
      </c>
      <c r="AD67">
        <v>220800</v>
      </c>
      <c r="AE67">
        <v>0</v>
      </c>
      <c r="AF67">
        <v>211900</v>
      </c>
      <c r="AG67">
        <v>35</v>
      </c>
      <c r="AH67" t="s">
        <v>155</v>
      </c>
      <c r="AI67">
        <v>32</v>
      </c>
      <c r="AJ67">
        <v>3</v>
      </c>
      <c r="AK67">
        <v>53.33</v>
      </c>
      <c r="AL67">
        <v>56.67</v>
      </c>
      <c r="AM67">
        <v>1.23</v>
      </c>
      <c r="AN67">
        <v>1.88</v>
      </c>
      <c r="AO67">
        <v>2.3199999999999998</v>
      </c>
      <c r="AP67">
        <v>246000</v>
      </c>
      <c r="AQ67">
        <v>32</v>
      </c>
      <c r="AS67">
        <v>4</v>
      </c>
      <c r="AT67">
        <v>0</v>
      </c>
      <c r="AU67">
        <v>3</v>
      </c>
      <c r="AV67">
        <v>72</v>
      </c>
      <c r="AW67">
        <v>61</v>
      </c>
      <c r="AZ67" t="b">
        <v>0</v>
      </c>
      <c r="BA67">
        <v>1736</v>
      </c>
      <c r="BB67">
        <v>1535</v>
      </c>
      <c r="BC67">
        <v>9</v>
      </c>
      <c r="BD67" t="s">
        <v>1225</v>
      </c>
      <c r="BE67">
        <v>99</v>
      </c>
      <c r="BF67">
        <v>0</v>
      </c>
      <c r="BG67">
        <v>74</v>
      </c>
      <c r="BH67">
        <v>0</v>
      </c>
      <c r="BI67">
        <v>5</v>
      </c>
      <c r="BJ67" s="1" t="s">
        <v>898</v>
      </c>
      <c r="BK67">
        <v>3</v>
      </c>
      <c r="BL67">
        <v>3.2</v>
      </c>
      <c r="BM67" s="1" t="s">
        <v>159</v>
      </c>
      <c r="BN67" s="1" t="s">
        <v>528</v>
      </c>
      <c r="BO67" s="1" t="s">
        <v>138</v>
      </c>
      <c r="BP67" s="1" t="s">
        <v>214</v>
      </c>
      <c r="BQ67">
        <v>0</v>
      </c>
      <c r="BR67">
        <v>0</v>
      </c>
      <c r="BS67" s="1" t="s">
        <v>128</v>
      </c>
      <c r="BT67" s="1" t="s">
        <v>399</v>
      </c>
      <c r="BU67" s="1" t="s">
        <v>129</v>
      </c>
      <c r="BV67">
        <v>0.4</v>
      </c>
      <c r="BW67">
        <v>1</v>
      </c>
      <c r="BX67" s="1" t="s">
        <v>399</v>
      </c>
      <c r="BY67">
        <v>1</v>
      </c>
      <c r="BZ67" s="1" t="s">
        <v>238</v>
      </c>
      <c r="CA67" s="1" t="s">
        <v>1226</v>
      </c>
      <c r="CB67" s="1" t="s">
        <v>1227</v>
      </c>
      <c r="CC67" s="1" t="s">
        <v>566</v>
      </c>
      <c r="CD67" s="1" t="s">
        <v>1228</v>
      </c>
      <c r="CE67" s="1" t="s">
        <v>1229</v>
      </c>
      <c r="CF67" s="1" t="s">
        <v>1230</v>
      </c>
      <c r="CG67" s="1" t="s">
        <v>138</v>
      </c>
      <c r="CH67">
        <v>4</v>
      </c>
      <c r="CI67" s="1" t="s">
        <v>128</v>
      </c>
      <c r="CJ67" s="1" t="s">
        <v>129</v>
      </c>
      <c r="CK67" s="1" t="s">
        <v>126</v>
      </c>
      <c r="CL67" s="1" t="s">
        <v>127</v>
      </c>
      <c r="CM67" s="1" t="s">
        <v>483</v>
      </c>
      <c r="CN67">
        <v>73.2</v>
      </c>
      <c r="CO67">
        <v>70</v>
      </c>
      <c r="CP67" s="1" t="s">
        <v>1231</v>
      </c>
      <c r="CS67">
        <v>1691</v>
      </c>
      <c r="CT67" s="1" t="s">
        <v>1232</v>
      </c>
      <c r="CU67">
        <v>1586</v>
      </c>
      <c r="CV67">
        <v>1652</v>
      </c>
      <c r="CW67">
        <v>48.45</v>
      </c>
      <c r="CX67">
        <v>46.8</v>
      </c>
      <c r="CY67">
        <v>53.2</v>
      </c>
      <c r="CZ67">
        <v>45</v>
      </c>
      <c r="DA67">
        <v>1</v>
      </c>
      <c r="DB67" t="s">
        <v>525</v>
      </c>
      <c r="DC67">
        <v>46</v>
      </c>
      <c r="DD67" s="1" t="s">
        <v>1233</v>
      </c>
      <c r="DE67">
        <v>-3.0995383747898302</v>
      </c>
      <c r="DF67" t="e">
        <f>_xlfn.XLOOKUP(Table1[[#This Row],[Player ID]],Table2[feed_id],Table2[trade_status])</f>
        <v>#N/A</v>
      </c>
      <c r="DG67">
        <f>_xlfn.NUMBERVALUE(Table1[[#This Row],[predicted]])</f>
        <v>49.099538374789802</v>
      </c>
    </row>
    <row r="68" spans="1:111" hidden="1" x14ac:dyDescent="0.25">
      <c r="A68">
        <v>62182</v>
      </c>
      <c r="B68">
        <v>6070</v>
      </c>
      <c r="C68" t="s">
        <v>1234</v>
      </c>
      <c r="D68" t="s">
        <v>460</v>
      </c>
      <c r="E68">
        <v>2017</v>
      </c>
      <c r="F68">
        <v>291437</v>
      </c>
      <c r="G68" t="s">
        <v>1235</v>
      </c>
      <c r="H68" t="s">
        <v>1236</v>
      </c>
      <c r="I68" t="s">
        <v>317</v>
      </c>
      <c r="J68">
        <v>8</v>
      </c>
      <c r="K68">
        <v>46</v>
      </c>
      <c r="L68">
        <v>47</v>
      </c>
      <c r="M68">
        <v>61</v>
      </c>
      <c r="N68">
        <v>33</v>
      </c>
      <c r="O68">
        <v>45</v>
      </c>
      <c r="P68">
        <v>5</v>
      </c>
      <c r="Q68">
        <v>4</v>
      </c>
      <c r="R68">
        <v>2</v>
      </c>
      <c r="S68">
        <v>4</v>
      </c>
      <c r="T68">
        <v>0</v>
      </c>
      <c r="U68">
        <v>1</v>
      </c>
      <c r="V68">
        <v>0</v>
      </c>
      <c r="W68">
        <v>0</v>
      </c>
      <c r="X68">
        <v>0</v>
      </c>
      <c r="Y68" t="s">
        <v>113</v>
      </c>
      <c r="Z68" t="s">
        <v>179</v>
      </c>
      <c r="AA68" t="s">
        <v>1237</v>
      </c>
      <c r="AD68">
        <v>223900</v>
      </c>
      <c r="AE68">
        <v>0</v>
      </c>
      <c r="AF68">
        <v>221700</v>
      </c>
      <c r="AG68">
        <v>43</v>
      </c>
      <c r="AH68" t="s">
        <v>181</v>
      </c>
      <c r="AI68">
        <v>11</v>
      </c>
      <c r="AJ68">
        <v>0</v>
      </c>
      <c r="AK68">
        <v>0</v>
      </c>
      <c r="AL68">
        <v>0</v>
      </c>
      <c r="AM68">
        <v>0.26</v>
      </c>
      <c r="AN68">
        <v>0.49</v>
      </c>
      <c r="AO68">
        <v>0.05</v>
      </c>
      <c r="AP68">
        <v>295000</v>
      </c>
      <c r="AQ68">
        <v>52</v>
      </c>
      <c r="AS68">
        <v>3</v>
      </c>
      <c r="AT68">
        <v>0</v>
      </c>
      <c r="AU68">
        <v>1</v>
      </c>
      <c r="AV68">
        <v>55</v>
      </c>
      <c r="AW68">
        <v>75</v>
      </c>
      <c r="AZ68" t="b">
        <v>0</v>
      </c>
      <c r="BA68">
        <v>1771</v>
      </c>
      <c r="BB68">
        <v>1492</v>
      </c>
      <c r="BC68">
        <v>9</v>
      </c>
      <c r="BD68" t="s">
        <v>1238</v>
      </c>
      <c r="BE68">
        <v>99</v>
      </c>
      <c r="BF68">
        <v>0</v>
      </c>
      <c r="BG68">
        <v>74</v>
      </c>
      <c r="BH68">
        <v>0</v>
      </c>
      <c r="BI68" s="1" t="s">
        <v>253</v>
      </c>
      <c r="BJ68" s="1" t="s">
        <v>1239</v>
      </c>
      <c r="BK68">
        <v>4</v>
      </c>
      <c r="BL68" s="1" t="s">
        <v>499</v>
      </c>
      <c r="BM68">
        <v>3</v>
      </c>
      <c r="BN68">
        <v>4.5999999999999996</v>
      </c>
      <c r="BO68" s="1" t="s">
        <v>126</v>
      </c>
      <c r="BP68" s="1" t="s">
        <v>304</v>
      </c>
      <c r="BQ68">
        <v>0</v>
      </c>
      <c r="BR68">
        <v>6.6666666666666596E-2</v>
      </c>
      <c r="BS68" s="1" t="s">
        <v>129</v>
      </c>
      <c r="BT68" s="1" t="s">
        <v>231</v>
      </c>
      <c r="BU68" s="1" t="s">
        <v>129</v>
      </c>
      <c r="BV68" s="1" t="s">
        <v>128</v>
      </c>
      <c r="BW68">
        <v>0</v>
      </c>
      <c r="BX68">
        <v>0</v>
      </c>
      <c r="BY68" s="1" t="s">
        <v>129</v>
      </c>
      <c r="BZ68">
        <v>6.6666666666666596E-2</v>
      </c>
      <c r="CA68" s="1" t="s">
        <v>951</v>
      </c>
      <c r="CB68">
        <v>0.52</v>
      </c>
      <c r="CC68">
        <v>0.49</v>
      </c>
      <c r="CD68">
        <v>0.79200000000000004</v>
      </c>
      <c r="CE68" s="1" t="s">
        <v>1240</v>
      </c>
      <c r="CF68" s="1" t="s">
        <v>1241</v>
      </c>
      <c r="CG68">
        <v>3</v>
      </c>
      <c r="CH68">
        <v>3.6</v>
      </c>
      <c r="CI68">
        <v>0</v>
      </c>
      <c r="CJ68" s="1" t="s">
        <v>213</v>
      </c>
      <c r="CK68" s="1" t="s">
        <v>126</v>
      </c>
      <c r="CL68" s="1" t="s">
        <v>161</v>
      </c>
      <c r="CM68" s="1" t="s">
        <v>1242</v>
      </c>
      <c r="CN68">
        <v>74.599999999999994</v>
      </c>
      <c r="CO68">
        <v>79</v>
      </c>
      <c r="CP68" s="1" t="s">
        <v>1243</v>
      </c>
      <c r="CS68">
        <v>1593</v>
      </c>
      <c r="CT68" s="1" t="s">
        <v>1244</v>
      </c>
      <c r="CU68" s="1" t="s">
        <v>806</v>
      </c>
      <c r="CV68">
        <v>1589.6</v>
      </c>
      <c r="CW68">
        <v>53.7</v>
      </c>
      <c r="CX68">
        <v>51.4</v>
      </c>
      <c r="CY68">
        <v>47.8</v>
      </c>
      <c r="CZ68" s="1" t="s">
        <v>1245</v>
      </c>
      <c r="DA68">
        <v>1</v>
      </c>
      <c r="DB68" t="s">
        <v>179</v>
      </c>
      <c r="DC68">
        <v>47</v>
      </c>
      <c r="DD68" s="1" t="s">
        <v>1246</v>
      </c>
      <c r="DE68" s="1" t="s">
        <v>1247</v>
      </c>
      <c r="DF68" t="e">
        <f>_xlfn.XLOOKUP(Table1[[#This Row],[Player ID]],Table2[feed_id],Table2[trade_status])</f>
        <v>#N/A</v>
      </c>
      <c r="DG68">
        <f>_xlfn.NUMBERVALUE(Table1[[#This Row],[predicted]])</f>
        <v>46.403468936204199</v>
      </c>
    </row>
    <row r="69" spans="1:111" hidden="1" x14ac:dyDescent="0.25">
      <c r="A69">
        <v>62485</v>
      </c>
      <c r="B69">
        <v>6077</v>
      </c>
      <c r="C69" t="s">
        <v>1248</v>
      </c>
      <c r="D69" t="s">
        <v>475</v>
      </c>
      <c r="E69">
        <v>2017</v>
      </c>
      <c r="F69">
        <v>294291</v>
      </c>
      <c r="G69" t="s">
        <v>1249</v>
      </c>
      <c r="H69" t="s">
        <v>1250</v>
      </c>
      <c r="I69" t="s">
        <v>112</v>
      </c>
      <c r="J69">
        <v>5</v>
      </c>
      <c r="K69">
        <v>52</v>
      </c>
      <c r="L69">
        <v>59</v>
      </c>
      <c r="M69">
        <v>66</v>
      </c>
      <c r="N69">
        <v>43</v>
      </c>
      <c r="O69">
        <v>57</v>
      </c>
      <c r="P69">
        <v>5</v>
      </c>
      <c r="Q69">
        <v>7</v>
      </c>
      <c r="R69">
        <v>5</v>
      </c>
      <c r="S69">
        <v>2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113</v>
      </c>
      <c r="Z69" t="s">
        <v>426</v>
      </c>
      <c r="AA69" t="s">
        <v>354</v>
      </c>
      <c r="AB69" t="s">
        <v>179</v>
      </c>
      <c r="AC69" t="s">
        <v>1251</v>
      </c>
      <c r="AD69">
        <v>298900</v>
      </c>
      <c r="AE69">
        <v>0</v>
      </c>
      <c r="AF69">
        <v>334800</v>
      </c>
      <c r="AG69">
        <v>69</v>
      </c>
      <c r="AH69" t="s">
        <v>181</v>
      </c>
      <c r="AI69">
        <v>41</v>
      </c>
      <c r="AJ69">
        <v>7</v>
      </c>
      <c r="AK69">
        <v>53.43</v>
      </c>
      <c r="AL69">
        <v>63.67</v>
      </c>
      <c r="AM69">
        <v>0.31</v>
      </c>
      <c r="AN69">
        <v>0.56999999999999995</v>
      </c>
      <c r="AO69">
        <v>0.48</v>
      </c>
      <c r="AP69">
        <v>302000</v>
      </c>
      <c r="AQ69">
        <v>62</v>
      </c>
      <c r="AS69">
        <v>3</v>
      </c>
      <c r="AT69">
        <v>0</v>
      </c>
      <c r="AU69">
        <v>0</v>
      </c>
      <c r="AV69">
        <v>91</v>
      </c>
      <c r="AW69">
        <v>86</v>
      </c>
      <c r="AZ69" t="b">
        <v>0</v>
      </c>
      <c r="BA69">
        <v>1515</v>
      </c>
      <c r="BB69">
        <v>1753</v>
      </c>
      <c r="BC69">
        <v>10</v>
      </c>
      <c r="BD69" t="s">
        <v>1252</v>
      </c>
      <c r="BE69">
        <v>96</v>
      </c>
      <c r="BF69">
        <v>0</v>
      </c>
      <c r="BG69">
        <v>74</v>
      </c>
      <c r="BH69">
        <v>0</v>
      </c>
      <c r="BI69">
        <v>6</v>
      </c>
      <c r="BJ69" s="1" t="s">
        <v>343</v>
      </c>
      <c r="BK69" s="1" t="s">
        <v>183</v>
      </c>
      <c r="BL69">
        <v>6.2</v>
      </c>
      <c r="BM69" s="1" t="s">
        <v>124</v>
      </c>
      <c r="BN69" s="1" t="s">
        <v>781</v>
      </c>
      <c r="BO69">
        <v>1</v>
      </c>
      <c r="BP69" s="1" t="s">
        <v>126</v>
      </c>
      <c r="BQ69">
        <v>0</v>
      </c>
      <c r="BR69">
        <v>0</v>
      </c>
      <c r="BS69">
        <v>0</v>
      </c>
      <c r="BT69" s="1" t="s">
        <v>238</v>
      </c>
      <c r="BU69">
        <v>1</v>
      </c>
      <c r="BV69">
        <v>0.6</v>
      </c>
      <c r="BW69">
        <v>0</v>
      </c>
      <c r="BX69">
        <v>6.6666666666666596E-2</v>
      </c>
      <c r="BY69">
        <v>0</v>
      </c>
      <c r="BZ69">
        <v>0</v>
      </c>
      <c r="CA69" s="1" t="s">
        <v>1253</v>
      </c>
      <c r="CB69" s="1" t="s">
        <v>1254</v>
      </c>
      <c r="CC69" s="1" t="s">
        <v>1255</v>
      </c>
      <c r="CD69">
        <v>0.41799999999999998</v>
      </c>
      <c r="CE69" s="1" t="s">
        <v>1256</v>
      </c>
      <c r="CF69" s="1" t="s">
        <v>1257</v>
      </c>
      <c r="CG69" s="1" t="s">
        <v>449</v>
      </c>
      <c r="CH69" s="1" t="s">
        <v>211</v>
      </c>
      <c r="CI69" s="1" t="s">
        <v>129</v>
      </c>
      <c r="CJ69">
        <v>0.4</v>
      </c>
      <c r="CK69" s="1" t="s">
        <v>161</v>
      </c>
      <c r="CL69" s="1" t="s">
        <v>327</v>
      </c>
      <c r="CM69" s="1" t="s">
        <v>1258</v>
      </c>
      <c r="CN69" s="1" t="s">
        <v>1259</v>
      </c>
      <c r="CO69" s="1" t="s">
        <v>306</v>
      </c>
      <c r="CP69">
        <v>88</v>
      </c>
      <c r="CS69" s="1" t="s">
        <v>1260</v>
      </c>
      <c r="CT69">
        <v>1523.8</v>
      </c>
      <c r="CU69" s="1" t="s">
        <v>1178</v>
      </c>
      <c r="CV69">
        <v>1734.8</v>
      </c>
      <c r="CW69">
        <v>56.85</v>
      </c>
      <c r="CX69">
        <v>59.5</v>
      </c>
      <c r="CY69">
        <v>67.2</v>
      </c>
      <c r="CZ69">
        <v>65</v>
      </c>
      <c r="DA69">
        <v>1</v>
      </c>
      <c r="DB69" t="s">
        <v>426</v>
      </c>
      <c r="DC69">
        <v>59</v>
      </c>
      <c r="DD69" s="1" t="s">
        <v>1261</v>
      </c>
      <c r="DE69">
        <v>4.61760341946718</v>
      </c>
      <c r="DF69" t="e">
        <f>_xlfn.XLOOKUP(Table1[[#This Row],[Player ID]],Table2[feed_id],Table2[trade_status])</f>
        <v>#N/A</v>
      </c>
      <c r="DG69">
        <f>_xlfn.NUMBERVALUE(Table1[[#This Row],[predicted]])</f>
        <v>54.382396580532799</v>
      </c>
    </row>
    <row r="70" spans="1:111" hidden="1" x14ac:dyDescent="0.25">
      <c r="A70">
        <v>62883</v>
      </c>
      <c r="B70">
        <v>6086</v>
      </c>
      <c r="C70" t="s">
        <v>1262</v>
      </c>
      <c r="D70" t="s">
        <v>491</v>
      </c>
      <c r="E70">
        <v>2017</v>
      </c>
      <c r="F70">
        <v>250268</v>
      </c>
      <c r="G70" t="s">
        <v>1263</v>
      </c>
      <c r="H70" t="s">
        <v>1264</v>
      </c>
      <c r="I70" t="s">
        <v>178</v>
      </c>
      <c r="J70">
        <v>8</v>
      </c>
      <c r="K70">
        <v>63</v>
      </c>
      <c r="L70">
        <v>56</v>
      </c>
      <c r="M70">
        <v>36</v>
      </c>
      <c r="N70">
        <v>50</v>
      </c>
      <c r="O70">
        <v>66</v>
      </c>
      <c r="P70">
        <v>11</v>
      </c>
      <c r="Q70">
        <v>6</v>
      </c>
      <c r="R70">
        <v>4</v>
      </c>
      <c r="S70">
        <v>1</v>
      </c>
      <c r="T70">
        <v>0</v>
      </c>
      <c r="U70">
        <v>2</v>
      </c>
      <c r="V70">
        <v>0</v>
      </c>
      <c r="W70">
        <v>0</v>
      </c>
      <c r="X70">
        <v>0</v>
      </c>
      <c r="Y70" t="s">
        <v>113</v>
      </c>
      <c r="Z70" t="s">
        <v>179</v>
      </c>
      <c r="AA70" t="s">
        <v>1265</v>
      </c>
      <c r="AD70">
        <v>314200</v>
      </c>
      <c r="AE70">
        <v>0</v>
      </c>
      <c r="AF70">
        <v>326500</v>
      </c>
      <c r="AG70">
        <v>83</v>
      </c>
      <c r="AH70" t="s">
        <v>181</v>
      </c>
      <c r="AI70">
        <v>5</v>
      </c>
      <c r="AJ70">
        <v>9</v>
      </c>
      <c r="AK70">
        <v>53.89</v>
      </c>
      <c r="AL70">
        <v>62.44</v>
      </c>
      <c r="AM70">
        <v>0.3</v>
      </c>
      <c r="AN70">
        <v>0.27</v>
      </c>
      <c r="AO70">
        <v>0.33</v>
      </c>
      <c r="AP70">
        <v>320000</v>
      </c>
      <c r="AQ70">
        <v>67</v>
      </c>
      <c r="AS70">
        <v>7</v>
      </c>
      <c r="AT70">
        <v>0</v>
      </c>
      <c r="AU70">
        <v>6</v>
      </c>
      <c r="AV70">
        <v>64</v>
      </c>
      <c r="AW70">
        <v>87</v>
      </c>
      <c r="AZ70" t="b">
        <v>0</v>
      </c>
      <c r="BA70">
        <v>1980</v>
      </c>
      <c r="BB70">
        <v>1307</v>
      </c>
      <c r="BC70">
        <v>11</v>
      </c>
      <c r="BD70" t="s">
        <v>1266</v>
      </c>
      <c r="BE70" s="1" t="s">
        <v>585</v>
      </c>
      <c r="BF70">
        <v>0</v>
      </c>
      <c r="BG70">
        <v>73</v>
      </c>
      <c r="BH70">
        <v>0</v>
      </c>
      <c r="BI70" s="1" t="s">
        <v>1008</v>
      </c>
      <c r="BJ70" s="1" t="s">
        <v>949</v>
      </c>
      <c r="BK70">
        <v>4</v>
      </c>
      <c r="BL70" s="1" t="s">
        <v>374</v>
      </c>
      <c r="BM70">
        <v>5</v>
      </c>
      <c r="BN70">
        <v>5</v>
      </c>
      <c r="BO70" s="1" t="s">
        <v>128</v>
      </c>
      <c r="BP70" s="1" t="s">
        <v>327</v>
      </c>
      <c r="BQ70">
        <v>0</v>
      </c>
      <c r="BR70">
        <v>6.6666666666666596E-2</v>
      </c>
      <c r="BS70" s="1" t="s">
        <v>161</v>
      </c>
      <c r="BT70">
        <v>0.8</v>
      </c>
      <c r="BU70" s="1" t="s">
        <v>129</v>
      </c>
      <c r="BV70">
        <v>0.4</v>
      </c>
      <c r="BW70">
        <v>0</v>
      </c>
      <c r="BX70">
        <v>0</v>
      </c>
      <c r="BY70">
        <v>0</v>
      </c>
      <c r="BZ70" s="1" t="s">
        <v>213</v>
      </c>
      <c r="CA70" s="1" t="s">
        <v>1267</v>
      </c>
      <c r="CB70" s="1" t="s">
        <v>1268</v>
      </c>
      <c r="CC70">
        <v>0.27</v>
      </c>
      <c r="CD70" s="1" t="s">
        <v>1269</v>
      </c>
      <c r="CE70" s="1" t="s">
        <v>1270</v>
      </c>
      <c r="CF70" s="1" t="s">
        <v>1271</v>
      </c>
      <c r="CG70" s="1" t="s">
        <v>449</v>
      </c>
      <c r="CH70" s="1" t="s">
        <v>752</v>
      </c>
      <c r="CI70">
        <v>0</v>
      </c>
      <c r="CJ70">
        <v>0.4</v>
      </c>
      <c r="CK70">
        <v>3</v>
      </c>
      <c r="CL70" s="1" t="s">
        <v>375</v>
      </c>
      <c r="CM70" s="1" t="s">
        <v>1258</v>
      </c>
      <c r="CN70" s="1" t="s">
        <v>1272</v>
      </c>
      <c r="CO70" s="1" t="s">
        <v>1273</v>
      </c>
      <c r="CP70" s="1" t="s">
        <v>1274</v>
      </c>
      <c r="CS70">
        <v>1588</v>
      </c>
      <c r="CT70">
        <v>1551.2</v>
      </c>
      <c r="CU70" s="1" t="s">
        <v>1275</v>
      </c>
      <c r="CV70" s="1" t="s">
        <v>1276</v>
      </c>
      <c r="CW70">
        <v>63.95</v>
      </c>
      <c r="CX70">
        <v>69.900000000000006</v>
      </c>
      <c r="CY70">
        <v>60.8</v>
      </c>
      <c r="CZ70" s="1" t="s">
        <v>558</v>
      </c>
      <c r="DA70">
        <v>1</v>
      </c>
      <c r="DB70" t="s">
        <v>179</v>
      </c>
      <c r="DC70">
        <v>56</v>
      </c>
      <c r="DD70" s="1" t="s">
        <v>1277</v>
      </c>
      <c r="DE70" s="1" t="s">
        <v>1278</v>
      </c>
      <c r="DF70" t="e">
        <f>_xlfn.XLOOKUP(Table1[[#This Row],[Player ID]],Table2[feed_id],Table2[trade_status])</f>
        <v>#N/A</v>
      </c>
      <c r="DG70">
        <f>_xlfn.NUMBERVALUE(Table1[[#This Row],[predicted]])</f>
        <v>54.972764335555702</v>
      </c>
    </row>
    <row r="71" spans="1:111" hidden="1" x14ac:dyDescent="0.25">
      <c r="A71">
        <v>63060</v>
      </c>
      <c r="B71">
        <v>6090</v>
      </c>
      <c r="C71" t="s">
        <v>1279</v>
      </c>
      <c r="D71" t="s">
        <v>539</v>
      </c>
      <c r="E71">
        <v>2017</v>
      </c>
      <c r="F71">
        <v>270941</v>
      </c>
      <c r="G71" t="s">
        <v>1280</v>
      </c>
      <c r="H71" t="s">
        <v>1281</v>
      </c>
      <c r="I71" t="s">
        <v>391</v>
      </c>
      <c r="J71">
        <v>5</v>
      </c>
      <c r="K71">
        <v>64</v>
      </c>
      <c r="L71">
        <v>68</v>
      </c>
      <c r="M71">
        <v>48</v>
      </c>
      <c r="N71">
        <v>50</v>
      </c>
      <c r="O71">
        <v>59</v>
      </c>
      <c r="P71">
        <v>8</v>
      </c>
      <c r="Q71">
        <v>3</v>
      </c>
      <c r="R71">
        <v>2</v>
      </c>
      <c r="S71">
        <v>3</v>
      </c>
      <c r="T71">
        <v>9</v>
      </c>
      <c r="U71">
        <v>5</v>
      </c>
      <c r="V71">
        <v>0</v>
      </c>
      <c r="W71">
        <v>0</v>
      </c>
      <c r="X71">
        <v>2</v>
      </c>
      <c r="Y71" t="s">
        <v>113</v>
      </c>
      <c r="Z71" t="s">
        <v>656</v>
      </c>
      <c r="AA71" t="s">
        <v>1282</v>
      </c>
      <c r="AD71">
        <v>280000</v>
      </c>
      <c r="AE71">
        <v>0</v>
      </c>
      <c r="AF71">
        <v>259800</v>
      </c>
      <c r="AG71">
        <v>57</v>
      </c>
      <c r="AH71" t="s">
        <v>155</v>
      </c>
      <c r="AI71">
        <v>27</v>
      </c>
      <c r="AJ71">
        <v>5</v>
      </c>
      <c r="AK71">
        <v>52.8</v>
      </c>
      <c r="AL71">
        <v>50.4</v>
      </c>
      <c r="AM71">
        <v>0.36</v>
      </c>
      <c r="AN71">
        <v>0.56000000000000005</v>
      </c>
      <c r="AO71">
        <v>0.56999999999999995</v>
      </c>
      <c r="AP71">
        <v>295000</v>
      </c>
      <c r="AQ71">
        <v>58</v>
      </c>
      <c r="AS71">
        <v>6</v>
      </c>
      <c r="AT71">
        <v>3</v>
      </c>
      <c r="AU71">
        <v>0</v>
      </c>
      <c r="AV71">
        <v>81</v>
      </c>
      <c r="AW71">
        <v>67</v>
      </c>
      <c r="AZ71" t="b">
        <v>0</v>
      </c>
      <c r="BA71">
        <v>1854</v>
      </c>
      <c r="BB71">
        <v>1418</v>
      </c>
      <c r="BC71">
        <v>12</v>
      </c>
      <c r="BD71" t="s">
        <v>1283</v>
      </c>
      <c r="BE71">
        <v>98</v>
      </c>
      <c r="BF71">
        <v>0</v>
      </c>
      <c r="BG71">
        <v>73</v>
      </c>
      <c r="BH71">
        <v>0</v>
      </c>
      <c r="BI71">
        <v>6</v>
      </c>
      <c r="BJ71">
        <v>5.4</v>
      </c>
      <c r="BK71" s="1" t="s">
        <v>211</v>
      </c>
      <c r="BL71" s="1" t="s">
        <v>990</v>
      </c>
      <c r="BM71">
        <v>3</v>
      </c>
      <c r="BN71" s="1" t="s">
        <v>189</v>
      </c>
      <c r="BO71" s="1" t="s">
        <v>161</v>
      </c>
      <c r="BP71" s="1" t="s">
        <v>214</v>
      </c>
      <c r="BQ71" s="1" t="s">
        <v>977</v>
      </c>
      <c r="BR71">
        <v>4.5999999999999996</v>
      </c>
      <c r="BS71">
        <v>2</v>
      </c>
      <c r="BT71" s="1" t="s">
        <v>162</v>
      </c>
      <c r="BU71" s="1" t="s">
        <v>129</v>
      </c>
      <c r="BV71">
        <v>0.8</v>
      </c>
      <c r="BW71" s="1" t="s">
        <v>129</v>
      </c>
      <c r="BX71" s="1" t="s">
        <v>127</v>
      </c>
      <c r="BY71">
        <v>1</v>
      </c>
      <c r="BZ71">
        <v>0.8</v>
      </c>
      <c r="CA71" s="1" t="s">
        <v>1284</v>
      </c>
      <c r="CB71">
        <v>0.30199999999999999</v>
      </c>
      <c r="CC71">
        <v>0.56999999999999995</v>
      </c>
      <c r="CD71" s="1" t="s">
        <v>1285</v>
      </c>
      <c r="CE71" s="1" t="s">
        <v>1286</v>
      </c>
      <c r="CF71" s="1" t="s">
        <v>1287</v>
      </c>
      <c r="CG71" s="1" t="s">
        <v>449</v>
      </c>
      <c r="CH71" s="1" t="s">
        <v>211</v>
      </c>
      <c r="CI71" s="1" t="s">
        <v>161</v>
      </c>
      <c r="CJ71">
        <v>0.8</v>
      </c>
      <c r="CK71" s="1" t="s">
        <v>128</v>
      </c>
      <c r="CL71" s="1" t="s">
        <v>298</v>
      </c>
      <c r="CM71">
        <v>69</v>
      </c>
      <c r="CN71" s="1" t="s">
        <v>1288</v>
      </c>
      <c r="CO71" s="1" t="s">
        <v>1053</v>
      </c>
      <c r="CP71" s="1" t="s">
        <v>1289</v>
      </c>
      <c r="CS71">
        <v>1560</v>
      </c>
      <c r="CT71" s="1" t="s">
        <v>1290</v>
      </c>
      <c r="CU71">
        <v>1711</v>
      </c>
      <c r="CV71">
        <v>1654.6</v>
      </c>
      <c r="CW71">
        <v>59.05</v>
      </c>
      <c r="CX71">
        <v>56.6</v>
      </c>
      <c r="CY71">
        <v>50</v>
      </c>
      <c r="CZ71" s="1" t="s">
        <v>1291</v>
      </c>
      <c r="DA71">
        <v>1</v>
      </c>
      <c r="DB71" t="s">
        <v>656</v>
      </c>
      <c r="DC71">
        <v>68</v>
      </c>
      <c r="DD71" s="1" t="s">
        <v>1292</v>
      </c>
      <c r="DE71" s="1" t="s">
        <v>1293</v>
      </c>
      <c r="DF71" t="e">
        <f>_xlfn.XLOOKUP(Table1[[#This Row],[Player ID]],Table2[feed_id],Table2[trade_status])</f>
        <v>#N/A</v>
      </c>
      <c r="DG71">
        <f>_xlfn.NUMBERVALUE(Table1[[#This Row],[predicted]])</f>
        <v>63.114654503061701</v>
      </c>
    </row>
    <row r="72" spans="1:111" hidden="1" x14ac:dyDescent="0.25">
      <c r="A72">
        <v>63150</v>
      </c>
      <c r="B72">
        <v>6092</v>
      </c>
      <c r="C72" t="s">
        <v>1294</v>
      </c>
      <c r="D72" t="s">
        <v>539</v>
      </c>
      <c r="E72">
        <v>2017</v>
      </c>
      <c r="F72">
        <v>240159</v>
      </c>
      <c r="G72" t="s">
        <v>958</v>
      </c>
      <c r="H72" t="s">
        <v>1295</v>
      </c>
      <c r="I72" t="s">
        <v>582</v>
      </c>
      <c r="J72">
        <v>4</v>
      </c>
      <c r="K72">
        <v>50</v>
      </c>
      <c r="L72">
        <v>57</v>
      </c>
      <c r="M72">
        <v>32</v>
      </c>
      <c r="N72">
        <v>40</v>
      </c>
      <c r="O72">
        <v>54</v>
      </c>
      <c r="P72">
        <v>8</v>
      </c>
      <c r="Q72">
        <v>5</v>
      </c>
      <c r="R72">
        <v>4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113</v>
      </c>
      <c r="Z72" t="s">
        <v>226</v>
      </c>
      <c r="AA72" t="s">
        <v>1296</v>
      </c>
      <c r="AD72">
        <v>314400</v>
      </c>
      <c r="AE72">
        <v>0</v>
      </c>
      <c r="AF72">
        <v>308300</v>
      </c>
      <c r="AG72">
        <v>60</v>
      </c>
      <c r="AH72" t="s">
        <v>181</v>
      </c>
      <c r="AI72">
        <v>26</v>
      </c>
      <c r="AJ72">
        <v>7</v>
      </c>
      <c r="AK72">
        <v>61.43</v>
      </c>
      <c r="AL72">
        <v>64</v>
      </c>
      <c r="AM72">
        <v>0.3</v>
      </c>
      <c r="AN72">
        <v>0.24</v>
      </c>
      <c r="AO72">
        <v>0.46</v>
      </c>
      <c r="AP72">
        <v>333000</v>
      </c>
      <c r="AQ72">
        <v>69</v>
      </c>
      <c r="AS72">
        <v>4</v>
      </c>
      <c r="AT72">
        <v>0</v>
      </c>
      <c r="AU72">
        <v>2</v>
      </c>
      <c r="AV72">
        <v>84</v>
      </c>
      <c r="AW72">
        <v>84</v>
      </c>
      <c r="AZ72" t="b">
        <v>0</v>
      </c>
      <c r="BA72">
        <v>1768</v>
      </c>
      <c r="BB72">
        <v>1474</v>
      </c>
      <c r="BC72">
        <v>12</v>
      </c>
      <c r="BD72" t="s">
        <v>1297</v>
      </c>
      <c r="BE72">
        <v>98</v>
      </c>
      <c r="BF72">
        <v>0</v>
      </c>
      <c r="BG72">
        <v>73</v>
      </c>
      <c r="BH72">
        <v>0</v>
      </c>
      <c r="BI72">
        <v>9</v>
      </c>
      <c r="BJ72" s="1" t="s">
        <v>1041</v>
      </c>
      <c r="BK72" s="1" t="s">
        <v>253</v>
      </c>
      <c r="BL72" s="1" t="s">
        <v>204</v>
      </c>
      <c r="BM72">
        <v>4</v>
      </c>
      <c r="BN72" s="1" t="s">
        <v>990</v>
      </c>
      <c r="BO72">
        <v>1</v>
      </c>
      <c r="BP72">
        <v>2.2000000000000002</v>
      </c>
      <c r="BQ72">
        <v>0</v>
      </c>
      <c r="BR72">
        <v>0</v>
      </c>
      <c r="BS72">
        <v>0</v>
      </c>
      <c r="BT72">
        <v>0.2</v>
      </c>
      <c r="BU72">
        <v>0</v>
      </c>
      <c r="BV72" s="1" t="s">
        <v>129</v>
      </c>
      <c r="BW72">
        <v>0</v>
      </c>
      <c r="BX72">
        <v>0</v>
      </c>
      <c r="BY72">
        <v>0</v>
      </c>
      <c r="BZ72">
        <v>0</v>
      </c>
      <c r="CA72" s="1" t="s">
        <v>1267</v>
      </c>
      <c r="CB72" s="1" t="s">
        <v>1298</v>
      </c>
      <c r="CC72">
        <v>0.24</v>
      </c>
      <c r="CD72" s="1" t="s">
        <v>1299</v>
      </c>
      <c r="CE72">
        <v>0.45</v>
      </c>
      <c r="CF72" s="1" t="s">
        <v>1300</v>
      </c>
      <c r="CG72">
        <v>3</v>
      </c>
      <c r="CH72" s="1" t="s">
        <v>990</v>
      </c>
      <c r="CI72" s="1" t="s">
        <v>129</v>
      </c>
      <c r="CJ72" s="1" t="s">
        <v>184</v>
      </c>
      <c r="CK72">
        <v>2</v>
      </c>
      <c r="CL72" s="1" t="s">
        <v>126</v>
      </c>
      <c r="CM72">
        <v>86</v>
      </c>
      <c r="CN72" s="1" t="s">
        <v>1301</v>
      </c>
      <c r="CO72">
        <v>82</v>
      </c>
      <c r="CP72">
        <v>83.4</v>
      </c>
      <c r="CS72" s="1" t="s">
        <v>1302</v>
      </c>
      <c r="CT72" s="1" t="s">
        <v>1303</v>
      </c>
      <c r="CU72">
        <v>1772</v>
      </c>
      <c r="CV72" s="1" t="s">
        <v>1304</v>
      </c>
      <c r="CW72">
        <v>61.9</v>
      </c>
      <c r="CX72">
        <v>65.2</v>
      </c>
      <c r="CY72">
        <v>55.6</v>
      </c>
      <c r="CZ72" s="1" t="s">
        <v>759</v>
      </c>
      <c r="DA72">
        <v>1</v>
      </c>
      <c r="DB72" t="s">
        <v>226</v>
      </c>
      <c r="DC72">
        <v>57</v>
      </c>
      <c r="DD72" s="1" t="s">
        <v>1305</v>
      </c>
      <c r="DE72">
        <v>-31.639219341731401</v>
      </c>
      <c r="DF72" t="e">
        <f>_xlfn.XLOOKUP(Table1[[#This Row],[Player ID]],Table2[feed_id],Table2[trade_status])</f>
        <v>#N/A</v>
      </c>
      <c r="DG72">
        <f>_xlfn.NUMBERVALUE(Table1[[#This Row],[predicted]])</f>
        <v>88.639219341731405</v>
      </c>
    </row>
    <row r="73" spans="1:111" hidden="1" x14ac:dyDescent="0.25">
      <c r="A73">
        <v>63185</v>
      </c>
      <c r="B73">
        <v>6093</v>
      </c>
      <c r="C73" t="s">
        <v>1306</v>
      </c>
      <c r="D73" t="s">
        <v>539</v>
      </c>
      <c r="E73">
        <v>2017</v>
      </c>
      <c r="F73">
        <v>240027</v>
      </c>
      <c r="G73" t="s">
        <v>1019</v>
      </c>
      <c r="H73" t="s">
        <v>1307</v>
      </c>
      <c r="I73" t="s">
        <v>619</v>
      </c>
      <c r="J73">
        <v>16</v>
      </c>
      <c r="K73">
        <v>72</v>
      </c>
      <c r="L73">
        <v>63</v>
      </c>
      <c r="M73">
        <v>60</v>
      </c>
      <c r="N73">
        <v>50</v>
      </c>
      <c r="O73">
        <v>69</v>
      </c>
      <c r="P73">
        <v>10</v>
      </c>
      <c r="Q73">
        <v>2</v>
      </c>
      <c r="R73">
        <v>4</v>
      </c>
      <c r="S73">
        <v>7</v>
      </c>
      <c r="T73">
        <v>0</v>
      </c>
      <c r="U73">
        <v>1</v>
      </c>
      <c r="V73">
        <v>1</v>
      </c>
      <c r="W73">
        <v>0</v>
      </c>
      <c r="X73">
        <v>0</v>
      </c>
      <c r="Y73" t="s">
        <v>113</v>
      </c>
      <c r="Z73" t="s">
        <v>1074</v>
      </c>
      <c r="AA73" t="s">
        <v>1308</v>
      </c>
      <c r="AD73">
        <v>438500</v>
      </c>
      <c r="AE73">
        <v>0</v>
      </c>
      <c r="AF73">
        <v>376300</v>
      </c>
      <c r="AG73">
        <v>118</v>
      </c>
      <c r="AH73" t="s">
        <v>118</v>
      </c>
      <c r="AI73">
        <v>5</v>
      </c>
      <c r="AJ73">
        <v>6</v>
      </c>
      <c r="AK73">
        <v>72.17</v>
      </c>
      <c r="AL73">
        <v>63.5</v>
      </c>
      <c r="AM73">
        <v>0.18</v>
      </c>
      <c r="AN73">
        <v>0.15</v>
      </c>
      <c r="AO73">
        <v>0.14000000000000001</v>
      </c>
      <c r="AP73">
        <v>449000</v>
      </c>
      <c r="AQ73">
        <v>121</v>
      </c>
      <c r="AS73">
        <v>3</v>
      </c>
      <c r="AT73">
        <v>0</v>
      </c>
      <c r="AU73">
        <v>3</v>
      </c>
      <c r="AV73">
        <v>83</v>
      </c>
      <c r="AW73">
        <v>86</v>
      </c>
      <c r="AZ73" t="b">
        <v>0</v>
      </c>
      <c r="BA73">
        <v>1758</v>
      </c>
      <c r="BB73">
        <v>1494</v>
      </c>
      <c r="BC73">
        <v>12</v>
      </c>
      <c r="BD73" t="s">
        <v>1309</v>
      </c>
      <c r="BE73">
        <v>98</v>
      </c>
      <c r="BF73">
        <v>0</v>
      </c>
      <c r="BG73">
        <v>73</v>
      </c>
      <c r="BH73">
        <v>0</v>
      </c>
      <c r="BI73" s="1" t="s">
        <v>137</v>
      </c>
      <c r="BJ73">
        <v>15.8</v>
      </c>
      <c r="BK73" s="1" t="s">
        <v>160</v>
      </c>
      <c r="BL73" s="1" t="s">
        <v>358</v>
      </c>
      <c r="BM73" s="1" t="s">
        <v>138</v>
      </c>
      <c r="BN73" s="1" t="s">
        <v>898</v>
      </c>
      <c r="BO73" s="1" t="s">
        <v>125</v>
      </c>
      <c r="BP73" s="1" t="s">
        <v>138</v>
      </c>
      <c r="BQ73">
        <v>0</v>
      </c>
      <c r="BR73">
        <v>0</v>
      </c>
      <c r="BS73" s="1" t="s">
        <v>129</v>
      </c>
      <c r="BT73" s="1" t="s">
        <v>128</v>
      </c>
      <c r="BU73" s="1" t="s">
        <v>129</v>
      </c>
      <c r="BV73">
        <v>0.2</v>
      </c>
      <c r="BW73">
        <v>0</v>
      </c>
      <c r="BX73">
        <v>0.4</v>
      </c>
      <c r="BY73" s="1" t="s">
        <v>129</v>
      </c>
      <c r="BZ73" s="1" t="s">
        <v>129</v>
      </c>
      <c r="CA73" s="1" t="s">
        <v>1310</v>
      </c>
      <c r="CB73">
        <v>0.33600000000000002</v>
      </c>
      <c r="CC73" s="1" t="s">
        <v>768</v>
      </c>
      <c r="CD73" s="1" t="s">
        <v>1311</v>
      </c>
      <c r="CE73" s="1" t="s">
        <v>1312</v>
      </c>
      <c r="CF73" s="1" t="s">
        <v>128</v>
      </c>
      <c r="CG73" s="1" t="s">
        <v>125</v>
      </c>
      <c r="CH73" s="1" t="s">
        <v>416</v>
      </c>
      <c r="CI73" s="1" t="s">
        <v>126</v>
      </c>
      <c r="CJ73" s="1" t="s">
        <v>206</v>
      </c>
      <c r="CK73" s="1" t="s">
        <v>169</v>
      </c>
      <c r="CL73" s="1" t="s">
        <v>159</v>
      </c>
      <c r="CM73">
        <v>74</v>
      </c>
      <c r="CN73">
        <v>73.2</v>
      </c>
      <c r="CO73" s="1" t="s">
        <v>1258</v>
      </c>
      <c r="CP73">
        <v>79</v>
      </c>
      <c r="CS73" s="1" t="s">
        <v>1313</v>
      </c>
      <c r="CT73" s="1" t="s">
        <v>1314</v>
      </c>
      <c r="CU73">
        <v>1707</v>
      </c>
      <c r="CV73" s="1" t="s">
        <v>1315</v>
      </c>
      <c r="CW73">
        <v>91.45</v>
      </c>
      <c r="CX73">
        <v>75.7</v>
      </c>
      <c r="CY73">
        <v>64.400000000000006</v>
      </c>
      <c r="CZ73" s="1" t="s">
        <v>1316</v>
      </c>
      <c r="DA73">
        <v>1</v>
      </c>
      <c r="DB73" t="s">
        <v>1074</v>
      </c>
      <c r="DC73">
        <v>63</v>
      </c>
      <c r="DD73">
        <v>84.141120923107195</v>
      </c>
      <c r="DE73">
        <v>-21.141120923107099</v>
      </c>
      <c r="DF73" t="e">
        <f>_xlfn.XLOOKUP(Table1[[#This Row],[Player ID]],Table2[feed_id],Table2[trade_status])</f>
        <v>#N/A</v>
      </c>
      <c r="DG73">
        <f>_xlfn.NUMBERVALUE(Table1[[#This Row],[predicted]])</f>
        <v>84.141120923107195</v>
      </c>
    </row>
    <row r="74" spans="1:111" hidden="1" x14ac:dyDescent="0.25">
      <c r="A74">
        <v>63391</v>
      </c>
      <c r="B74">
        <v>6098</v>
      </c>
      <c r="C74" t="s">
        <v>1317</v>
      </c>
      <c r="D74" t="s">
        <v>579</v>
      </c>
      <c r="E74">
        <v>2017</v>
      </c>
      <c r="F74">
        <v>250715</v>
      </c>
      <c r="G74" t="s">
        <v>1318</v>
      </c>
      <c r="H74" t="s">
        <v>1319</v>
      </c>
      <c r="I74" t="s">
        <v>391</v>
      </c>
      <c r="J74">
        <v>1</v>
      </c>
      <c r="K74">
        <v>18</v>
      </c>
      <c r="L74">
        <v>28</v>
      </c>
      <c r="M74">
        <v>20</v>
      </c>
      <c r="N74">
        <v>18</v>
      </c>
      <c r="O74">
        <v>27</v>
      </c>
      <c r="P74">
        <v>2</v>
      </c>
      <c r="Q74">
        <v>7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 t="s">
        <v>113</v>
      </c>
      <c r="Z74" t="s">
        <v>114</v>
      </c>
      <c r="AA74" t="s">
        <v>1320</v>
      </c>
      <c r="AB74" t="s">
        <v>179</v>
      </c>
      <c r="AC74" t="s">
        <v>1321</v>
      </c>
      <c r="AD74">
        <v>315400</v>
      </c>
      <c r="AE74">
        <v>0</v>
      </c>
      <c r="AF74">
        <v>309900</v>
      </c>
      <c r="AG74">
        <v>33</v>
      </c>
      <c r="AH74" t="s">
        <v>181</v>
      </c>
      <c r="AI74">
        <v>6</v>
      </c>
      <c r="AJ74">
        <v>11</v>
      </c>
      <c r="AK74">
        <v>56.82</v>
      </c>
      <c r="AL74">
        <v>58.91</v>
      </c>
      <c r="AM74">
        <v>0.86</v>
      </c>
      <c r="AN74">
        <v>1.36</v>
      </c>
      <c r="AO74">
        <v>2.09</v>
      </c>
      <c r="AP74">
        <v>327000</v>
      </c>
      <c r="AQ74">
        <v>57</v>
      </c>
      <c r="AS74">
        <v>2</v>
      </c>
      <c r="AT74">
        <v>0</v>
      </c>
      <c r="AU74">
        <v>1</v>
      </c>
      <c r="AV74">
        <v>100</v>
      </c>
      <c r="AW74">
        <v>66</v>
      </c>
      <c r="AZ74" t="b">
        <v>1</v>
      </c>
      <c r="BA74">
        <v>1743</v>
      </c>
      <c r="BB74">
        <v>1500</v>
      </c>
      <c r="BC74">
        <v>13</v>
      </c>
      <c r="BD74" t="s">
        <v>1322</v>
      </c>
      <c r="BE74">
        <v>98</v>
      </c>
      <c r="BF74">
        <v>0</v>
      </c>
      <c r="BG74">
        <v>74</v>
      </c>
      <c r="BH74">
        <v>0</v>
      </c>
      <c r="BI74">
        <v>7</v>
      </c>
      <c r="BJ74" s="1" t="s">
        <v>448</v>
      </c>
      <c r="BK74">
        <v>7</v>
      </c>
      <c r="BL74">
        <v>8.8000000000000007</v>
      </c>
      <c r="BM74" s="1" t="s">
        <v>160</v>
      </c>
      <c r="BN74">
        <v>4.2</v>
      </c>
      <c r="BO74">
        <v>2</v>
      </c>
      <c r="BP74" s="1" t="s">
        <v>304</v>
      </c>
      <c r="BQ74">
        <v>0</v>
      </c>
      <c r="BR74">
        <v>0</v>
      </c>
      <c r="BS74" s="1" t="s">
        <v>129</v>
      </c>
      <c r="BT74" s="1" t="s">
        <v>130</v>
      </c>
      <c r="BU74" s="1" t="s">
        <v>128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0.79</v>
      </c>
      <c r="CB74" s="1" t="s">
        <v>1323</v>
      </c>
      <c r="CC74" s="1" t="s">
        <v>1324</v>
      </c>
      <c r="CD74" s="1" t="s">
        <v>1325</v>
      </c>
      <c r="CE74">
        <v>1.96</v>
      </c>
      <c r="CF74" s="1" t="s">
        <v>1326</v>
      </c>
      <c r="CG74" s="1" t="s">
        <v>159</v>
      </c>
      <c r="CH74" s="1" t="s">
        <v>125</v>
      </c>
      <c r="CI74">
        <v>0</v>
      </c>
      <c r="CJ74" s="1" t="s">
        <v>213</v>
      </c>
      <c r="CK74">
        <v>1</v>
      </c>
      <c r="CL74" s="1" t="s">
        <v>214</v>
      </c>
      <c r="CM74" s="1" t="s">
        <v>554</v>
      </c>
      <c r="CN74">
        <v>80.400000000000006</v>
      </c>
      <c r="CO74">
        <v>87</v>
      </c>
      <c r="CP74" s="1" t="s">
        <v>1327</v>
      </c>
      <c r="CS74">
        <v>1555</v>
      </c>
      <c r="CT74" s="1" t="s">
        <v>1328</v>
      </c>
      <c r="CU74" s="1" t="s">
        <v>266</v>
      </c>
      <c r="CV74" s="1" t="s">
        <v>1329</v>
      </c>
      <c r="CW74">
        <v>65.45</v>
      </c>
      <c r="CX74">
        <v>60.3</v>
      </c>
      <c r="CY74">
        <v>61.8</v>
      </c>
      <c r="CZ74" s="1" t="s">
        <v>759</v>
      </c>
      <c r="DA74">
        <v>1</v>
      </c>
      <c r="DB74" t="s">
        <v>114</v>
      </c>
      <c r="DC74">
        <v>28</v>
      </c>
      <c r="DD74" s="1" t="s">
        <v>1330</v>
      </c>
      <c r="DE74">
        <v>-20.9569856715516</v>
      </c>
      <c r="DF74" t="e">
        <f>_xlfn.XLOOKUP(Table1[[#This Row],[Player ID]],Table2[feed_id],Table2[trade_status])</f>
        <v>#N/A</v>
      </c>
      <c r="DG74">
        <f>_xlfn.NUMBERVALUE(Table1[[#This Row],[predicted]])</f>
        <v>48.9569856715516</v>
      </c>
    </row>
    <row r="75" spans="1:111" hidden="1" x14ac:dyDescent="0.25">
      <c r="A75">
        <v>63431</v>
      </c>
      <c r="B75">
        <v>6099</v>
      </c>
      <c r="C75" t="s">
        <v>1331</v>
      </c>
      <c r="D75" t="s">
        <v>579</v>
      </c>
      <c r="E75">
        <v>2017</v>
      </c>
      <c r="F75">
        <v>281048</v>
      </c>
      <c r="G75" t="s">
        <v>1332</v>
      </c>
      <c r="H75" t="s">
        <v>1333</v>
      </c>
      <c r="I75" t="s">
        <v>201</v>
      </c>
      <c r="J75">
        <v>9</v>
      </c>
      <c r="K75">
        <v>53</v>
      </c>
      <c r="L75">
        <v>65</v>
      </c>
      <c r="M75">
        <v>69</v>
      </c>
      <c r="N75">
        <v>40</v>
      </c>
      <c r="O75">
        <v>54</v>
      </c>
      <c r="P75">
        <v>5</v>
      </c>
      <c r="Q75">
        <v>6</v>
      </c>
      <c r="R75">
        <v>3</v>
      </c>
      <c r="S75">
        <v>4</v>
      </c>
      <c r="T75">
        <v>0</v>
      </c>
      <c r="U75">
        <v>1</v>
      </c>
      <c r="V75">
        <v>0</v>
      </c>
      <c r="W75">
        <v>0</v>
      </c>
      <c r="X75">
        <v>0</v>
      </c>
      <c r="Y75" t="s">
        <v>113</v>
      </c>
      <c r="Z75" t="s">
        <v>525</v>
      </c>
      <c r="AA75" t="s">
        <v>1334</v>
      </c>
      <c r="AD75">
        <v>336300</v>
      </c>
      <c r="AE75">
        <v>0</v>
      </c>
      <c r="AF75">
        <v>296300</v>
      </c>
      <c r="AG75">
        <v>33</v>
      </c>
      <c r="AH75" t="s">
        <v>181</v>
      </c>
      <c r="AI75">
        <v>2</v>
      </c>
      <c r="AJ75">
        <v>7</v>
      </c>
      <c r="AK75">
        <v>54.57</v>
      </c>
      <c r="AL75">
        <v>50.57</v>
      </c>
      <c r="AM75">
        <v>0.16</v>
      </c>
      <c r="AN75">
        <v>0.11</v>
      </c>
      <c r="AO75">
        <v>0.15</v>
      </c>
      <c r="AP75">
        <v>323000</v>
      </c>
      <c r="AQ75">
        <v>47</v>
      </c>
      <c r="AS75">
        <v>4</v>
      </c>
      <c r="AT75">
        <v>0</v>
      </c>
      <c r="AU75">
        <v>0</v>
      </c>
      <c r="AV75">
        <v>90</v>
      </c>
      <c r="AW75">
        <v>67</v>
      </c>
      <c r="AZ75" t="b">
        <v>0</v>
      </c>
      <c r="BA75">
        <v>1393</v>
      </c>
      <c r="BB75">
        <v>1905</v>
      </c>
      <c r="BC75">
        <v>13</v>
      </c>
      <c r="BD75" t="s">
        <v>1335</v>
      </c>
      <c r="BE75">
        <v>98</v>
      </c>
      <c r="BF75">
        <v>0</v>
      </c>
      <c r="BG75">
        <v>74</v>
      </c>
      <c r="BH75">
        <v>0</v>
      </c>
      <c r="BI75" s="1" t="s">
        <v>253</v>
      </c>
      <c r="BJ75" s="1" t="s">
        <v>168</v>
      </c>
      <c r="BK75">
        <v>6</v>
      </c>
      <c r="BL75">
        <v>6.6</v>
      </c>
      <c r="BM75" s="1" t="s">
        <v>211</v>
      </c>
      <c r="BN75" s="1" t="s">
        <v>256</v>
      </c>
      <c r="BO75" s="1" t="s">
        <v>125</v>
      </c>
      <c r="BP75">
        <v>3.2</v>
      </c>
      <c r="BQ75">
        <v>0</v>
      </c>
      <c r="BR75">
        <v>0</v>
      </c>
      <c r="BS75" s="1" t="s">
        <v>129</v>
      </c>
      <c r="BT75" s="1" t="s">
        <v>231</v>
      </c>
      <c r="BU75">
        <v>0</v>
      </c>
      <c r="BV75">
        <v>0.8</v>
      </c>
      <c r="BW75">
        <v>0</v>
      </c>
      <c r="BX75">
        <v>0</v>
      </c>
      <c r="BY75">
        <v>0</v>
      </c>
      <c r="BZ75">
        <v>0</v>
      </c>
      <c r="CA75" s="1" t="s">
        <v>1336</v>
      </c>
      <c r="CB75" s="1" t="s">
        <v>1337</v>
      </c>
      <c r="CC75">
        <v>9.6666666666666595E-2</v>
      </c>
      <c r="CD75">
        <v>0.7</v>
      </c>
      <c r="CE75" s="1" t="s">
        <v>1338</v>
      </c>
      <c r="CF75" s="1" t="s">
        <v>1339</v>
      </c>
      <c r="CG75">
        <v>4</v>
      </c>
      <c r="CH75">
        <v>4.5999999999999996</v>
      </c>
      <c r="CI75" s="1" t="s">
        <v>129</v>
      </c>
      <c r="CJ75" s="1" t="s">
        <v>231</v>
      </c>
      <c r="CK75" s="1" t="s">
        <v>129</v>
      </c>
      <c r="CL75" s="1" t="s">
        <v>304</v>
      </c>
      <c r="CM75" s="1" t="s">
        <v>516</v>
      </c>
      <c r="CN75" s="1" t="s">
        <v>484</v>
      </c>
      <c r="CO75" s="1" t="s">
        <v>215</v>
      </c>
      <c r="CP75" s="1" t="s">
        <v>1340</v>
      </c>
      <c r="CS75">
        <v>1630</v>
      </c>
      <c r="CT75" s="1" t="s">
        <v>1341</v>
      </c>
      <c r="CU75" s="1" t="s">
        <v>1342</v>
      </c>
      <c r="CV75" s="1" t="s">
        <v>1343</v>
      </c>
      <c r="CW75">
        <v>57.7</v>
      </c>
      <c r="CX75">
        <v>54.7</v>
      </c>
      <c r="CY75">
        <v>63</v>
      </c>
      <c r="CZ75">
        <v>69</v>
      </c>
      <c r="DA75">
        <v>1</v>
      </c>
      <c r="DB75" t="s">
        <v>525</v>
      </c>
      <c r="DC75">
        <v>65</v>
      </c>
      <c r="DD75" s="1" t="s">
        <v>1344</v>
      </c>
      <c r="DE75" s="1" t="s">
        <v>1345</v>
      </c>
      <c r="DF75" t="e">
        <f>_xlfn.XLOOKUP(Table1[[#This Row],[Player ID]],Table2[feed_id],Table2[trade_status])</f>
        <v>#N/A</v>
      </c>
      <c r="DG75">
        <f>_xlfn.NUMBERVALUE(Table1[[#This Row],[predicted]])</f>
        <v>59.004673169286399</v>
      </c>
    </row>
    <row r="76" spans="1:111" hidden="1" x14ac:dyDescent="0.25">
      <c r="A76">
        <v>63494</v>
      </c>
      <c r="B76">
        <v>6100</v>
      </c>
      <c r="C76" t="s">
        <v>1346</v>
      </c>
      <c r="D76" t="s">
        <v>579</v>
      </c>
      <c r="E76">
        <v>2017</v>
      </c>
      <c r="F76">
        <v>293042</v>
      </c>
      <c r="G76" t="s">
        <v>1059</v>
      </c>
      <c r="H76" t="s">
        <v>1347</v>
      </c>
      <c r="I76" t="s">
        <v>425</v>
      </c>
      <c r="J76">
        <v>4</v>
      </c>
      <c r="K76">
        <v>52</v>
      </c>
      <c r="L76">
        <v>46</v>
      </c>
      <c r="M76">
        <v>33</v>
      </c>
      <c r="N76">
        <v>39</v>
      </c>
      <c r="O76">
        <v>57</v>
      </c>
      <c r="P76">
        <v>9</v>
      </c>
      <c r="Q76">
        <v>5</v>
      </c>
      <c r="R76">
        <v>2</v>
      </c>
      <c r="S76">
        <v>3</v>
      </c>
      <c r="T76">
        <v>0</v>
      </c>
      <c r="U76">
        <v>0</v>
      </c>
      <c r="V76">
        <v>1</v>
      </c>
      <c r="W76">
        <v>0</v>
      </c>
      <c r="X76">
        <v>0</v>
      </c>
      <c r="Y76" t="s">
        <v>113</v>
      </c>
      <c r="Z76" t="s">
        <v>525</v>
      </c>
      <c r="AA76" t="s">
        <v>1348</v>
      </c>
      <c r="AD76">
        <v>368500</v>
      </c>
      <c r="AE76">
        <v>0</v>
      </c>
      <c r="AF76">
        <v>339400</v>
      </c>
      <c r="AG76">
        <v>79</v>
      </c>
      <c r="AH76" t="s">
        <v>118</v>
      </c>
      <c r="AI76">
        <v>18</v>
      </c>
      <c r="AJ76">
        <v>1</v>
      </c>
      <c r="AK76">
        <v>98</v>
      </c>
      <c r="AL76">
        <v>61</v>
      </c>
      <c r="AM76">
        <v>0.13</v>
      </c>
      <c r="AN76">
        <v>0.1</v>
      </c>
      <c r="AO76">
        <v>0.59</v>
      </c>
      <c r="AP76">
        <v>352000</v>
      </c>
      <c r="AQ76">
        <v>46</v>
      </c>
      <c r="AS76">
        <v>3</v>
      </c>
      <c r="AT76">
        <v>0</v>
      </c>
      <c r="AU76">
        <v>1</v>
      </c>
      <c r="AV76">
        <v>85</v>
      </c>
      <c r="AW76">
        <v>54</v>
      </c>
      <c r="AZ76" t="b">
        <v>0</v>
      </c>
      <c r="BA76">
        <v>1855</v>
      </c>
      <c r="BB76">
        <v>1411</v>
      </c>
      <c r="BC76">
        <v>13</v>
      </c>
      <c r="BD76" t="s">
        <v>1349</v>
      </c>
      <c r="BE76">
        <v>98</v>
      </c>
      <c r="BF76">
        <v>0</v>
      </c>
      <c r="BG76">
        <v>74</v>
      </c>
      <c r="BH76">
        <v>0</v>
      </c>
      <c r="BI76" s="1" t="s">
        <v>276</v>
      </c>
      <c r="BJ76" s="1" t="s">
        <v>1239</v>
      </c>
      <c r="BK76" s="1" t="s">
        <v>160</v>
      </c>
      <c r="BL76" s="1" t="s">
        <v>137</v>
      </c>
      <c r="BM76" s="1" t="s">
        <v>138</v>
      </c>
      <c r="BN76" s="1" t="s">
        <v>431</v>
      </c>
      <c r="BO76" s="1" t="s">
        <v>161</v>
      </c>
      <c r="BP76" s="1" t="s">
        <v>138</v>
      </c>
      <c r="BQ76">
        <v>0</v>
      </c>
      <c r="BR76">
        <v>0</v>
      </c>
      <c r="BS76" s="1" t="s">
        <v>129</v>
      </c>
      <c r="BT76" s="1" t="s">
        <v>129</v>
      </c>
      <c r="BU76" s="1" t="s">
        <v>129</v>
      </c>
      <c r="BV76" s="1" t="s">
        <v>238</v>
      </c>
      <c r="BW76" s="1" t="s">
        <v>129</v>
      </c>
      <c r="BX76">
        <v>0.2</v>
      </c>
      <c r="BY76" s="1" t="s">
        <v>129</v>
      </c>
      <c r="BZ76">
        <v>0.2</v>
      </c>
      <c r="CA76">
        <v>0.16</v>
      </c>
      <c r="CB76">
        <v>3.9359999999999999</v>
      </c>
      <c r="CC76">
        <v>0.25</v>
      </c>
      <c r="CD76" s="1" t="s">
        <v>1350</v>
      </c>
      <c r="CE76" s="1" t="s">
        <v>1351</v>
      </c>
      <c r="CF76" s="1" t="s">
        <v>1352</v>
      </c>
      <c r="CG76" s="1" t="s">
        <v>159</v>
      </c>
      <c r="CH76" s="1" t="s">
        <v>781</v>
      </c>
      <c r="CI76">
        <v>0</v>
      </c>
      <c r="CJ76" s="1" t="s">
        <v>206</v>
      </c>
      <c r="CK76" s="1" t="s">
        <v>159</v>
      </c>
      <c r="CL76">
        <v>2.2000000000000002</v>
      </c>
      <c r="CM76" s="1" t="s">
        <v>483</v>
      </c>
      <c r="CN76" s="1" t="s">
        <v>1353</v>
      </c>
      <c r="CO76" s="1" t="s">
        <v>171</v>
      </c>
      <c r="CP76" s="1" t="s">
        <v>1354</v>
      </c>
      <c r="CS76" s="1" t="s">
        <v>1355</v>
      </c>
      <c r="CT76" s="1" t="s">
        <v>1356</v>
      </c>
      <c r="CU76" s="1" t="s">
        <v>1260</v>
      </c>
      <c r="CV76">
        <v>1653.2</v>
      </c>
      <c r="CW76">
        <v>55.75</v>
      </c>
      <c r="CX76">
        <v>60.6</v>
      </c>
      <c r="CY76">
        <v>53.8</v>
      </c>
      <c r="CZ76" s="1" t="s">
        <v>1357</v>
      </c>
      <c r="DA76">
        <v>1</v>
      </c>
      <c r="DB76" t="s">
        <v>525</v>
      </c>
      <c r="DC76">
        <v>46</v>
      </c>
      <c r="DD76" s="1" t="s">
        <v>1358</v>
      </c>
      <c r="DE76">
        <v>-14.1682360537554</v>
      </c>
      <c r="DF76" t="e">
        <f>_xlfn.XLOOKUP(Table1[[#This Row],[Player ID]],Table2[feed_id],Table2[trade_status])</f>
        <v>#N/A</v>
      </c>
      <c r="DG76">
        <f>_xlfn.NUMBERVALUE(Table1[[#This Row],[predicted]])</f>
        <v>60.1682360537554</v>
      </c>
    </row>
    <row r="77" spans="1:111" hidden="1" x14ac:dyDescent="0.25">
      <c r="A77">
        <v>63740</v>
      </c>
      <c r="B77">
        <v>6106</v>
      </c>
      <c r="C77" t="s">
        <v>1359</v>
      </c>
      <c r="D77" t="s">
        <v>1360</v>
      </c>
      <c r="E77">
        <v>2017</v>
      </c>
      <c r="F77">
        <v>294618</v>
      </c>
      <c r="G77" t="s">
        <v>1361</v>
      </c>
      <c r="H77" t="s">
        <v>1362</v>
      </c>
      <c r="I77" t="s">
        <v>201</v>
      </c>
      <c r="J77">
        <v>13</v>
      </c>
      <c r="K77">
        <v>80</v>
      </c>
      <c r="L77">
        <v>82</v>
      </c>
      <c r="M77">
        <v>49</v>
      </c>
      <c r="N77">
        <v>62</v>
      </c>
      <c r="O77">
        <v>81</v>
      </c>
      <c r="P77">
        <v>14</v>
      </c>
      <c r="Q77">
        <v>4</v>
      </c>
      <c r="R77">
        <v>7</v>
      </c>
      <c r="S77">
        <v>2</v>
      </c>
      <c r="T77">
        <v>0</v>
      </c>
      <c r="U77">
        <v>1</v>
      </c>
      <c r="V77">
        <v>0</v>
      </c>
      <c r="W77">
        <v>0</v>
      </c>
      <c r="X77">
        <v>0</v>
      </c>
      <c r="Y77" t="s">
        <v>113</v>
      </c>
      <c r="Z77" t="s">
        <v>179</v>
      </c>
      <c r="AA77" t="s">
        <v>1363</v>
      </c>
      <c r="AD77">
        <v>296800</v>
      </c>
      <c r="AE77">
        <v>0</v>
      </c>
      <c r="AF77">
        <v>290200</v>
      </c>
      <c r="AG77">
        <v>72</v>
      </c>
      <c r="AH77" t="s">
        <v>181</v>
      </c>
      <c r="AI77">
        <v>22</v>
      </c>
      <c r="AJ77">
        <v>5</v>
      </c>
      <c r="AK77">
        <v>66.400000000000006</v>
      </c>
      <c r="AL77">
        <v>58.6</v>
      </c>
      <c r="AM77">
        <v>1.65</v>
      </c>
      <c r="AN77">
        <v>0.32</v>
      </c>
      <c r="AO77">
        <v>0.66</v>
      </c>
      <c r="AP77">
        <v>358000</v>
      </c>
      <c r="AQ77">
        <v>70</v>
      </c>
      <c r="AS77">
        <v>6</v>
      </c>
      <c r="AT77">
        <v>1</v>
      </c>
      <c r="AU77">
        <v>1</v>
      </c>
      <c r="AV77">
        <v>61</v>
      </c>
      <c r="AW77">
        <v>90</v>
      </c>
      <c r="AZ77" t="b">
        <v>0</v>
      </c>
      <c r="BA77">
        <v>1732</v>
      </c>
      <c r="BB77">
        <v>1539</v>
      </c>
      <c r="BC77">
        <v>14</v>
      </c>
      <c r="BD77" t="s">
        <v>1364</v>
      </c>
      <c r="BE77" s="1" t="s">
        <v>1365</v>
      </c>
      <c r="BF77">
        <v>0</v>
      </c>
      <c r="BG77">
        <v>72.5</v>
      </c>
      <c r="BH77">
        <v>1</v>
      </c>
      <c r="BI77">
        <v>13</v>
      </c>
      <c r="BJ77" s="1" t="s">
        <v>1366</v>
      </c>
      <c r="BK77">
        <v>4</v>
      </c>
      <c r="BL77" s="1" t="s">
        <v>397</v>
      </c>
      <c r="BM77" s="1" t="s">
        <v>253</v>
      </c>
      <c r="BN77">
        <v>5.2</v>
      </c>
      <c r="BO77">
        <v>1</v>
      </c>
      <c r="BP77" s="1" t="s">
        <v>257</v>
      </c>
      <c r="BQ77">
        <v>0</v>
      </c>
      <c r="BR77">
        <v>0</v>
      </c>
      <c r="BS77">
        <v>1</v>
      </c>
      <c r="BT77" s="1" t="s">
        <v>231</v>
      </c>
      <c r="BU77">
        <v>0</v>
      </c>
      <c r="BV77">
        <v>0.6</v>
      </c>
      <c r="BW77">
        <v>0</v>
      </c>
      <c r="BX77">
        <v>0</v>
      </c>
      <c r="BY77">
        <v>0</v>
      </c>
      <c r="BZ77" s="1" t="s">
        <v>213</v>
      </c>
      <c r="CA77" s="1" t="s">
        <v>1367</v>
      </c>
      <c r="CB77" s="1" t="s">
        <v>1368</v>
      </c>
      <c r="CC77" s="1" t="s">
        <v>1284</v>
      </c>
      <c r="CD77" s="1" t="s">
        <v>1369</v>
      </c>
      <c r="CE77" s="1" t="s">
        <v>1370</v>
      </c>
      <c r="CF77" s="1" t="s">
        <v>1371</v>
      </c>
      <c r="CG77" s="1" t="s">
        <v>138</v>
      </c>
      <c r="CH77" s="1" t="s">
        <v>587</v>
      </c>
      <c r="CI77" s="1" t="s">
        <v>129</v>
      </c>
      <c r="CJ77" s="1" t="s">
        <v>130</v>
      </c>
      <c r="CK77">
        <v>1</v>
      </c>
      <c r="CL77" s="1" t="s">
        <v>566</v>
      </c>
      <c r="CM77">
        <v>69</v>
      </c>
      <c r="CN77" s="1" t="s">
        <v>753</v>
      </c>
      <c r="CO77" s="1" t="s">
        <v>437</v>
      </c>
      <c r="CP77" s="1" t="s">
        <v>1372</v>
      </c>
      <c r="CS77" s="1" t="s">
        <v>1373</v>
      </c>
      <c r="CT77">
        <v>1556.4</v>
      </c>
      <c r="CU77" s="1" t="s">
        <v>1151</v>
      </c>
      <c r="CV77">
        <v>1714.4</v>
      </c>
      <c r="CW77">
        <v>66.75</v>
      </c>
      <c r="CX77">
        <v>59.9</v>
      </c>
      <c r="CY77">
        <v>56</v>
      </c>
      <c r="CZ77">
        <v>60</v>
      </c>
      <c r="DA77">
        <v>1</v>
      </c>
      <c r="DB77" t="s">
        <v>179</v>
      </c>
      <c r="DC77">
        <v>82</v>
      </c>
      <c r="DD77" s="1" t="s">
        <v>1374</v>
      </c>
      <c r="DE77" s="1" t="s">
        <v>1375</v>
      </c>
      <c r="DF77" t="e">
        <f>_xlfn.XLOOKUP(Table1[[#This Row],[Player ID]],Table2[feed_id],Table2[trade_status])</f>
        <v>#N/A</v>
      </c>
      <c r="DG77">
        <f>_xlfn.NUMBERVALUE(Table1[[#This Row],[predicted]])</f>
        <v>58.931238855089298</v>
      </c>
    </row>
    <row r="78" spans="1:111" hidden="1" x14ac:dyDescent="0.25">
      <c r="A78">
        <v>64073</v>
      </c>
      <c r="B78">
        <v>6114</v>
      </c>
      <c r="C78" t="s">
        <v>1376</v>
      </c>
      <c r="D78" t="s">
        <v>1377</v>
      </c>
      <c r="E78">
        <v>2017</v>
      </c>
      <c r="F78">
        <v>261209</v>
      </c>
      <c r="G78" t="s">
        <v>1318</v>
      </c>
      <c r="H78" t="s">
        <v>1378</v>
      </c>
      <c r="I78" t="s">
        <v>582</v>
      </c>
      <c r="J78">
        <v>14</v>
      </c>
      <c r="K78">
        <v>57</v>
      </c>
      <c r="L78">
        <v>60</v>
      </c>
      <c r="M78">
        <v>73</v>
      </c>
      <c r="N78">
        <v>42</v>
      </c>
      <c r="O78">
        <v>54</v>
      </c>
      <c r="P78">
        <v>5</v>
      </c>
      <c r="Q78">
        <v>3</v>
      </c>
      <c r="R78">
        <v>1</v>
      </c>
      <c r="S78">
        <v>5</v>
      </c>
      <c r="T78">
        <v>0</v>
      </c>
      <c r="U78">
        <v>1</v>
      </c>
      <c r="V78">
        <v>0</v>
      </c>
      <c r="W78">
        <v>2</v>
      </c>
      <c r="X78">
        <v>0</v>
      </c>
      <c r="Y78" t="s">
        <v>113</v>
      </c>
      <c r="Z78" t="s">
        <v>861</v>
      </c>
      <c r="AA78" t="s">
        <v>1379</v>
      </c>
      <c r="AD78">
        <v>303200</v>
      </c>
      <c r="AE78">
        <v>0</v>
      </c>
      <c r="AF78">
        <v>299600</v>
      </c>
      <c r="AG78">
        <v>46</v>
      </c>
      <c r="AH78" t="s">
        <v>155</v>
      </c>
      <c r="AI78">
        <v>33</v>
      </c>
      <c r="AJ78">
        <v>10</v>
      </c>
      <c r="AK78">
        <v>60.6</v>
      </c>
      <c r="AL78">
        <v>63.7</v>
      </c>
      <c r="AM78">
        <v>0.32</v>
      </c>
      <c r="AN78">
        <v>0.3</v>
      </c>
      <c r="AO78">
        <v>0.36</v>
      </c>
      <c r="AP78">
        <v>322000</v>
      </c>
      <c r="AQ78">
        <v>62</v>
      </c>
      <c r="AS78">
        <v>3</v>
      </c>
      <c r="AT78">
        <v>0</v>
      </c>
      <c r="AU78">
        <v>2</v>
      </c>
      <c r="AV78">
        <v>75</v>
      </c>
      <c r="AW78">
        <v>66</v>
      </c>
      <c r="AZ78" t="b">
        <v>0</v>
      </c>
      <c r="BA78">
        <v>1682</v>
      </c>
      <c r="BB78">
        <v>1603</v>
      </c>
      <c r="BC78">
        <v>15</v>
      </c>
      <c r="BD78" t="s">
        <v>1380</v>
      </c>
      <c r="BE78">
        <v>98</v>
      </c>
      <c r="BF78">
        <v>0</v>
      </c>
      <c r="BG78">
        <v>74</v>
      </c>
      <c r="BH78">
        <v>0</v>
      </c>
      <c r="BI78">
        <v>6</v>
      </c>
      <c r="BJ78" s="1" t="s">
        <v>397</v>
      </c>
      <c r="BK78">
        <v>6</v>
      </c>
      <c r="BL78" s="1" t="s">
        <v>565</v>
      </c>
      <c r="BM78">
        <v>3</v>
      </c>
      <c r="BN78">
        <v>2.8</v>
      </c>
      <c r="BO78">
        <v>3</v>
      </c>
      <c r="BP78" s="1" t="s">
        <v>373</v>
      </c>
      <c r="BQ78">
        <v>0</v>
      </c>
      <c r="BR78">
        <v>0</v>
      </c>
      <c r="BS78" s="1" t="s">
        <v>129</v>
      </c>
      <c r="BT78" s="1" t="s">
        <v>130</v>
      </c>
      <c r="BU78">
        <v>0</v>
      </c>
      <c r="BV78" s="1" t="s">
        <v>184</v>
      </c>
      <c r="BW78" s="1" t="s">
        <v>126</v>
      </c>
      <c r="BX78" s="1" t="s">
        <v>126</v>
      </c>
      <c r="BY78">
        <v>0</v>
      </c>
      <c r="BZ78" s="1" t="s">
        <v>128</v>
      </c>
      <c r="CA78">
        <v>0.32</v>
      </c>
      <c r="CB78" s="1" t="s">
        <v>1381</v>
      </c>
      <c r="CC78" s="1" t="s">
        <v>1382</v>
      </c>
      <c r="CD78" s="1" t="s">
        <v>1383</v>
      </c>
      <c r="CE78" s="1" t="s">
        <v>1384</v>
      </c>
      <c r="CF78" s="1" t="s">
        <v>1385</v>
      </c>
      <c r="CG78" s="1" t="s">
        <v>211</v>
      </c>
      <c r="CH78" s="1" t="s">
        <v>256</v>
      </c>
      <c r="CI78" s="1" t="s">
        <v>129</v>
      </c>
      <c r="CJ78" s="1" t="s">
        <v>128</v>
      </c>
      <c r="CK78">
        <v>2</v>
      </c>
      <c r="CL78">
        <v>1.4</v>
      </c>
      <c r="CM78" s="1" t="s">
        <v>1242</v>
      </c>
      <c r="CN78" s="1" t="s">
        <v>1386</v>
      </c>
      <c r="CO78">
        <v>73</v>
      </c>
      <c r="CP78" s="1" t="s">
        <v>1387</v>
      </c>
      <c r="CS78" s="1" t="s">
        <v>1388</v>
      </c>
      <c r="CT78" s="1" t="s">
        <v>1389</v>
      </c>
      <c r="CU78" s="1" t="s">
        <v>1390</v>
      </c>
      <c r="CV78">
        <v>1622.4</v>
      </c>
      <c r="CW78">
        <v>57.9</v>
      </c>
      <c r="CX78">
        <v>63.6</v>
      </c>
      <c r="CY78">
        <v>57.8</v>
      </c>
      <c r="CZ78" s="1" t="s">
        <v>1391</v>
      </c>
      <c r="DA78">
        <v>1</v>
      </c>
      <c r="DB78" t="s">
        <v>861</v>
      </c>
      <c r="DC78">
        <v>60</v>
      </c>
      <c r="DD78" s="1" t="s">
        <v>1392</v>
      </c>
      <c r="DE78">
        <v>-2.9668293363995901</v>
      </c>
      <c r="DF78" t="e">
        <f>_xlfn.XLOOKUP(Table1[[#This Row],[Player ID]],Table2[feed_id],Table2[trade_status])</f>
        <v>#N/A</v>
      </c>
      <c r="DG78">
        <f>_xlfn.NUMBERVALUE(Table1[[#This Row],[predicted]])</f>
        <v>62.966829336399499</v>
      </c>
    </row>
    <row r="79" spans="1:111" hidden="1" x14ac:dyDescent="0.25">
      <c r="A79">
        <v>64637</v>
      </c>
      <c r="B79">
        <v>6127</v>
      </c>
      <c r="C79" t="s">
        <v>1393</v>
      </c>
      <c r="D79" t="s">
        <v>616</v>
      </c>
      <c r="E79">
        <v>2017</v>
      </c>
      <c r="F79">
        <v>210016</v>
      </c>
      <c r="G79" t="s">
        <v>1394</v>
      </c>
      <c r="H79" t="s">
        <v>1395</v>
      </c>
      <c r="I79" t="s">
        <v>510</v>
      </c>
      <c r="J79">
        <v>8</v>
      </c>
      <c r="K79">
        <v>33</v>
      </c>
      <c r="L79">
        <v>45</v>
      </c>
      <c r="M79">
        <v>49</v>
      </c>
      <c r="N79">
        <v>28</v>
      </c>
      <c r="O79">
        <v>48</v>
      </c>
      <c r="P79">
        <v>5</v>
      </c>
      <c r="Q79">
        <v>5</v>
      </c>
      <c r="R79">
        <v>1</v>
      </c>
      <c r="S79">
        <v>5</v>
      </c>
      <c r="T79">
        <v>0</v>
      </c>
      <c r="U79">
        <v>0</v>
      </c>
      <c r="V79">
        <v>5</v>
      </c>
      <c r="W79">
        <v>0</v>
      </c>
      <c r="X79">
        <v>0</v>
      </c>
      <c r="Y79" t="s">
        <v>113</v>
      </c>
      <c r="Z79" t="s">
        <v>877</v>
      </c>
      <c r="AA79" t="s">
        <v>1396</v>
      </c>
      <c r="AD79">
        <v>567700</v>
      </c>
      <c r="AE79">
        <v>0</v>
      </c>
      <c r="AF79">
        <v>479300</v>
      </c>
      <c r="AG79">
        <v>95</v>
      </c>
      <c r="AH79" t="s">
        <v>118</v>
      </c>
      <c r="AI79">
        <v>5</v>
      </c>
      <c r="AJ79">
        <v>0</v>
      </c>
      <c r="AK79">
        <v>0</v>
      </c>
      <c r="AL79">
        <v>0</v>
      </c>
      <c r="AM79">
        <v>0.14000000000000001</v>
      </c>
      <c r="AN79">
        <v>0.13</v>
      </c>
      <c r="AO79">
        <v>0.08</v>
      </c>
      <c r="AP79">
        <v>578000</v>
      </c>
      <c r="AQ79">
        <v>110</v>
      </c>
      <c r="AS79">
        <v>5</v>
      </c>
      <c r="AT79">
        <v>1</v>
      </c>
      <c r="AU79">
        <v>5</v>
      </c>
      <c r="AV79">
        <v>80</v>
      </c>
      <c r="AW79">
        <v>72</v>
      </c>
      <c r="AZ79" t="b">
        <v>0</v>
      </c>
      <c r="BA79">
        <v>1429</v>
      </c>
      <c r="BB79">
        <v>1832</v>
      </c>
      <c r="BC79">
        <v>17</v>
      </c>
      <c r="BD79" t="s">
        <v>1397</v>
      </c>
      <c r="BE79">
        <v>99</v>
      </c>
      <c r="BF79">
        <v>0</v>
      </c>
      <c r="BG79">
        <v>73</v>
      </c>
      <c r="BH79">
        <v>0</v>
      </c>
      <c r="BI79" s="1" t="s">
        <v>1008</v>
      </c>
      <c r="BJ79" s="1" t="s">
        <v>1398</v>
      </c>
      <c r="BK79" s="1" t="s">
        <v>183</v>
      </c>
      <c r="BL79" s="1" t="s">
        <v>157</v>
      </c>
      <c r="BM79">
        <v>3</v>
      </c>
      <c r="BN79" s="1" t="s">
        <v>237</v>
      </c>
      <c r="BO79" s="1" t="s">
        <v>253</v>
      </c>
      <c r="BP79" s="1" t="s">
        <v>253</v>
      </c>
      <c r="BQ79">
        <v>0</v>
      </c>
      <c r="BR79">
        <v>6.6666666666666596E-2</v>
      </c>
      <c r="BS79">
        <v>1</v>
      </c>
      <c r="BT79" s="1" t="s">
        <v>126</v>
      </c>
      <c r="BU79">
        <v>2</v>
      </c>
      <c r="BV79" s="1" t="s">
        <v>257</v>
      </c>
      <c r="BW79" s="1" t="s">
        <v>129</v>
      </c>
      <c r="BX79" s="1" t="s">
        <v>213</v>
      </c>
      <c r="BY79">
        <v>0</v>
      </c>
      <c r="BZ79" s="1" t="s">
        <v>213</v>
      </c>
      <c r="CA79" s="1" t="s">
        <v>1399</v>
      </c>
      <c r="CB79" s="1" t="s">
        <v>402</v>
      </c>
      <c r="CC79" s="1" t="s">
        <v>1400</v>
      </c>
      <c r="CD79">
        <v>1.032</v>
      </c>
      <c r="CE79" s="1" t="s">
        <v>1401</v>
      </c>
      <c r="CF79" s="1" t="s">
        <v>1402</v>
      </c>
      <c r="CG79" s="1" t="s">
        <v>1008</v>
      </c>
      <c r="CH79" s="1" t="s">
        <v>962</v>
      </c>
      <c r="CI79" s="1" t="s">
        <v>160</v>
      </c>
      <c r="CJ79" s="1" t="s">
        <v>449</v>
      </c>
      <c r="CK79">
        <v>5</v>
      </c>
      <c r="CL79">
        <v>3.6</v>
      </c>
      <c r="CM79" s="1" t="s">
        <v>418</v>
      </c>
      <c r="CN79">
        <v>67</v>
      </c>
      <c r="CO79">
        <v>74</v>
      </c>
      <c r="CP79" s="1" t="s">
        <v>483</v>
      </c>
      <c r="CS79" s="1" t="s">
        <v>1403</v>
      </c>
      <c r="CT79" s="1" t="s">
        <v>1404</v>
      </c>
      <c r="CU79">
        <v>1567</v>
      </c>
      <c r="CV79" s="1" t="s">
        <v>1405</v>
      </c>
      <c r="CW79">
        <v>82.75</v>
      </c>
      <c r="CX79">
        <v>83.8</v>
      </c>
      <c r="CY79">
        <v>81</v>
      </c>
      <c r="CZ79" s="1" t="s">
        <v>1406</v>
      </c>
      <c r="DA79">
        <v>1</v>
      </c>
      <c r="DB79" t="s">
        <v>877</v>
      </c>
      <c r="DC79">
        <v>45</v>
      </c>
      <c r="DD79" s="1" t="s">
        <v>1407</v>
      </c>
      <c r="DE79">
        <v>-20.514795039035398</v>
      </c>
      <c r="DF79" t="e">
        <f>_xlfn.XLOOKUP(Table1[[#This Row],[Player ID]],Table2[feed_id],Table2[trade_status])</f>
        <v>#N/A</v>
      </c>
      <c r="DG79">
        <f>_xlfn.NUMBERVALUE(Table1[[#This Row],[predicted]])</f>
        <v>65.514795039035405</v>
      </c>
    </row>
    <row r="80" spans="1:111" hidden="1" x14ac:dyDescent="0.25">
      <c r="A80">
        <v>64785</v>
      </c>
      <c r="B80">
        <v>6130</v>
      </c>
      <c r="C80" t="s">
        <v>1408</v>
      </c>
      <c r="D80" t="s">
        <v>616</v>
      </c>
      <c r="E80">
        <v>2017</v>
      </c>
      <c r="F80">
        <v>280497</v>
      </c>
      <c r="G80" t="s">
        <v>1332</v>
      </c>
      <c r="H80" t="s">
        <v>1409</v>
      </c>
      <c r="I80" t="s">
        <v>524</v>
      </c>
      <c r="J80">
        <v>5</v>
      </c>
      <c r="K80">
        <v>56</v>
      </c>
      <c r="L80">
        <v>63</v>
      </c>
      <c r="M80">
        <v>34</v>
      </c>
      <c r="N80">
        <v>44</v>
      </c>
      <c r="O80">
        <v>60</v>
      </c>
      <c r="P80">
        <v>10</v>
      </c>
      <c r="Q80">
        <v>4</v>
      </c>
      <c r="R80">
        <v>4</v>
      </c>
      <c r="S80">
        <v>2</v>
      </c>
      <c r="T80">
        <v>0</v>
      </c>
      <c r="U80">
        <v>1</v>
      </c>
      <c r="V80">
        <v>1</v>
      </c>
      <c r="W80">
        <v>0</v>
      </c>
      <c r="X80">
        <v>0</v>
      </c>
      <c r="Y80" t="s">
        <v>113</v>
      </c>
      <c r="Z80" t="s">
        <v>179</v>
      </c>
      <c r="AA80" t="s">
        <v>392</v>
      </c>
      <c r="AD80">
        <v>372400</v>
      </c>
      <c r="AE80">
        <v>0</v>
      </c>
      <c r="AF80">
        <v>351600</v>
      </c>
      <c r="AG80">
        <v>95</v>
      </c>
      <c r="AH80" t="s">
        <v>155</v>
      </c>
      <c r="AI80">
        <v>39</v>
      </c>
      <c r="AJ80">
        <v>1</v>
      </c>
      <c r="AK80">
        <v>60</v>
      </c>
      <c r="AL80">
        <v>57</v>
      </c>
      <c r="AM80">
        <v>0.03</v>
      </c>
      <c r="AN80">
        <v>0.03</v>
      </c>
      <c r="AO80">
        <v>0.03</v>
      </c>
      <c r="AP80">
        <v>375000</v>
      </c>
      <c r="AQ80">
        <v>77</v>
      </c>
      <c r="AS80">
        <v>5</v>
      </c>
      <c r="AT80">
        <v>0</v>
      </c>
      <c r="AU80">
        <v>3</v>
      </c>
      <c r="AV80">
        <v>78</v>
      </c>
      <c r="AW80">
        <v>72</v>
      </c>
      <c r="AZ80" t="b">
        <v>0</v>
      </c>
      <c r="BA80">
        <v>1785</v>
      </c>
      <c r="BB80">
        <v>1491</v>
      </c>
      <c r="BC80">
        <v>17</v>
      </c>
      <c r="BD80" t="s">
        <v>1410</v>
      </c>
      <c r="BE80">
        <v>99</v>
      </c>
      <c r="BF80">
        <v>0</v>
      </c>
      <c r="BG80">
        <v>73</v>
      </c>
      <c r="BH80">
        <v>0</v>
      </c>
      <c r="BI80" s="1" t="s">
        <v>204</v>
      </c>
      <c r="BJ80" s="1" t="s">
        <v>137</v>
      </c>
      <c r="BK80" s="1" t="s">
        <v>138</v>
      </c>
      <c r="BL80">
        <v>4.4000000000000004</v>
      </c>
      <c r="BM80">
        <v>3</v>
      </c>
      <c r="BN80" s="1" t="s">
        <v>140</v>
      </c>
      <c r="BO80">
        <v>2</v>
      </c>
      <c r="BP80" s="1" t="s">
        <v>990</v>
      </c>
      <c r="BQ80">
        <v>0</v>
      </c>
      <c r="BR80">
        <v>0</v>
      </c>
      <c r="BS80" s="1" t="s">
        <v>161</v>
      </c>
      <c r="BT80" s="1" t="s">
        <v>127</v>
      </c>
      <c r="BU80" s="1" t="s">
        <v>129</v>
      </c>
      <c r="BV80" s="1" t="s">
        <v>238</v>
      </c>
      <c r="BW80">
        <v>0</v>
      </c>
      <c r="BX80">
        <v>0.8</v>
      </c>
      <c r="BY80">
        <v>0</v>
      </c>
      <c r="BZ80" s="1" t="s">
        <v>130</v>
      </c>
      <c r="CA80" s="1" t="s">
        <v>1411</v>
      </c>
      <c r="CB80" s="1" t="s">
        <v>1412</v>
      </c>
      <c r="CC80" s="1" t="s">
        <v>1413</v>
      </c>
      <c r="CD80" s="1" t="s">
        <v>1414</v>
      </c>
      <c r="CE80" s="1" t="s">
        <v>1415</v>
      </c>
      <c r="CF80" s="1" t="s">
        <v>1416</v>
      </c>
      <c r="CG80" s="1" t="s">
        <v>160</v>
      </c>
      <c r="CH80">
        <v>5.2</v>
      </c>
      <c r="CI80">
        <v>1</v>
      </c>
      <c r="CJ80">
        <v>1</v>
      </c>
      <c r="CK80">
        <v>1</v>
      </c>
      <c r="CL80" s="1" t="s">
        <v>566</v>
      </c>
      <c r="CM80">
        <v>86</v>
      </c>
      <c r="CN80">
        <v>72</v>
      </c>
      <c r="CO80" s="1" t="s">
        <v>681</v>
      </c>
      <c r="CP80" s="1" t="s">
        <v>1417</v>
      </c>
      <c r="CS80" s="1" t="s">
        <v>1418</v>
      </c>
      <c r="CT80">
        <v>1557.4</v>
      </c>
      <c r="CU80">
        <v>1624</v>
      </c>
      <c r="CV80" s="1" t="s">
        <v>1419</v>
      </c>
      <c r="CW80">
        <v>63.1</v>
      </c>
      <c r="CX80">
        <v>68.5</v>
      </c>
      <c r="CY80">
        <v>56.2</v>
      </c>
      <c r="CZ80">
        <v>51</v>
      </c>
      <c r="DA80">
        <v>1</v>
      </c>
      <c r="DB80" t="s">
        <v>179</v>
      </c>
      <c r="DC80">
        <v>63</v>
      </c>
      <c r="DD80">
        <v>52.730255566035503</v>
      </c>
      <c r="DE80" s="1" t="s">
        <v>1420</v>
      </c>
      <c r="DF80" t="e">
        <f>_xlfn.XLOOKUP(Table1[[#This Row],[Player ID]],Table2[feed_id],Table2[trade_status])</f>
        <v>#N/A</v>
      </c>
      <c r="DG80">
        <f>_xlfn.NUMBERVALUE(Table1[[#This Row],[predicted]])</f>
        <v>52.730255566035503</v>
      </c>
    </row>
    <row r="81" spans="1:111" hidden="1" x14ac:dyDescent="0.25">
      <c r="A81">
        <v>64830</v>
      </c>
      <c r="B81">
        <v>6131</v>
      </c>
      <c r="C81" t="s">
        <v>1421</v>
      </c>
      <c r="D81" t="s">
        <v>616</v>
      </c>
      <c r="E81">
        <v>2017</v>
      </c>
      <c r="F81">
        <v>280822</v>
      </c>
      <c r="G81" t="s">
        <v>1422</v>
      </c>
      <c r="H81" t="s">
        <v>1423</v>
      </c>
      <c r="I81" t="s">
        <v>317</v>
      </c>
      <c r="J81">
        <v>3</v>
      </c>
      <c r="K81">
        <v>33</v>
      </c>
      <c r="L81">
        <v>53</v>
      </c>
      <c r="M81">
        <v>28</v>
      </c>
      <c r="N81">
        <v>28</v>
      </c>
      <c r="O81">
        <v>39</v>
      </c>
      <c r="P81">
        <v>3</v>
      </c>
      <c r="Q81">
        <v>7</v>
      </c>
      <c r="R81">
        <v>2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113</v>
      </c>
      <c r="Z81" t="s">
        <v>525</v>
      </c>
      <c r="AA81" t="s">
        <v>1424</v>
      </c>
      <c r="AD81">
        <v>420500</v>
      </c>
      <c r="AE81">
        <v>0</v>
      </c>
      <c r="AF81">
        <v>378000</v>
      </c>
      <c r="AG81">
        <v>175</v>
      </c>
      <c r="AH81" t="s">
        <v>181</v>
      </c>
      <c r="AI81">
        <v>28</v>
      </c>
      <c r="AJ81">
        <v>1</v>
      </c>
      <c r="AK81">
        <v>16</v>
      </c>
      <c r="AL81">
        <v>25</v>
      </c>
      <c r="AM81">
        <v>0.11</v>
      </c>
      <c r="AN81">
        <v>0.21</v>
      </c>
      <c r="AO81">
        <v>3.91</v>
      </c>
      <c r="AP81">
        <v>399000</v>
      </c>
      <c r="AQ81">
        <v>121</v>
      </c>
      <c r="AS81">
        <v>5</v>
      </c>
      <c r="AT81">
        <v>0</v>
      </c>
      <c r="AU81">
        <v>1</v>
      </c>
      <c r="AV81">
        <v>90</v>
      </c>
      <c r="AW81">
        <v>86</v>
      </c>
      <c r="AZ81" t="b">
        <v>0</v>
      </c>
      <c r="BA81">
        <v>1928</v>
      </c>
      <c r="BB81">
        <v>1350</v>
      </c>
      <c r="BC81">
        <v>17</v>
      </c>
      <c r="BD81" t="s">
        <v>1425</v>
      </c>
      <c r="BE81">
        <v>99</v>
      </c>
      <c r="BF81">
        <v>0</v>
      </c>
      <c r="BG81">
        <v>73</v>
      </c>
      <c r="BH81">
        <v>0</v>
      </c>
      <c r="BI81" s="1" t="s">
        <v>545</v>
      </c>
      <c r="BJ81" s="1" t="s">
        <v>1426</v>
      </c>
      <c r="BK81">
        <v>10</v>
      </c>
      <c r="BL81" s="1" t="s">
        <v>396</v>
      </c>
      <c r="BM81">
        <v>5</v>
      </c>
      <c r="BN81">
        <v>6</v>
      </c>
      <c r="BO81" s="1" t="s">
        <v>161</v>
      </c>
      <c r="BP81" s="1" t="s">
        <v>275</v>
      </c>
      <c r="BQ81">
        <v>0</v>
      </c>
      <c r="BR81">
        <v>0</v>
      </c>
      <c r="BS81">
        <v>0</v>
      </c>
      <c r="BT81" s="1" t="s">
        <v>184</v>
      </c>
      <c r="BU81">
        <v>0</v>
      </c>
      <c r="BV81" s="1" t="s">
        <v>231</v>
      </c>
      <c r="BW81">
        <v>0</v>
      </c>
      <c r="BX81">
        <v>6.6666666666666596E-2</v>
      </c>
      <c r="BY81">
        <v>0</v>
      </c>
      <c r="BZ81">
        <v>0</v>
      </c>
      <c r="CA81" s="1" t="s">
        <v>1427</v>
      </c>
      <c r="CB81" s="1" t="s">
        <v>1428</v>
      </c>
      <c r="CC81" s="1" t="s">
        <v>1429</v>
      </c>
      <c r="CD81" s="1" t="s">
        <v>1430</v>
      </c>
      <c r="CE81" s="1" t="s">
        <v>1431</v>
      </c>
      <c r="CF81" s="1" t="s">
        <v>1432</v>
      </c>
      <c r="CG81" s="1" t="s">
        <v>160</v>
      </c>
      <c r="CH81" s="1" t="s">
        <v>565</v>
      </c>
      <c r="CI81" s="1" t="s">
        <v>128</v>
      </c>
      <c r="CJ81" s="1" t="s">
        <v>128</v>
      </c>
      <c r="CK81" s="1" t="s">
        <v>129</v>
      </c>
      <c r="CL81" s="1" t="s">
        <v>206</v>
      </c>
      <c r="CM81">
        <v>88</v>
      </c>
      <c r="CN81">
        <v>85.6</v>
      </c>
      <c r="CO81" s="1" t="s">
        <v>406</v>
      </c>
      <c r="CP81" s="1" t="s">
        <v>1433</v>
      </c>
      <c r="CS81">
        <v>1407</v>
      </c>
      <c r="CT81">
        <v>1605.2</v>
      </c>
      <c r="CU81" s="1" t="s">
        <v>1434</v>
      </c>
      <c r="CV81" s="1" t="s">
        <v>1435</v>
      </c>
      <c r="CW81">
        <v>67.7</v>
      </c>
      <c r="CX81">
        <v>73.2</v>
      </c>
      <c r="CY81">
        <v>68.599999999999994</v>
      </c>
      <c r="CZ81" s="1" t="s">
        <v>683</v>
      </c>
      <c r="DA81">
        <v>1</v>
      </c>
      <c r="DB81" t="s">
        <v>525</v>
      </c>
      <c r="DC81">
        <v>53</v>
      </c>
      <c r="DD81">
        <v>68.137722164478205</v>
      </c>
      <c r="DE81">
        <v>-15.1377221644782</v>
      </c>
      <c r="DF81" t="e">
        <f>_xlfn.XLOOKUP(Table1[[#This Row],[Player ID]],Table2[feed_id],Table2[trade_status])</f>
        <v>#N/A</v>
      </c>
      <c r="DG81">
        <f>_xlfn.NUMBERVALUE(Table1[[#This Row],[predicted]])</f>
        <v>68.137722164478205</v>
      </c>
    </row>
    <row r="82" spans="1:111" hidden="1" x14ac:dyDescent="0.25">
      <c r="A82">
        <v>65195</v>
      </c>
      <c r="B82">
        <v>6140</v>
      </c>
      <c r="C82" t="s">
        <v>1436</v>
      </c>
      <c r="D82" t="s">
        <v>653</v>
      </c>
      <c r="E82">
        <v>2017</v>
      </c>
      <c r="F82">
        <v>280726</v>
      </c>
      <c r="G82" t="s">
        <v>1437</v>
      </c>
      <c r="H82" t="s">
        <v>1438</v>
      </c>
      <c r="I82" t="s">
        <v>1089</v>
      </c>
      <c r="J82">
        <v>1</v>
      </c>
      <c r="K82">
        <v>32</v>
      </c>
      <c r="L82">
        <v>28</v>
      </c>
      <c r="M82">
        <v>39</v>
      </c>
      <c r="N82">
        <v>26</v>
      </c>
      <c r="O82">
        <v>34</v>
      </c>
      <c r="P82">
        <v>4</v>
      </c>
      <c r="Q82">
        <v>5</v>
      </c>
      <c r="R82">
        <v>1</v>
      </c>
      <c r="S82">
        <v>1</v>
      </c>
      <c r="T82">
        <v>0</v>
      </c>
      <c r="U82">
        <v>2</v>
      </c>
      <c r="V82">
        <v>0</v>
      </c>
      <c r="W82">
        <v>0</v>
      </c>
      <c r="X82">
        <v>1</v>
      </c>
      <c r="Y82" t="s">
        <v>113</v>
      </c>
      <c r="Z82" t="s">
        <v>542</v>
      </c>
      <c r="AA82" t="s">
        <v>1439</v>
      </c>
      <c r="AB82" t="s">
        <v>525</v>
      </c>
      <c r="AC82" t="s">
        <v>1440</v>
      </c>
      <c r="AD82">
        <v>300000</v>
      </c>
      <c r="AE82">
        <v>0</v>
      </c>
      <c r="AF82">
        <v>245800</v>
      </c>
      <c r="AG82">
        <v>40</v>
      </c>
      <c r="AH82" t="s">
        <v>181</v>
      </c>
      <c r="AI82">
        <v>25</v>
      </c>
      <c r="AJ82">
        <v>2</v>
      </c>
      <c r="AK82">
        <v>48.5</v>
      </c>
      <c r="AL82">
        <v>53</v>
      </c>
      <c r="AM82">
        <v>0.31</v>
      </c>
      <c r="AN82">
        <v>0.9</v>
      </c>
      <c r="AO82">
        <v>0.32</v>
      </c>
      <c r="AP82">
        <v>314000</v>
      </c>
      <c r="AQ82">
        <v>66</v>
      </c>
      <c r="AS82">
        <v>3</v>
      </c>
      <c r="AT82">
        <v>1</v>
      </c>
      <c r="AU82">
        <v>1</v>
      </c>
      <c r="AV82">
        <v>66</v>
      </c>
      <c r="AW82">
        <v>78</v>
      </c>
      <c r="AZ82" t="b">
        <v>0</v>
      </c>
      <c r="BA82">
        <v>1692</v>
      </c>
      <c r="BB82">
        <v>1587</v>
      </c>
      <c r="BC82">
        <v>18</v>
      </c>
      <c r="BD82" t="s">
        <v>1441</v>
      </c>
      <c r="BE82">
        <v>98</v>
      </c>
      <c r="BF82">
        <v>0</v>
      </c>
      <c r="BG82">
        <v>76</v>
      </c>
      <c r="BH82">
        <v>0</v>
      </c>
      <c r="BI82" s="1" t="s">
        <v>204</v>
      </c>
      <c r="BJ82" s="1" t="s">
        <v>1442</v>
      </c>
      <c r="BK82" s="1" t="s">
        <v>294</v>
      </c>
      <c r="BL82" s="1" t="s">
        <v>358</v>
      </c>
      <c r="BM82">
        <v>3</v>
      </c>
      <c r="BN82">
        <v>3.4</v>
      </c>
      <c r="BO82">
        <v>4</v>
      </c>
      <c r="BP82">
        <v>4</v>
      </c>
      <c r="BQ82">
        <v>0</v>
      </c>
      <c r="BR82">
        <v>0</v>
      </c>
      <c r="BS82">
        <v>1</v>
      </c>
      <c r="BT82" s="1" t="s">
        <v>162</v>
      </c>
      <c r="BU82" s="1" t="s">
        <v>129</v>
      </c>
      <c r="BV82" s="1" t="s">
        <v>162</v>
      </c>
      <c r="BW82" s="1" t="s">
        <v>129</v>
      </c>
      <c r="BX82">
        <v>0.2</v>
      </c>
      <c r="BY82" s="1" t="s">
        <v>128</v>
      </c>
      <c r="BZ82" s="1" t="s">
        <v>184</v>
      </c>
      <c r="CA82" s="1" t="s">
        <v>570</v>
      </c>
      <c r="CB82">
        <v>0.86199999999999999</v>
      </c>
      <c r="CC82" s="1" t="s">
        <v>715</v>
      </c>
      <c r="CD82" s="1" t="s">
        <v>1443</v>
      </c>
      <c r="CE82" s="1" t="s">
        <v>1444</v>
      </c>
      <c r="CF82" s="1" t="s">
        <v>1445</v>
      </c>
      <c r="CG82" s="1" t="s">
        <v>124</v>
      </c>
      <c r="CH82">
        <v>5</v>
      </c>
      <c r="CI82">
        <v>2</v>
      </c>
      <c r="CJ82" s="1" t="s">
        <v>298</v>
      </c>
      <c r="CK82" s="1" t="s">
        <v>161</v>
      </c>
      <c r="CL82" s="1" t="s">
        <v>159</v>
      </c>
      <c r="CM82">
        <v>69</v>
      </c>
      <c r="CN82">
        <v>69.8</v>
      </c>
      <c r="CO82">
        <v>78</v>
      </c>
      <c r="CP82">
        <v>81.8</v>
      </c>
      <c r="CS82" s="1" t="s">
        <v>1029</v>
      </c>
      <c r="CT82" s="1" t="s">
        <v>1446</v>
      </c>
      <c r="CU82">
        <v>1689</v>
      </c>
      <c r="CV82" s="1" t="s">
        <v>1447</v>
      </c>
      <c r="CW82">
        <v>63.65</v>
      </c>
      <c r="CX82">
        <v>61.1</v>
      </c>
      <c r="CY82">
        <v>55.2</v>
      </c>
      <c r="CZ82" s="1" t="s">
        <v>329</v>
      </c>
      <c r="DA82">
        <v>1</v>
      </c>
      <c r="DB82" t="s">
        <v>542</v>
      </c>
      <c r="DC82">
        <v>28</v>
      </c>
      <c r="DD82" s="1" t="s">
        <v>1448</v>
      </c>
      <c r="DE82">
        <v>-28.579295621341299</v>
      </c>
      <c r="DF82" t="e">
        <f>_xlfn.XLOOKUP(Table1[[#This Row],[Player ID]],Table2[feed_id],Table2[trade_status])</f>
        <v>#N/A</v>
      </c>
      <c r="DG82">
        <f>_xlfn.NUMBERVALUE(Table1[[#This Row],[predicted]])</f>
        <v>56.579295621341302</v>
      </c>
    </row>
    <row r="83" spans="1:111" hidden="1" x14ac:dyDescent="0.25">
      <c r="A83">
        <v>65320</v>
      </c>
      <c r="B83">
        <v>6143</v>
      </c>
      <c r="C83" t="s">
        <v>1449</v>
      </c>
      <c r="D83" t="s">
        <v>653</v>
      </c>
      <c r="E83">
        <v>2017</v>
      </c>
      <c r="F83">
        <v>271433</v>
      </c>
      <c r="G83" t="s">
        <v>1450</v>
      </c>
      <c r="H83" t="s">
        <v>1451</v>
      </c>
      <c r="I83" t="s">
        <v>249</v>
      </c>
      <c r="J83">
        <v>15</v>
      </c>
      <c r="K83">
        <v>54</v>
      </c>
      <c r="L83">
        <v>62</v>
      </c>
      <c r="M83">
        <v>75</v>
      </c>
      <c r="N83">
        <v>40</v>
      </c>
      <c r="O83">
        <v>54</v>
      </c>
      <c r="P83">
        <v>4</v>
      </c>
      <c r="Q83">
        <v>3</v>
      </c>
      <c r="R83">
        <v>5</v>
      </c>
      <c r="S83">
        <v>6</v>
      </c>
      <c r="T83">
        <v>0</v>
      </c>
      <c r="U83">
        <v>0</v>
      </c>
      <c r="V83">
        <v>1</v>
      </c>
      <c r="W83">
        <v>0</v>
      </c>
      <c r="X83">
        <v>0</v>
      </c>
      <c r="Y83" t="s">
        <v>113</v>
      </c>
      <c r="Z83" t="s">
        <v>114</v>
      </c>
      <c r="AA83" t="s">
        <v>1452</v>
      </c>
      <c r="AB83" t="s">
        <v>179</v>
      </c>
      <c r="AC83" t="s">
        <v>1453</v>
      </c>
      <c r="AD83">
        <v>330600</v>
      </c>
      <c r="AE83">
        <v>0</v>
      </c>
      <c r="AF83">
        <v>344300</v>
      </c>
      <c r="AG83">
        <v>114</v>
      </c>
      <c r="AH83" t="s">
        <v>181</v>
      </c>
      <c r="AI83">
        <v>44</v>
      </c>
      <c r="AJ83">
        <v>6</v>
      </c>
      <c r="AK83">
        <v>58.83</v>
      </c>
      <c r="AL83">
        <v>68.67</v>
      </c>
      <c r="AM83">
        <v>0.21</v>
      </c>
      <c r="AN83">
        <v>0.77</v>
      </c>
      <c r="AO83">
        <v>0.5</v>
      </c>
      <c r="AP83">
        <v>332000</v>
      </c>
      <c r="AQ83">
        <v>90</v>
      </c>
      <c r="AS83">
        <v>4</v>
      </c>
      <c r="AT83">
        <v>0</v>
      </c>
      <c r="AU83">
        <v>1</v>
      </c>
      <c r="AV83">
        <v>100</v>
      </c>
      <c r="AW83">
        <v>60</v>
      </c>
      <c r="AZ83" t="b">
        <v>1</v>
      </c>
      <c r="BA83">
        <v>1750</v>
      </c>
      <c r="BB83">
        <v>1536</v>
      </c>
      <c r="BC83">
        <v>18</v>
      </c>
      <c r="BD83" t="s">
        <v>1454</v>
      </c>
      <c r="BE83">
        <v>98</v>
      </c>
      <c r="BF83">
        <v>0</v>
      </c>
      <c r="BG83">
        <v>76</v>
      </c>
      <c r="BH83">
        <v>0</v>
      </c>
      <c r="BI83" s="1" t="s">
        <v>124</v>
      </c>
      <c r="BJ83">
        <v>7</v>
      </c>
      <c r="BK83" s="1" t="s">
        <v>159</v>
      </c>
      <c r="BL83">
        <v>4.4000000000000004</v>
      </c>
      <c r="BM83" s="1" t="s">
        <v>169</v>
      </c>
      <c r="BN83" s="1" t="s">
        <v>781</v>
      </c>
      <c r="BO83" s="1" t="s">
        <v>160</v>
      </c>
      <c r="BP83" s="1" t="s">
        <v>138</v>
      </c>
      <c r="BQ83">
        <v>0</v>
      </c>
      <c r="BR83">
        <v>0</v>
      </c>
      <c r="BS83">
        <v>1</v>
      </c>
      <c r="BT83" s="1" t="s">
        <v>127</v>
      </c>
      <c r="BU83" s="1" t="s">
        <v>128</v>
      </c>
      <c r="BV83">
        <v>1.4</v>
      </c>
      <c r="BW83">
        <v>0</v>
      </c>
      <c r="BX83">
        <v>0</v>
      </c>
      <c r="BY83">
        <v>0</v>
      </c>
      <c r="BZ83">
        <v>0</v>
      </c>
      <c r="CA83" s="1" t="s">
        <v>1455</v>
      </c>
      <c r="CB83" s="1" t="s">
        <v>1456</v>
      </c>
      <c r="CC83">
        <v>1.24</v>
      </c>
      <c r="CD83" s="1" t="s">
        <v>1457</v>
      </c>
      <c r="CE83" s="1" t="s">
        <v>1458</v>
      </c>
      <c r="CF83">
        <v>0.7</v>
      </c>
      <c r="CG83" s="1" t="s">
        <v>211</v>
      </c>
      <c r="CH83">
        <v>5</v>
      </c>
      <c r="CI83" s="1" t="s">
        <v>129</v>
      </c>
      <c r="CJ83">
        <v>6.6666666666666596E-2</v>
      </c>
      <c r="CK83">
        <v>2</v>
      </c>
      <c r="CL83" s="1" t="s">
        <v>169</v>
      </c>
      <c r="CM83" s="1" t="s">
        <v>1459</v>
      </c>
      <c r="CN83" s="1" t="s">
        <v>1460</v>
      </c>
      <c r="CO83" s="1" t="s">
        <v>687</v>
      </c>
      <c r="CP83">
        <v>81.2</v>
      </c>
      <c r="CS83" s="1" t="s">
        <v>790</v>
      </c>
      <c r="CT83">
        <v>1616.8</v>
      </c>
      <c r="CU83">
        <v>1642</v>
      </c>
      <c r="CV83" s="1" t="s">
        <v>1461</v>
      </c>
      <c r="CW83">
        <v>58.35</v>
      </c>
      <c r="CX83">
        <v>66.400000000000006</v>
      </c>
      <c r="CY83">
        <v>62.6</v>
      </c>
      <c r="CZ83">
        <v>51</v>
      </c>
      <c r="DA83">
        <v>1</v>
      </c>
      <c r="DB83" t="s">
        <v>114</v>
      </c>
      <c r="DC83">
        <v>62</v>
      </c>
      <c r="DD83" s="1" t="s">
        <v>1462</v>
      </c>
      <c r="DE83" s="1" t="s">
        <v>1463</v>
      </c>
      <c r="DF83" t="e">
        <f>_xlfn.XLOOKUP(Table1[[#This Row],[Player ID]],Table2[feed_id],Table2[trade_status])</f>
        <v>#N/A</v>
      </c>
      <c r="DG83">
        <f>_xlfn.NUMBERVALUE(Table1[[#This Row],[predicted]])</f>
        <v>41.768903007162997</v>
      </c>
    </row>
    <row r="84" spans="1:111" hidden="1" x14ac:dyDescent="0.25">
      <c r="A84">
        <v>65326</v>
      </c>
      <c r="B84">
        <v>6143</v>
      </c>
      <c r="C84" t="s">
        <v>1449</v>
      </c>
      <c r="D84" t="s">
        <v>653</v>
      </c>
      <c r="E84">
        <v>2017</v>
      </c>
      <c r="F84">
        <v>293662</v>
      </c>
      <c r="G84" t="s">
        <v>1464</v>
      </c>
      <c r="H84" t="s">
        <v>1465</v>
      </c>
      <c r="I84" t="s">
        <v>249</v>
      </c>
      <c r="J84">
        <v>1</v>
      </c>
      <c r="K84">
        <v>16</v>
      </c>
      <c r="L84">
        <v>26</v>
      </c>
      <c r="M84">
        <v>21</v>
      </c>
      <c r="N84">
        <v>14</v>
      </c>
      <c r="O84">
        <v>21</v>
      </c>
      <c r="P84">
        <v>4</v>
      </c>
      <c r="Q84">
        <v>2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 t="s">
        <v>113</v>
      </c>
      <c r="Z84" t="s">
        <v>542</v>
      </c>
      <c r="AA84" t="s">
        <v>1466</v>
      </c>
      <c r="AB84" t="s">
        <v>861</v>
      </c>
      <c r="AD84">
        <v>250700</v>
      </c>
      <c r="AE84">
        <v>0</v>
      </c>
      <c r="AF84">
        <v>229000</v>
      </c>
      <c r="AG84">
        <v>79</v>
      </c>
      <c r="AH84" t="s">
        <v>155</v>
      </c>
      <c r="AI84">
        <v>19</v>
      </c>
      <c r="AJ84">
        <v>3</v>
      </c>
      <c r="AK84">
        <v>34.67</v>
      </c>
      <c r="AL84">
        <v>28</v>
      </c>
      <c r="AM84">
        <v>0.13</v>
      </c>
      <c r="AN84">
        <v>0.16</v>
      </c>
      <c r="AO84">
        <v>0.05</v>
      </c>
      <c r="AP84">
        <v>247000</v>
      </c>
      <c r="AQ84">
        <v>68</v>
      </c>
      <c r="AS84">
        <v>3</v>
      </c>
      <c r="AT84">
        <v>0</v>
      </c>
      <c r="AU84">
        <v>1</v>
      </c>
      <c r="AV84">
        <v>100</v>
      </c>
      <c r="AW84">
        <v>69</v>
      </c>
      <c r="AZ84" t="b">
        <v>0</v>
      </c>
      <c r="BA84">
        <v>1750</v>
      </c>
      <c r="BB84">
        <v>1536</v>
      </c>
      <c r="BC84">
        <v>18</v>
      </c>
      <c r="BD84" t="s">
        <v>1454</v>
      </c>
      <c r="BE84">
        <v>98</v>
      </c>
      <c r="BF84">
        <v>0</v>
      </c>
      <c r="BG84">
        <v>76</v>
      </c>
      <c r="BH84">
        <v>0</v>
      </c>
      <c r="BI84" s="1" t="s">
        <v>211</v>
      </c>
      <c r="BJ84" s="1" t="s">
        <v>416</v>
      </c>
      <c r="BK84">
        <v>2</v>
      </c>
      <c r="BL84" s="1" t="s">
        <v>138</v>
      </c>
      <c r="BM84" s="1" t="s">
        <v>126</v>
      </c>
      <c r="BN84" s="1" t="s">
        <v>214</v>
      </c>
      <c r="BO84">
        <v>1</v>
      </c>
      <c r="BP84">
        <v>2.2000000000000002</v>
      </c>
      <c r="BQ84">
        <v>0</v>
      </c>
      <c r="BR84">
        <v>0</v>
      </c>
      <c r="BS84">
        <v>0</v>
      </c>
      <c r="BT84" s="1" t="s">
        <v>399</v>
      </c>
      <c r="BU84">
        <v>1</v>
      </c>
      <c r="BV84" s="1" t="s">
        <v>129</v>
      </c>
      <c r="BW84" s="1" t="s">
        <v>129</v>
      </c>
      <c r="BX84" s="1" t="s">
        <v>129</v>
      </c>
      <c r="BY84" s="1" t="s">
        <v>129</v>
      </c>
      <c r="BZ84" s="1" t="s">
        <v>129</v>
      </c>
      <c r="CA84" s="1" t="s">
        <v>1467</v>
      </c>
      <c r="CB84" s="1" t="s">
        <v>1468</v>
      </c>
      <c r="CC84">
        <v>0.16</v>
      </c>
      <c r="CD84" s="1" t="s">
        <v>1469</v>
      </c>
      <c r="CE84">
        <v>0.05</v>
      </c>
      <c r="CF84" s="1" t="s">
        <v>1470</v>
      </c>
      <c r="CG84">
        <v>2</v>
      </c>
      <c r="CH84" s="1" t="s">
        <v>138</v>
      </c>
      <c r="CI84">
        <v>0</v>
      </c>
      <c r="CJ84" s="1" t="s">
        <v>129</v>
      </c>
      <c r="CK84" s="1" t="s">
        <v>161</v>
      </c>
      <c r="CL84" s="1" t="s">
        <v>257</v>
      </c>
      <c r="CM84" s="1" t="s">
        <v>418</v>
      </c>
      <c r="CN84" s="1" t="s">
        <v>1471</v>
      </c>
      <c r="CO84" s="1" t="s">
        <v>822</v>
      </c>
      <c r="CP84" s="1" t="s">
        <v>1472</v>
      </c>
      <c r="CS84" s="1" t="s">
        <v>1473</v>
      </c>
      <c r="CT84" s="1" t="s">
        <v>1474</v>
      </c>
      <c r="CU84">
        <v>1641</v>
      </c>
      <c r="CV84" s="1" t="s">
        <v>1475</v>
      </c>
      <c r="CW84">
        <v>43.7</v>
      </c>
      <c r="CX84">
        <v>40.299999999999997</v>
      </c>
      <c r="CY84">
        <v>32.4</v>
      </c>
      <c r="CZ84" s="1" t="s">
        <v>1476</v>
      </c>
      <c r="DA84">
        <v>1</v>
      </c>
      <c r="DB84" t="s">
        <v>542</v>
      </c>
      <c r="DC84">
        <v>26</v>
      </c>
      <c r="DD84" s="1" t="s">
        <v>1477</v>
      </c>
      <c r="DE84">
        <v>-12.5402741207915</v>
      </c>
      <c r="DF84" t="e">
        <f>_xlfn.XLOOKUP(Table1[[#This Row],[Player ID]],Table2[feed_id],Table2[trade_status])</f>
        <v>#N/A</v>
      </c>
      <c r="DG84">
        <f>_xlfn.NUMBERVALUE(Table1[[#This Row],[predicted]])</f>
        <v>38.540274120791501</v>
      </c>
    </row>
    <row r="85" spans="1:111" hidden="1" x14ac:dyDescent="0.25">
      <c r="A85">
        <v>65590</v>
      </c>
      <c r="B85">
        <v>6149</v>
      </c>
      <c r="C85" t="s">
        <v>1478</v>
      </c>
      <c r="D85" t="s">
        <v>690</v>
      </c>
      <c r="E85">
        <v>2017</v>
      </c>
      <c r="F85">
        <v>220075</v>
      </c>
      <c r="G85" t="s">
        <v>1479</v>
      </c>
      <c r="H85" t="s">
        <v>1480</v>
      </c>
      <c r="I85" t="s">
        <v>152</v>
      </c>
      <c r="J85">
        <v>14</v>
      </c>
      <c r="K85">
        <v>87</v>
      </c>
      <c r="L85">
        <v>91</v>
      </c>
      <c r="M85">
        <v>60</v>
      </c>
      <c r="N85">
        <v>68</v>
      </c>
      <c r="O85">
        <v>90</v>
      </c>
      <c r="P85">
        <v>13</v>
      </c>
      <c r="Q85">
        <v>8</v>
      </c>
      <c r="R85">
        <v>6</v>
      </c>
      <c r="S85">
        <v>3</v>
      </c>
      <c r="T85">
        <v>0</v>
      </c>
      <c r="U85">
        <v>2</v>
      </c>
      <c r="V85">
        <v>0</v>
      </c>
      <c r="W85">
        <v>0</v>
      </c>
      <c r="X85">
        <v>0</v>
      </c>
      <c r="Y85" t="s">
        <v>113</v>
      </c>
      <c r="Z85" t="s">
        <v>114</v>
      </c>
      <c r="AA85" t="s">
        <v>1481</v>
      </c>
      <c r="AB85" t="s">
        <v>226</v>
      </c>
      <c r="AC85" t="s">
        <v>1482</v>
      </c>
      <c r="AD85">
        <v>533700</v>
      </c>
      <c r="AE85">
        <v>0</v>
      </c>
      <c r="AF85">
        <v>437900</v>
      </c>
      <c r="AG85">
        <v>99</v>
      </c>
      <c r="AH85" t="s">
        <v>181</v>
      </c>
      <c r="AI85">
        <v>11</v>
      </c>
      <c r="AJ85">
        <v>15</v>
      </c>
      <c r="AK85">
        <v>98.33</v>
      </c>
      <c r="AL85">
        <v>89.4</v>
      </c>
      <c r="AM85">
        <v>5.2</v>
      </c>
      <c r="AN85">
        <v>2.2999999999999998</v>
      </c>
      <c r="AO85">
        <v>4.22</v>
      </c>
      <c r="AP85">
        <v>547000</v>
      </c>
      <c r="AQ85">
        <v>113</v>
      </c>
      <c r="AS85">
        <v>6</v>
      </c>
      <c r="AT85">
        <v>0</v>
      </c>
      <c r="AU85">
        <v>2</v>
      </c>
      <c r="AV85">
        <v>71</v>
      </c>
      <c r="AW85">
        <v>51</v>
      </c>
      <c r="AZ85" t="b">
        <v>1</v>
      </c>
      <c r="BA85">
        <v>1681</v>
      </c>
      <c r="BB85">
        <v>1593</v>
      </c>
      <c r="BC85">
        <v>19</v>
      </c>
      <c r="BD85" t="s">
        <v>1483</v>
      </c>
      <c r="BE85" s="1" t="s">
        <v>585</v>
      </c>
      <c r="BF85">
        <v>0</v>
      </c>
      <c r="BG85">
        <v>75</v>
      </c>
      <c r="BH85">
        <v>1</v>
      </c>
      <c r="BI85" s="1" t="s">
        <v>121</v>
      </c>
      <c r="BJ85" s="1" t="s">
        <v>1484</v>
      </c>
      <c r="BK85" s="1" t="s">
        <v>1008</v>
      </c>
      <c r="BL85">
        <v>10.4</v>
      </c>
      <c r="BM85">
        <v>6</v>
      </c>
      <c r="BN85">
        <v>6.2</v>
      </c>
      <c r="BO85" s="1" t="s">
        <v>169</v>
      </c>
      <c r="BP85" s="1" t="s">
        <v>189</v>
      </c>
      <c r="BQ85">
        <v>0</v>
      </c>
      <c r="BR85">
        <v>0</v>
      </c>
      <c r="BS85">
        <v>1</v>
      </c>
      <c r="BT85" s="1" t="s">
        <v>130</v>
      </c>
      <c r="BU85">
        <v>0</v>
      </c>
      <c r="BV85" s="1" t="s">
        <v>399</v>
      </c>
      <c r="BW85" s="1" t="s">
        <v>128</v>
      </c>
      <c r="BX85" s="1" t="s">
        <v>184</v>
      </c>
      <c r="BY85">
        <v>0</v>
      </c>
      <c r="BZ85">
        <v>6.6666666666666596E-2</v>
      </c>
      <c r="CA85" s="1" t="s">
        <v>1485</v>
      </c>
      <c r="CB85" s="1" t="s">
        <v>1486</v>
      </c>
      <c r="CC85" s="1" t="s">
        <v>1487</v>
      </c>
      <c r="CD85">
        <v>1.47</v>
      </c>
      <c r="CE85" s="1" t="s">
        <v>1488</v>
      </c>
      <c r="CF85" s="1" t="s">
        <v>1489</v>
      </c>
      <c r="CG85" s="1" t="s">
        <v>211</v>
      </c>
      <c r="CH85" s="1" t="s">
        <v>229</v>
      </c>
      <c r="CI85" s="1" t="s">
        <v>129</v>
      </c>
      <c r="CJ85" s="1" t="s">
        <v>399</v>
      </c>
      <c r="CK85">
        <v>3</v>
      </c>
      <c r="CL85" s="1" t="s">
        <v>140</v>
      </c>
      <c r="CM85" s="1" t="s">
        <v>1406</v>
      </c>
      <c r="CN85" s="1" t="s">
        <v>1490</v>
      </c>
      <c r="CO85">
        <v>76</v>
      </c>
      <c r="CP85" s="1" t="s">
        <v>1491</v>
      </c>
      <c r="CS85" s="1" t="s">
        <v>1492</v>
      </c>
      <c r="CT85" s="1" t="s">
        <v>1493</v>
      </c>
      <c r="CU85" s="1" t="s">
        <v>455</v>
      </c>
      <c r="CV85" s="1" t="s">
        <v>1178</v>
      </c>
      <c r="CW85">
        <v>93.05</v>
      </c>
      <c r="CX85">
        <v>85.3</v>
      </c>
      <c r="CY85">
        <v>84.4</v>
      </c>
      <c r="CZ85" s="1" t="s">
        <v>437</v>
      </c>
      <c r="DA85">
        <v>1</v>
      </c>
      <c r="DB85" t="s">
        <v>114</v>
      </c>
      <c r="DC85">
        <v>91</v>
      </c>
      <c r="DD85" s="1" t="s">
        <v>1494</v>
      </c>
      <c r="DE85" s="1" t="s">
        <v>1495</v>
      </c>
      <c r="DF85" t="e">
        <f>_xlfn.XLOOKUP(Table1[[#This Row],[Player ID]],Table2[feed_id],Table2[trade_status])</f>
        <v>#N/A</v>
      </c>
      <c r="DG85">
        <f>_xlfn.NUMBERVALUE(Table1[[#This Row],[predicted]])</f>
        <v>70.794847245534996</v>
      </c>
    </row>
    <row r="86" spans="1:111" hidden="1" x14ac:dyDescent="0.25">
      <c r="A86">
        <v>65624</v>
      </c>
      <c r="B86">
        <v>6150</v>
      </c>
      <c r="C86" t="s">
        <v>1496</v>
      </c>
      <c r="D86" t="s">
        <v>690</v>
      </c>
      <c r="E86">
        <v>2017</v>
      </c>
      <c r="F86">
        <v>240266</v>
      </c>
      <c r="G86" t="s">
        <v>1497</v>
      </c>
      <c r="H86" t="s">
        <v>1498</v>
      </c>
      <c r="I86" t="s">
        <v>178</v>
      </c>
      <c r="J86">
        <v>3</v>
      </c>
      <c r="K86">
        <v>43</v>
      </c>
      <c r="L86">
        <v>58</v>
      </c>
      <c r="M86">
        <v>55</v>
      </c>
      <c r="N86">
        <v>34</v>
      </c>
      <c r="O86">
        <v>45</v>
      </c>
      <c r="P86">
        <v>7</v>
      </c>
      <c r="Q86">
        <v>4</v>
      </c>
      <c r="R86">
        <v>3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 t="s">
        <v>113</v>
      </c>
      <c r="Z86" t="s">
        <v>1499</v>
      </c>
      <c r="AA86" t="s">
        <v>1500</v>
      </c>
      <c r="AB86" t="s">
        <v>226</v>
      </c>
      <c r="AC86" t="s">
        <v>1501</v>
      </c>
      <c r="AD86">
        <v>398700</v>
      </c>
      <c r="AE86">
        <v>0</v>
      </c>
      <c r="AF86">
        <v>373700</v>
      </c>
      <c r="AG86">
        <v>69</v>
      </c>
      <c r="AH86" t="s">
        <v>181</v>
      </c>
      <c r="AI86">
        <v>34</v>
      </c>
      <c r="AJ86">
        <v>15</v>
      </c>
      <c r="AK86">
        <v>72.8</v>
      </c>
      <c r="AL86">
        <v>73.13</v>
      </c>
      <c r="AM86">
        <v>1.32</v>
      </c>
      <c r="AN86">
        <v>0.73</v>
      </c>
      <c r="AO86">
        <v>1.24</v>
      </c>
      <c r="AP86">
        <v>397000</v>
      </c>
      <c r="AQ86">
        <v>61</v>
      </c>
      <c r="AS86">
        <v>3</v>
      </c>
      <c r="AT86">
        <v>1</v>
      </c>
      <c r="AU86">
        <v>0</v>
      </c>
      <c r="AV86">
        <v>90</v>
      </c>
      <c r="AW86">
        <v>82</v>
      </c>
      <c r="AZ86" t="b">
        <v>0</v>
      </c>
      <c r="BA86">
        <v>1794</v>
      </c>
      <c r="BB86">
        <v>1454</v>
      </c>
      <c r="BC86">
        <v>19</v>
      </c>
      <c r="BD86" t="s">
        <v>1502</v>
      </c>
      <c r="BE86" s="1" t="s">
        <v>585</v>
      </c>
      <c r="BF86">
        <v>0</v>
      </c>
      <c r="BG86">
        <v>75</v>
      </c>
      <c r="BH86">
        <v>0</v>
      </c>
      <c r="BI86" s="1" t="s">
        <v>1008</v>
      </c>
      <c r="BJ86">
        <v>11.2</v>
      </c>
      <c r="BK86" s="1" t="s">
        <v>449</v>
      </c>
      <c r="BL86" s="1" t="s">
        <v>139</v>
      </c>
      <c r="BM86">
        <v>5</v>
      </c>
      <c r="BN86" s="1" t="s">
        <v>205</v>
      </c>
      <c r="BO86">
        <v>3</v>
      </c>
      <c r="BP86">
        <v>2.2000000000000002</v>
      </c>
      <c r="BQ86">
        <v>0</v>
      </c>
      <c r="BR86">
        <v>0</v>
      </c>
      <c r="BS86" s="1" t="s">
        <v>126</v>
      </c>
      <c r="BT86" s="1" t="s">
        <v>130</v>
      </c>
      <c r="BU86" s="1" t="s">
        <v>129</v>
      </c>
      <c r="BV86">
        <v>0.8</v>
      </c>
      <c r="BW86">
        <v>0</v>
      </c>
      <c r="BX86">
        <v>0</v>
      </c>
      <c r="BY86">
        <v>0</v>
      </c>
      <c r="BZ86">
        <v>0</v>
      </c>
      <c r="CA86" s="1" t="s">
        <v>1503</v>
      </c>
      <c r="CB86" s="1" t="s">
        <v>1504</v>
      </c>
      <c r="CC86" s="1" t="s">
        <v>1505</v>
      </c>
      <c r="CD86" s="1" t="s">
        <v>1506</v>
      </c>
      <c r="CE86" s="1" t="s">
        <v>1503</v>
      </c>
      <c r="CF86" s="1" t="s">
        <v>1507</v>
      </c>
      <c r="CG86" s="1" t="s">
        <v>211</v>
      </c>
      <c r="CH86" s="1" t="s">
        <v>211</v>
      </c>
      <c r="CI86" s="1" t="s">
        <v>128</v>
      </c>
      <c r="CJ86" s="1" t="s">
        <v>231</v>
      </c>
      <c r="CK86" s="1" t="s">
        <v>161</v>
      </c>
      <c r="CL86" s="1" t="s">
        <v>214</v>
      </c>
      <c r="CM86" s="1" t="s">
        <v>437</v>
      </c>
      <c r="CN86">
        <v>84</v>
      </c>
      <c r="CO86">
        <v>88</v>
      </c>
      <c r="CP86">
        <v>88.8</v>
      </c>
      <c r="CS86" s="1" t="s">
        <v>1508</v>
      </c>
      <c r="CT86" s="1" t="s">
        <v>1509</v>
      </c>
      <c r="CU86" s="1" t="s">
        <v>1510</v>
      </c>
      <c r="CV86" s="1" t="s">
        <v>1511</v>
      </c>
      <c r="CW86">
        <v>74.099999999999994</v>
      </c>
      <c r="CX86">
        <v>69.3</v>
      </c>
      <c r="CY86">
        <v>71.599999999999994</v>
      </c>
      <c r="CZ86" s="1" t="s">
        <v>417</v>
      </c>
      <c r="DA86">
        <v>1</v>
      </c>
      <c r="DB86" t="s">
        <v>1499</v>
      </c>
      <c r="DC86">
        <v>58</v>
      </c>
      <c r="DD86" s="1" t="s">
        <v>1512</v>
      </c>
      <c r="DE86">
        <v>-11.4831078301372</v>
      </c>
      <c r="DF86" t="e">
        <f>_xlfn.XLOOKUP(Table1[[#This Row],[Player ID]],Table2[feed_id],Table2[trade_status])</f>
        <v>#N/A</v>
      </c>
      <c r="DG86">
        <f>_xlfn.NUMBERVALUE(Table1[[#This Row],[predicted]])</f>
        <v>69.4831078301372</v>
      </c>
    </row>
    <row r="87" spans="1:111" hidden="1" x14ac:dyDescent="0.25">
      <c r="A87">
        <v>65927</v>
      </c>
      <c r="B87">
        <v>6157</v>
      </c>
      <c r="C87" t="s">
        <v>1513</v>
      </c>
      <c r="D87" t="s">
        <v>709</v>
      </c>
      <c r="E87">
        <v>2017</v>
      </c>
      <c r="F87">
        <v>240389</v>
      </c>
      <c r="G87" t="s">
        <v>889</v>
      </c>
      <c r="H87" t="s">
        <v>1185</v>
      </c>
      <c r="I87" t="s">
        <v>425</v>
      </c>
      <c r="J87">
        <v>3</v>
      </c>
      <c r="K87">
        <v>41</v>
      </c>
      <c r="L87">
        <v>35</v>
      </c>
      <c r="M87">
        <v>53</v>
      </c>
      <c r="N87">
        <v>31</v>
      </c>
      <c r="O87">
        <v>42</v>
      </c>
      <c r="P87">
        <v>4</v>
      </c>
      <c r="Q87">
        <v>5</v>
      </c>
      <c r="R87">
        <v>2</v>
      </c>
      <c r="S87">
        <v>3</v>
      </c>
      <c r="T87">
        <v>0</v>
      </c>
      <c r="U87">
        <v>1</v>
      </c>
      <c r="V87">
        <v>0</v>
      </c>
      <c r="W87">
        <v>0</v>
      </c>
      <c r="X87">
        <v>0</v>
      </c>
      <c r="Y87" t="s">
        <v>113</v>
      </c>
      <c r="Z87" t="s">
        <v>525</v>
      </c>
      <c r="AA87" t="s">
        <v>1514</v>
      </c>
      <c r="AD87">
        <v>289000</v>
      </c>
      <c r="AE87">
        <v>0</v>
      </c>
      <c r="AF87">
        <v>277600</v>
      </c>
      <c r="AG87">
        <v>55</v>
      </c>
      <c r="AH87" t="s">
        <v>118</v>
      </c>
      <c r="AI87">
        <v>19</v>
      </c>
      <c r="AJ87">
        <v>6</v>
      </c>
      <c r="AK87">
        <v>59.33</v>
      </c>
      <c r="AL87">
        <v>64.5</v>
      </c>
      <c r="AM87">
        <v>3.3</v>
      </c>
      <c r="AN87">
        <v>6.56</v>
      </c>
      <c r="AO87">
        <v>1.31</v>
      </c>
      <c r="AP87">
        <v>325000</v>
      </c>
      <c r="AQ87">
        <v>86</v>
      </c>
      <c r="AS87">
        <v>3</v>
      </c>
      <c r="AT87">
        <v>0</v>
      </c>
      <c r="AU87">
        <v>1</v>
      </c>
      <c r="AV87">
        <v>55</v>
      </c>
      <c r="AW87">
        <v>74</v>
      </c>
      <c r="AZ87" t="b">
        <v>0</v>
      </c>
      <c r="BA87">
        <v>1717</v>
      </c>
      <c r="BB87">
        <v>1549</v>
      </c>
      <c r="BC87">
        <v>20</v>
      </c>
      <c r="BD87" t="s">
        <v>1515</v>
      </c>
      <c r="BE87">
        <v>98</v>
      </c>
      <c r="BF87">
        <v>0</v>
      </c>
      <c r="BG87">
        <v>74</v>
      </c>
      <c r="BH87">
        <v>0</v>
      </c>
      <c r="BI87" s="1" t="s">
        <v>204</v>
      </c>
      <c r="BJ87">
        <v>8.6</v>
      </c>
      <c r="BK87" s="1" t="s">
        <v>160</v>
      </c>
      <c r="BL87" s="1" t="s">
        <v>125</v>
      </c>
      <c r="BM87" s="1" t="s">
        <v>126</v>
      </c>
      <c r="BN87" s="1" t="s">
        <v>528</v>
      </c>
      <c r="BO87">
        <v>2</v>
      </c>
      <c r="BP87" s="1" t="s">
        <v>169</v>
      </c>
      <c r="BQ87">
        <v>0</v>
      </c>
      <c r="BR87">
        <v>0</v>
      </c>
      <c r="BS87" s="1" t="s">
        <v>128</v>
      </c>
      <c r="BT87" s="1" t="s">
        <v>399</v>
      </c>
      <c r="BU87" s="1" t="s">
        <v>128</v>
      </c>
      <c r="BV87" s="1" t="s">
        <v>399</v>
      </c>
      <c r="BW87" s="1" t="s">
        <v>129</v>
      </c>
      <c r="BX87" s="1" t="s">
        <v>130</v>
      </c>
      <c r="BY87">
        <v>0</v>
      </c>
      <c r="BZ87" s="1" t="s">
        <v>238</v>
      </c>
      <c r="CA87" s="1" t="s">
        <v>1516</v>
      </c>
      <c r="CB87" s="1" t="s">
        <v>1517</v>
      </c>
      <c r="CC87">
        <v>6.82</v>
      </c>
      <c r="CD87" s="1" t="s">
        <v>1518</v>
      </c>
      <c r="CE87" s="1" t="s">
        <v>1519</v>
      </c>
      <c r="CF87">
        <v>1.01</v>
      </c>
      <c r="CG87">
        <v>4</v>
      </c>
      <c r="CH87" s="1" t="s">
        <v>587</v>
      </c>
      <c r="CI87" s="1" t="s">
        <v>129</v>
      </c>
      <c r="CJ87" s="1" t="s">
        <v>399</v>
      </c>
      <c r="CK87" s="1" t="s">
        <v>161</v>
      </c>
      <c r="CL87" s="1" t="s">
        <v>214</v>
      </c>
      <c r="CM87" s="1" t="s">
        <v>141</v>
      </c>
      <c r="CN87" s="1" t="s">
        <v>1520</v>
      </c>
      <c r="CO87">
        <v>73</v>
      </c>
      <c r="CP87" s="1" t="s">
        <v>1521</v>
      </c>
      <c r="CS87" s="1" t="s">
        <v>1522</v>
      </c>
      <c r="CT87" s="1" t="s">
        <v>1523</v>
      </c>
      <c r="CU87">
        <v>1647</v>
      </c>
      <c r="CV87">
        <v>1626.8</v>
      </c>
      <c r="CW87">
        <v>58.45</v>
      </c>
      <c r="CX87">
        <v>60.2</v>
      </c>
      <c r="CY87">
        <v>52</v>
      </c>
      <c r="CZ87" s="1" t="s">
        <v>1524</v>
      </c>
      <c r="DA87">
        <v>1</v>
      </c>
      <c r="DB87" t="s">
        <v>525</v>
      </c>
      <c r="DC87">
        <v>35</v>
      </c>
      <c r="DD87" s="1" t="s">
        <v>1525</v>
      </c>
      <c r="DE87">
        <v>-24.453360276308299</v>
      </c>
      <c r="DF87" t="e">
        <f>_xlfn.XLOOKUP(Table1[[#This Row],[Player ID]],Table2[feed_id],Table2[trade_status])</f>
        <v>#N/A</v>
      </c>
      <c r="DG87">
        <f>_xlfn.NUMBERVALUE(Table1[[#This Row],[predicted]])</f>
        <v>59.453360276308302</v>
      </c>
    </row>
    <row r="88" spans="1:111" hidden="1" x14ac:dyDescent="0.25">
      <c r="A88">
        <v>65965</v>
      </c>
      <c r="B88">
        <v>6158</v>
      </c>
      <c r="C88" t="s">
        <v>1526</v>
      </c>
      <c r="D88" t="s">
        <v>709</v>
      </c>
      <c r="E88">
        <v>2017</v>
      </c>
      <c r="F88">
        <v>270637</v>
      </c>
      <c r="G88" t="s">
        <v>1527</v>
      </c>
      <c r="H88" t="s">
        <v>1185</v>
      </c>
      <c r="I88" t="s">
        <v>249</v>
      </c>
      <c r="J88">
        <v>5</v>
      </c>
      <c r="K88">
        <v>46</v>
      </c>
      <c r="L88">
        <v>51</v>
      </c>
      <c r="M88">
        <v>61</v>
      </c>
      <c r="N88">
        <v>37</v>
      </c>
      <c r="O88">
        <v>51</v>
      </c>
      <c r="P88">
        <v>7</v>
      </c>
      <c r="Q88">
        <v>4</v>
      </c>
      <c r="R88">
        <v>4</v>
      </c>
      <c r="S88">
        <v>2</v>
      </c>
      <c r="T88">
        <v>0</v>
      </c>
      <c r="U88">
        <v>0</v>
      </c>
      <c r="V88">
        <v>1</v>
      </c>
      <c r="W88">
        <v>0</v>
      </c>
      <c r="X88">
        <v>0</v>
      </c>
      <c r="Y88" t="s">
        <v>113</v>
      </c>
      <c r="Z88" t="s">
        <v>226</v>
      </c>
      <c r="AA88" t="s">
        <v>1528</v>
      </c>
      <c r="AD88">
        <v>312900</v>
      </c>
      <c r="AE88">
        <v>0</v>
      </c>
      <c r="AF88">
        <v>245400</v>
      </c>
      <c r="AG88">
        <v>75</v>
      </c>
      <c r="AH88" t="s">
        <v>181</v>
      </c>
      <c r="AI88">
        <v>43</v>
      </c>
      <c r="AJ88">
        <v>10</v>
      </c>
      <c r="AK88">
        <v>57</v>
      </c>
      <c r="AL88">
        <v>48.8</v>
      </c>
      <c r="AM88">
        <v>0.11</v>
      </c>
      <c r="AN88">
        <v>0.13</v>
      </c>
      <c r="AO88">
        <v>0.12</v>
      </c>
      <c r="AP88">
        <v>323000</v>
      </c>
      <c r="AQ88">
        <v>78</v>
      </c>
      <c r="AS88">
        <v>6</v>
      </c>
      <c r="AT88">
        <v>1</v>
      </c>
      <c r="AU88">
        <v>4</v>
      </c>
      <c r="AV88">
        <v>54</v>
      </c>
      <c r="AW88">
        <v>81</v>
      </c>
      <c r="AZ88" t="b">
        <v>0</v>
      </c>
      <c r="BA88">
        <v>1857</v>
      </c>
      <c r="BB88">
        <v>1374</v>
      </c>
      <c r="BC88">
        <v>20</v>
      </c>
      <c r="BD88" t="s">
        <v>1529</v>
      </c>
      <c r="BE88">
        <v>98</v>
      </c>
      <c r="BF88">
        <v>0</v>
      </c>
      <c r="BG88">
        <v>74</v>
      </c>
      <c r="BH88">
        <v>0</v>
      </c>
      <c r="BI88">
        <v>8</v>
      </c>
      <c r="BJ88" s="1" t="s">
        <v>674</v>
      </c>
      <c r="BK88" s="1" t="s">
        <v>211</v>
      </c>
      <c r="BL88">
        <v>5</v>
      </c>
      <c r="BM88">
        <v>4</v>
      </c>
      <c r="BN88" s="1" t="s">
        <v>781</v>
      </c>
      <c r="BO88">
        <v>2</v>
      </c>
      <c r="BP88" s="1" t="s">
        <v>566</v>
      </c>
      <c r="BQ88">
        <v>0</v>
      </c>
      <c r="BR88">
        <v>6.6666666666666596E-2</v>
      </c>
      <c r="BS88" s="1" t="s">
        <v>129</v>
      </c>
      <c r="BT88" s="1" t="s">
        <v>238</v>
      </c>
      <c r="BU88" s="1" t="s">
        <v>128</v>
      </c>
      <c r="BV88" s="1" t="s">
        <v>128</v>
      </c>
      <c r="BW88">
        <v>0</v>
      </c>
      <c r="BX88">
        <v>0</v>
      </c>
      <c r="BY88">
        <v>0</v>
      </c>
      <c r="BZ88">
        <v>6.6666666666666596E-2</v>
      </c>
      <c r="CA88">
        <v>0.12</v>
      </c>
      <c r="CB88" s="1" t="s">
        <v>1530</v>
      </c>
      <c r="CC88">
        <v>0.13</v>
      </c>
      <c r="CD88" s="1" t="s">
        <v>1189</v>
      </c>
      <c r="CE88" s="1" t="s">
        <v>1531</v>
      </c>
      <c r="CF88">
        <v>0.2</v>
      </c>
      <c r="CG88" s="1" t="s">
        <v>211</v>
      </c>
      <c r="CH88" s="1" t="s">
        <v>212</v>
      </c>
      <c r="CI88" s="1" t="s">
        <v>128</v>
      </c>
      <c r="CJ88">
        <v>0.4</v>
      </c>
      <c r="CK88">
        <v>3</v>
      </c>
      <c r="CL88" s="1" t="s">
        <v>159</v>
      </c>
      <c r="CM88">
        <v>67</v>
      </c>
      <c r="CN88" s="1" t="s">
        <v>1532</v>
      </c>
      <c r="CO88" s="1" t="s">
        <v>141</v>
      </c>
      <c r="CP88">
        <v>79.2</v>
      </c>
      <c r="CS88" s="1" t="s">
        <v>1533</v>
      </c>
      <c r="CT88">
        <v>1587.2</v>
      </c>
      <c r="CU88">
        <v>1643</v>
      </c>
      <c r="CV88" s="1" t="s">
        <v>1534</v>
      </c>
      <c r="CW88">
        <v>59.85</v>
      </c>
      <c r="CX88">
        <v>49</v>
      </c>
      <c r="CY88">
        <v>40.6</v>
      </c>
      <c r="CZ88">
        <v>41</v>
      </c>
      <c r="DA88">
        <v>1</v>
      </c>
      <c r="DB88" t="s">
        <v>226</v>
      </c>
      <c r="DC88">
        <v>51</v>
      </c>
      <c r="DD88" s="1" t="s">
        <v>1535</v>
      </c>
      <c r="DE88">
        <v>-33.636896629827604</v>
      </c>
      <c r="DF88" t="e">
        <f>_xlfn.XLOOKUP(Table1[[#This Row],[Player ID]],Table2[feed_id],Table2[trade_status])</f>
        <v>#N/A</v>
      </c>
      <c r="DG88">
        <f>_xlfn.NUMBERVALUE(Table1[[#This Row],[predicted]])</f>
        <v>84.636896629827604</v>
      </c>
    </row>
    <row r="89" spans="1:111" hidden="1" x14ac:dyDescent="0.25">
      <c r="A89">
        <v>66334</v>
      </c>
      <c r="B89">
        <v>6166</v>
      </c>
      <c r="C89" t="s">
        <v>1536</v>
      </c>
      <c r="D89" t="s">
        <v>762</v>
      </c>
      <c r="E89">
        <v>2017</v>
      </c>
      <c r="F89">
        <v>293847</v>
      </c>
      <c r="G89" t="s">
        <v>1537</v>
      </c>
      <c r="H89" t="s">
        <v>1538</v>
      </c>
      <c r="I89" t="s">
        <v>712</v>
      </c>
      <c r="J89">
        <v>11</v>
      </c>
      <c r="K89">
        <v>54</v>
      </c>
      <c r="L89">
        <v>54</v>
      </c>
      <c r="M89">
        <v>39</v>
      </c>
      <c r="N89">
        <v>46</v>
      </c>
      <c r="O89">
        <v>61</v>
      </c>
      <c r="P89">
        <v>8</v>
      </c>
      <c r="Q89">
        <v>3</v>
      </c>
      <c r="R89">
        <v>5</v>
      </c>
      <c r="S89">
        <v>2</v>
      </c>
      <c r="T89">
        <v>0</v>
      </c>
      <c r="U89">
        <v>0</v>
      </c>
      <c r="V89">
        <v>2</v>
      </c>
      <c r="W89">
        <v>1</v>
      </c>
      <c r="X89">
        <v>1</v>
      </c>
      <c r="Y89" t="s">
        <v>113</v>
      </c>
      <c r="Z89" t="s">
        <v>861</v>
      </c>
      <c r="AA89" t="s">
        <v>815</v>
      </c>
      <c r="AD89">
        <v>345100</v>
      </c>
      <c r="AE89">
        <v>0</v>
      </c>
      <c r="AF89">
        <v>307500</v>
      </c>
      <c r="AG89">
        <v>104</v>
      </c>
      <c r="AH89" t="s">
        <v>155</v>
      </c>
      <c r="AI89">
        <v>14</v>
      </c>
      <c r="AJ89">
        <v>7</v>
      </c>
      <c r="AK89">
        <v>63.43</v>
      </c>
      <c r="AL89">
        <v>58.86</v>
      </c>
      <c r="AM89">
        <v>0.13</v>
      </c>
      <c r="AN89">
        <v>0.27</v>
      </c>
      <c r="AO89">
        <v>0.28999999999999998</v>
      </c>
      <c r="AP89">
        <v>357000</v>
      </c>
      <c r="AQ89">
        <v>81</v>
      </c>
      <c r="AS89">
        <v>3</v>
      </c>
      <c r="AT89">
        <v>1</v>
      </c>
      <c r="AU89">
        <v>2</v>
      </c>
      <c r="AV89">
        <v>63</v>
      </c>
      <c r="AW89">
        <v>82</v>
      </c>
      <c r="AZ89" t="b">
        <v>0</v>
      </c>
      <c r="BA89">
        <v>1560</v>
      </c>
      <c r="BB89">
        <v>1733</v>
      </c>
      <c r="BC89">
        <v>21</v>
      </c>
      <c r="BD89" t="s">
        <v>1539</v>
      </c>
      <c r="BE89">
        <v>97</v>
      </c>
      <c r="BF89">
        <v>0</v>
      </c>
      <c r="BG89">
        <v>76</v>
      </c>
      <c r="BH89">
        <v>0</v>
      </c>
      <c r="BI89">
        <v>7</v>
      </c>
      <c r="BJ89" s="1" t="s">
        <v>729</v>
      </c>
      <c r="BK89" s="1" t="s">
        <v>125</v>
      </c>
      <c r="BL89" s="1" t="s">
        <v>343</v>
      </c>
      <c r="BM89" s="1" t="s">
        <v>138</v>
      </c>
      <c r="BN89">
        <v>3.2</v>
      </c>
      <c r="BO89" s="1" t="s">
        <v>125</v>
      </c>
      <c r="BP89">
        <v>5.8</v>
      </c>
      <c r="BQ89">
        <v>0</v>
      </c>
      <c r="BR89">
        <v>0</v>
      </c>
      <c r="BS89" s="1" t="s">
        <v>129</v>
      </c>
      <c r="BT89">
        <v>0.4</v>
      </c>
      <c r="BU89" s="1" t="s">
        <v>126</v>
      </c>
      <c r="BV89">
        <v>1.4</v>
      </c>
      <c r="BW89">
        <v>1</v>
      </c>
      <c r="BX89" s="1" t="s">
        <v>126</v>
      </c>
      <c r="BY89" s="1" t="s">
        <v>128</v>
      </c>
      <c r="BZ89">
        <v>0.6</v>
      </c>
      <c r="CA89" s="1" t="s">
        <v>1540</v>
      </c>
      <c r="CB89">
        <v>3.9</v>
      </c>
      <c r="CC89" s="1" t="s">
        <v>1541</v>
      </c>
      <c r="CD89" s="1" t="s">
        <v>1542</v>
      </c>
      <c r="CE89" s="1" t="s">
        <v>896</v>
      </c>
      <c r="CF89">
        <v>4.7279999999999998</v>
      </c>
      <c r="CG89" s="1" t="s">
        <v>159</v>
      </c>
      <c r="CH89" s="1" t="s">
        <v>260</v>
      </c>
      <c r="CI89" s="1" t="s">
        <v>129</v>
      </c>
      <c r="CJ89" s="1" t="s">
        <v>206</v>
      </c>
      <c r="CK89" s="1" t="s">
        <v>169</v>
      </c>
      <c r="CL89">
        <v>2.8</v>
      </c>
      <c r="CM89">
        <v>57</v>
      </c>
      <c r="CN89" s="1" t="s">
        <v>682</v>
      </c>
      <c r="CO89">
        <v>79</v>
      </c>
      <c r="CP89">
        <v>77.8</v>
      </c>
      <c r="CS89" s="1" t="s">
        <v>851</v>
      </c>
      <c r="CT89" s="1" t="s">
        <v>1543</v>
      </c>
      <c r="CU89" s="1" t="s">
        <v>1544</v>
      </c>
      <c r="CV89" s="1" t="s">
        <v>1545</v>
      </c>
      <c r="CW89">
        <v>68.45</v>
      </c>
      <c r="CX89">
        <v>68.400000000000006</v>
      </c>
      <c r="CY89">
        <v>55</v>
      </c>
      <c r="CZ89">
        <v>44</v>
      </c>
      <c r="DA89">
        <v>1</v>
      </c>
      <c r="DB89" t="s">
        <v>861</v>
      </c>
      <c r="DC89">
        <v>54</v>
      </c>
      <c r="DD89" s="1" t="s">
        <v>1546</v>
      </c>
      <c r="DE89">
        <v>-14.8208696785266</v>
      </c>
      <c r="DF89" t="e">
        <f>_xlfn.XLOOKUP(Table1[[#This Row],[Player ID]],Table2[feed_id],Table2[trade_status])</f>
        <v>#N/A</v>
      </c>
      <c r="DG89">
        <f>_xlfn.NUMBERVALUE(Table1[[#This Row],[predicted]])</f>
        <v>68.820869678526606</v>
      </c>
    </row>
    <row r="90" spans="1:111" hidden="1" x14ac:dyDescent="0.25">
      <c r="A90">
        <v>66416</v>
      </c>
      <c r="B90">
        <v>6168</v>
      </c>
      <c r="C90" t="s">
        <v>1547</v>
      </c>
      <c r="D90" t="s">
        <v>762</v>
      </c>
      <c r="E90">
        <v>2017</v>
      </c>
      <c r="F90">
        <v>261319</v>
      </c>
      <c r="G90" t="s">
        <v>1548</v>
      </c>
      <c r="H90" t="s">
        <v>1549</v>
      </c>
      <c r="I90" t="s">
        <v>524</v>
      </c>
      <c r="J90">
        <v>13</v>
      </c>
      <c r="K90">
        <v>60</v>
      </c>
      <c r="L90">
        <v>64</v>
      </c>
      <c r="M90">
        <v>59</v>
      </c>
      <c r="N90">
        <v>50</v>
      </c>
      <c r="O90">
        <v>70</v>
      </c>
      <c r="P90">
        <v>4</v>
      </c>
      <c r="Q90">
        <v>12</v>
      </c>
      <c r="R90">
        <v>3</v>
      </c>
      <c r="S90">
        <v>4</v>
      </c>
      <c r="T90">
        <v>0</v>
      </c>
      <c r="U90">
        <v>1</v>
      </c>
      <c r="V90">
        <v>1</v>
      </c>
      <c r="W90">
        <v>0</v>
      </c>
      <c r="X90">
        <v>1</v>
      </c>
      <c r="Y90" t="s">
        <v>113</v>
      </c>
      <c r="Z90" t="s">
        <v>542</v>
      </c>
      <c r="AA90" t="s">
        <v>1550</v>
      </c>
      <c r="AB90" t="s">
        <v>656</v>
      </c>
      <c r="AD90">
        <v>329000</v>
      </c>
      <c r="AE90">
        <v>0</v>
      </c>
      <c r="AF90">
        <v>293000</v>
      </c>
      <c r="AG90">
        <v>59</v>
      </c>
      <c r="AH90" t="s">
        <v>155</v>
      </c>
      <c r="AI90">
        <v>2</v>
      </c>
      <c r="AJ90">
        <v>0</v>
      </c>
      <c r="AK90">
        <v>0</v>
      </c>
      <c r="AL90">
        <v>0</v>
      </c>
      <c r="AM90">
        <v>0.04</v>
      </c>
      <c r="AN90">
        <v>0.08</v>
      </c>
      <c r="AO90">
        <v>0.02</v>
      </c>
      <c r="AP90">
        <v>334000</v>
      </c>
      <c r="AQ90">
        <v>63</v>
      </c>
      <c r="AS90">
        <v>5</v>
      </c>
      <c r="AT90">
        <v>0</v>
      </c>
      <c r="AU90">
        <v>1</v>
      </c>
      <c r="AV90">
        <v>68</v>
      </c>
      <c r="AW90">
        <v>77</v>
      </c>
      <c r="AZ90" t="b">
        <v>0</v>
      </c>
      <c r="BA90">
        <v>1739</v>
      </c>
      <c r="BB90">
        <v>1520</v>
      </c>
      <c r="BC90">
        <v>21</v>
      </c>
      <c r="BD90" t="s">
        <v>1551</v>
      </c>
      <c r="BE90">
        <v>97</v>
      </c>
      <c r="BF90">
        <v>0</v>
      </c>
      <c r="BG90">
        <v>76</v>
      </c>
      <c r="BH90">
        <v>0</v>
      </c>
      <c r="BI90" s="1" t="s">
        <v>449</v>
      </c>
      <c r="BJ90" s="1" t="s">
        <v>343</v>
      </c>
      <c r="BK90" s="1" t="s">
        <v>137</v>
      </c>
      <c r="BL90" s="1" t="s">
        <v>204</v>
      </c>
      <c r="BM90">
        <v>4</v>
      </c>
      <c r="BN90" s="1" t="s">
        <v>256</v>
      </c>
      <c r="BO90" s="1" t="s">
        <v>125</v>
      </c>
      <c r="BP90" s="1" t="s">
        <v>159</v>
      </c>
      <c r="BQ90">
        <v>0</v>
      </c>
      <c r="BR90" s="1" t="s">
        <v>184</v>
      </c>
      <c r="BS90">
        <v>1</v>
      </c>
      <c r="BT90" s="1" t="s">
        <v>127</v>
      </c>
      <c r="BU90">
        <v>1</v>
      </c>
      <c r="BV90" s="1" t="s">
        <v>399</v>
      </c>
      <c r="BW90">
        <v>0</v>
      </c>
      <c r="BX90">
        <v>0.8</v>
      </c>
      <c r="BY90">
        <v>1</v>
      </c>
      <c r="BZ90">
        <v>0.6</v>
      </c>
      <c r="CA90">
        <v>0.11</v>
      </c>
      <c r="CB90" s="1" t="s">
        <v>1336</v>
      </c>
      <c r="CC90" s="1" t="s">
        <v>1336</v>
      </c>
      <c r="CD90" s="1" t="s">
        <v>1552</v>
      </c>
      <c r="CE90" s="1" t="s">
        <v>465</v>
      </c>
      <c r="CF90" s="1" t="s">
        <v>1553</v>
      </c>
      <c r="CG90" s="1" t="s">
        <v>160</v>
      </c>
      <c r="CH90">
        <v>4.2</v>
      </c>
      <c r="CI90">
        <v>1</v>
      </c>
      <c r="CJ90" s="1" t="s">
        <v>128</v>
      </c>
      <c r="CK90" s="1" t="s">
        <v>161</v>
      </c>
      <c r="CL90">
        <v>1.8</v>
      </c>
      <c r="CM90" s="1" t="s">
        <v>609</v>
      </c>
      <c r="CN90" s="1" t="s">
        <v>1417</v>
      </c>
      <c r="CO90" s="1" t="s">
        <v>516</v>
      </c>
      <c r="CP90" s="1" t="s">
        <v>1554</v>
      </c>
      <c r="CS90" s="1" t="s">
        <v>1555</v>
      </c>
      <c r="CT90" s="1" t="s">
        <v>1556</v>
      </c>
      <c r="CU90" s="1" t="s">
        <v>1557</v>
      </c>
      <c r="CV90">
        <v>1770</v>
      </c>
      <c r="CW90">
        <v>60.2</v>
      </c>
      <c r="CX90">
        <v>57.3</v>
      </c>
      <c r="CY90">
        <v>53.4</v>
      </c>
      <c r="CZ90">
        <v>50</v>
      </c>
      <c r="DA90">
        <v>1</v>
      </c>
      <c r="DB90" t="s">
        <v>542</v>
      </c>
      <c r="DC90">
        <v>64</v>
      </c>
      <c r="DD90" s="1" t="s">
        <v>1558</v>
      </c>
      <c r="DE90" s="1" t="s">
        <v>1559</v>
      </c>
      <c r="DF90" t="e">
        <f>_xlfn.XLOOKUP(Table1[[#This Row],[Player ID]],Table2[feed_id],Table2[trade_status])</f>
        <v>#N/A</v>
      </c>
      <c r="DG90">
        <f>_xlfn.NUMBERVALUE(Table1[[#This Row],[predicted]])</f>
        <v>54.348468951814198</v>
      </c>
    </row>
    <row r="91" spans="1:111" hidden="1" x14ac:dyDescent="0.25">
      <c r="A91">
        <v>66551</v>
      </c>
      <c r="B91">
        <v>6171</v>
      </c>
      <c r="C91" t="s">
        <v>1560</v>
      </c>
      <c r="D91" t="s">
        <v>762</v>
      </c>
      <c r="E91">
        <v>2017</v>
      </c>
      <c r="F91">
        <v>240290</v>
      </c>
      <c r="G91" t="s">
        <v>1561</v>
      </c>
      <c r="H91" t="s">
        <v>1562</v>
      </c>
      <c r="I91" t="s">
        <v>425</v>
      </c>
      <c r="J91">
        <v>1</v>
      </c>
      <c r="K91">
        <v>22</v>
      </c>
      <c r="L91">
        <v>7</v>
      </c>
      <c r="M91">
        <v>18</v>
      </c>
      <c r="N91">
        <v>18</v>
      </c>
      <c r="O91">
        <v>27</v>
      </c>
      <c r="P91">
        <v>2</v>
      </c>
      <c r="Q91">
        <v>6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113</v>
      </c>
      <c r="Z91" t="s">
        <v>1563</v>
      </c>
      <c r="AA91" t="s">
        <v>1564</v>
      </c>
      <c r="AD91">
        <v>345000</v>
      </c>
      <c r="AE91">
        <v>0</v>
      </c>
      <c r="AF91">
        <v>325500</v>
      </c>
      <c r="AG91">
        <v>65</v>
      </c>
      <c r="AH91" t="s">
        <v>155</v>
      </c>
      <c r="AI91">
        <v>6</v>
      </c>
      <c r="AJ91">
        <v>0</v>
      </c>
      <c r="AK91">
        <v>0</v>
      </c>
      <c r="AL91">
        <v>0</v>
      </c>
      <c r="AM91">
        <v>0.14000000000000001</v>
      </c>
      <c r="AN91">
        <v>0.19</v>
      </c>
      <c r="AO91">
        <v>0.21</v>
      </c>
      <c r="AP91">
        <v>347000</v>
      </c>
      <c r="AQ91">
        <v>65</v>
      </c>
      <c r="AS91">
        <v>1</v>
      </c>
      <c r="AT91">
        <v>1</v>
      </c>
      <c r="AU91">
        <v>1</v>
      </c>
      <c r="AV91">
        <v>62</v>
      </c>
      <c r="AW91">
        <v>70</v>
      </c>
      <c r="AZ91" t="b">
        <v>0</v>
      </c>
      <c r="BA91">
        <v>1999</v>
      </c>
      <c r="BB91">
        <v>1284</v>
      </c>
      <c r="BC91">
        <v>21</v>
      </c>
      <c r="BD91" t="s">
        <v>1565</v>
      </c>
      <c r="BE91">
        <v>97</v>
      </c>
      <c r="BF91">
        <v>0</v>
      </c>
      <c r="BG91">
        <v>76</v>
      </c>
      <c r="BH91">
        <v>0</v>
      </c>
      <c r="BI91">
        <v>5</v>
      </c>
      <c r="BJ91" s="1" t="s">
        <v>729</v>
      </c>
      <c r="BK91" s="1" t="s">
        <v>449</v>
      </c>
      <c r="BL91" s="1" t="s">
        <v>964</v>
      </c>
      <c r="BM91">
        <v>2</v>
      </c>
      <c r="BN91" s="1" t="s">
        <v>125</v>
      </c>
      <c r="BO91" s="1" t="s">
        <v>159</v>
      </c>
      <c r="BP91" s="1" t="s">
        <v>169</v>
      </c>
      <c r="BQ91">
        <v>0</v>
      </c>
      <c r="BR91">
        <v>0</v>
      </c>
      <c r="BS91" s="1" t="s">
        <v>126</v>
      </c>
      <c r="BT91" s="1" t="s">
        <v>257</v>
      </c>
      <c r="BU91" s="1" t="s">
        <v>126</v>
      </c>
      <c r="BV91" s="1" t="s">
        <v>162</v>
      </c>
      <c r="BW91">
        <v>1</v>
      </c>
      <c r="BX91" s="1" t="s">
        <v>126</v>
      </c>
      <c r="BY91">
        <v>0</v>
      </c>
      <c r="BZ91" s="1" t="s">
        <v>129</v>
      </c>
      <c r="CA91" s="1" t="s">
        <v>1336</v>
      </c>
      <c r="CB91" s="1" t="s">
        <v>1566</v>
      </c>
      <c r="CC91" s="1" t="s">
        <v>1567</v>
      </c>
      <c r="CD91" s="1" t="s">
        <v>1568</v>
      </c>
      <c r="CE91" s="1" t="s">
        <v>1569</v>
      </c>
      <c r="CF91">
        <v>1.0940000000000001</v>
      </c>
      <c r="CG91" s="1" t="s">
        <v>125</v>
      </c>
      <c r="CH91" s="1" t="s">
        <v>752</v>
      </c>
      <c r="CI91" s="1" t="s">
        <v>129</v>
      </c>
      <c r="CJ91" s="1" t="s">
        <v>238</v>
      </c>
      <c r="CK91" s="1" t="s">
        <v>138</v>
      </c>
      <c r="CL91">
        <v>1.8</v>
      </c>
      <c r="CM91" s="1" t="s">
        <v>572</v>
      </c>
      <c r="CN91" s="1" t="s">
        <v>1570</v>
      </c>
      <c r="CO91" s="1" t="s">
        <v>261</v>
      </c>
      <c r="CP91" s="1" t="s">
        <v>268</v>
      </c>
      <c r="CS91" s="1" t="s">
        <v>1571</v>
      </c>
      <c r="CT91" s="1" t="s">
        <v>1572</v>
      </c>
      <c r="CU91" s="1" t="s">
        <v>1068</v>
      </c>
      <c r="CV91">
        <v>1644.8</v>
      </c>
      <c r="CW91">
        <v>66.650000000000006</v>
      </c>
      <c r="CX91">
        <v>59.4</v>
      </c>
      <c r="CY91">
        <v>51.2</v>
      </c>
      <c r="CZ91" s="1" t="s">
        <v>385</v>
      </c>
      <c r="DA91">
        <v>1</v>
      </c>
      <c r="DB91" t="s">
        <v>1563</v>
      </c>
      <c r="DC91">
        <v>7</v>
      </c>
      <c r="DD91" s="1" t="s">
        <v>1573</v>
      </c>
      <c r="DE91">
        <v>-68.836801705125097</v>
      </c>
      <c r="DF91" t="e">
        <f>_xlfn.XLOOKUP(Table1[[#This Row],[Player ID]],Table2[feed_id],Table2[trade_status])</f>
        <v>#N/A</v>
      </c>
      <c r="DG91">
        <f>_xlfn.NUMBERVALUE(Table1[[#This Row],[predicted]])</f>
        <v>75.836801705125097</v>
      </c>
    </row>
    <row r="92" spans="1:111" hidden="1" x14ac:dyDescent="0.25">
      <c r="A92">
        <v>66738</v>
      </c>
      <c r="B92">
        <v>6176</v>
      </c>
      <c r="C92" t="s">
        <v>1574</v>
      </c>
      <c r="D92" t="s">
        <v>810</v>
      </c>
      <c r="E92">
        <v>2017</v>
      </c>
      <c r="F92">
        <v>260073</v>
      </c>
      <c r="G92" t="s">
        <v>670</v>
      </c>
      <c r="H92" t="s">
        <v>1575</v>
      </c>
      <c r="I92" t="s">
        <v>619</v>
      </c>
      <c r="J92">
        <v>15</v>
      </c>
      <c r="K92">
        <v>56</v>
      </c>
      <c r="L92">
        <v>43</v>
      </c>
      <c r="M92">
        <v>78</v>
      </c>
      <c r="N92">
        <v>42</v>
      </c>
      <c r="O92">
        <v>60</v>
      </c>
      <c r="P92">
        <v>4</v>
      </c>
      <c r="Q92">
        <v>5</v>
      </c>
      <c r="R92">
        <v>4</v>
      </c>
      <c r="S92">
        <v>7</v>
      </c>
      <c r="T92">
        <v>0</v>
      </c>
      <c r="U92">
        <v>0</v>
      </c>
      <c r="V92">
        <v>2</v>
      </c>
      <c r="W92">
        <v>0</v>
      </c>
      <c r="X92">
        <v>0</v>
      </c>
      <c r="Y92" t="s">
        <v>113</v>
      </c>
      <c r="Z92" t="s">
        <v>525</v>
      </c>
      <c r="AA92" t="s">
        <v>1576</v>
      </c>
      <c r="AD92">
        <v>329400</v>
      </c>
      <c r="AE92">
        <v>0</v>
      </c>
      <c r="AF92">
        <v>332700</v>
      </c>
      <c r="AG92">
        <v>92</v>
      </c>
      <c r="AH92" t="s">
        <v>118</v>
      </c>
      <c r="AI92">
        <v>40</v>
      </c>
      <c r="AJ92">
        <v>6</v>
      </c>
      <c r="AK92">
        <v>55.83</v>
      </c>
      <c r="AL92">
        <v>62.6</v>
      </c>
      <c r="AM92">
        <v>0.17</v>
      </c>
      <c r="AN92">
        <v>0.26</v>
      </c>
      <c r="AO92">
        <v>0.16</v>
      </c>
      <c r="AP92">
        <v>332000</v>
      </c>
      <c r="AQ92">
        <v>66</v>
      </c>
      <c r="AS92">
        <v>2</v>
      </c>
      <c r="AT92">
        <v>1</v>
      </c>
      <c r="AU92">
        <v>3</v>
      </c>
      <c r="AV92">
        <v>66</v>
      </c>
      <c r="AW92">
        <v>72</v>
      </c>
      <c r="AZ92" t="b">
        <v>0</v>
      </c>
      <c r="BA92">
        <v>1757</v>
      </c>
      <c r="BB92">
        <v>1494</v>
      </c>
      <c r="BC92">
        <v>22</v>
      </c>
      <c r="BD92" t="s">
        <v>1577</v>
      </c>
      <c r="BE92" s="1" t="s">
        <v>1023</v>
      </c>
      <c r="BF92">
        <v>0</v>
      </c>
      <c r="BG92">
        <v>75</v>
      </c>
      <c r="BH92">
        <v>0</v>
      </c>
      <c r="BI92" s="1" t="s">
        <v>211</v>
      </c>
      <c r="BJ92">
        <v>6.8</v>
      </c>
      <c r="BK92">
        <v>8</v>
      </c>
      <c r="BL92" s="1" t="s">
        <v>183</v>
      </c>
      <c r="BM92" s="1" t="s">
        <v>159</v>
      </c>
      <c r="BN92" s="1" t="s">
        <v>373</v>
      </c>
      <c r="BO92" s="1" t="s">
        <v>397</v>
      </c>
      <c r="BP92">
        <v>5</v>
      </c>
      <c r="BQ92">
        <v>0</v>
      </c>
      <c r="BR92">
        <v>6.6666666666666596E-2</v>
      </c>
      <c r="BS92">
        <v>0</v>
      </c>
      <c r="BT92">
        <v>0.8</v>
      </c>
      <c r="BU92" s="1" t="s">
        <v>161</v>
      </c>
      <c r="BV92">
        <v>1.2</v>
      </c>
      <c r="BW92" s="1" t="s">
        <v>129</v>
      </c>
      <c r="BX92" s="1" t="s">
        <v>231</v>
      </c>
      <c r="BY92">
        <v>0</v>
      </c>
      <c r="BZ92" s="1" t="s">
        <v>184</v>
      </c>
      <c r="CA92" s="1" t="s">
        <v>1578</v>
      </c>
      <c r="CB92">
        <v>7.7060000000000004</v>
      </c>
      <c r="CC92" s="1" t="s">
        <v>1579</v>
      </c>
      <c r="CD92" s="1" t="s">
        <v>1580</v>
      </c>
      <c r="CE92" s="1" t="s">
        <v>1540</v>
      </c>
      <c r="CF92" s="1" t="s">
        <v>1009</v>
      </c>
      <c r="CG92" s="1" t="s">
        <v>211</v>
      </c>
      <c r="CH92">
        <v>6.8</v>
      </c>
      <c r="CI92">
        <v>1</v>
      </c>
      <c r="CJ92" s="1" t="s">
        <v>375</v>
      </c>
      <c r="CK92" s="1" t="s">
        <v>169</v>
      </c>
      <c r="CL92" s="1" t="s">
        <v>159</v>
      </c>
      <c r="CM92" s="1" t="s">
        <v>822</v>
      </c>
      <c r="CN92">
        <v>72.599999999999994</v>
      </c>
      <c r="CO92" s="1" t="s">
        <v>350</v>
      </c>
      <c r="CP92">
        <v>76.599999999999994</v>
      </c>
      <c r="CS92">
        <v>1565</v>
      </c>
      <c r="CT92">
        <v>1628.6</v>
      </c>
      <c r="CU92">
        <v>1694</v>
      </c>
      <c r="CV92" s="1" t="s">
        <v>556</v>
      </c>
      <c r="CW92">
        <v>69.95</v>
      </c>
      <c r="CX92">
        <v>66.900000000000006</v>
      </c>
      <c r="CY92">
        <v>54.6</v>
      </c>
      <c r="CZ92">
        <v>55</v>
      </c>
      <c r="DA92">
        <v>1</v>
      </c>
      <c r="DB92" t="s">
        <v>525</v>
      </c>
      <c r="DC92">
        <v>43</v>
      </c>
      <c r="DD92">
        <v>66.854795668968293</v>
      </c>
      <c r="DE92">
        <v>-23.854795668968201</v>
      </c>
      <c r="DF92" t="e">
        <f>_xlfn.XLOOKUP(Table1[[#This Row],[Player ID]],Table2[feed_id],Table2[trade_status])</f>
        <v>#N/A</v>
      </c>
      <c r="DG92">
        <f>_xlfn.NUMBERVALUE(Table1[[#This Row],[predicted]])</f>
        <v>66.854795668968293</v>
      </c>
    </row>
    <row r="93" spans="1:111" hidden="1" x14ac:dyDescent="0.25">
      <c r="A93">
        <v>66995</v>
      </c>
      <c r="B93">
        <v>6182</v>
      </c>
      <c r="C93" t="s">
        <v>1581</v>
      </c>
      <c r="D93" t="s">
        <v>109</v>
      </c>
      <c r="E93">
        <v>2017</v>
      </c>
      <c r="F93">
        <v>240366</v>
      </c>
      <c r="G93" t="s">
        <v>1582</v>
      </c>
      <c r="H93" t="s">
        <v>1583</v>
      </c>
      <c r="I93" t="s">
        <v>712</v>
      </c>
      <c r="J93">
        <v>10</v>
      </c>
      <c r="K93">
        <v>56</v>
      </c>
      <c r="L93">
        <v>65</v>
      </c>
      <c r="M93">
        <v>69</v>
      </c>
      <c r="N93">
        <v>44</v>
      </c>
      <c r="O93">
        <v>56</v>
      </c>
      <c r="P93">
        <v>6</v>
      </c>
      <c r="Q93">
        <v>4</v>
      </c>
      <c r="R93">
        <v>1</v>
      </c>
      <c r="S93">
        <v>3</v>
      </c>
      <c r="T93">
        <v>1</v>
      </c>
      <c r="U93">
        <v>1</v>
      </c>
      <c r="V93">
        <v>0</v>
      </c>
      <c r="W93">
        <v>2</v>
      </c>
      <c r="X93">
        <v>1</v>
      </c>
      <c r="Y93" t="s">
        <v>113</v>
      </c>
      <c r="Z93" t="s">
        <v>656</v>
      </c>
      <c r="AA93" t="s">
        <v>1584</v>
      </c>
      <c r="AD93">
        <v>350500</v>
      </c>
      <c r="AE93">
        <v>0</v>
      </c>
      <c r="AF93">
        <v>342400</v>
      </c>
      <c r="AG93">
        <v>10</v>
      </c>
      <c r="AH93" t="s">
        <v>155</v>
      </c>
      <c r="AI93">
        <v>13</v>
      </c>
      <c r="AJ93">
        <v>9</v>
      </c>
      <c r="AK93">
        <v>64.56</v>
      </c>
      <c r="AL93">
        <v>69.44</v>
      </c>
      <c r="AM93">
        <v>0.28999999999999998</v>
      </c>
      <c r="AN93">
        <v>0.74</v>
      </c>
      <c r="AO93">
        <v>0.43</v>
      </c>
      <c r="AP93">
        <v>362000</v>
      </c>
      <c r="AQ93">
        <v>57</v>
      </c>
      <c r="AS93">
        <v>5</v>
      </c>
      <c r="AT93">
        <v>0</v>
      </c>
      <c r="AU93">
        <v>0</v>
      </c>
      <c r="AV93">
        <v>80</v>
      </c>
      <c r="AW93">
        <v>83</v>
      </c>
      <c r="AZ93" t="b">
        <v>0</v>
      </c>
      <c r="BA93">
        <v>1716</v>
      </c>
      <c r="BB93">
        <v>1571</v>
      </c>
      <c r="BC93">
        <v>23</v>
      </c>
      <c r="BD93" t="s">
        <v>1585</v>
      </c>
      <c r="BE93" s="1" t="s">
        <v>1586</v>
      </c>
      <c r="BF93">
        <v>0</v>
      </c>
      <c r="BG93">
        <v>73</v>
      </c>
      <c r="BH93">
        <v>0</v>
      </c>
      <c r="BI93">
        <v>8</v>
      </c>
      <c r="BJ93" s="1" t="s">
        <v>1587</v>
      </c>
      <c r="BK93">
        <v>5</v>
      </c>
      <c r="BL93">
        <v>3</v>
      </c>
      <c r="BM93" s="1" t="s">
        <v>125</v>
      </c>
      <c r="BN93" s="1" t="s">
        <v>124</v>
      </c>
      <c r="BO93">
        <v>3</v>
      </c>
      <c r="BP93">
        <v>2.4</v>
      </c>
      <c r="BQ93" s="1" t="s">
        <v>449</v>
      </c>
      <c r="BR93" s="1" t="s">
        <v>375</v>
      </c>
      <c r="BS93" s="1" t="s">
        <v>128</v>
      </c>
      <c r="BT93">
        <v>1</v>
      </c>
      <c r="BU93">
        <v>0</v>
      </c>
      <c r="BV93">
        <v>0.6</v>
      </c>
      <c r="BW93" s="1" t="s">
        <v>126</v>
      </c>
      <c r="BX93">
        <v>1.4</v>
      </c>
      <c r="BY93" s="1" t="s">
        <v>126</v>
      </c>
      <c r="BZ93" s="1" t="s">
        <v>127</v>
      </c>
      <c r="CA93">
        <v>0.28999999999999998</v>
      </c>
      <c r="CB93" s="1" t="s">
        <v>1588</v>
      </c>
      <c r="CC93" s="1" t="s">
        <v>1589</v>
      </c>
      <c r="CD93">
        <v>0.70199999999999996</v>
      </c>
      <c r="CE93" s="1" t="s">
        <v>606</v>
      </c>
      <c r="CF93">
        <v>0.41799999999999998</v>
      </c>
      <c r="CG93" s="1" t="s">
        <v>124</v>
      </c>
      <c r="CH93" s="1" t="s">
        <v>260</v>
      </c>
      <c r="CI93" s="1" t="s">
        <v>128</v>
      </c>
      <c r="CJ93" s="1" t="s">
        <v>231</v>
      </c>
      <c r="CK93" s="1" t="s">
        <v>129</v>
      </c>
      <c r="CL93" s="1" t="s">
        <v>566</v>
      </c>
      <c r="CM93" s="1" t="s">
        <v>1080</v>
      </c>
      <c r="CN93" s="1" t="s">
        <v>1590</v>
      </c>
      <c r="CO93">
        <v>78</v>
      </c>
      <c r="CP93">
        <v>84.6</v>
      </c>
      <c r="CS93" s="1" t="s">
        <v>348</v>
      </c>
      <c r="CT93" s="1" t="s">
        <v>1591</v>
      </c>
      <c r="CU93">
        <v>1681</v>
      </c>
      <c r="CV93">
        <v>1635.4</v>
      </c>
      <c r="CW93">
        <v>71.400000000000006</v>
      </c>
      <c r="CX93">
        <v>72</v>
      </c>
      <c r="CY93">
        <v>72.8</v>
      </c>
      <c r="CZ93" s="1" t="s">
        <v>306</v>
      </c>
      <c r="DA93">
        <v>1</v>
      </c>
      <c r="DB93" t="s">
        <v>656</v>
      </c>
      <c r="DC93">
        <v>65</v>
      </c>
      <c r="DD93" s="1" t="s">
        <v>1592</v>
      </c>
      <c r="DE93">
        <v>-6.5735359064827801</v>
      </c>
      <c r="DF93" t="e">
        <f>_xlfn.XLOOKUP(Table1[[#This Row],[Player ID]],Table2[feed_id],Table2[trade_status])</f>
        <v>#N/A</v>
      </c>
      <c r="DG93">
        <f>_xlfn.NUMBERVALUE(Table1[[#This Row],[predicted]])</f>
        <v>71.573535906482704</v>
      </c>
    </row>
    <row r="94" spans="1:111" hidden="1" x14ac:dyDescent="0.25">
      <c r="A94">
        <v>67188</v>
      </c>
      <c r="B94">
        <v>6186</v>
      </c>
      <c r="C94" t="s">
        <v>1593</v>
      </c>
      <c r="D94" t="s">
        <v>109</v>
      </c>
      <c r="E94">
        <v>2017</v>
      </c>
      <c r="F94">
        <v>261212</v>
      </c>
      <c r="G94" t="s">
        <v>1594</v>
      </c>
      <c r="H94" t="s">
        <v>1595</v>
      </c>
      <c r="I94" t="s">
        <v>619</v>
      </c>
      <c r="J94">
        <v>14</v>
      </c>
      <c r="K94">
        <v>80</v>
      </c>
      <c r="L94">
        <v>80</v>
      </c>
      <c r="M94">
        <v>54</v>
      </c>
      <c r="N94">
        <v>60</v>
      </c>
      <c r="O94">
        <v>87</v>
      </c>
      <c r="P94">
        <v>12</v>
      </c>
      <c r="Q94">
        <v>11</v>
      </c>
      <c r="R94">
        <v>2</v>
      </c>
      <c r="S94">
        <v>4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113</v>
      </c>
      <c r="Z94" t="s">
        <v>525</v>
      </c>
      <c r="AA94" t="s">
        <v>1596</v>
      </c>
      <c r="AD94">
        <v>488400</v>
      </c>
      <c r="AE94">
        <v>0</v>
      </c>
      <c r="AF94">
        <v>437100</v>
      </c>
      <c r="AG94">
        <v>132</v>
      </c>
      <c r="AH94" t="s">
        <v>118</v>
      </c>
      <c r="AI94">
        <v>24</v>
      </c>
      <c r="AJ94">
        <v>1</v>
      </c>
      <c r="AK94">
        <v>66</v>
      </c>
      <c r="AL94">
        <v>66</v>
      </c>
      <c r="AM94">
        <v>0.05</v>
      </c>
      <c r="AN94">
        <v>0.06</v>
      </c>
      <c r="AO94">
        <v>0.03</v>
      </c>
      <c r="AP94">
        <v>486000</v>
      </c>
      <c r="AQ94">
        <v>109</v>
      </c>
      <c r="AS94">
        <v>7</v>
      </c>
      <c r="AT94">
        <v>3</v>
      </c>
      <c r="AU94">
        <v>3</v>
      </c>
      <c r="AV94">
        <v>73</v>
      </c>
      <c r="AW94">
        <v>79</v>
      </c>
      <c r="AZ94" t="b">
        <v>0</v>
      </c>
      <c r="BA94">
        <v>1460</v>
      </c>
      <c r="BB94">
        <v>1781</v>
      </c>
      <c r="BC94">
        <v>23</v>
      </c>
      <c r="BD94" t="s">
        <v>1597</v>
      </c>
      <c r="BE94" s="1" t="s">
        <v>1586</v>
      </c>
      <c r="BF94">
        <v>0</v>
      </c>
      <c r="BG94">
        <v>73</v>
      </c>
      <c r="BH94">
        <v>1</v>
      </c>
      <c r="BI94" s="1" t="s">
        <v>977</v>
      </c>
      <c r="BJ94" s="1" t="s">
        <v>1066</v>
      </c>
      <c r="BK94" s="1" t="s">
        <v>356</v>
      </c>
      <c r="BL94" s="1" t="s">
        <v>746</v>
      </c>
      <c r="BM94">
        <v>3</v>
      </c>
      <c r="BN94" s="1" t="s">
        <v>322</v>
      </c>
      <c r="BO94" s="1" t="s">
        <v>211</v>
      </c>
      <c r="BP94" s="1" t="s">
        <v>343</v>
      </c>
      <c r="BQ94">
        <v>0</v>
      </c>
      <c r="BR94">
        <v>0</v>
      </c>
      <c r="BS94" s="1" t="s">
        <v>128</v>
      </c>
      <c r="BT94">
        <v>0.8</v>
      </c>
      <c r="BU94">
        <v>0</v>
      </c>
      <c r="BV94" s="1" t="s">
        <v>238</v>
      </c>
      <c r="BW94">
        <v>0</v>
      </c>
      <c r="BX94" s="1" t="s">
        <v>213</v>
      </c>
      <c r="BY94" s="1" t="s">
        <v>129</v>
      </c>
      <c r="BZ94" s="1" t="s">
        <v>213</v>
      </c>
      <c r="CA94" s="1" t="s">
        <v>1598</v>
      </c>
      <c r="CB94">
        <v>2.1379999999999999</v>
      </c>
      <c r="CC94">
        <v>0.52</v>
      </c>
      <c r="CD94" s="1" t="s">
        <v>1599</v>
      </c>
      <c r="CE94" s="1" t="s">
        <v>1600</v>
      </c>
      <c r="CF94">
        <v>8.33</v>
      </c>
      <c r="CG94" s="1" t="s">
        <v>204</v>
      </c>
      <c r="CH94" s="1" t="s">
        <v>396</v>
      </c>
      <c r="CI94">
        <v>4</v>
      </c>
      <c r="CJ94">
        <v>4.2</v>
      </c>
      <c r="CK94">
        <v>2</v>
      </c>
      <c r="CL94">
        <v>2.2000000000000002</v>
      </c>
      <c r="CM94" s="1" t="s">
        <v>406</v>
      </c>
      <c r="CN94" s="1" t="s">
        <v>754</v>
      </c>
      <c r="CO94" s="1" t="s">
        <v>1053</v>
      </c>
      <c r="CP94" s="1" t="s">
        <v>753</v>
      </c>
      <c r="CS94">
        <v>1797</v>
      </c>
      <c r="CT94">
        <v>1584</v>
      </c>
      <c r="CU94" s="1" t="s">
        <v>1601</v>
      </c>
      <c r="CV94" s="1" t="s">
        <v>853</v>
      </c>
      <c r="CW94">
        <v>79.55</v>
      </c>
      <c r="CX94">
        <v>84.7</v>
      </c>
      <c r="CY94">
        <v>79.8</v>
      </c>
      <c r="CZ94" s="1" t="s">
        <v>364</v>
      </c>
      <c r="DA94">
        <v>1</v>
      </c>
      <c r="DB94" t="s">
        <v>525</v>
      </c>
      <c r="DC94">
        <v>80</v>
      </c>
      <c r="DD94" s="1" t="s">
        <v>1602</v>
      </c>
      <c r="DE94" s="1" t="s">
        <v>1603</v>
      </c>
      <c r="DF94" t="e">
        <f>_xlfn.XLOOKUP(Table1[[#This Row],[Player ID]],Table2[feed_id],Table2[trade_status])</f>
        <v>#N/A</v>
      </c>
      <c r="DG94">
        <f>_xlfn.NUMBERVALUE(Table1[[#This Row],[predicted]])</f>
        <v>76.557593728040302</v>
      </c>
    </row>
    <row r="95" spans="1:111" hidden="1" x14ac:dyDescent="0.25">
      <c r="A95">
        <v>67348</v>
      </c>
      <c r="B95">
        <v>6190</v>
      </c>
      <c r="C95" t="s">
        <v>1604</v>
      </c>
      <c r="D95" t="s">
        <v>198</v>
      </c>
      <c r="E95">
        <v>2017</v>
      </c>
      <c r="F95">
        <v>220010</v>
      </c>
      <c r="G95" t="s">
        <v>1002</v>
      </c>
      <c r="H95" t="s">
        <v>1605</v>
      </c>
      <c r="I95" t="s">
        <v>712</v>
      </c>
      <c r="J95">
        <v>32</v>
      </c>
      <c r="K95">
        <v>133</v>
      </c>
      <c r="L95">
        <v>119</v>
      </c>
      <c r="M95">
        <v>84</v>
      </c>
      <c r="N95">
        <v>110</v>
      </c>
      <c r="O95">
        <v>144</v>
      </c>
      <c r="P95">
        <v>21</v>
      </c>
      <c r="Q95">
        <v>12</v>
      </c>
      <c r="R95">
        <v>12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  <c r="Y95" t="s">
        <v>113</v>
      </c>
      <c r="Z95" t="s">
        <v>250</v>
      </c>
      <c r="AA95" t="s">
        <v>1606</v>
      </c>
      <c r="AB95" t="s">
        <v>226</v>
      </c>
      <c r="AC95" t="s">
        <v>1607</v>
      </c>
      <c r="AD95">
        <v>435900</v>
      </c>
      <c r="AE95">
        <v>0</v>
      </c>
      <c r="AF95">
        <v>398000</v>
      </c>
      <c r="AG95">
        <v>74</v>
      </c>
      <c r="AH95" t="s">
        <v>181</v>
      </c>
      <c r="AI95">
        <v>5</v>
      </c>
      <c r="AJ95">
        <v>9</v>
      </c>
      <c r="AK95">
        <v>78.78</v>
      </c>
      <c r="AL95">
        <v>73.33</v>
      </c>
      <c r="AM95">
        <v>0.95</v>
      </c>
      <c r="AN95">
        <v>1.32</v>
      </c>
      <c r="AO95">
        <v>1.89</v>
      </c>
      <c r="AP95">
        <v>450000</v>
      </c>
      <c r="AQ95">
        <v>87</v>
      </c>
      <c r="AS95">
        <v>6</v>
      </c>
      <c r="AT95">
        <v>1</v>
      </c>
      <c r="AU95">
        <v>2</v>
      </c>
      <c r="AV95">
        <v>75</v>
      </c>
      <c r="AW95">
        <v>85</v>
      </c>
      <c r="AZ95" t="b">
        <v>0</v>
      </c>
      <c r="BA95">
        <v>1855</v>
      </c>
      <c r="BB95">
        <v>1420</v>
      </c>
      <c r="BC95">
        <v>24</v>
      </c>
      <c r="BD95" t="s">
        <v>1608</v>
      </c>
      <c r="BE95" s="1" t="s">
        <v>1023</v>
      </c>
      <c r="BF95">
        <v>1</v>
      </c>
      <c r="BG95">
        <v>72</v>
      </c>
      <c r="BH95">
        <v>1</v>
      </c>
      <c r="BI95" s="1" t="s">
        <v>1609</v>
      </c>
      <c r="BJ95" s="1" t="s">
        <v>297</v>
      </c>
      <c r="BK95" s="1" t="s">
        <v>977</v>
      </c>
      <c r="BL95" s="1" t="s">
        <v>962</v>
      </c>
      <c r="BM95" s="1" t="s">
        <v>253</v>
      </c>
      <c r="BN95" s="1" t="s">
        <v>416</v>
      </c>
      <c r="BO95" s="1" t="s">
        <v>159</v>
      </c>
      <c r="BP95">
        <v>1.6</v>
      </c>
      <c r="BQ95">
        <v>0</v>
      </c>
      <c r="BR95">
        <v>0</v>
      </c>
      <c r="BS95">
        <v>1</v>
      </c>
      <c r="BT95">
        <v>1</v>
      </c>
      <c r="BU95" s="1" t="s">
        <v>128</v>
      </c>
      <c r="BV95" s="1" t="s">
        <v>231</v>
      </c>
      <c r="BW95" s="1" t="s">
        <v>129</v>
      </c>
      <c r="BX95">
        <v>0.2</v>
      </c>
      <c r="BY95">
        <v>0</v>
      </c>
      <c r="BZ95" s="1" t="s">
        <v>213</v>
      </c>
      <c r="CA95" s="1" t="s">
        <v>1610</v>
      </c>
      <c r="CB95" s="1" t="s">
        <v>1611</v>
      </c>
      <c r="CC95" s="1" t="s">
        <v>1612</v>
      </c>
      <c r="CD95" s="1" t="s">
        <v>1613</v>
      </c>
      <c r="CE95">
        <v>1.99</v>
      </c>
      <c r="CF95" s="1" t="s">
        <v>1614</v>
      </c>
      <c r="CG95" s="1" t="s">
        <v>397</v>
      </c>
      <c r="CH95">
        <v>5.8</v>
      </c>
      <c r="CI95">
        <v>1</v>
      </c>
      <c r="CJ95" s="1" t="s">
        <v>130</v>
      </c>
      <c r="CK95">
        <v>3</v>
      </c>
      <c r="CL95">
        <v>2.2000000000000002</v>
      </c>
      <c r="CM95" s="1" t="s">
        <v>1615</v>
      </c>
      <c r="CN95" s="1" t="s">
        <v>1616</v>
      </c>
      <c r="CO95" s="1" t="s">
        <v>1123</v>
      </c>
      <c r="CP95" s="1" t="s">
        <v>239</v>
      </c>
      <c r="CS95">
        <v>1440</v>
      </c>
      <c r="CT95" s="1" t="s">
        <v>1617</v>
      </c>
      <c r="CU95">
        <v>1828</v>
      </c>
      <c r="CV95" s="1" t="s">
        <v>1618</v>
      </c>
      <c r="CW95">
        <v>86.7</v>
      </c>
      <c r="CX95">
        <v>77.900000000000006</v>
      </c>
      <c r="CY95">
        <v>83.8</v>
      </c>
      <c r="CZ95" s="1" t="s">
        <v>1619</v>
      </c>
      <c r="DA95">
        <v>1</v>
      </c>
      <c r="DB95" t="s">
        <v>250</v>
      </c>
      <c r="DC95">
        <v>119</v>
      </c>
      <c r="DD95" s="1" t="s">
        <v>1620</v>
      </c>
      <c r="DE95" s="1" t="s">
        <v>1621</v>
      </c>
      <c r="DF95" t="e">
        <f>_xlfn.XLOOKUP(Table1[[#This Row],[Player ID]],Table2[feed_id],Table2[trade_status])</f>
        <v>#N/A</v>
      </c>
      <c r="DG95">
        <f>_xlfn.NUMBERVALUE(Table1[[#This Row],[predicted]])</f>
        <v>83.631526464839496</v>
      </c>
    </row>
    <row r="96" spans="1:111" hidden="1" x14ac:dyDescent="0.25">
      <c r="A96">
        <v>67351</v>
      </c>
      <c r="B96">
        <v>6190</v>
      </c>
      <c r="C96" t="s">
        <v>1604</v>
      </c>
      <c r="D96" t="s">
        <v>198</v>
      </c>
      <c r="E96">
        <v>2017</v>
      </c>
      <c r="F96">
        <v>271439</v>
      </c>
      <c r="G96" t="s">
        <v>1464</v>
      </c>
      <c r="H96" t="s">
        <v>1622</v>
      </c>
      <c r="I96" t="s">
        <v>712</v>
      </c>
      <c r="J96">
        <v>26</v>
      </c>
      <c r="K96">
        <v>86</v>
      </c>
      <c r="L96">
        <v>84</v>
      </c>
      <c r="M96">
        <v>74</v>
      </c>
      <c r="N96">
        <v>72</v>
      </c>
      <c r="O96">
        <v>92</v>
      </c>
      <c r="P96">
        <v>8</v>
      </c>
      <c r="Q96">
        <v>8</v>
      </c>
      <c r="R96">
        <v>4</v>
      </c>
      <c r="S96">
        <v>4</v>
      </c>
      <c r="T96">
        <v>0</v>
      </c>
      <c r="U96">
        <v>1</v>
      </c>
      <c r="V96">
        <v>1</v>
      </c>
      <c r="W96">
        <v>3</v>
      </c>
      <c r="X96">
        <v>2</v>
      </c>
      <c r="Y96" t="s">
        <v>113</v>
      </c>
      <c r="Z96" t="s">
        <v>861</v>
      </c>
      <c r="AA96" t="s">
        <v>1623</v>
      </c>
      <c r="AD96">
        <v>376400</v>
      </c>
      <c r="AE96">
        <v>0</v>
      </c>
      <c r="AF96">
        <v>367400</v>
      </c>
      <c r="AG96">
        <v>100</v>
      </c>
      <c r="AH96" t="s">
        <v>118</v>
      </c>
      <c r="AI96">
        <v>42</v>
      </c>
      <c r="AJ96">
        <v>21</v>
      </c>
      <c r="AK96">
        <v>75.709999999999994</v>
      </c>
      <c r="AL96">
        <v>74.709999999999994</v>
      </c>
      <c r="AM96">
        <v>1.27</v>
      </c>
      <c r="AN96">
        <v>1.87</v>
      </c>
      <c r="AO96">
        <v>2.0499999999999998</v>
      </c>
      <c r="AP96">
        <v>395000</v>
      </c>
      <c r="AQ96">
        <v>90</v>
      </c>
      <c r="AS96">
        <v>8</v>
      </c>
      <c r="AT96">
        <v>0</v>
      </c>
      <c r="AU96">
        <v>4</v>
      </c>
      <c r="AV96">
        <v>56</v>
      </c>
      <c r="AW96">
        <v>80</v>
      </c>
      <c r="AZ96" t="b">
        <v>0</v>
      </c>
      <c r="BA96">
        <v>1855</v>
      </c>
      <c r="BB96">
        <v>1420</v>
      </c>
      <c r="BC96">
        <v>24</v>
      </c>
      <c r="BD96" t="s">
        <v>1608</v>
      </c>
      <c r="BE96" s="1" t="s">
        <v>1023</v>
      </c>
      <c r="BF96">
        <v>0</v>
      </c>
      <c r="BG96">
        <v>72</v>
      </c>
      <c r="BH96">
        <v>1</v>
      </c>
      <c r="BI96" s="1" t="s">
        <v>397</v>
      </c>
      <c r="BJ96" s="1" t="s">
        <v>1041</v>
      </c>
      <c r="BK96" s="1" t="s">
        <v>977</v>
      </c>
      <c r="BL96">
        <v>10</v>
      </c>
      <c r="BM96" s="1" t="s">
        <v>138</v>
      </c>
      <c r="BN96" s="1" t="s">
        <v>138</v>
      </c>
      <c r="BO96" s="1" t="s">
        <v>138</v>
      </c>
      <c r="BP96" s="1" t="s">
        <v>237</v>
      </c>
      <c r="BQ96">
        <v>0</v>
      </c>
      <c r="BR96">
        <v>0</v>
      </c>
      <c r="BS96" s="1" t="s">
        <v>128</v>
      </c>
      <c r="BT96" s="1" t="s">
        <v>128</v>
      </c>
      <c r="BU96" s="1" t="s">
        <v>129</v>
      </c>
      <c r="BV96" s="1" t="s">
        <v>130</v>
      </c>
      <c r="BW96">
        <v>1</v>
      </c>
      <c r="BX96">
        <v>1.2</v>
      </c>
      <c r="BY96" s="1" t="s">
        <v>128</v>
      </c>
      <c r="BZ96" s="1" t="s">
        <v>238</v>
      </c>
      <c r="CA96">
        <v>1.3</v>
      </c>
      <c r="CB96" s="1" t="s">
        <v>1624</v>
      </c>
      <c r="CC96" s="1" t="s">
        <v>1625</v>
      </c>
      <c r="CD96">
        <v>1.796</v>
      </c>
      <c r="CE96" s="1" t="s">
        <v>1626</v>
      </c>
      <c r="CF96" s="1" t="s">
        <v>1627</v>
      </c>
      <c r="CG96">
        <v>6</v>
      </c>
      <c r="CH96" s="1" t="s">
        <v>818</v>
      </c>
      <c r="CI96" s="1" t="s">
        <v>129</v>
      </c>
      <c r="CJ96">
        <v>0.8</v>
      </c>
      <c r="CK96" s="1" t="s">
        <v>159</v>
      </c>
      <c r="CL96" s="1" t="s">
        <v>169</v>
      </c>
      <c r="CM96">
        <v>65</v>
      </c>
      <c r="CN96">
        <v>66.2</v>
      </c>
      <c r="CO96" s="1" t="s">
        <v>516</v>
      </c>
      <c r="CP96">
        <v>83.2</v>
      </c>
      <c r="CS96" s="1" t="s">
        <v>1628</v>
      </c>
      <c r="CT96" s="1" t="s">
        <v>1629</v>
      </c>
      <c r="CU96" s="1" t="s">
        <v>1630</v>
      </c>
      <c r="CV96" s="1" t="s">
        <v>1631</v>
      </c>
      <c r="CW96">
        <v>72.849999999999994</v>
      </c>
      <c r="CX96">
        <v>74.3</v>
      </c>
      <c r="CY96">
        <v>72</v>
      </c>
      <c r="CZ96" s="1" t="s">
        <v>883</v>
      </c>
      <c r="DA96">
        <v>1</v>
      </c>
      <c r="DB96" t="s">
        <v>861</v>
      </c>
      <c r="DC96">
        <v>84</v>
      </c>
      <c r="DD96" s="1" t="s">
        <v>1632</v>
      </c>
      <c r="DE96" s="1" t="s">
        <v>1633</v>
      </c>
      <c r="DF96" t="e">
        <f>_xlfn.XLOOKUP(Table1[[#This Row],[Player ID]],Table2[feed_id],Table2[trade_status])</f>
        <v>#N/A</v>
      </c>
      <c r="DG96">
        <f>_xlfn.NUMBERVALUE(Table1[[#This Row],[predicted]])</f>
        <v>73.393194618952904</v>
      </c>
    </row>
    <row r="97" spans="1:111" hidden="1" x14ac:dyDescent="0.25">
      <c r="A97">
        <v>67356</v>
      </c>
      <c r="B97">
        <v>6190</v>
      </c>
      <c r="C97" t="s">
        <v>1604</v>
      </c>
      <c r="D97" t="s">
        <v>198</v>
      </c>
      <c r="E97">
        <v>2017</v>
      </c>
      <c r="F97">
        <v>200083</v>
      </c>
      <c r="G97" t="s">
        <v>1634</v>
      </c>
      <c r="H97" t="s">
        <v>1635</v>
      </c>
      <c r="I97" t="s">
        <v>712</v>
      </c>
      <c r="J97">
        <v>14</v>
      </c>
      <c r="K97">
        <v>63</v>
      </c>
      <c r="L97">
        <v>89</v>
      </c>
      <c r="M97">
        <v>39</v>
      </c>
      <c r="N97">
        <v>51</v>
      </c>
      <c r="O97">
        <v>66</v>
      </c>
      <c r="P97">
        <v>10</v>
      </c>
      <c r="Q97">
        <v>5</v>
      </c>
      <c r="R97">
        <v>4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 t="s">
        <v>113</v>
      </c>
      <c r="Z97" t="s">
        <v>226</v>
      </c>
      <c r="AA97" t="s">
        <v>1636</v>
      </c>
      <c r="AD97">
        <v>388100</v>
      </c>
      <c r="AE97">
        <v>0</v>
      </c>
      <c r="AF97">
        <v>369200</v>
      </c>
      <c r="AG97">
        <v>57</v>
      </c>
      <c r="AH97" t="s">
        <v>181</v>
      </c>
      <c r="AI97">
        <v>2</v>
      </c>
      <c r="AJ97">
        <v>16</v>
      </c>
      <c r="AK97">
        <v>78.38</v>
      </c>
      <c r="AL97">
        <v>75.81</v>
      </c>
      <c r="AM97">
        <v>2.15</v>
      </c>
      <c r="AN97">
        <v>4.7699999999999996</v>
      </c>
      <c r="AO97">
        <v>6.28</v>
      </c>
      <c r="AP97">
        <v>401000</v>
      </c>
      <c r="AQ97">
        <v>83</v>
      </c>
      <c r="AS97">
        <v>6</v>
      </c>
      <c r="AT97">
        <v>1</v>
      </c>
      <c r="AU97">
        <v>1</v>
      </c>
      <c r="AV97">
        <v>86</v>
      </c>
      <c r="AW97">
        <v>77</v>
      </c>
      <c r="AZ97" t="b">
        <v>0</v>
      </c>
      <c r="BA97">
        <v>1855</v>
      </c>
      <c r="BB97">
        <v>1420</v>
      </c>
      <c r="BC97">
        <v>24</v>
      </c>
      <c r="BD97" t="s">
        <v>1608</v>
      </c>
      <c r="BE97" s="1" t="s">
        <v>1023</v>
      </c>
      <c r="BF97">
        <v>0</v>
      </c>
      <c r="BG97">
        <v>72</v>
      </c>
      <c r="BH97">
        <v>1</v>
      </c>
      <c r="BI97" s="1" t="s">
        <v>977</v>
      </c>
      <c r="BJ97">
        <v>11.8</v>
      </c>
      <c r="BK97" s="1" t="s">
        <v>124</v>
      </c>
      <c r="BL97">
        <v>7.8</v>
      </c>
      <c r="BM97" s="1" t="s">
        <v>138</v>
      </c>
      <c r="BN97">
        <v>4.8</v>
      </c>
      <c r="BO97">
        <v>3</v>
      </c>
      <c r="BP97" s="1" t="s">
        <v>214</v>
      </c>
      <c r="BQ97">
        <v>0</v>
      </c>
      <c r="BR97">
        <v>0</v>
      </c>
      <c r="BS97">
        <v>1</v>
      </c>
      <c r="BT97" s="1" t="s">
        <v>238</v>
      </c>
      <c r="BU97" s="1" t="s">
        <v>129</v>
      </c>
      <c r="BV97">
        <v>0.8</v>
      </c>
      <c r="BW97" s="1" t="s">
        <v>128</v>
      </c>
      <c r="BX97">
        <v>0.6</v>
      </c>
      <c r="BY97" s="1" t="s">
        <v>129</v>
      </c>
      <c r="BZ97">
        <v>0.4</v>
      </c>
      <c r="CA97" s="1" t="s">
        <v>1637</v>
      </c>
      <c r="CB97">
        <v>4.5220000000000002</v>
      </c>
      <c r="CC97">
        <v>4.75</v>
      </c>
      <c r="CD97" s="1" t="s">
        <v>1638</v>
      </c>
      <c r="CE97" s="1" t="s">
        <v>1639</v>
      </c>
      <c r="CF97" s="1" t="s">
        <v>1640</v>
      </c>
      <c r="CG97" s="1" t="s">
        <v>397</v>
      </c>
      <c r="CH97" s="1" t="s">
        <v>436</v>
      </c>
      <c r="CI97" s="1" t="s">
        <v>161</v>
      </c>
      <c r="CJ97" s="1" t="s">
        <v>130</v>
      </c>
      <c r="CK97">
        <v>1</v>
      </c>
      <c r="CL97" s="1" t="s">
        <v>159</v>
      </c>
      <c r="CM97">
        <v>81</v>
      </c>
      <c r="CN97" s="1" t="s">
        <v>1641</v>
      </c>
      <c r="CO97" s="1" t="s">
        <v>516</v>
      </c>
      <c r="CP97" s="1" t="s">
        <v>1642</v>
      </c>
      <c r="CS97" s="1" t="s">
        <v>1628</v>
      </c>
      <c r="CT97">
        <v>1647</v>
      </c>
      <c r="CU97" s="1" t="s">
        <v>1630</v>
      </c>
      <c r="CV97" s="1" t="s">
        <v>1643</v>
      </c>
      <c r="CW97">
        <v>80.55</v>
      </c>
      <c r="CX97">
        <v>75.099999999999994</v>
      </c>
      <c r="CY97">
        <v>79.8</v>
      </c>
      <c r="CZ97">
        <v>85</v>
      </c>
      <c r="DA97">
        <v>1</v>
      </c>
      <c r="DB97" t="s">
        <v>226</v>
      </c>
      <c r="DC97">
        <v>89</v>
      </c>
      <c r="DD97" s="1" t="s">
        <v>1644</v>
      </c>
      <c r="DE97">
        <v>-9.9281408673469098</v>
      </c>
      <c r="DF97" t="e">
        <f>_xlfn.XLOOKUP(Table1[[#This Row],[Player ID]],Table2[feed_id],Table2[trade_status])</f>
        <v>#N/A</v>
      </c>
      <c r="DG97">
        <f>_xlfn.NUMBERVALUE(Table1[[#This Row],[predicted]])</f>
        <v>98.928140867346897</v>
      </c>
    </row>
    <row r="98" spans="1:111" hidden="1" x14ac:dyDescent="0.25">
      <c r="A98">
        <v>67421</v>
      </c>
      <c r="B98">
        <v>6192</v>
      </c>
      <c r="C98" t="s">
        <v>1645</v>
      </c>
      <c r="D98" t="s">
        <v>198</v>
      </c>
      <c r="E98">
        <v>2017</v>
      </c>
      <c r="F98">
        <v>292035</v>
      </c>
      <c r="G98" t="s">
        <v>1646</v>
      </c>
      <c r="H98" t="s">
        <v>1647</v>
      </c>
      <c r="I98" t="s">
        <v>201</v>
      </c>
      <c r="J98">
        <v>18</v>
      </c>
      <c r="K98">
        <v>73</v>
      </c>
      <c r="L98">
        <v>68</v>
      </c>
      <c r="M98">
        <v>91</v>
      </c>
      <c r="N98">
        <v>62</v>
      </c>
      <c r="O98">
        <v>79</v>
      </c>
      <c r="P98">
        <v>11</v>
      </c>
      <c r="Q98">
        <v>6</v>
      </c>
      <c r="R98">
        <v>7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 t="s">
        <v>113</v>
      </c>
      <c r="Z98" t="s">
        <v>525</v>
      </c>
      <c r="AA98" t="s">
        <v>1648</v>
      </c>
      <c r="AD98">
        <v>250100</v>
      </c>
      <c r="AE98">
        <v>0</v>
      </c>
      <c r="AF98">
        <v>241700</v>
      </c>
      <c r="AG98">
        <v>25</v>
      </c>
      <c r="AH98" t="s">
        <v>181</v>
      </c>
      <c r="AI98">
        <v>17</v>
      </c>
      <c r="AJ98">
        <v>8</v>
      </c>
      <c r="AK98">
        <v>56.12</v>
      </c>
      <c r="AL98">
        <v>55.25</v>
      </c>
      <c r="AM98">
        <v>0.42</v>
      </c>
      <c r="AN98">
        <v>0.49</v>
      </c>
      <c r="AO98">
        <v>0.37</v>
      </c>
      <c r="AP98">
        <v>285000</v>
      </c>
      <c r="AQ98">
        <v>58</v>
      </c>
      <c r="AS98">
        <v>3</v>
      </c>
      <c r="AT98">
        <v>1</v>
      </c>
      <c r="AU98">
        <v>1</v>
      </c>
      <c r="AV98">
        <v>70</v>
      </c>
      <c r="AW98">
        <v>61</v>
      </c>
      <c r="AZ98" t="b">
        <v>0</v>
      </c>
      <c r="BA98">
        <v>1764</v>
      </c>
      <c r="BB98">
        <v>1487</v>
      </c>
      <c r="BC98">
        <v>24</v>
      </c>
      <c r="BD98" t="s">
        <v>1649</v>
      </c>
      <c r="BE98" s="1" t="s">
        <v>1023</v>
      </c>
      <c r="BF98">
        <v>0</v>
      </c>
      <c r="BG98">
        <v>72</v>
      </c>
      <c r="BH98">
        <v>0</v>
      </c>
      <c r="BI98">
        <v>8</v>
      </c>
      <c r="BJ98" s="1" t="s">
        <v>358</v>
      </c>
      <c r="BK98" s="1" t="s">
        <v>253</v>
      </c>
      <c r="BL98">
        <v>5</v>
      </c>
      <c r="BM98" s="1" t="s">
        <v>449</v>
      </c>
      <c r="BN98" s="1" t="s">
        <v>256</v>
      </c>
      <c r="BO98" s="1" t="s">
        <v>161</v>
      </c>
      <c r="BP98" s="1" t="s">
        <v>327</v>
      </c>
      <c r="BQ98">
        <v>0</v>
      </c>
      <c r="BR98">
        <v>0</v>
      </c>
      <c r="BS98" s="1" t="s">
        <v>129</v>
      </c>
      <c r="BT98" s="1" t="s">
        <v>238</v>
      </c>
      <c r="BU98" s="1" t="s">
        <v>128</v>
      </c>
      <c r="BV98" s="1" t="s">
        <v>238</v>
      </c>
      <c r="BW98" s="1" t="s">
        <v>128</v>
      </c>
      <c r="BX98" s="1" t="s">
        <v>129</v>
      </c>
      <c r="BY98" s="1" t="s">
        <v>128</v>
      </c>
      <c r="BZ98" s="1" t="s">
        <v>213</v>
      </c>
      <c r="CA98" s="1" t="s">
        <v>1650</v>
      </c>
      <c r="CB98" s="1" t="s">
        <v>1651</v>
      </c>
      <c r="CC98" s="1" t="s">
        <v>1093</v>
      </c>
      <c r="CD98" s="1" t="s">
        <v>697</v>
      </c>
      <c r="CE98">
        <v>0.32</v>
      </c>
      <c r="CF98" s="1" t="s">
        <v>1652</v>
      </c>
      <c r="CG98">
        <v>5</v>
      </c>
      <c r="CH98" s="1" t="s">
        <v>125</v>
      </c>
      <c r="CI98">
        <v>2</v>
      </c>
      <c r="CJ98" s="1" t="s">
        <v>130</v>
      </c>
      <c r="CK98" s="1" t="s">
        <v>126</v>
      </c>
      <c r="CL98">
        <v>1.6</v>
      </c>
      <c r="CM98" s="1" t="s">
        <v>1053</v>
      </c>
      <c r="CN98">
        <v>73.400000000000006</v>
      </c>
      <c r="CO98" s="1" t="s">
        <v>772</v>
      </c>
      <c r="CP98">
        <v>71.400000000000006</v>
      </c>
      <c r="CS98" s="1" t="s">
        <v>1653</v>
      </c>
      <c r="CT98" s="1" t="s">
        <v>1654</v>
      </c>
      <c r="CU98" s="1" t="s">
        <v>1418</v>
      </c>
      <c r="CV98" s="1" t="s">
        <v>1655</v>
      </c>
      <c r="CW98">
        <v>51.85</v>
      </c>
      <c r="CX98">
        <v>57.7</v>
      </c>
      <c r="CY98">
        <v>45</v>
      </c>
      <c r="CZ98">
        <v>63</v>
      </c>
      <c r="DA98">
        <v>1</v>
      </c>
      <c r="DB98" t="s">
        <v>525</v>
      </c>
      <c r="DC98">
        <v>68</v>
      </c>
      <c r="DD98" s="1" t="s">
        <v>1656</v>
      </c>
      <c r="DE98" s="1" t="s">
        <v>1657</v>
      </c>
      <c r="DF98" t="e">
        <f>_xlfn.XLOOKUP(Table1[[#This Row],[Player ID]],Table2[feed_id],Table2[trade_status])</f>
        <v>#N/A</v>
      </c>
      <c r="DG98">
        <f>_xlfn.NUMBERVALUE(Table1[[#This Row],[predicted]])</f>
        <v>55.8312565250679</v>
      </c>
    </row>
    <row r="99" spans="1:111" hidden="1" x14ac:dyDescent="0.25">
      <c r="A99">
        <v>67448</v>
      </c>
      <c r="B99">
        <v>6192</v>
      </c>
      <c r="C99" t="s">
        <v>1645</v>
      </c>
      <c r="D99" t="s">
        <v>198</v>
      </c>
      <c r="E99">
        <v>2017</v>
      </c>
      <c r="F99">
        <v>250373</v>
      </c>
      <c r="G99" t="s">
        <v>1658</v>
      </c>
      <c r="H99" t="s">
        <v>1659</v>
      </c>
      <c r="I99" t="s">
        <v>813</v>
      </c>
      <c r="J99">
        <v>18</v>
      </c>
      <c r="K99">
        <v>72</v>
      </c>
      <c r="L99">
        <v>67</v>
      </c>
      <c r="M99">
        <v>49</v>
      </c>
      <c r="N99">
        <v>65</v>
      </c>
      <c r="O99">
        <v>84</v>
      </c>
      <c r="P99">
        <v>11</v>
      </c>
      <c r="Q99">
        <v>7</v>
      </c>
      <c r="R99">
        <v>10</v>
      </c>
      <c r="S99">
        <v>0</v>
      </c>
      <c r="T99">
        <v>0</v>
      </c>
      <c r="U99">
        <v>1</v>
      </c>
      <c r="V99">
        <v>2</v>
      </c>
      <c r="W99">
        <v>0</v>
      </c>
      <c r="X99">
        <v>0</v>
      </c>
      <c r="Y99" t="s">
        <v>113</v>
      </c>
      <c r="Z99" t="s">
        <v>179</v>
      </c>
      <c r="AA99" t="s">
        <v>1660</v>
      </c>
      <c r="AD99">
        <v>330700</v>
      </c>
      <c r="AE99">
        <v>0</v>
      </c>
      <c r="AF99">
        <v>310600</v>
      </c>
      <c r="AG99">
        <v>69</v>
      </c>
      <c r="AH99" t="s">
        <v>181</v>
      </c>
      <c r="AI99">
        <v>6</v>
      </c>
      <c r="AJ99">
        <v>12</v>
      </c>
      <c r="AK99">
        <v>60.58</v>
      </c>
      <c r="AL99">
        <v>62.75</v>
      </c>
      <c r="AM99">
        <v>0.23</v>
      </c>
      <c r="AN99">
        <v>0.22</v>
      </c>
      <c r="AO99">
        <v>0.32</v>
      </c>
      <c r="AP99">
        <v>336000</v>
      </c>
      <c r="AQ99">
        <v>61</v>
      </c>
      <c r="AS99">
        <v>4</v>
      </c>
      <c r="AT99">
        <v>0</v>
      </c>
      <c r="AU99">
        <v>2</v>
      </c>
      <c r="AV99">
        <v>94</v>
      </c>
      <c r="AW99">
        <v>86</v>
      </c>
      <c r="AZ99" t="b">
        <v>0</v>
      </c>
      <c r="BA99">
        <v>1487</v>
      </c>
      <c r="BB99">
        <v>1764</v>
      </c>
      <c r="BC99">
        <v>24</v>
      </c>
      <c r="BD99" t="s">
        <v>1661</v>
      </c>
      <c r="BE99" s="1" t="s">
        <v>1023</v>
      </c>
      <c r="BF99">
        <v>0</v>
      </c>
      <c r="BG99">
        <v>72</v>
      </c>
      <c r="BH99">
        <v>0</v>
      </c>
      <c r="BI99" s="1" t="s">
        <v>545</v>
      </c>
      <c r="BJ99" s="1" t="s">
        <v>498</v>
      </c>
      <c r="BK99" s="1" t="s">
        <v>397</v>
      </c>
      <c r="BL99" s="1" t="s">
        <v>429</v>
      </c>
      <c r="BM99" s="1" t="s">
        <v>253</v>
      </c>
      <c r="BN99" s="1" t="s">
        <v>397</v>
      </c>
      <c r="BO99" s="1" t="s">
        <v>161</v>
      </c>
      <c r="BP99" s="1" t="s">
        <v>566</v>
      </c>
      <c r="BQ99">
        <v>0</v>
      </c>
      <c r="BR99">
        <v>0</v>
      </c>
      <c r="BS99" s="1" t="s">
        <v>129</v>
      </c>
      <c r="BT99" s="1" t="s">
        <v>238</v>
      </c>
      <c r="BU99" s="1" t="s">
        <v>161</v>
      </c>
      <c r="BV99">
        <v>1</v>
      </c>
      <c r="BW99" s="1" t="s">
        <v>129</v>
      </c>
      <c r="BX99" s="1" t="s">
        <v>129</v>
      </c>
      <c r="BY99">
        <v>0</v>
      </c>
      <c r="BZ99">
        <v>0.2</v>
      </c>
      <c r="CA99" s="1" t="s">
        <v>129</v>
      </c>
      <c r="CB99" s="1" t="s">
        <v>951</v>
      </c>
      <c r="CC99" s="1" t="s">
        <v>1662</v>
      </c>
      <c r="CD99" s="1" t="s">
        <v>1663</v>
      </c>
      <c r="CE99" s="1" t="s">
        <v>1664</v>
      </c>
      <c r="CF99">
        <v>0.33600000000000002</v>
      </c>
      <c r="CG99" s="1" t="s">
        <v>125</v>
      </c>
      <c r="CH99" s="1" t="s">
        <v>766</v>
      </c>
      <c r="CI99">
        <v>0</v>
      </c>
      <c r="CJ99">
        <v>6.6666666666666596E-2</v>
      </c>
      <c r="CK99" s="1" t="s">
        <v>169</v>
      </c>
      <c r="CL99">
        <v>1.8</v>
      </c>
      <c r="CM99" s="1" t="s">
        <v>306</v>
      </c>
      <c r="CN99" s="1" t="s">
        <v>553</v>
      </c>
      <c r="CO99" s="1" t="s">
        <v>1665</v>
      </c>
      <c r="CP99" s="1" t="s">
        <v>1054</v>
      </c>
      <c r="CS99">
        <v>1596</v>
      </c>
      <c r="CT99">
        <v>1603.2</v>
      </c>
      <c r="CU99" s="1" t="s">
        <v>1666</v>
      </c>
      <c r="CV99" s="1" t="s">
        <v>1667</v>
      </c>
      <c r="CW99">
        <v>69.849999999999994</v>
      </c>
      <c r="CX99">
        <v>67.099999999999994</v>
      </c>
      <c r="CY99">
        <v>64.400000000000006</v>
      </c>
      <c r="CZ99" s="1" t="s">
        <v>558</v>
      </c>
      <c r="DA99">
        <v>1</v>
      </c>
      <c r="DB99" t="s">
        <v>179</v>
      </c>
      <c r="DC99">
        <v>67</v>
      </c>
      <c r="DD99" s="1" t="s">
        <v>1668</v>
      </c>
      <c r="DE99" s="1" t="s">
        <v>1669</v>
      </c>
      <c r="DF99" t="e">
        <f>_xlfn.XLOOKUP(Table1[[#This Row],[Player ID]],Table2[feed_id],Table2[trade_status])</f>
        <v>#N/A</v>
      </c>
      <c r="DG99">
        <f>_xlfn.NUMBERVALUE(Table1[[#This Row],[predicted]])</f>
        <v>59.899331868092602</v>
      </c>
    </row>
    <row r="100" spans="1:111" hidden="1" x14ac:dyDescent="0.25">
      <c r="A100">
        <v>67449</v>
      </c>
      <c r="B100">
        <v>6192</v>
      </c>
      <c r="C100" t="s">
        <v>1645</v>
      </c>
      <c r="D100" t="s">
        <v>198</v>
      </c>
      <c r="E100">
        <v>2017</v>
      </c>
      <c r="F100">
        <v>240417</v>
      </c>
      <c r="G100" t="s">
        <v>247</v>
      </c>
      <c r="H100" t="s">
        <v>1670</v>
      </c>
      <c r="I100" t="s">
        <v>813</v>
      </c>
      <c r="J100">
        <v>9</v>
      </c>
      <c r="K100">
        <v>71</v>
      </c>
      <c r="L100">
        <v>71</v>
      </c>
      <c r="M100">
        <v>38</v>
      </c>
      <c r="N100">
        <v>58</v>
      </c>
      <c r="O100">
        <v>81</v>
      </c>
      <c r="P100">
        <v>13</v>
      </c>
      <c r="Q100">
        <v>9</v>
      </c>
      <c r="R100">
        <v>4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0</v>
      </c>
      <c r="Y100" t="s">
        <v>113</v>
      </c>
      <c r="Z100" t="s">
        <v>877</v>
      </c>
      <c r="AA100" t="s">
        <v>1671</v>
      </c>
      <c r="AD100">
        <v>465100</v>
      </c>
      <c r="AE100">
        <v>0</v>
      </c>
      <c r="AF100">
        <v>421100</v>
      </c>
      <c r="AG100">
        <v>101</v>
      </c>
      <c r="AH100" t="s">
        <v>118</v>
      </c>
      <c r="AI100">
        <v>9</v>
      </c>
      <c r="AJ100">
        <v>15</v>
      </c>
      <c r="AK100">
        <v>81.27</v>
      </c>
      <c r="AL100">
        <v>80.599999999999994</v>
      </c>
      <c r="AM100">
        <v>0.28000000000000003</v>
      </c>
      <c r="AN100">
        <v>0.49</v>
      </c>
      <c r="AO100">
        <v>0.38</v>
      </c>
      <c r="AP100">
        <v>476000</v>
      </c>
      <c r="AQ100">
        <v>83</v>
      </c>
      <c r="AS100">
        <v>10</v>
      </c>
      <c r="AT100">
        <v>8</v>
      </c>
      <c r="AU100">
        <v>3</v>
      </c>
      <c r="AV100">
        <v>68</v>
      </c>
      <c r="AW100">
        <v>67</v>
      </c>
      <c r="AZ100" t="b">
        <v>0</v>
      </c>
      <c r="BA100">
        <v>1487</v>
      </c>
      <c r="BB100">
        <v>1764</v>
      </c>
      <c r="BC100">
        <v>24</v>
      </c>
      <c r="BD100" t="s">
        <v>1661</v>
      </c>
      <c r="BE100" s="1" t="s">
        <v>1023</v>
      </c>
      <c r="BF100">
        <v>0</v>
      </c>
      <c r="BG100">
        <v>72</v>
      </c>
      <c r="BH100">
        <v>0</v>
      </c>
      <c r="BI100">
        <v>11</v>
      </c>
      <c r="BJ100" s="1" t="s">
        <v>1066</v>
      </c>
      <c r="BK100" s="1" t="s">
        <v>294</v>
      </c>
      <c r="BL100" s="1" t="s">
        <v>1672</v>
      </c>
      <c r="BM100" s="1" t="s">
        <v>169</v>
      </c>
      <c r="BN100">
        <v>2</v>
      </c>
      <c r="BO100">
        <v>7</v>
      </c>
      <c r="BP100" s="1" t="s">
        <v>343</v>
      </c>
      <c r="BQ100">
        <v>0</v>
      </c>
      <c r="BR100">
        <v>0</v>
      </c>
      <c r="BS100">
        <v>1</v>
      </c>
      <c r="BT100">
        <v>1.6</v>
      </c>
      <c r="BU100" s="1" t="s">
        <v>126</v>
      </c>
      <c r="BV100">
        <v>1</v>
      </c>
      <c r="BW100">
        <v>0</v>
      </c>
      <c r="BX100" s="1" t="s">
        <v>184</v>
      </c>
      <c r="BY100">
        <v>0</v>
      </c>
      <c r="BZ100" s="1" t="s">
        <v>213</v>
      </c>
      <c r="CA100" s="1" t="s">
        <v>625</v>
      </c>
      <c r="CB100">
        <v>0.28399999999999997</v>
      </c>
      <c r="CC100" s="1" t="s">
        <v>1673</v>
      </c>
      <c r="CD100" s="1" t="s">
        <v>1674</v>
      </c>
      <c r="CE100" s="1" t="s">
        <v>501</v>
      </c>
      <c r="CF100" s="1" t="s">
        <v>1675</v>
      </c>
      <c r="CG100" s="1" t="s">
        <v>157</v>
      </c>
      <c r="CH100">
        <v>10.199999999999999</v>
      </c>
      <c r="CI100" s="1" t="s">
        <v>204</v>
      </c>
      <c r="CJ100" s="1" t="s">
        <v>229</v>
      </c>
      <c r="CK100" s="1" t="s">
        <v>211</v>
      </c>
      <c r="CL100">
        <v>2.8</v>
      </c>
      <c r="CM100">
        <v>67</v>
      </c>
      <c r="CN100">
        <v>71.2</v>
      </c>
      <c r="CO100" s="1" t="s">
        <v>261</v>
      </c>
      <c r="CP100" s="1" t="s">
        <v>1520</v>
      </c>
      <c r="CS100" s="1" t="s">
        <v>519</v>
      </c>
      <c r="CT100">
        <v>1573.8</v>
      </c>
      <c r="CU100" s="1" t="s">
        <v>1676</v>
      </c>
      <c r="CV100">
        <v>1700.6</v>
      </c>
      <c r="CW100">
        <v>82.9</v>
      </c>
      <c r="CX100">
        <v>85.8</v>
      </c>
      <c r="CY100">
        <v>82.4</v>
      </c>
      <c r="CZ100">
        <v>75</v>
      </c>
      <c r="DA100">
        <v>1</v>
      </c>
      <c r="DB100" t="s">
        <v>877</v>
      </c>
      <c r="DC100">
        <v>71</v>
      </c>
      <c r="DD100" s="1" t="s">
        <v>1677</v>
      </c>
      <c r="DE100" s="1" t="s">
        <v>1678</v>
      </c>
      <c r="DF100" t="e">
        <f>_xlfn.XLOOKUP(Table1[[#This Row],[Player ID]],Table2[feed_id],Table2[trade_status])</f>
        <v>#N/A</v>
      </c>
      <c r="DG100">
        <f>_xlfn.NUMBERVALUE(Table1[[#This Row],[predicted]])</f>
        <v>68.5753237192217</v>
      </c>
    </row>
    <row r="101" spans="1:111" hidden="1" x14ac:dyDescent="0.25">
      <c r="A101">
        <v>67475</v>
      </c>
      <c r="B101">
        <v>6193</v>
      </c>
      <c r="C101" t="s">
        <v>1679</v>
      </c>
      <c r="D101" t="s">
        <v>198</v>
      </c>
      <c r="E101">
        <v>2017</v>
      </c>
      <c r="F101">
        <v>270742</v>
      </c>
      <c r="G101" t="s">
        <v>1680</v>
      </c>
      <c r="H101" t="s">
        <v>1681</v>
      </c>
      <c r="I101" t="s">
        <v>338</v>
      </c>
      <c r="J101">
        <v>9</v>
      </c>
      <c r="K101">
        <v>41</v>
      </c>
      <c r="L101">
        <v>51</v>
      </c>
      <c r="M101">
        <v>48</v>
      </c>
      <c r="N101">
        <v>36</v>
      </c>
      <c r="O101">
        <v>45</v>
      </c>
      <c r="P101">
        <v>3</v>
      </c>
      <c r="Q101">
        <v>5</v>
      </c>
      <c r="R101">
        <v>2</v>
      </c>
      <c r="S101">
        <v>1</v>
      </c>
      <c r="T101">
        <v>6</v>
      </c>
      <c r="U101">
        <v>0</v>
      </c>
      <c r="V101">
        <v>0</v>
      </c>
      <c r="W101">
        <v>1</v>
      </c>
      <c r="X101">
        <v>0</v>
      </c>
      <c r="Y101" t="s">
        <v>113</v>
      </c>
      <c r="Z101" t="s">
        <v>114</v>
      </c>
      <c r="AA101" t="s">
        <v>1682</v>
      </c>
      <c r="AB101" t="s">
        <v>656</v>
      </c>
      <c r="AC101" t="s">
        <v>1683</v>
      </c>
      <c r="AD101">
        <v>401600</v>
      </c>
      <c r="AE101">
        <v>0</v>
      </c>
      <c r="AF101">
        <v>385100</v>
      </c>
      <c r="AG101">
        <v>41</v>
      </c>
      <c r="AH101" t="s">
        <v>274</v>
      </c>
      <c r="AI101">
        <v>8</v>
      </c>
      <c r="AJ101">
        <v>8</v>
      </c>
      <c r="AK101">
        <v>65</v>
      </c>
      <c r="AL101">
        <v>69.12</v>
      </c>
      <c r="AM101">
        <v>0.52</v>
      </c>
      <c r="AN101">
        <v>0.72</v>
      </c>
      <c r="AO101">
        <v>1.51</v>
      </c>
      <c r="AP101">
        <v>399000</v>
      </c>
      <c r="AQ101">
        <v>55</v>
      </c>
      <c r="AS101">
        <v>3</v>
      </c>
      <c r="AT101">
        <v>1</v>
      </c>
      <c r="AU101">
        <v>1</v>
      </c>
      <c r="AV101">
        <v>87</v>
      </c>
      <c r="AW101">
        <v>34</v>
      </c>
      <c r="AZ101" t="b">
        <v>1</v>
      </c>
      <c r="BA101">
        <v>1441</v>
      </c>
      <c r="BB101">
        <v>1833</v>
      </c>
      <c r="BC101">
        <v>24</v>
      </c>
      <c r="BD101" t="s">
        <v>1684</v>
      </c>
      <c r="BE101" s="1" t="s">
        <v>1023</v>
      </c>
      <c r="BF101">
        <v>0</v>
      </c>
      <c r="BG101">
        <v>72</v>
      </c>
      <c r="BH101">
        <v>0</v>
      </c>
      <c r="BI101" s="1" t="s">
        <v>397</v>
      </c>
      <c r="BJ101" s="1" t="s">
        <v>449</v>
      </c>
      <c r="BK101" s="1" t="s">
        <v>449</v>
      </c>
      <c r="BL101">
        <v>5</v>
      </c>
      <c r="BM101" s="1" t="s">
        <v>125</v>
      </c>
      <c r="BN101" s="1" t="s">
        <v>169</v>
      </c>
      <c r="BO101">
        <v>4</v>
      </c>
      <c r="BP101" s="1" t="s">
        <v>170</v>
      </c>
      <c r="BQ101" s="1" t="s">
        <v>356</v>
      </c>
      <c r="BR101" s="1" t="s">
        <v>1685</v>
      </c>
      <c r="BS101">
        <v>1</v>
      </c>
      <c r="BT101" s="1" t="s">
        <v>399</v>
      </c>
      <c r="BU101">
        <v>1</v>
      </c>
      <c r="BV101" s="1" t="s">
        <v>127</v>
      </c>
      <c r="BW101" s="1" t="s">
        <v>126</v>
      </c>
      <c r="BX101">
        <v>0.6</v>
      </c>
      <c r="BY101" s="1" t="s">
        <v>129</v>
      </c>
      <c r="BZ101" s="1" t="s">
        <v>238</v>
      </c>
      <c r="CA101" s="1" t="s">
        <v>1686</v>
      </c>
      <c r="CB101" s="1" t="s">
        <v>1687</v>
      </c>
      <c r="CC101" s="1" t="s">
        <v>1688</v>
      </c>
      <c r="CD101" s="1" t="s">
        <v>1689</v>
      </c>
      <c r="CE101" s="1" t="s">
        <v>1690</v>
      </c>
      <c r="CF101" s="1" t="s">
        <v>1691</v>
      </c>
      <c r="CG101" s="1" t="s">
        <v>397</v>
      </c>
      <c r="CH101">
        <v>6.6</v>
      </c>
      <c r="CI101" s="1" t="s">
        <v>126</v>
      </c>
      <c r="CJ101" s="1" t="s">
        <v>257</v>
      </c>
      <c r="CK101">
        <v>2</v>
      </c>
      <c r="CL101">
        <v>2</v>
      </c>
      <c r="CM101">
        <v>71</v>
      </c>
      <c r="CN101" s="1" t="s">
        <v>1692</v>
      </c>
      <c r="CO101">
        <v>60</v>
      </c>
      <c r="CP101" s="1" t="s">
        <v>1693</v>
      </c>
      <c r="CS101" s="1" t="s">
        <v>1694</v>
      </c>
      <c r="CT101">
        <v>1674.6</v>
      </c>
      <c r="CU101" s="1" t="s">
        <v>1695</v>
      </c>
      <c r="CV101">
        <v>1593.4</v>
      </c>
      <c r="CW101">
        <v>77.650000000000006</v>
      </c>
      <c r="CX101">
        <v>73</v>
      </c>
      <c r="CY101">
        <v>75.8</v>
      </c>
      <c r="CZ101">
        <v>81</v>
      </c>
      <c r="DA101">
        <v>1</v>
      </c>
      <c r="DB101" t="s">
        <v>114</v>
      </c>
      <c r="DC101">
        <v>51</v>
      </c>
      <c r="DD101" s="1" t="s">
        <v>1696</v>
      </c>
      <c r="DE101">
        <v>-5.6460445533050798</v>
      </c>
      <c r="DF101" t="e">
        <f>_xlfn.XLOOKUP(Table1[[#This Row],[Player ID]],Table2[feed_id],Table2[trade_status])</f>
        <v>#N/A</v>
      </c>
      <c r="DG101">
        <f>_xlfn.NUMBERVALUE(Table1[[#This Row],[predicted]])</f>
        <v>56.646044553305003</v>
      </c>
    </row>
    <row r="102" spans="1:111" hidden="1" x14ac:dyDescent="0.25">
      <c r="A102">
        <v>67483</v>
      </c>
      <c r="B102">
        <v>6193</v>
      </c>
      <c r="C102" t="s">
        <v>1679</v>
      </c>
      <c r="D102" t="s">
        <v>198</v>
      </c>
      <c r="E102">
        <v>2017</v>
      </c>
      <c r="F102">
        <v>295199</v>
      </c>
      <c r="G102" t="s">
        <v>1697</v>
      </c>
      <c r="H102" t="s">
        <v>1698</v>
      </c>
      <c r="I102" t="s">
        <v>249</v>
      </c>
      <c r="J102">
        <v>25</v>
      </c>
      <c r="K102">
        <v>92</v>
      </c>
      <c r="L102">
        <v>85</v>
      </c>
      <c r="M102">
        <v>60</v>
      </c>
      <c r="N102">
        <v>80</v>
      </c>
      <c r="O102">
        <v>102</v>
      </c>
      <c r="P102">
        <v>14</v>
      </c>
      <c r="Q102">
        <v>5</v>
      </c>
      <c r="R102">
        <v>8</v>
      </c>
      <c r="S102">
        <v>1</v>
      </c>
      <c r="T102">
        <v>0</v>
      </c>
      <c r="U102">
        <v>0</v>
      </c>
      <c r="V102">
        <v>2</v>
      </c>
      <c r="W102">
        <v>3</v>
      </c>
      <c r="X102">
        <v>0</v>
      </c>
      <c r="Y102" t="s">
        <v>113</v>
      </c>
      <c r="Z102" t="s">
        <v>525</v>
      </c>
      <c r="AA102" t="s">
        <v>1699</v>
      </c>
      <c r="AD102">
        <v>360000</v>
      </c>
      <c r="AE102">
        <v>0</v>
      </c>
      <c r="AF102">
        <v>332600</v>
      </c>
      <c r="AG102">
        <v>24</v>
      </c>
      <c r="AH102" t="s">
        <v>118</v>
      </c>
      <c r="AI102">
        <v>12</v>
      </c>
      <c r="AJ102">
        <v>6</v>
      </c>
      <c r="AK102">
        <v>70.83</v>
      </c>
      <c r="AL102">
        <v>69.83</v>
      </c>
      <c r="AM102">
        <v>0.25</v>
      </c>
      <c r="AN102">
        <v>0.2</v>
      </c>
      <c r="AO102">
        <v>0.4</v>
      </c>
      <c r="AP102">
        <v>359000</v>
      </c>
      <c r="AQ102">
        <v>32</v>
      </c>
      <c r="AS102">
        <v>5</v>
      </c>
      <c r="AT102">
        <v>1</v>
      </c>
      <c r="AU102">
        <v>4</v>
      </c>
      <c r="AV102">
        <v>78</v>
      </c>
      <c r="AW102">
        <v>81</v>
      </c>
      <c r="AZ102" t="b">
        <v>0</v>
      </c>
      <c r="BA102">
        <v>1833</v>
      </c>
      <c r="BB102">
        <v>1441</v>
      </c>
      <c r="BC102">
        <v>24</v>
      </c>
      <c r="BD102" t="s">
        <v>1700</v>
      </c>
      <c r="BE102" s="1" t="s">
        <v>1023</v>
      </c>
      <c r="BF102">
        <v>0</v>
      </c>
      <c r="BG102">
        <v>72</v>
      </c>
      <c r="BH102">
        <v>1</v>
      </c>
      <c r="BI102" s="1" t="s">
        <v>121</v>
      </c>
      <c r="BJ102">
        <v>9</v>
      </c>
      <c r="BK102" s="1" t="s">
        <v>397</v>
      </c>
      <c r="BL102">
        <v>5.6</v>
      </c>
      <c r="BM102" s="1" t="s">
        <v>204</v>
      </c>
      <c r="BN102" s="1" t="s">
        <v>587</v>
      </c>
      <c r="BO102" s="1" t="s">
        <v>159</v>
      </c>
      <c r="BP102" s="1" t="s">
        <v>322</v>
      </c>
      <c r="BQ102">
        <v>0</v>
      </c>
      <c r="BR102">
        <v>0</v>
      </c>
      <c r="BS102">
        <v>0</v>
      </c>
      <c r="BT102">
        <v>0.4</v>
      </c>
      <c r="BU102">
        <v>1</v>
      </c>
      <c r="BV102" s="1" t="s">
        <v>128</v>
      </c>
      <c r="BW102" s="1" t="s">
        <v>126</v>
      </c>
      <c r="BX102" s="1" t="s">
        <v>128</v>
      </c>
      <c r="BY102">
        <v>0</v>
      </c>
      <c r="BZ102" s="1" t="s">
        <v>184</v>
      </c>
      <c r="CA102" s="1" t="s">
        <v>1701</v>
      </c>
      <c r="CB102" s="1" t="s">
        <v>1702</v>
      </c>
      <c r="CC102">
        <v>0.2</v>
      </c>
      <c r="CD102">
        <v>0.69</v>
      </c>
      <c r="CE102" s="1" t="s">
        <v>1703</v>
      </c>
      <c r="CF102" s="1" t="s">
        <v>1704</v>
      </c>
      <c r="CG102">
        <v>4</v>
      </c>
      <c r="CH102" s="1" t="s">
        <v>212</v>
      </c>
      <c r="CI102">
        <v>1</v>
      </c>
      <c r="CJ102">
        <v>0.6</v>
      </c>
      <c r="CK102">
        <v>3</v>
      </c>
      <c r="CL102" s="1" t="s">
        <v>214</v>
      </c>
      <c r="CM102" s="1" t="s">
        <v>239</v>
      </c>
      <c r="CN102">
        <v>73.2</v>
      </c>
      <c r="CO102">
        <v>76</v>
      </c>
      <c r="CP102">
        <v>74.2</v>
      </c>
      <c r="CS102" s="1" t="s">
        <v>1015</v>
      </c>
      <c r="CT102" s="1" t="s">
        <v>1705</v>
      </c>
      <c r="CU102">
        <v>1678</v>
      </c>
      <c r="CV102">
        <v>1678.4</v>
      </c>
      <c r="CW102">
        <v>61.85</v>
      </c>
      <c r="CX102">
        <v>68.900000000000006</v>
      </c>
      <c r="CY102">
        <v>76.8</v>
      </c>
      <c r="CZ102" s="1" t="s">
        <v>306</v>
      </c>
      <c r="DA102">
        <v>1</v>
      </c>
      <c r="DB102" t="s">
        <v>525</v>
      </c>
      <c r="DC102">
        <v>85</v>
      </c>
      <c r="DD102" s="1" t="s">
        <v>1706</v>
      </c>
      <c r="DE102" s="1" t="s">
        <v>1707</v>
      </c>
      <c r="DF102" t="e">
        <f>_xlfn.XLOOKUP(Table1[[#This Row],[Player ID]],Table2[feed_id],Table2[trade_status])</f>
        <v>#N/A</v>
      </c>
      <c r="DG102">
        <f>_xlfn.NUMBERVALUE(Table1[[#This Row],[predicted]])</f>
        <v>67.647041052941205</v>
      </c>
    </row>
    <row r="103" spans="1:111" hidden="1" x14ac:dyDescent="0.25">
      <c r="A103">
        <v>67487</v>
      </c>
      <c r="B103">
        <v>6193</v>
      </c>
      <c r="C103" t="s">
        <v>1679</v>
      </c>
      <c r="D103" t="s">
        <v>198</v>
      </c>
      <c r="E103">
        <v>2017</v>
      </c>
      <c r="F103">
        <v>260533</v>
      </c>
      <c r="G103" t="s">
        <v>1708</v>
      </c>
      <c r="H103" t="s">
        <v>1709</v>
      </c>
      <c r="I103" t="s">
        <v>249</v>
      </c>
      <c r="J103">
        <v>12</v>
      </c>
      <c r="K103">
        <v>63</v>
      </c>
      <c r="L103">
        <v>37</v>
      </c>
      <c r="M103">
        <v>38</v>
      </c>
      <c r="N103">
        <v>50</v>
      </c>
      <c r="O103">
        <v>66</v>
      </c>
      <c r="P103">
        <v>11</v>
      </c>
      <c r="Q103">
        <v>4</v>
      </c>
      <c r="R103">
        <v>6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113</v>
      </c>
      <c r="Z103" t="s">
        <v>226</v>
      </c>
      <c r="AA103" t="s">
        <v>1710</v>
      </c>
      <c r="AD103">
        <v>349000</v>
      </c>
      <c r="AE103">
        <v>0</v>
      </c>
      <c r="AF103">
        <v>307100</v>
      </c>
      <c r="AG103">
        <v>75</v>
      </c>
      <c r="AH103" t="s">
        <v>155</v>
      </c>
      <c r="AI103">
        <v>27</v>
      </c>
      <c r="AJ103">
        <v>4</v>
      </c>
      <c r="AK103">
        <v>52</v>
      </c>
      <c r="AL103">
        <v>45.5</v>
      </c>
      <c r="AM103">
        <v>7.0000000000000007E-2</v>
      </c>
      <c r="AN103">
        <v>0.15</v>
      </c>
      <c r="AO103">
        <v>3.16</v>
      </c>
      <c r="AP103">
        <v>336000</v>
      </c>
      <c r="AQ103">
        <v>74</v>
      </c>
      <c r="AS103">
        <v>3</v>
      </c>
      <c r="AT103">
        <v>0</v>
      </c>
      <c r="AU103">
        <v>4</v>
      </c>
      <c r="AV103">
        <v>73</v>
      </c>
      <c r="AW103">
        <v>82</v>
      </c>
      <c r="AZ103" t="b">
        <v>0</v>
      </c>
      <c r="BA103">
        <v>1833</v>
      </c>
      <c r="BB103">
        <v>1441</v>
      </c>
      <c r="BC103">
        <v>24</v>
      </c>
      <c r="BD103" t="s">
        <v>1700</v>
      </c>
      <c r="BE103" s="1" t="s">
        <v>1023</v>
      </c>
      <c r="BF103">
        <v>0</v>
      </c>
      <c r="BG103">
        <v>72</v>
      </c>
      <c r="BH103">
        <v>0</v>
      </c>
      <c r="BI103" s="1" t="s">
        <v>545</v>
      </c>
      <c r="BJ103">
        <v>8.1999999999999993</v>
      </c>
      <c r="BK103" s="1" t="s">
        <v>211</v>
      </c>
      <c r="BL103" s="1" t="s">
        <v>1092</v>
      </c>
      <c r="BM103">
        <v>5</v>
      </c>
      <c r="BN103" s="1" t="s">
        <v>230</v>
      </c>
      <c r="BO103" s="1" t="s">
        <v>169</v>
      </c>
      <c r="BP103" s="1" t="s">
        <v>159</v>
      </c>
      <c r="BQ103">
        <v>0</v>
      </c>
      <c r="BR103">
        <v>0</v>
      </c>
      <c r="BS103" s="1" t="s">
        <v>129</v>
      </c>
      <c r="BT103" s="1" t="s">
        <v>231</v>
      </c>
      <c r="BU103">
        <v>0</v>
      </c>
      <c r="BV103">
        <v>0.6</v>
      </c>
      <c r="BW103">
        <v>0</v>
      </c>
      <c r="BX103" s="1" t="s">
        <v>162</v>
      </c>
      <c r="BY103">
        <v>0</v>
      </c>
      <c r="BZ103">
        <v>0.4</v>
      </c>
      <c r="CA103">
        <v>0.06</v>
      </c>
      <c r="CB103">
        <v>6.0666666666666598E-2</v>
      </c>
      <c r="CC103">
        <v>0.15</v>
      </c>
      <c r="CD103" s="1" t="s">
        <v>1338</v>
      </c>
      <c r="CE103" s="1" t="s">
        <v>1711</v>
      </c>
      <c r="CF103" s="1" t="s">
        <v>1712</v>
      </c>
      <c r="CG103">
        <v>3</v>
      </c>
      <c r="CH103" s="1" t="s">
        <v>189</v>
      </c>
      <c r="CI103" s="1" t="s">
        <v>128</v>
      </c>
      <c r="CJ103" s="1" t="s">
        <v>130</v>
      </c>
      <c r="CK103">
        <v>2</v>
      </c>
      <c r="CL103" s="1" t="s">
        <v>159</v>
      </c>
      <c r="CM103">
        <v>69</v>
      </c>
      <c r="CN103" s="1" t="s">
        <v>1713</v>
      </c>
      <c r="CO103" s="1" t="s">
        <v>1080</v>
      </c>
      <c r="CP103">
        <v>81</v>
      </c>
      <c r="CS103">
        <v>1567</v>
      </c>
      <c r="CT103">
        <v>1574.2</v>
      </c>
      <c r="CU103" s="1" t="s">
        <v>595</v>
      </c>
      <c r="CV103" s="1" t="s">
        <v>1714</v>
      </c>
      <c r="CW103">
        <v>60.8</v>
      </c>
      <c r="CX103">
        <v>50.9</v>
      </c>
      <c r="CY103">
        <v>43.8</v>
      </c>
      <c r="CZ103" s="1" t="s">
        <v>1715</v>
      </c>
      <c r="DA103">
        <v>1</v>
      </c>
      <c r="DB103" t="s">
        <v>226</v>
      </c>
      <c r="DC103">
        <v>37</v>
      </c>
      <c r="DD103" s="1" t="s">
        <v>1716</v>
      </c>
      <c r="DE103">
        <v>-49.600046635563501</v>
      </c>
      <c r="DF103" t="e">
        <f>_xlfn.XLOOKUP(Table1[[#This Row],[Player ID]],Table2[feed_id],Table2[trade_status])</f>
        <v>#N/A</v>
      </c>
      <c r="DG103">
        <f>_xlfn.NUMBERVALUE(Table1[[#This Row],[predicted]])</f>
        <v>86.600046635563501</v>
      </c>
    </row>
    <row r="104" spans="1:111" hidden="1" x14ac:dyDescent="0.25">
      <c r="A104">
        <v>67574</v>
      </c>
      <c r="B104">
        <v>6195</v>
      </c>
      <c r="C104" t="s">
        <v>1717</v>
      </c>
      <c r="D104" t="s">
        <v>198</v>
      </c>
      <c r="E104">
        <v>2017</v>
      </c>
      <c r="F104">
        <v>290781</v>
      </c>
      <c r="G104" t="s">
        <v>1718</v>
      </c>
      <c r="H104" t="s">
        <v>1719</v>
      </c>
      <c r="I104" t="s">
        <v>524</v>
      </c>
      <c r="J104">
        <v>9</v>
      </c>
      <c r="K104">
        <v>67</v>
      </c>
      <c r="L104">
        <v>68</v>
      </c>
      <c r="M104">
        <v>56</v>
      </c>
      <c r="N104">
        <v>54</v>
      </c>
      <c r="O104">
        <v>72</v>
      </c>
      <c r="P104">
        <v>7</v>
      </c>
      <c r="Q104">
        <v>10</v>
      </c>
      <c r="R104">
        <v>4</v>
      </c>
      <c r="S104">
        <v>3</v>
      </c>
      <c r="T104">
        <v>0</v>
      </c>
      <c r="U104">
        <v>2</v>
      </c>
      <c r="V104">
        <v>0</v>
      </c>
      <c r="W104">
        <v>0</v>
      </c>
      <c r="X104">
        <v>0</v>
      </c>
      <c r="Y104" t="s">
        <v>113</v>
      </c>
      <c r="Z104" t="s">
        <v>877</v>
      </c>
      <c r="AA104" t="s">
        <v>1720</v>
      </c>
      <c r="AD104">
        <v>288500</v>
      </c>
      <c r="AE104">
        <v>0</v>
      </c>
      <c r="AF104">
        <v>279100</v>
      </c>
      <c r="AG104">
        <v>13</v>
      </c>
      <c r="AH104" t="s">
        <v>118</v>
      </c>
      <c r="AI104">
        <v>14</v>
      </c>
      <c r="AJ104">
        <v>2</v>
      </c>
      <c r="AK104">
        <v>91</v>
      </c>
      <c r="AL104">
        <v>78</v>
      </c>
      <c r="AM104">
        <v>0.28999999999999998</v>
      </c>
      <c r="AN104">
        <v>0.16</v>
      </c>
      <c r="AO104">
        <v>0.16</v>
      </c>
      <c r="AP104">
        <v>420000</v>
      </c>
      <c r="AQ104">
        <v>56</v>
      </c>
      <c r="AS104">
        <v>10</v>
      </c>
      <c r="AT104">
        <v>5</v>
      </c>
      <c r="AU104">
        <v>3</v>
      </c>
      <c r="AV104">
        <v>82</v>
      </c>
      <c r="AW104">
        <v>73</v>
      </c>
      <c r="AZ104" t="b">
        <v>0</v>
      </c>
      <c r="BA104">
        <v>1899</v>
      </c>
      <c r="BB104">
        <v>1375</v>
      </c>
      <c r="BC104">
        <v>24</v>
      </c>
      <c r="BD104" t="s">
        <v>1721</v>
      </c>
      <c r="BE104" s="1" t="s">
        <v>1023</v>
      </c>
      <c r="BF104">
        <v>0</v>
      </c>
      <c r="BG104">
        <v>72</v>
      </c>
      <c r="BH104">
        <v>0</v>
      </c>
      <c r="BI104" s="1" t="s">
        <v>157</v>
      </c>
      <c r="BJ104" s="1" t="s">
        <v>949</v>
      </c>
      <c r="BK104">
        <v>11</v>
      </c>
      <c r="BL104">
        <v>8.4</v>
      </c>
      <c r="BM104" s="1" t="s">
        <v>211</v>
      </c>
      <c r="BN104" s="1" t="s">
        <v>322</v>
      </c>
      <c r="BO104" s="1" t="s">
        <v>125</v>
      </c>
      <c r="BP104" s="1" t="s">
        <v>125</v>
      </c>
      <c r="BQ104">
        <v>0</v>
      </c>
      <c r="BR104">
        <v>0</v>
      </c>
      <c r="BS104">
        <v>1</v>
      </c>
      <c r="BT104" s="1" t="s">
        <v>127</v>
      </c>
      <c r="BU104" s="1" t="s">
        <v>128</v>
      </c>
      <c r="BV104" s="1" t="s">
        <v>128</v>
      </c>
      <c r="BW104" s="1" t="s">
        <v>129</v>
      </c>
      <c r="BX104" s="1" t="s">
        <v>184</v>
      </c>
      <c r="BY104" s="1" t="s">
        <v>129</v>
      </c>
      <c r="BZ104" s="1" t="s">
        <v>213</v>
      </c>
      <c r="CA104" s="1" t="s">
        <v>1722</v>
      </c>
      <c r="CB104" s="1" t="s">
        <v>1723</v>
      </c>
      <c r="CC104">
        <v>0.15</v>
      </c>
      <c r="CD104">
        <v>0.6</v>
      </c>
      <c r="CE104" s="1" t="s">
        <v>1724</v>
      </c>
      <c r="CF104" s="1" t="s">
        <v>1598</v>
      </c>
      <c r="CG104" s="1" t="s">
        <v>977</v>
      </c>
      <c r="CH104" s="1" t="s">
        <v>962</v>
      </c>
      <c r="CI104" s="1" t="s">
        <v>160</v>
      </c>
      <c r="CJ104" s="1" t="s">
        <v>205</v>
      </c>
      <c r="CK104" s="1" t="s">
        <v>159</v>
      </c>
      <c r="CL104" s="1" t="s">
        <v>255</v>
      </c>
      <c r="CM104">
        <v>62</v>
      </c>
      <c r="CN104" s="1" t="s">
        <v>1725</v>
      </c>
      <c r="CO104">
        <v>72</v>
      </c>
      <c r="CP104" s="1" t="s">
        <v>417</v>
      </c>
      <c r="CS104" s="1" t="s">
        <v>1726</v>
      </c>
      <c r="CT104">
        <v>1473</v>
      </c>
      <c r="CU104" s="1" t="s">
        <v>1727</v>
      </c>
      <c r="CV104" s="1" t="s">
        <v>1728</v>
      </c>
      <c r="CW104">
        <v>73</v>
      </c>
      <c r="CX104">
        <v>64.400000000000006</v>
      </c>
      <c r="CY104">
        <v>66.400000000000006</v>
      </c>
      <c r="CZ104" s="1" t="s">
        <v>754</v>
      </c>
      <c r="DA104">
        <v>1</v>
      </c>
      <c r="DB104" t="s">
        <v>877</v>
      </c>
      <c r="DC104">
        <v>68</v>
      </c>
      <c r="DD104" s="1" t="s">
        <v>1729</v>
      </c>
      <c r="DE104">
        <v>6.2652691222981503</v>
      </c>
      <c r="DF104" t="e">
        <f>_xlfn.XLOOKUP(Table1[[#This Row],[Player ID]],Table2[feed_id],Table2[trade_status])</f>
        <v>#N/A</v>
      </c>
      <c r="DG104">
        <f>_xlfn.NUMBERVALUE(Table1[[#This Row],[predicted]])</f>
        <v>61.7347308777018</v>
      </c>
    </row>
    <row r="105" spans="1:111" hidden="1" x14ac:dyDescent="0.25">
      <c r="A105">
        <v>67609</v>
      </c>
      <c r="B105">
        <v>6196</v>
      </c>
      <c r="C105" t="s">
        <v>1730</v>
      </c>
      <c r="D105" t="s">
        <v>198</v>
      </c>
      <c r="E105">
        <v>2017</v>
      </c>
      <c r="F105">
        <v>250088</v>
      </c>
      <c r="G105" t="s">
        <v>1731</v>
      </c>
      <c r="H105" t="s">
        <v>1732</v>
      </c>
      <c r="I105" t="s">
        <v>178</v>
      </c>
      <c r="J105">
        <v>27</v>
      </c>
      <c r="K105">
        <v>85</v>
      </c>
      <c r="L105">
        <v>90</v>
      </c>
      <c r="M105">
        <v>79</v>
      </c>
      <c r="N105">
        <v>72</v>
      </c>
      <c r="O105">
        <v>83</v>
      </c>
      <c r="P105">
        <v>5</v>
      </c>
      <c r="Q105">
        <v>3</v>
      </c>
      <c r="R105">
        <v>1</v>
      </c>
      <c r="S105">
        <v>4</v>
      </c>
      <c r="T105">
        <v>32</v>
      </c>
      <c r="U105">
        <v>1</v>
      </c>
      <c r="V105">
        <v>0</v>
      </c>
      <c r="W105">
        <v>2</v>
      </c>
      <c r="X105">
        <v>0</v>
      </c>
      <c r="Y105" t="s">
        <v>113</v>
      </c>
      <c r="Z105" t="s">
        <v>602</v>
      </c>
      <c r="AA105" t="s">
        <v>1733</v>
      </c>
      <c r="AD105">
        <v>401800</v>
      </c>
      <c r="AE105">
        <v>0</v>
      </c>
      <c r="AF105">
        <v>346300</v>
      </c>
      <c r="AG105">
        <v>67</v>
      </c>
      <c r="AH105" t="s">
        <v>274</v>
      </c>
      <c r="AI105">
        <v>12</v>
      </c>
      <c r="AJ105">
        <v>6</v>
      </c>
      <c r="AK105">
        <v>76.67</v>
      </c>
      <c r="AL105">
        <v>69.83</v>
      </c>
      <c r="AM105">
        <v>0.17</v>
      </c>
      <c r="AN105">
        <v>0.22</v>
      </c>
      <c r="AO105">
        <v>0.42</v>
      </c>
      <c r="AP105">
        <v>407000</v>
      </c>
      <c r="AQ105">
        <v>55</v>
      </c>
      <c r="AS105">
        <v>4</v>
      </c>
      <c r="AT105">
        <v>0</v>
      </c>
      <c r="AU105">
        <v>0</v>
      </c>
      <c r="AV105">
        <v>100</v>
      </c>
      <c r="AW105">
        <v>85</v>
      </c>
      <c r="AZ105" t="b">
        <v>0</v>
      </c>
      <c r="BA105">
        <v>1828</v>
      </c>
      <c r="BB105">
        <v>1439</v>
      </c>
      <c r="BC105">
        <v>24</v>
      </c>
      <c r="BD105" t="s">
        <v>1734</v>
      </c>
      <c r="BE105" s="1" t="s">
        <v>1023</v>
      </c>
      <c r="BF105">
        <v>0</v>
      </c>
      <c r="BG105">
        <v>72</v>
      </c>
      <c r="BH105">
        <v>1</v>
      </c>
      <c r="BI105">
        <v>5</v>
      </c>
      <c r="BJ105" s="1" t="s">
        <v>565</v>
      </c>
      <c r="BK105" s="1" t="s">
        <v>211</v>
      </c>
      <c r="BL105" s="1" t="s">
        <v>212</v>
      </c>
      <c r="BM105" s="1" t="s">
        <v>159</v>
      </c>
      <c r="BN105">
        <v>2.2000000000000002</v>
      </c>
      <c r="BO105">
        <v>4</v>
      </c>
      <c r="BP105" s="1" t="s">
        <v>587</v>
      </c>
      <c r="BQ105">
        <v>34</v>
      </c>
      <c r="BR105">
        <v>24.6</v>
      </c>
      <c r="BS105" s="1" t="s">
        <v>129</v>
      </c>
      <c r="BT105">
        <v>1.4</v>
      </c>
      <c r="BU105">
        <v>1</v>
      </c>
      <c r="BV105" s="1" t="s">
        <v>257</v>
      </c>
      <c r="BW105">
        <v>1</v>
      </c>
      <c r="BX105" s="1" t="s">
        <v>231</v>
      </c>
      <c r="BY105">
        <v>0</v>
      </c>
      <c r="BZ105">
        <v>0.2</v>
      </c>
      <c r="CA105">
        <v>0.17</v>
      </c>
      <c r="CB105" s="1" t="s">
        <v>1735</v>
      </c>
      <c r="CC105">
        <v>0.22</v>
      </c>
      <c r="CD105" s="1" t="s">
        <v>1736</v>
      </c>
      <c r="CE105" s="1" t="s">
        <v>1737</v>
      </c>
      <c r="CF105" s="1" t="s">
        <v>1738</v>
      </c>
      <c r="CG105" s="1" t="s">
        <v>125</v>
      </c>
      <c r="CH105">
        <v>3.8</v>
      </c>
      <c r="CI105" s="1" t="s">
        <v>129</v>
      </c>
      <c r="CJ105">
        <v>1.6</v>
      </c>
      <c r="CK105">
        <v>1</v>
      </c>
      <c r="CL105" s="1" t="s">
        <v>170</v>
      </c>
      <c r="CM105" s="1" t="s">
        <v>1739</v>
      </c>
      <c r="CN105" s="1" t="s">
        <v>803</v>
      </c>
      <c r="CO105">
        <v>86</v>
      </c>
      <c r="CP105" s="1" t="s">
        <v>1740</v>
      </c>
      <c r="CS105" s="1" t="s">
        <v>913</v>
      </c>
      <c r="CT105" s="1" t="s">
        <v>1741</v>
      </c>
      <c r="CU105">
        <v>1751</v>
      </c>
      <c r="CV105" s="1" t="s">
        <v>1742</v>
      </c>
      <c r="CW105">
        <v>65.349999999999994</v>
      </c>
      <c r="CX105">
        <v>65.599999999999994</v>
      </c>
      <c r="CY105">
        <v>74.599999999999994</v>
      </c>
      <c r="CZ105" s="1" t="s">
        <v>305</v>
      </c>
      <c r="DA105">
        <v>1</v>
      </c>
      <c r="DB105" t="s">
        <v>602</v>
      </c>
      <c r="DC105">
        <v>90</v>
      </c>
      <c r="DD105" s="1" t="s">
        <v>1743</v>
      </c>
      <c r="DE105" s="1" t="s">
        <v>1744</v>
      </c>
      <c r="DF105" t="e">
        <f>_xlfn.XLOOKUP(Table1[[#This Row],[Player ID]],Table2[feed_id],Table2[trade_status])</f>
        <v>#N/A</v>
      </c>
      <c r="DG105">
        <f>_xlfn.NUMBERVALUE(Table1[[#This Row],[predicted]])</f>
        <v>76.691241360464602</v>
      </c>
    </row>
    <row r="106" spans="1:111" hidden="1" x14ac:dyDescent="0.25">
      <c r="A106">
        <v>67612</v>
      </c>
      <c r="B106">
        <v>6196</v>
      </c>
      <c r="C106" t="s">
        <v>1730</v>
      </c>
      <c r="D106" t="s">
        <v>198</v>
      </c>
      <c r="E106">
        <v>2017</v>
      </c>
      <c r="F106">
        <v>270908</v>
      </c>
      <c r="G106" t="s">
        <v>740</v>
      </c>
      <c r="H106" t="s">
        <v>1745</v>
      </c>
      <c r="I106" t="s">
        <v>178</v>
      </c>
      <c r="J106">
        <v>22</v>
      </c>
      <c r="K106">
        <v>70</v>
      </c>
      <c r="L106">
        <v>65</v>
      </c>
      <c r="M106">
        <v>78</v>
      </c>
      <c r="N106">
        <v>52</v>
      </c>
      <c r="O106">
        <v>72</v>
      </c>
      <c r="P106">
        <v>4</v>
      </c>
      <c r="Q106">
        <v>8</v>
      </c>
      <c r="R106">
        <v>4</v>
      </c>
      <c r="S106">
        <v>8</v>
      </c>
      <c r="T106">
        <v>0</v>
      </c>
      <c r="U106">
        <v>1</v>
      </c>
      <c r="V106">
        <v>1</v>
      </c>
      <c r="W106">
        <v>0</v>
      </c>
      <c r="X106">
        <v>0</v>
      </c>
      <c r="Y106" t="s">
        <v>113</v>
      </c>
      <c r="Z106" t="s">
        <v>525</v>
      </c>
      <c r="AA106" t="s">
        <v>1746</v>
      </c>
      <c r="AD106">
        <v>344500</v>
      </c>
      <c r="AE106">
        <v>0</v>
      </c>
      <c r="AF106">
        <v>322600</v>
      </c>
      <c r="AG106">
        <v>95</v>
      </c>
      <c r="AH106" t="s">
        <v>118</v>
      </c>
      <c r="AI106">
        <v>8</v>
      </c>
      <c r="AJ106">
        <v>11</v>
      </c>
      <c r="AK106">
        <v>63.64</v>
      </c>
      <c r="AL106">
        <v>64.09</v>
      </c>
      <c r="AM106">
        <v>0.36</v>
      </c>
      <c r="AN106">
        <v>0.24</v>
      </c>
      <c r="AO106">
        <v>0.31</v>
      </c>
      <c r="AP106">
        <v>352000</v>
      </c>
      <c r="AQ106">
        <v>70</v>
      </c>
      <c r="AS106">
        <v>5</v>
      </c>
      <c r="AT106">
        <v>1</v>
      </c>
      <c r="AU106">
        <v>1</v>
      </c>
      <c r="AV106">
        <v>75</v>
      </c>
      <c r="AW106">
        <v>75</v>
      </c>
      <c r="AZ106" t="b">
        <v>0</v>
      </c>
      <c r="BA106">
        <v>1828</v>
      </c>
      <c r="BB106">
        <v>1439</v>
      </c>
      <c r="BC106">
        <v>24</v>
      </c>
      <c r="BD106" t="s">
        <v>1734</v>
      </c>
      <c r="BE106" s="1" t="s">
        <v>1023</v>
      </c>
      <c r="BF106">
        <v>0</v>
      </c>
      <c r="BG106">
        <v>72</v>
      </c>
      <c r="BH106">
        <v>0</v>
      </c>
      <c r="BI106" s="1" t="s">
        <v>124</v>
      </c>
      <c r="BJ106" s="1" t="s">
        <v>1079</v>
      </c>
      <c r="BK106">
        <v>6</v>
      </c>
      <c r="BL106">
        <v>5.8</v>
      </c>
      <c r="BM106" s="1" t="s">
        <v>169</v>
      </c>
      <c r="BN106" s="1" t="s">
        <v>255</v>
      </c>
      <c r="BO106" s="1" t="s">
        <v>397</v>
      </c>
      <c r="BP106" s="1" t="s">
        <v>963</v>
      </c>
      <c r="BQ106">
        <v>0</v>
      </c>
      <c r="BR106">
        <v>0.2</v>
      </c>
      <c r="BS106" s="1" t="s">
        <v>128</v>
      </c>
      <c r="BT106" s="1" t="s">
        <v>399</v>
      </c>
      <c r="BU106" s="1" t="s">
        <v>126</v>
      </c>
      <c r="BV106" s="1" t="s">
        <v>161</v>
      </c>
      <c r="BW106">
        <v>0</v>
      </c>
      <c r="BX106" s="1" t="s">
        <v>129</v>
      </c>
      <c r="BY106">
        <v>0</v>
      </c>
      <c r="BZ106">
        <v>6.6666666666666596E-2</v>
      </c>
      <c r="CA106" s="1" t="s">
        <v>1747</v>
      </c>
      <c r="CB106" s="1" t="s">
        <v>1748</v>
      </c>
      <c r="CC106" s="1" t="s">
        <v>1749</v>
      </c>
      <c r="CD106" s="1" t="s">
        <v>1750</v>
      </c>
      <c r="CE106">
        <v>0.32</v>
      </c>
      <c r="CF106" s="1" t="s">
        <v>1751</v>
      </c>
      <c r="CG106" s="1" t="s">
        <v>124</v>
      </c>
      <c r="CH106" s="1" t="s">
        <v>374</v>
      </c>
      <c r="CI106">
        <v>2</v>
      </c>
      <c r="CJ106" s="1" t="s">
        <v>161</v>
      </c>
      <c r="CK106" s="1" t="s">
        <v>159</v>
      </c>
      <c r="CL106" s="1" t="s">
        <v>237</v>
      </c>
      <c r="CM106">
        <v>65</v>
      </c>
      <c r="CN106" s="1" t="s">
        <v>1752</v>
      </c>
      <c r="CO106" s="1" t="s">
        <v>261</v>
      </c>
      <c r="CP106" s="1" t="s">
        <v>1753</v>
      </c>
      <c r="CS106">
        <v>1337</v>
      </c>
      <c r="CT106" s="1" t="s">
        <v>1754</v>
      </c>
      <c r="CU106">
        <v>1925</v>
      </c>
      <c r="CV106">
        <v>1765.6</v>
      </c>
      <c r="CW106">
        <v>68.05</v>
      </c>
      <c r="CX106">
        <v>66.7</v>
      </c>
      <c r="CY106">
        <v>63</v>
      </c>
      <c r="CZ106">
        <v>55</v>
      </c>
      <c r="DA106">
        <v>1</v>
      </c>
      <c r="DB106" t="s">
        <v>525</v>
      </c>
      <c r="DC106">
        <v>65</v>
      </c>
      <c r="DD106">
        <v>67.207550622669402</v>
      </c>
      <c r="DE106">
        <v>-2.2075506226693999</v>
      </c>
      <c r="DF106" t="e">
        <f>_xlfn.XLOOKUP(Table1[[#This Row],[Player ID]],Table2[feed_id],Table2[trade_status])</f>
        <v>#N/A</v>
      </c>
      <c r="DG106">
        <f>_xlfn.NUMBERVALUE(Table1[[#This Row],[predicted]])</f>
        <v>67.207550622669402</v>
      </c>
    </row>
    <row r="107" spans="1:111" hidden="1" x14ac:dyDescent="0.25">
      <c r="A107">
        <v>67658</v>
      </c>
      <c r="B107">
        <v>6197</v>
      </c>
      <c r="C107" t="s">
        <v>1755</v>
      </c>
      <c r="D107" t="s">
        <v>198</v>
      </c>
      <c r="E107">
        <v>2017</v>
      </c>
      <c r="F107">
        <v>210001</v>
      </c>
      <c r="G107" t="s">
        <v>740</v>
      </c>
      <c r="H107" t="s">
        <v>1756</v>
      </c>
      <c r="I107" t="s">
        <v>152</v>
      </c>
      <c r="J107">
        <v>20</v>
      </c>
      <c r="K107">
        <v>75</v>
      </c>
      <c r="L107">
        <v>62</v>
      </c>
      <c r="M107">
        <v>57</v>
      </c>
      <c r="N107">
        <v>63</v>
      </c>
      <c r="O107">
        <v>81</v>
      </c>
      <c r="P107">
        <v>10</v>
      </c>
      <c r="Q107">
        <v>5</v>
      </c>
      <c r="R107">
        <v>8</v>
      </c>
      <c r="S107">
        <v>2</v>
      </c>
      <c r="T107">
        <v>0</v>
      </c>
      <c r="U107">
        <v>0</v>
      </c>
      <c r="V107">
        <v>1</v>
      </c>
      <c r="W107">
        <v>1</v>
      </c>
      <c r="X107">
        <v>0</v>
      </c>
      <c r="Y107" t="s">
        <v>113</v>
      </c>
      <c r="Z107" t="s">
        <v>1757</v>
      </c>
      <c r="AA107" t="s">
        <v>1758</v>
      </c>
      <c r="AB107" t="s">
        <v>656</v>
      </c>
      <c r="AC107" t="s">
        <v>1759</v>
      </c>
      <c r="AD107">
        <v>408700</v>
      </c>
      <c r="AE107">
        <v>0</v>
      </c>
      <c r="AF107">
        <v>386600</v>
      </c>
      <c r="AG107">
        <v>109</v>
      </c>
      <c r="AH107" t="s">
        <v>155</v>
      </c>
      <c r="AI107">
        <v>12</v>
      </c>
      <c r="AJ107">
        <v>16</v>
      </c>
      <c r="AK107">
        <v>87.44</v>
      </c>
      <c r="AL107">
        <v>86.94</v>
      </c>
      <c r="AM107">
        <v>7.4</v>
      </c>
      <c r="AN107">
        <v>5.51</v>
      </c>
      <c r="AO107">
        <v>4.6100000000000003</v>
      </c>
      <c r="AP107">
        <v>435000</v>
      </c>
      <c r="AQ107">
        <v>96</v>
      </c>
      <c r="AS107">
        <v>6</v>
      </c>
      <c r="AT107">
        <v>2</v>
      </c>
      <c r="AU107">
        <v>3</v>
      </c>
      <c r="AV107">
        <v>66</v>
      </c>
      <c r="AW107">
        <v>94</v>
      </c>
      <c r="AZ107" t="b">
        <v>1</v>
      </c>
      <c r="BA107">
        <v>1743</v>
      </c>
      <c r="BB107">
        <v>1554</v>
      </c>
      <c r="BC107">
        <v>24</v>
      </c>
      <c r="BD107" t="s">
        <v>1760</v>
      </c>
      <c r="BE107" s="1" t="s">
        <v>1023</v>
      </c>
      <c r="BF107">
        <v>0</v>
      </c>
      <c r="BG107">
        <v>72</v>
      </c>
      <c r="BH107">
        <v>0</v>
      </c>
      <c r="BI107">
        <v>8</v>
      </c>
      <c r="BJ107" s="1" t="s">
        <v>1761</v>
      </c>
      <c r="BK107" s="1" t="s">
        <v>397</v>
      </c>
      <c r="BL107">
        <v>6</v>
      </c>
      <c r="BM107" s="1" t="s">
        <v>253</v>
      </c>
      <c r="BN107" s="1" t="s">
        <v>624</v>
      </c>
      <c r="BO107" s="1" t="s">
        <v>161</v>
      </c>
      <c r="BP107" s="1" t="s">
        <v>170</v>
      </c>
      <c r="BQ107">
        <v>0</v>
      </c>
      <c r="BR107">
        <v>0</v>
      </c>
      <c r="BS107">
        <v>1</v>
      </c>
      <c r="BT107">
        <v>1.2</v>
      </c>
      <c r="BU107" s="1" t="s">
        <v>129</v>
      </c>
      <c r="BV107">
        <v>0.4</v>
      </c>
      <c r="BW107" s="1" t="s">
        <v>126</v>
      </c>
      <c r="BX107" s="1" t="s">
        <v>206</v>
      </c>
      <c r="BY107">
        <v>0</v>
      </c>
      <c r="BZ107" s="1" t="s">
        <v>128</v>
      </c>
      <c r="CA107" s="1" t="s">
        <v>1762</v>
      </c>
      <c r="CB107" s="1" t="s">
        <v>158</v>
      </c>
      <c r="CC107" s="1" t="s">
        <v>1763</v>
      </c>
      <c r="CD107" s="1" t="s">
        <v>1764</v>
      </c>
      <c r="CE107" s="1" t="s">
        <v>1765</v>
      </c>
      <c r="CF107" s="1" t="s">
        <v>1766</v>
      </c>
      <c r="CG107" s="1" t="s">
        <v>449</v>
      </c>
      <c r="CH107" s="1" t="s">
        <v>752</v>
      </c>
      <c r="CI107">
        <v>1</v>
      </c>
      <c r="CJ107">
        <v>0.8</v>
      </c>
      <c r="CK107">
        <v>3</v>
      </c>
      <c r="CL107">
        <v>1.8</v>
      </c>
      <c r="CM107">
        <v>65</v>
      </c>
      <c r="CN107" s="1" t="s">
        <v>483</v>
      </c>
      <c r="CO107" s="1" t="s">
        <v>403</v>
      </c>
      <c r="CP107" s="1" t="s">
        <v>1767</v>
      </c>
      <c r="CS107">
        <v>1740</v>
      </c>
      <c r="CT107">
        <v>1685.4</v>
      </c>
      <c r="CU107" s="1" t="s">
        <v>1768</v>
      </c>
      <c r="CV107" s="1" t="s">
        <v>1769</v>
      </c>
      <c r="CW107">
        <v>91.75</v>
      </c>
      <c r="CX107">
        <v>75.8</v>
      </c>
      <c r="CY107">
        <v>69.400000000000006</v>
      </c>
      <c r="CZ107" s="1" t="s">
        <v>333</v>
      </c>
      <c r="DA107">
        <v>1</v>
      </c>
      <c r="DB107" t="s">
        <v>1757</v>
      </c>
      <c r="DC107">
        <v>62</v>
      </c>
      <c r="DD107" s="1" t="s">
        <v>1770</v>
      </c>
      <c r="DE107">
        <v>-23.514199383575601</v>
      </c>
      <c r="DF107" t="e">
        <f>_xlfn.XLOOKUP(Table1[[#This Row],[Player ID]],Table2[feed_id],Table2[trade_status])</f>
        <v>#N/A</v>
      </c>
      <c r="DG107">
        <f>_xlfn.NUMBERVALUE(Table1[[#This Row],[predicted]])</f>
        <v>85.514199383575601</v>
      </c>
    </row>
    <row r="108" spans="1:111" hidden="1" x14ac:dyDescent="0.25">
      <c r="A108">
        <v>67769</v>
      </c>
      <c r="B108">
        <v>6202</v>
      </c>
      <c r="C108" t="s">
        <v>1771</v>
      </c>
      <c r="D108" t="s">
        <v>314</v>
      </c>
      <c r="E108">
        <v>2017</v>
      </c>
      <c r="F108">
        <v>230125</v>
      </c>
      <c r="G108" t="s">
        <v>776</v>
      </c>
      <c r="H108" t="s">
        <v>1772</v>
      </c>
      <c r="I108" t="s">
        <v>1061</v>
      </c>
      <c r="J108">
        <v>8</v>
      </c>
      <c r="K108">
        <v>58</v>
      </c>
      <c r="L108">
        <v>72</v>
      </c>
      <c r="M108">
        <v>74</v>
      </c>
      <c r="N108">
        <v>47</v>
      </c>
      <c r="O108">
        <v>66</v>
      </c>
      <c r="P108">
        <v>7</v>
      </c>
      <c r="Q108">
        <v>9</v>
      </c>
      <c r="R108">
        <v>3</v>
      </c>
      <c r="S108">
        <v>3</v>
      </c>
      <c r="T108">
        <v>0</v>
      </c>
      <c r="U108">
        <v>1</v>
      </c>
      <c r="V108">
        <v>1</v>
      </c>
      <c r="W108">
        <v>0</v>
      </c>
      <c r="X108">
        <v>0</v>
      </c>
      <c r="Y108" t="s">
        <v>113</v>
      </c>
      <c r="Z108" t="s">
        <v>179</v>
      </c>
      <c r="AA108" t="s">
        <v>1773</v>
      </c>
      <c r="AD108">
        <v>330100</v>
      </c>
      <c r="AE108">
        <v>0</v>
      </c>
      <c r="AF108">
        <v>347300</v>
      </c>
      <c r="AG108">
        <v>0</v>
      </c>
      <c r="AH108" t="s">
        <v>181</v>
      </c>
      <c r="AI108">
        <v>13</v>
      </c>
      <c r="AJ108">
        <v>21</v>
      </c>
      <c r="AK108">
        <v>54.95</v>
      </c>
      <c r="AL108">
        <v>61.05</v>
      </c>
      <c r="AM108">
        <v>0.69</v>
      </c>
      <c r="AN108">
        <v>1.43</v>
      </c>
      <c r="AO108">
        <v>0.95</v>
      </c>
      <c r="AP108">
        <v>337000</v>
      </c>
      <c r="AQ108">
        <v>57</v>
      </c>
      <c r="AS108">
        <v>5</v>
      </c>
      <c r="AT108">
        <v>0</v>
      </c>
      <c r="AU108">
        <v>2</v>
      </c>
      <c r="AV108">
        <v>62</v>
      </c>
      <c r="AW108">
        <v>85</v>
      </c>
      <c r="AZ108" t="b">
        <v>0</v>
      </c>
      <c r="BA108">
        <v>1697</v>
      </c>
      <c r="BB108">
        <v>1568</v>
      </c>
      <c r="BC108">
        <v>30</v>
      </c>
      <c r="BD108" t="s">
        <v>1774</v>
      </c>
      <c r="BE108" s="1" t="s">
        <v>120</v>
      </c>
      <c r="BF108">
        <v>0</v>
      </c>
      <c r="BG108">
        <v>73</v>
      </c>
      <c r="BH108">
        <v>0</v>
      </c>
      <c r="BI108" s="1" t="s">
        <v>253</v>
      </c>
      <c r="BJ108">
        <v>7.4</v>
      </c>
      <c r="BK108" s="1" t="s">
        <v>253</v>
      </c>
      <c r="BL108" s="1" t="s">
        <v>624</v>
      </c>
      <c r="BM108">
        <v>5</v>
      </c>
      <c r="BN108" s="1" t="s">
        <v>499</v>
      </c>
      <c r="BO108" s="1" t="s">
        <v>159</v>
      </c>
      <c r="BP108" s="1" t="s">
        <v>170</v>
      </c>
      <c r="BQ108">
        <v>0</v>
      </c>
      <c r="BR108">
        <v>0</v>
      </c>
      <c r="BS108">
        <v>1</v>
      </c>
      <c r="BT108" s="1" t="s">
        <v>130</v>
      </c>
      <c r="BU108" s="1" t="s">
        <v>128</v>
      </c>
      <c r="BV108" s="1" t="s">
        <v>128</v>
      </c>
      <c r="BW108">
        <v>0</v>
      </c>
      <c r="BX108">
        <v>0</v>
      </c>
      <c r="BY108">
        <v>0</v>
      </c>
      <c r="BZ108">
        <v>6.6666666666666596E-2</v>
      </c>
      <c r="CA108" s="1" t="s">
        <v>1775</v>
      </c>
      <c r="CB108" s="1" t="s">
        <v>130</v>
      </c>
      <c r="CC108" s="1" t="s">
        <v>1776</v>
      </c>
      <c r="CD108" s="1" t="s">
        <v>1777</v>
      </c>
      <c r="CE108">
        <v>0.95</v>
      </c>
      <c r="CF108" s="1" t="s">
        <v>1778</v>
      </c>
      <c r="CG108" s="1" t="s">
        <v>160</v>
      </c>
      <c r="CH108">
        <v>5.2</v>
      </c>
      <c r="CI108">
        <v>0</v>
      </c>
      <c r="CJ108" s="1" t="s">
        <v>213</v>
      </c>
      <c r="CK108" s="1" t="s">
        <v>126</v>
      </c>
      <c r="CL108" s="1" t="s">
        <v>304</v>
      </c>
      <c r="CM108">
        <v>77</v>
      </c>
      <c r="CN108" s="1" t="s">
        <v>1779</v>
      </c>
      <c r="CO108" s="1" t="s">
        <v>306</v>
      </c>
      <c r="CP108">
        <v>88.8</v>
      </c>
      <c r="CS108" s="1" t="s">
        <v>1780</v>
      </c>
      <c r="CT108">
        <v>1674</v>
      </c>
      <c r="CU108" s="1" t="s">
        <v>1781</v>
      </c>
      <c r="CV108" s="1" t="s">
        <v>1782</v>
      </c>
      <c r="CW108">
        <v>63.35</v>
      </c>
      <c r="CX108">
        <v>64.099999999999994</v>
      </c>
      <c r="CY108">
        <v>71.2</v>
      </c>
      <c r="CZ108">
        <v>60</v>
      </c>
      <c r="DA108">
        <v>1</v>
      </c>
      <c r="DB108" t="s">
        <v>179</v>
      </c>
      <c r="DC108">
        <v>72</v>
      </c>
      <c r="DD108" s="1" t="s">
        <v>1783</v>
      </c>
      <c r="DE108" s="1" t="s">
        <v>1784</v>
      </c>
      <c r="DF108" t="e">
        <f>_xlfn.XLOOKUP(Table1[[#This Row],[Player ID]],Table2[feed_id],Table2[trade_status])</f>
        <v>#N/A</v>
      </c>
      <c r="DG108">
        <f>_xlfn.NUMBERVALUE(Table1[[#This Row],[predicted]])</f>
        <v>54.820761385436398</v>
      </c>
    </row>
    <row r="109" spans="1:111" hidden="1" x14ac:dyDescent="0.25">
      <c r="A109">
        <v>67831</v>
      </c>
      <c r="B109">
        <v>6203</v>
      </c>
      <c r="C109" t="s">
        <v>1785</v>
      </c>
      <c r="D109" t="s">
        <v>314</v>
      </c>
      <c r="E109">
        <v>2017</v>
      </c>
      <c r="F109">
        <v>220058</v>
      </c>
      <c r="G109" t="s">
        <v>617</v>
      </c>
      <c r="H109" t="s">
        <v>1786</v>
      </c>
      <c r="I109" t="s">
        <v>619</v>
      </c>
      <c r="J109">
        <v>14</v>
      </c>
      <c r="K109">
        <v>74</v>
      </c>
      <c r="L109">
        <v>73</v>
      </c>
      <c r="M109">
        <v>67</v>
      </c>
      <c r="N109">
        <v>57</v>
      </c>
      <c r="O109">
        <v>78</v>
      </c>
      <c r="P109">
        <v>7</v>
      </c>
      <c r="Q109">
        <v>10</v>
      </c>
      <c r="R109">
        <v>4</v>
      </c>
      <c r="S109">
        <v>5</v>
      </c>
      <c r="T109">
        <v>0</v>
      </c>
      <c r="U109">
        <v>1</v>
      </c>
      <c r="V109">
        <v>0</v>
      </c>
      <c r="W109">
        <v>0</v>
      </c>
      <c r="X109">
        <v>0</v>
      </c>
      <c r="Y109" t="s">
        <v>113</v>
      </c>
      <c r="Z109" t="s">
        <v>1074</v>
      </c>
      <c r="AA109" t="s">
        <v>1787</v>
      </c>
      <c r="AD109">
        <v>446300</v>
      </c>
      <c r="AE109">
        <v>0</v>
      </c>
      <c r="AF109">
        <v>358200</v>
      </c>
      <c r="AG109">
        <v>0</v>
      </c>
      <c r="AH109" t="s">
        <v>181</v>
      </c>
      <c r="AI109">
        <v>47</v>
      </c>
      <c r="AJ109">
        <v>19</v>
      </c>
      <c r="AK109">
        <v>81.05</v>
      </c>
      <c r="AL109">
        <v>72.47</v>
      </c>
      <c r="AM109">
        <v>1.44</v>
      </c>
      <c r="AN109">
        <v>0.94</v>
      </c>
      <c r="AO109">
        <v>1.34</v>
      </c>
      <c r="AP109">
        <v>458000</v>
      </c>
      <c r="AQ109">
        <v>89</v>
      </c>
      <c r="AS109">
        <v>6</v>
      </c>
      <c r="AT109">
        <v>2</v>
      </c>
      <c r="AU109">
        <v>0</v>
      </c>
      <c r="AV109">
        <v>94</v>
      </c>
      <c r="AW109">
        <v>74</v>
      </c>
      <c r="AZ109" t="b">
        <v>0</v>
      </c>
      <c r="BA109">
        <v>1763</v>
      </c>
      <c r="BB109">
        <v>1497</v>
      </c>
      <c r="BC109">
        <v>30</v>
      </c>
      <c r="BD109" t="s">
        <v>1788</v>
      </c>
      <c r="BE109" s="1" t="s">
        <v>120</v>
      </c>
      <c r="BF109">
        <v>0</v>
      </c>
      <c r="BG109">
        <v>73</v>
      </c>
      <c r="BH109">
        <v>1</v>
      </c>
      <c r="BI109" s="1" t="s">
        <v>294</v>
      </c>
      <c r="BJ109">
        <v>9.8000000000000007</v>
      </c>
      <c r="BK109" s="1" t="s">
        <v>356</v>
      </c>
      <c r="BL109">
        <v>10</v>
      </c>
      <c r="BM109" s="1" t="s">
        <v>397</v>
      </c>
      <c r="BN109" s="1" t="s">
        <v>429</v>
      </c>
      <c r="BO109">
        <v>5</v>
      </c>
      <c r="BP109" s="1" t="s">
        <v>212</v>
      </c>
      <c r="BQ109">
        <v>0</v>
      </c>
      <c r="BR109">
        <v>0</v>
      </c>
      <c r="BS109" s="1" t="s">
        <v>129</v>
      </c>
      <c r="BT109" s="1" t="s">
        <v>231</v>
      </c>
      <c r="BU109" s="1" t="s">
        <v>126</v>
      </c>
      <c r="BV109" s="1" t="s">
        <v>399</v>
      </c>
      <c r="BW109">
        <v>0</v>
      </c>
      <c r="BX109">
        <v>0</v>
      </c>
      <c r="BY109">
        <v>0</v>
      </c>
      <c r="BZ109">
        <v>0</v>
      </c>
      <c r="CA109">
        <v>1.42</v>
      </c>
      <c r="CB109" s="1" t="s">
        <v>1789</v>
      </c>
      <c r="CC109" s="1" t="s">
        <v>1790</v>
      </c>
      <c r="CD109" s="1" t="s">
        <v>1791</v>
      </c>
      <c r="CE109">
        <v>1.26</v>
      </c>
      <c r="CF109" s="1" t="s">
        <v>1792</v>
      </c>
      <c r="CG109" s="1" t="s">
        <v>449</v>
      </c>
      <c r="CH109" s="1" t="s">
        <v>374</v>
      </c>
      <c r="CI109" s="1" t="s">
        <v>126</v>
      </c>
      <c r="CJ109">
        <v>0.6</v>
      </c>
      <c r="CK109" s="1" t="s">
        <v>159</v>
      </c>
      <c r="CL109" s="1" t="s">
        <v>169</v>
      </c>
      <c r="CM109">
        <v>92</v>
      </c>
      <c r="CN109" s="1" t="s">
        <v>142</v>
      </c>
      <c r="CO109">
        <v>80</v>
      </c>
      <c r="CP109">
        <v>82.6</v>
      </c>
      <c r="CS109">
        <v>1702</v>
      </c>
      <c r="CT109" s="1" t="s">
        <v>1793</v>
      </c>
      <c r="CU109">
        <v>1554</v>
      </c>
      <c r="CV109" s="1" t="s">
        <v>1794</v>
      </c>
      <c r="CW109">
        <v>72.5</v>
      </c>
      <c r="CX109">
        <v>73.5</v>
      </c>
      <c r="CY109">
        <v>70</v>
      </c>
      <c r="CZ109" s="1" t="s">
        <v>754</v>
      </c>
      <c r="DA109">
        <v>1</v>
      </c>
      <c r="DB109" t="s">
        <v>1074</v>
      </c>
      <c r="DC109">
        <v>73</v>
      </c>
      <c r="DD109" s="1" t="s">
        <v>1795</v>
      </c>
      <c r="DE109">
        <v>-5.8813230290987804</v>
      </c>
      <c r="DF109" t="e">
        <f>_xlfn.XLOOKUP(Table1[[#This Row],[Player ID]],Table2[feed_id],Table2[trade_status])</f>
        <v>#N/A</v>
      </c>
      <c r="DG109">
        <f>_xlfn.NUMBERVALUE(Table1[[#This Row],[predicted]])</f>
        <v>78.881323029098695</v>
      </c>
    </row>
    <row r="110" spans="1:111" hidden="1" x14ac:dyDescent="0.25">
      <c r="A110">
        <v>67833</v>
      </c>
      <c r="B110">
        <v>6203</v>
      </c>
      <c r="C110" t="s">
        <v>1785</v>
      </c>
      <c r="D110" t="s">
        <v>314</v>
      </c>
      <c r="E110">
        <v>2017</v>
      </c>
      <c r="F110">
        <v>230231</v>
      </c>
      <c r="G110" t="s">
        <v>1796</v>
      </c>
      <c r="H110" t="s">
        <v>1797</v>
      </c>
      <c r="I110" t="s">
        <v>619</v>
      </c>
      <c r="J110">
        <v>9</v>
      </c>
      <c r="K110">
        <v>69</v>
      </c>
      <c r="L110">
        <v>65</v>
      </c>
      <c r="M110">
        <v>57</v>
      </c>
      <c r="N110">
        <v>56</v>
      </c>
      <c r="O110">
        <v>78</v>
      </c>
      <c r="P110">
        <v>7</v>
      </c>
      <c r="Q110">
        <v>13</v>
      </c>
      <c r="R110">
        <v>3</v>
      </c>
      <c r="S110">
        <v>3</v>
      </c>
      <c r="T110">
        <v>0</v>
      </c>
      <c r="U110">
        <v>1</v>
      </c>
      <c r="V110">
        <v>0</v>
      </c>
      <c r="W110">
        <v>0</v>
      </c>
      <c r="X110">
        <v>0</v>
      </c>
      <c r="Y110" t="s">
        <v>113</v>
      </c>
      <c r="Z110" t="s">
        <v>877</v>
      </c>
      <c r="AA110" t="s">
        <v>1798</v>
      </c>
      <c r="AD110">
        <v>386600</v>
      </c>
      <c r="AE110">
        <v>0</v>
      </c>
      <c r="AF110">
        <v>356800</v>
      </c>
      <c r="AG110">
        <v>0</v>
      </c>
      <c r="AH110" t="s">
        <v>118</v>
      </c>
      <c r="AI110">
        <v>4</v>
      </c>
      <c r="AJ110">
        <v>19</v>
      </c>
      <c r="AK110">
        <v>88.95</v>
      </c>
      <c r="AL110">
        <v>83.37</v>
      </c>
      <c r="AM110">
        <v>6.03</v>
      </c>
      <c r="AN110">
        <v>4.97</v>
      </c>
      <c r="AO110">
        <v>5.59</v>
      </c>
      <c r="AP110">
        <v>422000</v>
      </c>
      <c r="AQ110">
        <v>130</v>
      </c>
      <c r="AS110">
        <v>10</v>
      </c>
      <c r="AT110">
        <v>5</v>
      </c>
      <c r="AU110">
        <v>4</v>
      </c>
      <c r="AV110">
        <v>60</v>
      </c>
      <c r="AW110">
        <v>75</v>
      </c>
      <c r="AZ110" t="b">
        <v>0</v>
      </c>
      <c r="BA110">
        <v>1763</v>
      </c>
      <c r="BB110">
        <v>1497</v>
      </c>
      <c r="BC110">
        <v>30</v>
      </c>
      <c r="BD110" t="s">
        <v>1788</v>
      </c>
      <c r="BE110" s="1" t="s">
        <v>120</v>
      </c>
      <c r="BF110">
        <v>0</v>
      </c>
      <c r="BG110">
        <v>73</v>
      </c>
      <c r="BH110">
        <v>0</v>
      </c>
      <c r="BI110">
        <v>8</v>
      </c>
      <c r="BJ110">
        <v>8.6</v>
      </c>
      <c r="BK110" s="1" t="s">
        <v>395</v>
      </c>
      <c r="BL110" s="1" t="s">
        <v>297</v>
      </c>
      <c r="BM110" s="1" t="s">
        <v>159</v>
      </c>
      <c r="BN110" s="1" t="s">
        <v>781</v>
      </c>
      <c r="BO110" s="1" t="s">
        <v>159</v>
      </c>
      <c r="BP110">
        <v>4</v>
      </c>
      <c r="BQ110">
        <v>0</v>
      </c>
      <c r="BR110">
        <v>0</v>
      </c>
      <c r="BS110" s="1" t="s">
        <v>159</v>
      </c>
      <c r="BT110" s="1" t="s">
        <v>257</v>
      </c>
      <c r="BU110" s="1" t="s">
        <v>129</v>
      </c>
      <c r="BV110">
        <v>0.8</v>
      </c>
      <c r="BW110" s="1" t="s">
        <v>129</v>
      </c>
      <c r="BX110" s="1" t="s">
        <v>213</v>
      </c>
      <c r="BY110" s="1" t="s">
        <v>129</v>
      </c>
      <c r="BZ110">
        <v>0.4</v>
      </c>
      <c r="CA110" s="1" t="s">
        <v>1799</v>
      </c>
      <c r="CB110" s="1" t="s">
        <v>1800</v>
      </c>
      <c r="CC110" s="1" t="s">
        <v>1801</v>
      </c>
      <c r="CD110" s="1" t="s">
        <v>1802</v>
      </c>
      <c r="CE110" s="1" t="s">
        <v>1803</v>
      </c>
      <c r="CF110" s="1" t="s">
        <v>1804</v>
      </c>
      <c r="CG110">
        <v>13</v>
      </c>
      <c r="CH110" s="1" t="s">
        <v>1761</v>
      </c>
      <c r="CI110" s="1" t="s">
        <v>449</v>
      </c>
      <c r="CJ110">
        <v>4.8</v>
      </c>
      <c r="CK110" s="1" t="s">
        <v>159</v>
      </c>
      <c r="CL110" s="1" t="s">
        <v>255</v>
      </c>
      <c r="CM110" s="1" t="s">
        <v>1391</v>
      </c>
      <c r="CN110" s="1" t="s">
        <v>1805</v>
      </c>
      <c r="CO110">
        <v>72</v>
      </c>
      <c r="CP110" s="1" t="s">
        <v>1806</v>
      </c>
      <c r="CS110" s="1" t="s">
        <v>1807</v>
      </c>
      <c r="CT110" s="1" t="s">
        <v>1808</v>
      </c>
      <c r="CU110">
        <v>1653</v>
      </c>
      <c r="CV110" s="1" t="s">
        <v>1809</v>
      </c>
      <c r="CW110">
        <v>82.45</v>
      </c>
      <c r="CX110">
        <v>79.5</v>
      </c>
      <c r="CY110">
        <v>63.2</v>
      </c>
      <c r="CZ110" s="1" t="s">
        <v>572</v>
      </c>
      <c r="DA110">
        <v>1</v>
      </c>
      <c r="DB110" t="s">
        <v>877</v>
      </c>
      <c r="DC110">
        <v>65</v>
      </c>
      <c r="DD110" s="1" t="s">
        <v>1810</v>
      </c>
      <c r="DE110">
        <v>-1.20774555251927</v>
      </c>
      <c r="DF110" t="e">
        <f>_xlfn.XLOOKUP(Table1[[#This Row],[Player ID]],Table2[feed_id],Table2[trade_status])</f>
        <v>#N/A</v>
      </c>
      <c r="DG110">
        <f>_xlfn.NUMBERVALUE(Table1[[#This Row],[predicted]])</f>
        <v>66.207745552519199</v>
      </c>
    </row>
    <row r="111" spans="1:111" hidden="1" x14ac:dyDescent="0.25">
      <c r="A111">
        <v>67951</v>
      </c>
      <c r="B111">
        <v>6206</v>
      </c>
      <c r="C111" t="s">
        <v>1811</v>
      </c>
      <c r="D111" t="s">
        <v>336</v>
      </c>
      <c r="E111">
        <v>2017</v>
      </c>
      <c r="F111">
        <v>220073</v>
      </c>
      <c r="G111" t="s">
        <v>958</v>
      </c>
      <c r="H111" t="s">
        <v>1812</v>
      </c>
      <c r="I111" t="s">
        <v>582</v>
      </c>
      <c r="J111">
        <v>22</v>
      </c>
      <c r="K111">
        <v>110</v>
      </c>
      <c r="L111">
        <v>82</v>
      </c>
      <c r="M111">
        <v>70</v>
      </c>
      <c r="N111">
        <v>89</v>
      </c>
      <c r="O111">
        <v>120</v>
      </c>
      <c r="P111">
        <v>17</v>
      </c>
      <c r="Q111">
        <v>11</v>
      </c>
      <c r="R111">
        <v>5</v>
      </c>
      <c r="S111">
        <v>3</v>
      </c>
      <c r="T111">
        <v>0</v>
      </c>
      <c r="U111">
        <v>1</v>
      </c>
      <c r="V111">
        <v>1</v>
      </c>
      <c r="W111">
        <v>2</v>
      </c>
      <c r="X111">
        <v>0</v>
      </c>
      <c r="Y111" t="s">
        <v>113</v>
      </c>
      <c r="Z111" t="s">
        <v>1813</v>
      </c>
      <c r="AA111" t="s">
        <v>860</v>
      </c>
      <c r="AB111" t="s">
        <v>877</v>
      </c>
      <c r="AC111" t="s">
        <v>1814</v>
      </c>
      <c r="AD111">
        <v>471700</v>
      </c>
      <c r="AE111">
        <v>0</v>
      </c>
      <c r="AF111">
        <v>460500</v>
      </c>
      <c r="AG111">
        <v>0</v>
      </c>
      <c r="AH111" t="s">
        <v>118</v>
      </c>
      <c r="AI111">
        <v>1</v>
      </c>
      <c r="AJ111">
        <v>20</v>
      </c>
      <c r="AK111">
        <v>89.95</v>
      </c>
      <c r="AL111">
        <v>94.1</v>
      </c>
      <c r="AM111">
        <v>3.03</v>
      </c>
      <c r="AN111">
        <v>3.97</v>
      </c>
      <c r="AO111">
        <v>4.29</v>
      </c>
      <c r="AP111">
        <v>487000</v>
      </c>
      <c r="AQ111">
        <v>87</v>
      </c>
      <c r="AS111">
        <v>6</v>
      </c>
      <c r="AT111">
        <v>3</v>
      </c>
      <c r="AU111">
        <v>4</v>
      </c>
      <c r="AV111">
        <v>60</v>
      </c>
      <c r="AW111">
        <v>82</v>
      </c>
      <c r="AZ111" t="b">
        <v>0</v>
      </c>
      <c r="BA111">
        <v>1830</v>
      </c>
      <c r="BB111">
        <v>1432</v>
      </c>
      <c r="BC111">
        <v>32</v>
      </c>
      <c r="BD111" t="s">
        <v>1815</v>
      </c>
      <c r="BE111">
        <v>100</v>
      </c>
      <c r="BF111">
        <v>0</v>
      </c>
      <c r="BG111">
        <v>75.5</v>
      </c>
      <c r="BH111">
        <v>1</v>
      </c>
      <c r="BI111" s="1" t="s">
        <v>123</v>
      </c>
      <c r="BJ111" s="1" t="s">
        <v>1816</v>
      </c>
      <c r="BK111">
        <v>15</v>
      </c>
      <c r="BL111" s="1" t="s">
        <v>1817</v>
      </c>
      <c r="BM111" s="1" t="s">
        <v>124</v>
      </c>
      <c r="BN111" s="1" t="s">
        <v>766</v>
      </c>
      <c r="BO111" s="1" t="s">
        <v>159</v>
      </c>
      <c r="BP111" s="1" t="s">
        <v>140</v>
      </c>
      <c r="BQ111">
        <v>0</v>
      </c>
      <c r="BR111">
        <v>0</v>
      </c>
      <c r="BS111" s="1" t="s">
        <v>128</v>
      </c>
      <c r="BT111">
        <v>1.2</v>
      </c>
      <c r="BU111" s="1" t="s">
        <v>161</v>
      </c>
      <c r="BV111" s="1" t="s">
        <v>162</v>
      </c>
      <c r="BW111" s="1" t="s">
        <v>128</v>
      </c>
      <c r="BX111" s="1" t="s">
        <v>184</v>
      </c>
      <c r="BY111">
        <v>0</v>
      </c>
      <c r="BZ111">
        <v>0.2</v>
      </c>
      <c r="CA111" s="1" t="s">
        <v>1818</v>
      </c>
      <c r="CB111" s="1" t="s">
        <v>1819</v>
      </c>
      <c r="CC111" s="1" t="s">
        <v>1820</v>
      </c>
      <c r="CD111">
        <v>4.274</v>
      </c>
      <c r="CE111" s="1" t="s">
        <v>1821</v>
      </c>
      <c r="CF111" s="1" t="s">
        <v>1822</v>
      </c>
      <c r="CG111">
        <v>10</v>
      </c>
      <c r="CH111" s="1" t="s">
        <v>864</v>
      </c>
      <c r="CI111">
        <v>4</v>
      </c>
      <c r="CJ111" s="1" t="s">
        <v>781</v>
      </c>
      <c r="CK111" s="1" t="s">
        <v>211</v>
      </c>
      <c r="CL111" s="1" t="s">
        <v>528</v>
      </c>
      <c r="CM111" s="1" t="s">
        <v>1406</v>
      </c>
      <c r="CN111" s="1" t="s">
        <v>417</v>
      </c>
      <c r="CO111">
        <v>84</v>
      </c>
      <c r="CP111">
        <v>85.2</v>
      </c>
      <c r="CS111">
        <v>1583</v>
      </c>
      <c r="CT111" s="1" t="s">
        <v>1823</v>
      </c>
      <c r="CU111" s="1" t="s">
        <v>458</v>
      </c>
      <c r="CV111" s="1" t="s">
        <v>1824</v>
      </c>
      <c r="CW111">
        <v>90.55</v>
      </c>
      <c r="CX111">
        <v>88.1</v>
      </c>
      <c r="CY111">
        <v>94.2</v>
      </c>
      <c r="CZ111" s="1" t="s">
        <v>630</v>
      </c>
      <c r="DA111">
        <v>1</v>
      </c>
      <c r="DB111" t="s">
        <v>1813</v>
      </c>
      <c r="DC111">
        <v>82</v>
      </c>
      <c r="DD111" s="1" t="s">
        <v>1825</v>
      </c>
      <c r="DE111">
        <v>-9.2259471867549596</v>
      </c>
      <c r="DF111" t="e">
        <f>_xlfn.XLOOKUP(Table1[[#This Row],[Player ID]],Table2[feed_id],Table2[trade_status])</f>
        <v>#N/A</v>
      </c>
      <c r="DG111">
        <f>_xlfn.NUMBERVALUE(Table1[[#This Row],[predicted]])</f>
        <v>91.225947186754894</v>
      </c>
    </row>
    <row r="112" spans="1:111" hidden="1" x14ac:dyDescent="0.25">
      <c r="A112">
        <v>67953</v>
      </c>
      <c r="B112">
        <v>6206</v>
      </c>
      <c r="C112" t="s">
        <v>1811</v>
      </c>
      <c r="D112" t="s">
        <v>336</v>
      </c>
      <c r="E112">
        <v>2017</v>
      </c>
      <c r="F112">
        <v>240124</v>
      </c>
      <c r="G112" t="s">
        <v>889</v>
      </c>
      <c r="H112" t="s">
        <v>1826</v>
      </c>
      <c r="I112" t="s">
        <v>582</v>
      </c>
      <c r="J112">
        <v>26</v>
      </c>
      <c r="K112">
        <v>102</v>
      </c>
      <c r="L112">
        <v>79</v>
      </c>
      <c r="M112">
        <v>86</v>
      </c>
      <c r="N112">
        <v>81</v>
      </c>
      <c r="O112">
        <v>120</v>
      </c>
      <c r="P112">
        <v>11</v>
      </c>
      <c r="Q112">
        <v>19</v>
      </c>
      <c r="R112">
        <v>3</v>
      </c>
      <c r="S112">
        <v>7</v>
      </c>
      <c r="T112">
        <v>0</v>
      </c>
      <c r="U112">
        <v>0</v>
      </c>
      <c r="V112">
        <v>2</v>
      </c>
      <c r="W112">
        <v>0</v>
      </c>
      <c r="X112">
        <v>0</v>
      </c>
      <c r="Y112" t="s">
        <v>113</v>
      </c>
      <c r="Z112" t="s">
        <v>250</v>
      </c>
      <c r="AA112" t="s">
        <v>1827</v>
      </c>
      <c r="AB112" t="s">
        <v>877</v>
      </c>
      <c r="AC112" t="s">
        <v>1828</v>
      </c>
      <c r="AD112">
        <v>480400</v>
      </c>
      <c r="AE112">
        <v>0</v>
      </c>
      <c r="AF112">
        <v>455700</v>
      </c>
      <c r="AG112">
        <v>0</v>
      </c>
      <c r="AH112" t="s">
        <v>118</v>
      </c>
      <c r="AI112">
        <v>11</v>
      </c>
      <c r="AJ112">
        <v>19</v>
      </c>
      <c r="AK112">
        <v>92.95</v>
      </c>
      <c r="AL112">
        <v>93.42</v>
      </c>
      <c r="AM112">
        <v>1.46</v>
      </c>
      <c r="AN112">
        <v>1.85</v>
      </c>
      <c r="AO112">
        <v>1.84</v>
      </c>
      <c r="AP112">
        <v>496000</v>
      </c>
      <c r="AQ112">
        <v>72</v>
      </c>
      <c r="AS112">
        <v>23</v>
      </c>
      <c r="AT112">
        <v>12</v>
      </c>
      <c r="AU112">
        <v>6</v>
      </c>
      <c r="AV112">
        <v>60</v>
      </c>
      <c r="AW112">
        <v>74</v>
      </c>
      <c r="AZ112" t="b">
        <v>0</v>
      </c>
      <c r="BA112">
        <v>1830</v>
      </c>
      <c r="BB112">
        <v>1432</v>
      </c>
      <c r="BC112">
        <v>32</v>
      </c>
      <c r="BD112" t="s">
        <v>1815</v>
      </c>
      <c r="BE112">
        <v>100</v>
      </c>
      <c r="BF112">
        <v>0</v>
      </c>
      <c r="BG112">
        <v>75.5</v>
      </c>
      <c r="BH112">
        <v>1</v>
      </c>
      <c r="BI112" s="1" t="s">
        <v>1829</v>
      </c>
      <c r="BJ112">
        <v>8.8000000000000007</v>
      </c>
      <c r="BK112" s="1" t="s">
        <v>1830</v>
      </c>
      <c r="BL112" s="1" t="s">
        <v>1831</v>
      </c>
      <c r="BM112">
        <v>3</v>
      </c>
      <c r="BN112">
        <v>2.2000000000000002</v>
      </c>
      <c r="BO112" s="1" t="s">
        <v>545</v>
      </c>
      <c r="BP112" s="1" t="s">
        <v>498</v>
      </c>
      <c r="BQ112">
        <v>0</v>
      </c>
      <c r="BR112">
        <v>0</v>
      </c>
      <c r="BS112">
        <v>0</v>
      </c>
      <c r="BT112" s="1" t="s">
        <v>127</v>
      </c>
      <c r="BU112" s="1" t="s">
        <v>126</v>
      </c>
      <c r="BV112" s="1" t="s">
        <v>298</v>
      </c>
      <c r="BW112" s="1" t="s">
        <v>129</v>
      </c>
      <c r="BX112" s="1" t="s">
        <v>184</v>
      </c>
      <c r="BY112">
        <v>0</v>
      </c>
      <c r="BZ112">
        <v>0.4</v>
      </c>
      <c r="CA112" s="1" t="s">
        <v>1832</v>
      </c>
      <c r="CB112" s="1" t="s">
        <v>1833</v>
      </c>
      <c r="CC112" s="1" t="s">
        <v>1834</v>
      </c>
      <c r="CD112" s="1" t="s">
        <v>1835</v>
      </c>
      <c r="CE112" s="1" t="s">
        <v>1836</v>
      </c>
      <c r="CF112" s="1" t="s">
        <v>1837</v>
      </c>
      <c r="CG112">
        <v>17</v>
      </c>
      <c r="CH112">
        <v>12.4</v>
      </c>
      <c r="CI112" s="1" t="s">
        <v>294</v>
      </c>
      <c r="CJ112">
        <v>5.8</v>
      </c>
      <c r="CK112" s="1" t="s">
        <v>160</v>
      </c>
      <c r="CL112">
        <v>3.2</v>
      </c>
      <c r="CM112" s="1" t="s">
        <v>1838</v>
      </c>
      <c r="CN112" s="1" t="s">
        <v>1839</v>
      </c>
      <c r="CO112" s="1" t="s">
        <v>305</v>
      </c>
      <c r="CP112" s="1" t="s">
        <v>1840</v>
      </c>
      <c r="CS112">
        <v>1583</v>
      </c>
      <c r="CT112" s="1" t="s">
        <v>1124</v>
      </c>
      <c r="CU112" s="1" t="s">
        <v>458</v>
      </c>
      <c r="CV112">
        <v>1678.2</v>
      </c>
      <c r="CW112">
        <v>94.35</v>
      </c>
      <c r="CX112">
        <v>90.8</v>
      </c>
      <c r="CY112">
        <v>96.2</v>
      </c>
      <c r="CZ112">
        <v>91</v>
      </c>
      <c r="DA112">
        <v>1</v>
      </c>
      <c r="DB112" t="s">
        <v>250</v>
      </c>
      <c r="DC112">
        <v>79</v>
      </c>
      <c r="DD112" s="1" t="s">
        <v>1841</v>
      </c>
      <c r="DE112">
        <v>-11.6727562429804</v>
      </c>
      <c r="DF112" t="e">
        <f>_xlfn.XLOOKUP(Table1[[#This Row],[Player ID]],Table2[feed_id],Table2[trade_status])</f>
        <v>#N/A</v>
      </c>
      <c r="DG112">
        <f>_xlfn.NUMBERVALUE(Table1[[#This Row],[predicted]])</f>
        <v>90.672756242980398</v>
      </c>
    </row>
    <row r="113" spans="1:111" hidden="1" x14ac:dyDescent="0.25">
      <c r="A113">
        <v>67962</v>
      </c>
      <c r="B113">
        <v>6206</v>
      </c>
      <c r="C113" t="s">
        <v>1811</v>
      </c>
      <c r="D113" t="s">
        <v>336</v>
      </c>
      <c r="E113">
        <v>2017</v>
      </c>
      <c r="F113">
        <v>210023</v>
      </c>
      <c r="G113" t="s">
        <v>1842</v>
      </c>
      <c r="H113" t="s">
        <v>1843</v>
      </c>
      <c r="I113" t="s">
        <v>582</v>
      </c>
      <c r="J113">
        <v>15</v>
      </c>
      <c r="K113">
        <v>60</v>
      </c>
      <c r="L113">
        <v>52</v>
      </c>
      <c r="M113">
        <v>58</v>
      </c>
      <c r="N113">
        <v>55</v>
      </c>
      <c r="O113">
        <v>63</v>
      </c>
      <c r="P113">
        <v>3</v>
      </c>
      <c r="Q113">
        <v>4</v>
      </c>
      <c r="R113">
        <v>5</v>
      </c>
      <c r="S113">
        <v>1</v>
      </c>
      <c r="T113">
        <v>18</v>
      </c>
      <c r="U113">
        <v>0</v>
      </c>
      <c r="V113">
        <v>0</v>
      </c>
      <c r="W113">
        <v>1</v>
      </c>
      <c r="X113">
        <v>0</v>
      </c>
      <c r="Y113" t="s">
        <v>113</v>
      </c>
      <c r="Z113" t="s">
        <v>656</v>
      </c>
      <c r="AA113" t="s">
        <v>1844</v>
      </c>
      <c r="AD113">
        <v>376600</v>
      </c>
      <c r="AE113">
        <v>0</v>
      </c>
      <c r="AF113">
        <v>371700</v>
      </c>
      <c r="AG113">
        <v>0</v>
      </c>
      <c r="AH113" t="s">
        <v>155</v>
      </c>
      <c r="AI113">
        <v>21</v>
      </c>
      <c r="AJ113">
        <v>14</v>
      </c>
      <c r="AK113">
        <v>74</v>
      </c>
      <c r="AL113">
        <v>78.930000000000007</v>
      </c>
      <c r="AM113">
        <v>0.47</v>
      </c>
      <c r="AN113">
        <v>0.35</v>
      </c>
      <c r="AO113">
        <v>0.53</v>
      </c>
      <c r="AP113">
        <v>400000</v>
      </c>
      <c r="AQ113">
        <v>96</v>
      </c>
      <c r="AS113">
        <v>2</v>
      </c>
      <c r="AT113">
        <v>0</v>
      </c>
      <c r="AU113">
        <v>0</v>
      </c>
      <c r="AV113">
        <v>85</v>
      </c>
      <c r="AW113">
        <v>82</v>
      </c>
      <c r="AZ113" t="b">
        <v>0</v>
      </c>
      <c r="BA113">
        <v>1830</v>
      </c>
      <c r="BB113">
        <v>1432</v>
      </c>
      <c r="BC113">
        <v>32</v>
      </c>
      <c r="BD113" t="s">
        <v>1815</v>
      </c>
      <c r="BE113">
        <v>100</v>
      </c>
      <c r="BF113">
        <v>0</v>
      </c>
      <c r="BG113">
        <v>75.5</v>
      </c>
      <c r="BH113">
        <v>0</v>
      </c>
      <c r="BI113" s="1" t="s">
        <v>183</v>
      </c>
      <c r="BJ113" s="1" t="s">
        <v>545</v>
      </c>
      <c r="BK113">
        <v>3</v>
      </c>
      <c r="BL113" s="1" t="s">
        <v>256</v>
      </c>
      <c r="BM113" s="1" t="s">
        <v>160</v>
      </c>
      <c r="BN113">
        <v>5</v>
      </c>
      <c r="BO113" s="1" t="s">
        <v>211</v>
      </c>
      <c r="BP113">
        <v>3.4</v>
      </c>
      <c r="BQ113" s="1" t="s">
        <v>1830</v>
      </c>
      <c r="BR113" s="1" t="s">
        <v>1829</v>
      </c>
      <c r="BS113" s="1" t="s">
        <v>159</v>
      </c>
      <c r="BT113" s="1" t="s">
        <v>206</v>
      </c>
      <c r="BU113" s="1" t="s">
        <v>128</v>
      </c>
      <c r="BV113">
        <v>1.4</v>
      </c>
      <c r="BW113" s="1" t="s">
        <v>126</v>
      </c>
      <c r="BX113">
        <v>1</v>
      </c>
      <c r="BY113">
        <v>0</v>
      </c>
      <c r="BZ113">
        <v>0.2</v>
      </c>
      <c r="CA113" s="1" t="s">
        <v>1845</v>
      </c>
      <c r="CB113" s="1" t="s">
        <v>1846</v>
      </c>
      <c r="CC113" s="1" t="s">
        <v>1847</v>
      </c>
      <c r="CD113" s="1" t="s">
        <v>1848</v>
      </c>
      <c r="CE113">
        <v>0.53</v>
      </c>
      <c r="CF113" s="1" t="s">
        <v>1849</v>
      </c>
      <c r="CG113" s="1" t="s">
        <v>137</v>
      </c>
      <c r="CH113">
        <v>7.2</v>
      </c>
      <c r="CI113" s="1" t="s">
        <v>161</v>
      </c>
      <c r="CJ113">
        <v>1.8</v>
      </c>
      <c r="CK113" s="1" t="s">
        <v>161</v>
      </c>
      <c r="CL113" s="1" t="s">
        <v>322</v>
      </c>
      <c r="CM113" s="1" t="s">
        <v>572</v>
      </c>
      <c r="CN113" s="1" t="s">
        <v>1839</v>
      </c>
      <c r="CO113" s="1" t="s">
        <v>516</v>
      </c>
      <c r="CP113" s="1" t="s">
        <v>1259</v>
      </c>
      <c r="CS113">
        <v>1583</v>
      </c>
      <c r="CT113">
        <v>1595</v>
      </c>
      <c r="CU113" s="1" t="s">
        <v>458</v>
      </c>
      <c r="CV113">
        <v>1673.6</v>
      </c>
      <c r="CW113">
        <v>71.95</v>
      </c>
      <c r="CX113">
        <v>75.5</v>
      </c>
      <c r="CY113">
        <v>71.8</v>
      </c>
      <c r="CZ113">
        <v>80</v>
      </c>
      <c r="DA113">
        <v>1</v>
      </c>
      <c r="DB113" t="s">
        <v>656</v>
      </c>
      <c r="DC113">
        <v>52</v>
      </c>
      <c r="DD113" s="1" t="s">
        <v>1850</v>
      </c>
      <c r="DE113">
        <v>-18.581960026864699</v>
      </c>
      <c r="DF113" t="e">
        <f>_xlfn.XLOOKUP(Table1[[#This Row],[Player ID]],Table2[feed_id],Table2[trade_status])</f>
        <v>#N/A</v>
      </c>
      <c r="DG113">
        <f>_xlfn.NUMBERVALUE(Table1[[#This Row],[predicted]])</f>
        <v>70.581960026864706</v>
      </c>
    </row>
    <row r="114" spans="1:111" hidden="1" x14ac:dyDescent="0.25">
      <c r="A114">
        <v>67964</v>
      </c>
      <c r="B114">
        <v>6206</v>
      </c>
      <c r="C114" t="s">
        <v>1811</v>
      </c>
      <c r="D114" t="s">
        <v>336</v>
      </c>
      <c r="E114">
        <v>2017</v>
      </c>
      <c r="F114">
        <v>261799</v>
      </c>
      <c r="G114" t="s">
        <v>1851</v>
      </c>
      <c r="H114" t="s">
        <v>1852</v>
      </c>
      <c r="I114" t="s">
        <v>582</v>
      </c>
      <c r="J114">
        <v>4</v>
      </c>
      <c r="K114">
        <v>57</v>
      </c>
      <c r="L114">
        <v>59</v>
      </c>
      <c r="M114">
        <v>34</v>
      </c>
      <c r="N114">
        <v>45</v>
      </c>
      <c r="O114">
        <v>60</v>
      </c>
      <c r="P114">
        <v>10</v>
      </c>
      <c r="Q114">
        <v>4</v>
      </c>
      <c r="R114">
        <v>5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113</v>
      </c>
      <c r="Z114" t="s">
        <v>987</v>
      </c>
      <c r="AA114" t="s">
        <v>1853</v>
      </c>
      <c r="AD114">
        <v>275900</v>
      </c>
      <c r="AE114">
        <v>0</v>
      </c>
      <c r="AF114">
        <v>273700</v>
      </c>
      <c r="AG114">
        <v>0</v>
      </c>
      <c r="AH114" t="s">
        <v>181</v>
      </c>
      <c r="AI114">
        <v>12</v>
      </c>
      <c r="AJ114">
        <v>12</v>
      </c>
      <c r="AK114">
        <v>64.33</v>
      </c>
      <c r="AL114">
        <v>63.33</v>
      </c>
      <c r="AM114">
        <v>1.4</v>
      </c>
      <c r="AN114">
        <v>1.17</v>
      </c>
      <c r="AO114">
        <v>3.47</v>
      </c>
      <c r="AP114">
        <v>304000</v>
      </c>
      <c r="AQ114">
        <v>89</v>
      </c>
      <c r="AS114">
        <v>3</v>
      </c>
      <c r="AT114">
        <v>0</v>
      </c>
      <c r="AU114">
        <v>0</v>
      </c>
      <c r="AV114">
        <v>71</v>
      </c>
      <c r="AW114">
        <v>81</v>
      </c>
      <c r="AZ114" t="b">
        <v>0</v>
      </c>
      <c r="BA114">
        <v>1830</v>
      </c>
      <c r="BB114">
        <v>1432</v>
      </c>
      <c r="BC114">
        <v>32</v>
      </c>
      <c r="BD114" t="s">
        <v>1815</v>
      </c>
      <c r="BE114">
        <v>100</v>
      </c>
      <c r="BF114">
        <v>0</v>
      </c>
      <c r="BG114">
        <v>75.5</v>
      </c>
      <c r="BH114">
        <v>0</v>
      </c>
      <c r="BI114" s="1" t="s">
        <v>545</v>
      </c>
      <c r="BJ114" s="1" t="s">
        <v>342</v>
      </c>
      <c r="BK114">
        <v>5</v>
      </c>
      <c r="BL114" s="1" t="s">
        <v>253</v>
      </c>
      <c r="BM114" s="1" t="s">
        <v>125</v>
      </c>
      <c r="BN114" s="1" t="s">
        <v>565</v>
      </c>
      <c r="BO114" s="1" t="s">
        <v>126</v>
      </c>
      <c r="BP114">
        <v>2.2000000000000002</v>
      </c>
      <c r="BQ114">
        <v>0</v>
      </c>
      <c r="BR114">
        <v>0</v>
      </c>
      <c r="BS114" s="1" t="s">
        <v>129</v>
      </c>
      <c r="BT114" s="1" t="s">
        <v>129</v>
      </c>
      <c r="BU114" s="1" t="s">
        <v>126</v>
      </c>
      <c r="BV114" s="1" t="s">
        <v>127</v>
      </c>
      <c r="BW114">
        <v>0</v>
      </c>
      <c r="BX114">
        <v>0</v>
      </c>
      <c r="BY114" s="1" t="s">
        <v>128</v>
      </c>
      <c r="BZ114">
        <v>0.2</v>
      </c>
      <c r="CA114" s="1" t="s">
        <v>1854</v>
      </c>
      <c r="CB114">
        <v>2.726</v>
      </c>
      <c r="CC114">
        <v>1.24</v>
      </c>
      <c r="CD114" s="1" t="s">
        <v>1855</v>
      </c>
      <c r="CE114" s="1" t="s">
        <v>280</v>
      </c>
      <c r="CF114" s="1" t="s">
        <v>1856</v>
      </c>
      <c r="CG114" s="1" t="s">
        <v>138</v>
      </c>
      <c r="CH114" s="1" t="s">
        <v>752</v>
      </c>
      <c r="CI114">
        <v>1</v>
      </c>
      <c r="CJ114" s="1" t="s">
        <v>238</v>
      </c>
      <c r="CK114" s="1" t="s">
        <v>159</v>
      </c>
      <c r="CL114" s="1" t="s">
        <v>640</v>
      </c>
      <c r="CM114" s="1" t="s">
        <v>1857</v>
      </c>
      <c r="CN114" s="1" t="s">
        <v>822</v>
      </c>
      <c r="CO114" s="1" t="s">
        <v>142</v>
      </c>
      <c r="CP114" s="1" t="s">
        <v>1753</v>
      </c>
      <c r="CS114" s="1" t="s">
        <v>1858</v>
      </c>
      <c r="CT114" s="1" t="s">
        <v>1859</v>
      </c>
      <c r="CU114">
        <v>1744</v>
      </c>
      <c r="CV114" s="1" t="s">
        <v>1860</v>
      </c>
      <c r="CW114">
        <v>62.05</v>
      </c>
      <c r="CX114">
        <v>61.7</v>
      </c>
      <c r="CY114">
        <v>45.2</v>
      </c>
      <c r="CZ114" s="1" t="s">
        <v>1861</v>
      </c>
      <c r="DA114">
        <v>1</v>
      </c>
      <c r="DB114" t="s">
        <v>987</v>
      </c>
      <c r="DC114">
        <v>59</v>
      </c>
      <c r="DD114" s="1" t="s">
        <v>1862</v>
      </c>
      <c r="DE114">
        <v>-20.152233550096401</v>
      </c>
      <c r="DF114" t="e">
        <f>_xlfn.XLOOKUP(Table1[[#This Row],[Player ID]],Table2[feed_id],Table2[trade_status])</f>
        <v>#N/A</v>
      </c>
      <c r="DG114">
        <f>_xlfn.NUMBERVALUE(Table1[[#This Row],[predicted]])</f>
        <v>79.152233550096398</v>
      </c>
    </row>
    <row r="115" spans="1:111" hidden="1" x14ac:dyDescent="0.25">
      <c r="A115">
        <v>67965</v>
      </c>
      <c r="B115">
        <v>6206</v>
      </c>
      <c r="C115" t="s">
        <v>1811</v>
      </c>
      <c r="D115" t="s">
        <v>336</v>
      </c>
      <c r="E115">
        <v>2017</v>
      </c>
      <c r="F115">
        <v>250317</v>
      </c>
      <c r="G115" t="s">
        <v>1863</v>
      </c>
      <c r="H115" t="s">
        <v>1864</v>
      </c>
      <c r="I115" t="s">
        <v>582</v>
      </c>
      <c r="J115">
        <v>8</v>
      </c>
      <c r="K115">
        <v>47</v>
      </c>
      <c r="L115">
        <v>49</v>
      </c>
      <c r="M115">
        <v>44</v>
      </c>
      <c r="N115">
        <v>46</v>
      </c>
      <c r="O115">
        <v>60</v>
      </c>
      <c r="P115">
        <v>3</v>
      </c>
      <c r="Q115">
        <v>11</v>
      </c>
      <c r="R115">
        <v>6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 t="s">
        <v>113</v>
      </c>
      <c r="Z115" t="s">
        <v>179</v>
      </c>
      <c r="AA115" t="s">
        <v>1865</v>
      </c>
      <c r="AD115">
        <v>282700</v>
      </c>
      <c r="AE115">
        <v>0</v>
      </c>
      <c r="AF115">
        <v>300300</v>
      </c>
      <c r="AG115">
        <v>0</v>
      </c>
      <c r="AH115" t="s">
        <v>181</v>
      </c>
      <c r="AI115">
        <v>16</v>
      </c>
      <c r="AJ115">
        <v>11</v>
      </c>
      <c r="AK115">
        <v>49.82</v>
      </c>
      <c r="AL115">
        <v>57.45</v>
      </c>
      <c r="AM115">
        <v>0.21</v>
      </c>
      <c r="AN115">
        <v>0.14000000000000001</v>
      </c>
      <c r="AO115">
        <v>0.25</v>
      </c>
      <c r="AP115">
        <v>288000</v>
      </c>
      <c r="AQ115">
        <v>42</v>
      </c>
      <c r="AS115">
        <v>2</v>
      </c>
      <c r="AT115">
        <v>0</v>
      </c>
      <c r="AU115">
        <v>1</v>
      </c>
      <c r="AV115">
        <v>92</v>
      </c>
      <c r="AW115">
        <v>85</v>
      </c>
      <c r="AZ115" t="b">
        <v>0</v>
      </c>
      <c r="BA115">
        <v>1830</v>
      </c>
      <c r="BB115">
        <v>1432</v>
      </c>
      <c r="BC115">
        <v>32</v>
      </c>
      <c r="BD115" t="s">
        <v>1815</v>
      </c>
      <c r="BE115">
        <v>100</v>
      </c>
      <c r="BF115">
        <v>0</v>
      </c>
      <c r="BG115">
        <v>75.5</v>
      </c>
      <c r="BH115">
        <v>0</v>
      </c>
      <c r="BI115" s="1" t="s">
        <v>397</v>
      </c>
      <c r="BJ115">
        <v>6.4</v>
      </c>
      <c r="BK115" s="1" t="s">
        <v>397</v>
      </c>
      <c r="BL115" s="1" t="s">
        <v>963</v>
      </c>
      <c r="BM115" s="1" t="s">
        <v>124</v>
      </c>
      <c r="BN115" s="1" t="s">
        <v>449</v>
      </c>
      <c r="BO115" s="1" t="s">
        <v>161</v>
      </c>
      <c r="BP115" s="1" t="s">
        <v>275</v>
      </c>
      <c r="BQ115">
        <v>0</v>
      </c>
      <c r="BR115">
        <v>0</v>
      </c>
      <c r="BS115">
        <v>1</v>
      </c>
      <c r="BT115">
        <v>0.6</v>
      </c>
      <c r="BU115" s="1" t="s">
        <v>161</v>
      </c>
      <c r="BV115" s="1" t="s">
        <v>130</v>
      </c>
      <c r="BW115">
        <v>0</v>
      </c>
      <c r="BX115">
        <v>0</v>
      </c>
      <c r="BY115">
        <v>0</v>
      </c>
      <c r="BZ115">
        <v>0</v>
      </c>
      <c r="CA115">
        <v>0.21</v>
      </c>
      <c r="CB115" s="1" t="s">
        <v>1599</v>
      </c>
      <c r="CC115">
        <v>0.14000000000000001</v>
      </c>
      <c r="CD115">
        <v>1.194</v>
      </c>
      <c r="CE115">
        <v>0.25</v>
      </c>
      <c r="CF115" s="1" t="s">
        <v>1866</v>
      </c>
      <c r="CG115">
        <v>4</v>
      </c>
      <c r="CH115">
        <v>3</v>
      </c>
      <c r="CI115">
        <v>0</v>
      </c>
      <c r="CJ115" s="1" t="s">
        <v>213</v>
      </c>
      <c r="CK115">
        <v>3</v>
      </c>
      <c r="CL115" s="1" t="s">
        <v>161</v>
      </c>
      <c r="CM115" s="1" t="s">
        <v>994</v>
      </c>
      <c r="CN115" s="1" t="s">
        <v>1867</v>
      </c>
      <c r="CO115" s="1" t="s">
        <v>217</v>
      </c>
      <c r="CP115">
        <v>95.2</v>
      </c>
      <c r="CS115">
        <v>1583</v>
      </c>
      <c r="CT115" s="1" t="s">
        <v>1868</v>
      </c>
      <c r="CU115" s="1" t="s">
        <v>458</v>
      </c>
      <c r="CV115" s="1" t="s">
        <v>1869</v>
      </c>
      <c r="CW115">
        <v>58</v>
      </c>
      <c r="CX115">
        <v>56.1</v>
      </c>
      <c r="CY115">
        <v>53.8</v>
      </c>
      <c r="CZ115">
        <v>49</v>
      </c>
      <c r="DA115">
        <v>1</v>
      </c>
      <c r="DB115" t="s">
        <v>179</v>
      </c>
      <c r="DC115">
        <v>49</v>
      </c>
      <c r="DD115" s="1" t="s">
        <v>1870</v>
      </c>
      <c r="DE115">
        <v>-1.739529987214</v>
      </c>
      <c r="DF115" t="e">
        <f>_xlfn.XLOOKUP(Table1[[#This Row],[Player ID]],Table2[feed_id],Table2[trade_status])</f>
        <v>#N/A</v>
      </c>
      <c r="DG115">
        <f>_xlfn.NUMBERVALUE(Table1[[#This Row],[predicted]])</f>
        <v>50.739529987213999</v>
      </c>
    </row>
    <row r="116" spans="1:111" hidden="1" x14ac:dyDescent="0.25">
      <c r="A116">
        <v>68001</v>
      </c>
      <c r="B116">
        <v>6207</v>
      </c>
      <c r="C116" t="s">
        <v>1871</v>
      </c>
      <c r="D116" t="s">
        <v>1058</v>
      </c>
      <c r="E116">
        <v>2017</v>
      </c>
      <c r="F116">
        <v>230248</v>
      </c>
      <c r="G116" t="s">
        <v>247</v>
      </c>
      <c r="H116" t="s">
        <v>1872</v>
      </c>
      <c r="I116" t="s">
        <v>1061</v>
      </c>
      <c r="J116">
        <v>9</v>
      </c>
      <c r="K116">
        <v>71</v>
      </c>
      <c r="L116">
        <v>64</v>
      </c>
      <c r="M116">
        <v>53</v>
      </c>
      <c r="N116">
        <v>58</v>
      </c>
      <c r="O116">
        <v>78</v>
      </c>
      <c r="P116">
        <v>9</v>
      </c>
      <c r="Q116">
        <v>10</v>
      </c>
      <c r="R116">
        <v>5</v>
      </c>
      <c r="S116">
        <v>2</v>
      </c>
      <c r="T116">
        <v>0</v>
      </c>
      <c r="U116">
        <v>1</v>
      </c>
      <c r="V116">
        <v>0</v>
      </c>
      <c r="W116">
        <v>0</v>
      </c>
      <c r="X116">
        <v>0</v>
      </c>
      <c r="Y116" t="s">
        <v>113</v>
      </c>
      <c r="Z116" t="s">
        <v>226</v>
      </c>
      <c r="AA116" t="s">
        <v>1787</v>
      </c>
      <c r="AD116">
        <v>433300</v>
      </c>
      <c r="AE116">
        <v>0</v>
      </c>
      <c r="AF116">
        <v>370400</v>
      </c>
      <c r="AG116">
        <v>0</v>
      </c>
      <c r="AH116" t="s">
        <v>181</v>
      </c>
      <c r="AI116">
        <v>4</v>
      </c>
      <c r="AJ116">
        <v>20</v>
      </c>
      <c r="AK116">
        <v>80</v>
      </c>
      <c r="AL116">
        <v>76.900000000000006</v>
      </c>
      <c r="AM116">
        <v>0.65</v>
      </c>
      <c r="AN116">
        <v>2.69</v>
      </c>
      <c r="AO116">
        <v>0.99</v>
      </c>
      <c r="AP116">
        <v>448000</v>
      </c>
      <c r="AQ116">
        <v>83</v>
      </c>
      <c r="AS116">
        <v>7</v>
      </c>
      <c r="AT116">
        <v>0</v>
      </c>
      <c r="AU116">
        <v>4</v>
      </c>
      <c r="AV116">
        <v>68</v>
      </c>
      <c r="AW116">
        <v>86</v>
      </c>
      <c r="AZ116" t="b">
        <v>0</v>
      </c>
      <c r="BA116">
        <v>1797</v>
      </c>
      <c r="BB116">
        <v>1463</v>
      </c>
      <c r="BC116">
        <v>33</v>
      </c>
      <c r="BD116" t="s">
        <v>1873</v>
      </c>
      <c r="BE116">
        <v>110</v>
      </c>
      <c r="BF116">
        <v>0</v>
      </c>
      <c r="BG116">
        <v>69.5</v>
      </c>
      <c r="BH116">
        <v>0</v>
      </c>
      <c r="BI116">
        <v>12</v>
      </c>
      <c r="BJ116" s="1" t="s">
        <v>1874</v>
      </c>
      <c r="BK116" s="1" t="s">
        <v>183</v>
      </c>
      <c r="BL116">
        <v>7.4</v>
      </c>
      <c r="BM116">
        <v>7</v>
      </c>
      <c r="BN116" s="1" t="s">
        <v>449</v>
      </c>
      <c r="BO116" s="1" t="s">
        <v>161</v>
      </c>
      <c r="BP116">
        <v>2</v>
      </c>
      <c r="BQ116">
        <v>0</v>
      </c>
      <c r="BR116">
        <v>0</v>
      </c>
      <c r="BS116" s="1" t="s">
        <v>129</v>
      </c>
      <c r="BT116">
        <v>1</v>
      </c>
      <c r="BU116" s="1" t="s">
        <v>129</v>
      </c>
      <c r="BV116" s="1" t="s">
        <v>130</v>
      </c>
      <c r="BW116">
        <v>0</v>
      </c>
      <c r="BX116">
        <v>6.6666666666666596E-2</v>
      </c>
      <c r="BY116">
        <v>0</v>
      </c>
      <c r="BZ116" s="1" t="s">
        <v>213</v>
      </c>
      <c r="CA116">
        <v>0.65</v>
      </c>
      <c r="CB116">
        <v>0.66200000000000003</v>
      </c>
      <c r="CC116">
        <v>2.69</v>
      </c>
      <c r="CD116" s="1" t="s">
        <v>1875</v>
      </c>
      <c r="CE116">
        <v>0.99</v>
      </c>
      <c r="CF116" s="1" t="s">
        <v>923</v>
      </c>
      <c r="CG116" s="1" t="s">
        <v>160</v>
      </c>
      <c r="CH116" s="1" t="s">
        <v>752</v>
      </c>
      <c r="CI116">
        <v>0</v>
      </c>
      <c r="CJ116" s="1" t="s">
        <v>231</v>
      </c>
      <c r="CK116">
        <v>4</v>
      </c>
      <c r="CL116">
        <v>3</v>
      </c>
      <c r="CM116" s="1" t="s">
        <v>1838</v>
      </c>
      <c r="CN116" s="1" t="s">
        <v>1354</v>
      </c>
      <c r="CO116" s="1" t="s">
        <v>306</v>
      </c>
      <c r="CP116" s="1" t="s">
        <v>941</v>
      </c>
      <c r="CS116" s="1" t="s">
        <v>1876</v>
      </c>
      <c r="CT116" s="1" t="s">
        <v>1877</v>
      </c>
      <c r="CU116">
        <v>1616</v>
      </c>
      <c r="CV116" s="1" t="s">
        <v>1878</v>
      </c>
      <c r="CW116">
        <v>72.150000000000006</v>
      </c>
      <c r="CX116">
        <v>66.599999999999994</v>
      </c>
      <c r="CY116">
        <v>58.4</v>
      </c>
      <c r="CZ116" s="1" t="s">
        <v>558</v>
      </c>
      <c r="DA116">
        <v>1</v>
      </c>
      <c r="DB116" t="s">
        <v>226</v>
      </c>
      <c r="DC116">
        <v>64</v>
      </c>
      <c r="DD116">
        <v>95.919297270048702</v>
      </c>
      <c r="DE116">
        <v>-31.919297270048698</v>
      </c>
      <c r="DF116" t="e">
        <f>_xlfn.XLOOKUP(Table1[[#This Row],[Player ID]],Table2[feed_id],Table2[trade_status])</f>
        <v>#N/A</v>
      </c>
      <c r="DG116">
        <f>_xlfn.NUMBERVALUE(Table1[[#This Row],[predicted]])</f>
        <v>95.919297270048702</v>
      </c>
    </row>
    <row r="117" spans="1:111" hidden="1" x14ac:dyDescent="0.25">
      <c r="A117">
        <v>68054</v>
      </c>
      <c r="B117">
        <v>6208</v>
      </c>
      <c r="C117" t="s">
        <v>1879</v>
      </c>
      <c r="D117" t="s">
        <v>1058</v>
      </c>
      <c r="E117">
        <v>2017</v>
      </c>
      <c r="F117">
        <v>220054</v>
      </c>
      <c r="G117" t="s">
        <v>1880</v>
      </c>
      <c r="H117" t="s">
        <v>1881</v>
      </c>
      <c r="I117" t="s">
        <v>1089</v>
      </c>
      <c r="J117">
        <v>8</v>
      </c>
      <c r="K117">
        <v>43</v>
      </c>
      <c r="L117">
        <v>34</v>
      </c>
      <c r="M117">
        <v>32</v>
      </c>
      <c r="N117">
        <v>42</v>
      </c>
      <c r="O117">
        <v>57</v>
      </c>
      <c r="P117">
        <v>5</v>
      </c>
      <c r="Q117">
        <v>10</v>
      </c>
      <c r="R117">
        <v>4</v>
      </c>
      <c r="S117">
        <v>0</v>
      </c>
      <c r="T117">
        <v>0</v>
      </c>
      <c r="U117">
        <v>2</v>
      </c>
      <c r="V117">
        <v>2</v>
      </c>
      <c r="W117">
        <v>0</v>
      </c>
      <c r="X117">
        <v>0</v>
      </c>
      <c r="Y117" t="s">
        <v>113</v>
      </c>
      <c r="Z117" t="s">
        <v>742</v>
      </c>
      <c r="AA117" t="s">
        <v>1882</v>
      </c>
      <c r="AB117" t="s">
        <v>861</v>
      </c>
      <c r="AC117" t="s">
        <v>862</v>
      </c>
      <c r="AD117">
        <v>358900</v>
      </c>
      <c r="AE117">
        <v>0</v>
      </c>
      <c r="AF117">
        <v>288400</v>
      </c>
      <c r="AG117">
        <v>0</v>
      </c>
      <c r="AH117" t="s">
        <v>155</v>
      </c>
      <c r="AI117">
        <v>17</v>
      </c>
      <c r="AJ117">
        <v>16</v>
      </c>
      <c r="AK117">
        <v>68.88</v>
      </c>
      <c r="AL117">
        <v>60.06</v>
      </c>
      <c r="AM117">
        <v>0.36</v>
      </c>
      <c r="AN117">
        <v>0.64</v>
      </c>
      <c r="AO117">
        <v>0.52</v>
      </c>
      <c r="AP117">
        <v>373000</v>
      </c>
      <c r="AQ117">
        <v>92</v>
      </c>
      <c r="AS117">
        <v>5</v>
      </c>
      <c r="AT117">
        <v>0</v>
      </c>
      <c r="AU117">
        <v>6</v>
      </c>
      <c r="AV117">
        <v>66</v>
      </c>
      <c r="AW117">
        <v>80</v>
      </c>
      <c r="AZ117" t="b">
        <v>0</v>
      </c>
      <c r="BA117">
        <v>1656</v>
      </c>
      <c r="BB117">
        <v>1630</v>
      </c>
      <c r="BC117">
        <v>33</v>
      </c>
      <c r="BD117" t="s">
        <v>1883</v>
      </c>
      <c r="BE117">
        <v>110</v>
      </c>
      <c r="BF117">
        <v>0</v>
      </c>
      <c r="BG117">
        <v>69.5</v>
      </c>
      <c r="BH117">
        <v>0</v>
      </c>
      <c r="BI117" s="1" t="s">
        <v>397</v>
      </c>
      <c r="BJ117" s="1" t="s">
        <v>303</v>
      </c>
      <c r="BK117" s="1" t="s">
        <v>253</v>
      </c>
      <c r="BL117">
        <v>6.8</v>
      </c>
      <c r="BM117" s="1" t="s">
        <v>211</v>
      </c>
      <c r="BN117">
        <v>4.5999999999999996</v>
      </c>
      <c r="BO117">
        <v>2</v>
      </c>
      <c r="BP117">
        <v>2.8</v>
      </c>
      <c r="BQ117">
        <v>0</v>
      </c>
      <c r="BR117">
        <v>0</v>
      </c>
      <c r="BS117" s="1" t="s">
        <v>126</v>
      </c>
      <c r="BT117">
        <v>1</v>
      </c>
      <c r="BU117" s="1" t="s">
        <v>126</v>
      </c>
      <c r="BV117" s="1" t="s">
        <v>327</v>
      </c>
      <c r="BW117">
        <v>2</v>
      </c>
      <c r="BX117" s="1" t="s">
        <v>298</v>
      </c>
      <c r="BY117" s="1" t="s">
        <v>129</v>
      </c>
      <c r="BZ117">
        <v>0.8</v>
      </c>
      <c r="CA117" s="1" t="s">
        <v>1884</v>
      </c>
      <c r="CB117" s="1" t="s">
        <v>1885</v>
      </c>
      <c r="CC117">
        <v>0.64</v>
      </c>
      <c r="CD117">
        <v>0.628</v>
      </c>
      <c r="CE117" s="1" t="s">
        <v>1886</v>
      </c>
      <c r="CF117" s="1" t="s">
        <v>1887</v>
      </c>
      <c r="CG117">
        <v>5</v>
      </c>
      <c r="CH117" s="1" t="s">
        <v>124</v>
      </c>
      <c r="CI117" s="1" t="s">
        <v>128</v>
      </c>
      <c r="CJ117">
        <v>1</v>
      </c>
      <c r="CK117" s="1" t="s">
        <v>169</v>
      </c>
      <c r="CL117" s="1" t="s">
        <v>766</v>
      </c>
      <c r="CM117" s="1" t="s">
        <v>241</v>
      </c>
      <c r="CN117" s="1" t="s">
        <v>1888</v>
      </c>
      <c r="CO117" s="1" t="s">
        <v>241</v>
      </c>
      <c r="CP117" s="1" t="s">
        <v>1889</v>
      </c>
      <c r="CS117" s="1" t="s">
        <v>487</v>
      </c>
      <c r="CT117" s="1" t="s">
        <v>1890</v>
      </c>
      <c r="CU117" s="1" t="s">
        <v>1112</v>
      </c>
      <c r="CV117" s="1" t="s">
        <v>307</v>
      </c>
      <c r="CW117">
        <v>65.45</v>
      </c>
      <c r="CX117">
        <v>61.8</v>
      </c>
      <c r="CY117">
        <v>56.2</v>
      </c>
      <c r="CZ117" s="1" t="s">
        <v>171</v>
      </c>
      <c r="DA117">
        <v>1</v>
      </c>
      <c r="DB117" t="s">
        <v>742</v>
      </c>
      <c r="DC117">
        <v>34</v>
      </c>
      <c r="DD117" s="1" t="s">
        <v>1891</v>
      </c>
      <c r="DE117">
        <v>-7.5142116454461902</v>
      </c>
      <c r="DF117" t="e">
        <f>_xlfn.XLOOKUP(Table1[[#This Row],[Player ID]],Table2[feed_id],Table2[trade_status])</f>
        <v>#N/A</v>
      </c>
      <c r="DG117">
        <f>_xlfn.NUMBERVALUE(Table1[[#This Row],[predicted]])</f>
        <v>41.514211645446103</v>
      </c>
    </row>
    <row r="118" spans="1:111" hidden="1" x14ac:dyDescent="0.25">
      <c r="A118">
        <v>68225</v>
      </c>
      <c r="B118">
        <v>6503</v>
      </c>
      <c r="C118" t="s">
        <v>1892</v>
      </c>
      <c r="D118" t="s">
        <v>1893</v>
      </c>
      <c r="E118">
        <v>2018</v>
      </c>
      <c r="F118">
        <v>294691</v>
      </c>
      <c r="G118" t="s">
        <v>776</v>
      </c>
      <c r="H118" t="s">
        <v>1894</v>
      </c>
      <c r="I118" t="s">
        <v>201</v>
      </c>
      <c r="J118">
        <v>12</v>
      </c>
      <c r="K118">
        <v>41</v>
      </c>
      <c r="L118">
        <v>60</v>
      </c>
      <c r="M118">
        <v>18</v>
      </c>
      <c r="N118">
        <v>39</v>
      </c>
      <c r="O118">
        <v>58</v>
      </c>
      <c r="P118">
        <v>8</v>
      </c>
      <c r="Q118">
        <v>8</v>
      </c>
      <c r="R118">
        <v>1</v>
      </c>
      <c r="S118">
        <v>0</v>
      </c>
      <c r="T118">
        <v>0</v>
      </c>
      <c r="U118">
        <v>0</v>
      </c>
      <c r="V118">
        <v>3</v>
      </c>
      <c r="W118">
        <v>1</v>
      </c>
      <c r="X118">
        <v>1</v>
      </c>
      <c r="Y118" t="s">
        <v>113</v>
      </c>
      <c r="Z118" t="s">
        <v>153</v>
      </c>
      <c r="AA118" t="s">
        <v>1895</v>
      </c>
      <c r="AD118">
        <v>428000</v>
      </c>
      <c r="AF118">
        <v>428000</v>
      </c>
      <c r="AH118" t="s">
        <v>155</v>
      </c>
      <c r="AI118">
        <v>7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428000</v>
      </c>
      <c r="AS118">
        <v>9</v>
      </c>
      <c r="AT118">
        <v>4</v>
      </c>
      <c r="AU118">
        <v>6</v>
      </c>
      <c r="AV118">
        <v>62</v>
      </c>
      <c r="AW118">
        <v>69</v>
      </c>
      <c r="AZ118" t="b">
        <v>0</v>
      </c>
      <c r="BA118">
        <v>1803</v>
      </c>
      <c r="BB118">
        <v>1476</v>
      </c>
      <c r="BC118">
        <v>2</v>
      </c>
      <c r="BD118" t="s">
        <v>1896</v>
      </c>
      <c r="BE118">
        <v>97</v>
      </c>
      <c r="BF118">
        <v>0</v>
      </c>
      <c r="BG118">
        <v>75</v>
      </c>
      <c r="BH118">
        <v>0</v>
      </c>
      <c r="BI118" s="1" t="s">
        <v>183</v>
      </c>
      <c r="BJ118" s="1" t="s">
        <v>183</v>
      </c>
      <c r="BK118" s="1" t="s">
        <v>294</v>
      </c>
      <c r="BL118" s="1" t="s">
        <v>429</v>
      </c>
      <c r="BM118" s="1" t="s">
        <v>126</v>
      </c>
      <c r="BN118" s="1" t="s">
        <v>159</v>
      </c>
      <c r="BO118" s="1" t="s">
        <v>169</v>
      </c>
      <c r="BP118">
        <v>2.6</v>
      </c>
      <c r="BQ118">
        <v>0</v>
      </c>
      <c r="BR118">
        <v>0</v>
      </c>
      <c r="BS118">
        <v>0</v>
      </c>
      <c r="BT118" s="1" t="s">
        <v>231</v>
      </c>
      <c r="BU118" s="1" t="s">
        <v>159</v>
      </c>
      <c r="BV118" s="1" t="s">
        <v>257</v>
      </c>
      <c r="BW118" s="1" t="s">
        <v>128</v>
      </c>
      <c r="BX118" s="1" t="s">
        <v>399</v>
      </c>
      <c r="BY118" s="1" t="s">
        <v>128</v>
      </c>
      <c r="BZ118">
        <v>0.4</v>
      </c>
      <c r="CA118">
        <v>0.08</v>
      </c>
      <c r="CB118" s="1" t="s">
        <v>1897</v>
      </c>
      <c r="CC118" s="1" t="s">
        <v>1898</v>
      </c>
      <c r="CD118">
        <v>0.308</v>
      </c>
      <c r="CE118">
        <v>8.3333333333333301E-2</v>
      </c>
      <c r="CF118" s="1" t="s">
        <v>1899</v>
      </c>
      <c r="CG118" s="1" t="s">
        <v>137</v>
      </c>
      <c r="CH118" s="1" t="s">
        <v>397</v>
      </c>
      <c r="CI118" s="1" t="s">
        <v>169</v>
      </c>
      <c r="CJ118">
        <v>1.2</v>
      </c>
      <c r="CK118" s="1" t="s">
        <v>124</v>
      </c>
      <c r="CL118" s="1" t="s">
        <v>321</v>
      </c>
      <c r="CM118" s="1" t="s">
        <v>787</v>
      </c>
      <c r="CN118" s="1" t="s">
        <v>1900</v>
      </c>
      <c r="CO118">
        <v>77</v>
      </c>
      <c r="CP118" s="1" t="s">
        <v>364</v>
      </c>
      <c r="CS118">
        <v>1487</v>
      </c>
      <c r="CT118">
        <v>1396.4</v>
      </c>
      <c r="CU118" s="1" t="s">
        <v>1901</v>
      </c>
      <c r="CV118">
        <v>1644.4</v>
      </c>
      <c r="CW118">
        <v>60.45</v>
      </c>
      <c r="CX118">
        <v>53.5</v>
      </c>
      <c r="CY118">
        <v>61.4</v>
      </c>
      <c r="CZ118" s="1" t="s">
        <v>759</v>
      </c>
      <c r="DA118">
        <v>1</v>
      </c>
      <c r="DB118" t="s">
        <v>153</v>
      </c>
      <c r="DC118">
        <v>60</v>
      </c>
      <c r="DD118">
        <v>76.161744130858395</v>
      </c>
      <c r="DE118">
        <v>-16.161744130858299</v>
      </c>
      <c r="DF118" t="e">
        <f>_xlfn.XLOOKUP(Table1[[#This Row],[Player ID]],Table2[feed_id],Table2[trade_status])</f>
        <v>#N/A</v>
      </c>
      <c r="DG118">
        <f>_xlfn.NUMBERVALUE(Table1[[#This Row],[predicted]])</f>
        <v>76.161744130858395</v>
      </c>
    </row>
    <row r="119" spans="1:111" hidden="1" x14ac:dyDescent="0.25">
      <c r="A119">
        <v>68553</v>
      </c>
      <c r="B119">
        <v>6511</v>
      </c>
      <c r="C119" t="s">
        <v>1902</v>
      </c>
      <c r="D119" t="s">
        <v>422</v>
      </c>
      <c r="E119">
        <v>2018</v>
      </c>
      <c r="F119">
        <v>280946</v>
      </c>
      <c r="G119" t="s">
        <v>1903</v>
      </c>
      <c r="H119" t="s">
        <v>1904</v>
      </c>
      <c r="I119" t="s">
        <v>152</v>
      </c>
      <c r="J119">
        <v>30</v>
      </c>
      <c r="K119">
        <v>98</v>
      </c>
      <c r="L119">
        <v>62</v>
      </c>
      <c r="M119">
        <v>94</v>
      </c>
      <c r="N119">
        <v>75</v>
      </c>
      <c r="O119">
        <v>103</v>
      </c>
      <c r="P119">
        <v>9</v>
      </c>
      <c r="Q119">
        <v>10</v>
      </c>
      <c r="R119">
        <v>7</v>
      </c>
      <c r="S119">
        <v>8</v>
      </c>
      <c r="T119">
        <v>0</v>
      </c>
      <c r="U119">
        <v>0</v>
      </c>
      <c r="V119">
        <v>1</v>
      </c>
      <c r="W119">
        <v>0</v>
      </c>
      <c r="X119">
        <v>1</v>
      </c>
      <c r="Y119" t="s">
        <v>113</v>
      </c>
      <c r="Z119" t="s">
        <v>525</v>
      </c>
      <c r="AA119" t="s">
        <v>1905</v>
      </c>
      <c r="AD119">
        <v>589700</v>
      </c>
      <c r="AE119">
        <v>92</v>
      </c>
      <c r="AF119">
        <v>435100</v>
      </c>
      <c r="AG119">
        <v>93</v>
      </c>
      <c r="AH119" t="s">
        <v>118</v>
      </c>
      <c r="AI119">
        <v>25</v>
      </c>
      <c r="AJ119">
        <v>1</v>
      </c>
      <c r="AK119">
        <v>82</v>
      </c>
      <c r="AL119">
        <v>72</v>
      </c>
      <c r="AM119">
        <v>0.35</v>
      </c>
      <c r="AN119">
        <v>0.24</v>
      </c>
      <c r="AO119">
        <v>0.17</v>
      </c>
      <c r="AP119">
        <v>598000</v>
      </c>
      <c r="AQ119">
        <v>96</v>
      </c>
      <c r="AS119">
        <v>2</v>
      </c>
      <c r="AT119">
        <v>0</v>
      </c>
      <c r="AU119">
        <v>5</v>
      </c>
      <c r="AV119">
        <v>57</v>
      </c>
      <c r="AW119">
        <v>79</v>
      </c>
      <c r="AZ119" t="b">
        <v>0</v>
      </c>
      <c r="BA119">
        <v>1729</v>
      </c>
      <c r="BB119">
        <v>1553</v>
      </c>
      <c r="BC119">
        <v>3</v>
      </c>
      <c r="BD119" t="s">
        <v>1906</v>
      </c>
      <c r="BE119">
        <v>104</v>
      </c>
      <c r="BF119">
        <v>0</v>
      </c>
      <c r="BG119">
        <v>72</v>
      </c>
      <c r="BH119">
        <v>0</v>
      </c>
      <c r="BI119">
        <v>8</v>
      </c>
      <c r="BJ119">
        <v>7.6</v>
      </c>
      <c r="BK119">
        <v>14</v>
      </c>
      <c r="BL119" s="1" t="s">
        <v>622</v>
      </c>
      <c r="BM119" s="1" t="s">
        <v>449</v>
      </c>
      <c r="BN119">
        <v>5.2</v>
      </c>
      <c r="BO119" s="1" t="s">
        <v>449</v>
      </c>
      <c r="BP119" s="1" t="s">
        <v>1092</v>
      </c>
      <c r="BQ119">
        <v>0</v>
      </c>
      <c r="BR119">
        <v>0</v>
      </c>
      <c r="BS119" s="1" t="s">
        <v>128</v>
      </c>
      <c r="BT119" s="1" t="s">
        <v>127</v>
      </c>
      <c r="BU119" s="1" t="s">
        <v>126</v>
      </c>
      <c r="BV119" s="1" t="s">
        <v>206</v>
      </c>
      <c r="BW119">
        <v>0</v>
      </c>
      <c r="BX119" s="1" t="s">
        <v>184</v>
      </c>
      <c r="BY119">
        <v>1</v>
      </c>
      <c r="BZ119">
        <v>0.4</v>
      </c>
      <c r="CA119" s="1" t="s">
        <v>1907</v>
      </c>
      <c r="CB119" s="1" t="s">
        <v>1908</v>
      </c>
      <c r="CC119" s="1" t="s">
        <v>1909</v>
      </c>
      <c r="CD119" s="1" t="s">
        <v>1910</v>
      </c>
      <c r="CE119" s="1" t="s">
        <v>1911</v>
      </c>
      <c r="CF119" s="1" t="s">
        <v>1912</v>
      </c>
      <c r="CG119" s="1" t="s">
        <v>183</v>
      </c>
      <c r="CH119" s="1" t="s">
        <v>1079</v>
      </c>
      <c r="CI119" s="1" t="s">
        <v>161</v>
      </c>
      <c r="CJ119" s="1" t="s">
        <v>140</v>
      </c>
      <c r="CK119" s="1" t="s">
        <v>125</v>
      </c>
      <c r="CL119">
        <v>3.2</v>
      </c>
      <c r="CM119" s="1" t="s">
        <v>1176</v>
      </c>
      <c r="CN119" s="1" t="s">
        <v>930</v>
      </c>
      <c r="CO119" s="1" t="s">
        <v>610</v>
      </c>
      <c r="CP119" s="1" t="s">
        <v>382</v>
      </c>
      <c r="CS119" s="1" t="s">
        <v>1913</v>
      </c>
      <c r="CT119" s="1" t="s">
        <v>1914</v>
      </c>
      <c r="CU119" s="1" t="s">
        <v>1915</v>
      </c>
      <c r="CV119" s="1" t="s">
        <v>1916</v>
      </c>
      <c r="CW119">
        <v>81.95</v>
      </c>
      <c r="CX119">
        <v>81.7</v>
      </c>
      <c r="CY119">
        <v>74.8</v>
      </c>
      <c r="CZ119">
        <v>69</v>
      </c>
      <c r="DA119">
        <v>1</v>
      </c>
      <c r="DB119" t="s">
        <v>525</v>
      </c>
      <c r="DC119">
        <v>62</v>
      </c>
      <c r="DD119">
        <v>79.621755593035203</v>
      </c>
      <c r="DE119">
        <v>-17.6217555930352</v>
      </c>
      <c r="DF119" t="e">
        <f>_xlfn.XLOOKUP(Table1[[#This Row],[Player ID]],Table2[feed_id],Table2[trade_status])</f>
        <v>#N/A</v>
      </c>
      <c r="DG119">
        <f>_xlfn.NUMBERVALUE(Table1[[#This Row],[predicted]])</f>
        <v>79.621755593035203</v>
      </c>
    </row>
    <row r="120" spans="1:111" hidden="1" x14ac:dyDescent="0.25">
      <c r="A120">
        <v>68637</v>
      </c>
      <c r="B120">
        <v>6513</v>
      </c>
      <c r="C120" t="s">
        <v>1917</v>
      </c>
      <c r="D120" t="s">
        <v>422</v>
      </c>
      <c r="E120">
        <v>2018</v>
      </c>
      <c r="F120">
        <v>293035</v>
      </c>
      <c r="G120" t="s">
        <v>1918</v>
      </c>
      <c r="H120" t="s">
        <v>1919</v>
      </c>
      <c r="I120" t="s">
        <v>112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113</v>
      </c>
      <c r="Z120" t="s">
        <v>1920</v>
      </c>
      <c r="AA120" t="s">
        <v>1921</v>
      </c>
      <c r="AB120" t="s">
        <v>542</v>
      </c>
      <c r="AC120" t="s">
        <v>1922</v>
      </c>
      <c r="AD120">
        <v>442300</v>
      </c>
      <c r="AE120">
        <v>64</v>
      </c>
      <c r="AF120">
        <v>350300</v>
      </c>
      <c r="AG120">
        <v>64</v>
      </c>
      <c r="AH120" t="s">
        <v>155</v>
      </c>
      <c r="AI120">
        <v>29</v>
      </c>
      <c r="AJ120">
        <v>0</v>
      </c>
      <c r="AK120">
        <v>0</v>
      </c>
      <c r="AL120">
        <v>0</v>
      </c>
      <c r="AM120">
        <v>0.18</v>
      </c>
      <c r="AN120">
        <v>0.2</v>
      </c>
      <c r="AO120">
        <v>0.1</v>
      </c>
      <c r="AP120">
        <v>451000</v>
      </c>
      <c r="AQ120">
        <v>71</v>
      </c>
      <c r="AS120">
        <v>0</v>
      </c>
      <c r="AT120">
        <v>0</v>
      </c>
      <c r="AU120">
        <v>0</v>
      </c>
      <c r="AV120">
        <v>0</v>
      </c>
      <c r="AW120">
        <v>3</v>
      </c>
      <c r="AZ120" t="b">
        <v>1</v>
      </c>
      <c r="BA120">
        <v>1645</v>
      </c>
      <c r="BB120">
        <v>1635</v>
      </c>
      <c r="BC120">
        <v>3</v>
      </c>
      <c r="BD120" t="s">
        <v>1923</v>
      </c>
      <c r="BE120">
        <v>104</v>
      </c>
      <c r="BF120">
        <v>0</v>
      </c>
      <c r="BG120">
        <v>72</v>
      </c>
      <c r="BH120">
        <v>0</v>
      </c>
      <c r="BI120" s="1" t="s">
        <v>397</v>
      </c>
      <c r="BJ120" s="1" t="s">
        <v>204</v>
      </c>
      <c r="BK120" s="1" t="s">
        <v>125</v>
      </c>
      <c r="BL120">
        <v>8.6</v>
      </c>
      <c r="BM120" s="1" t="s">
        <v>138</v>
      </c>
      <c r="BN120" s="1" t="s">
        <v>431</v>
      </c>
      <c r="BO120" s="1" t="s">
        <v>126</v>
      </c>
      <c r="BP120" s="1" t="s">
        <v>159</v>
      </c>
      <c r="BQ120">
        <v>0</v>
      </c>
      <c r="BR120">
        <v>0</v>
      </c>
      <c r="BS120" s="1" t="s">
        <v>128</v>
      </c>
      <c r="BT120" s="1" t="s">
        <v>128</v>
      </c>
      <c r="BU120">
        <v>0</v>
      </c>
      <c r="BV120" s="1" t="s">
        <v>184</v>
      </c>
      <c r="BW120">
        <v>1</v>
      </c>
      <c r="BX120" s="1" t="s">
        <v>238</v>
      </c>
      <c r="BY120">
        <v>0</v>
      </c>
      <c r="BZ120" s="1" t="s">
        <v>130</v>
      </c>
      <c r="CA120" s="1" t="s">
        <v>468</v>
      </c>
      <c r="CB120" s="1" t="s">
        <v>1924</v>
      </c>
      <c r="CC120">
        <v>0.45</v>
      </c>
      <c r="CD120">
        <v>0.63800000000000001</v>
      </c>
      <c r="CE120">
        <v>0.66</v>
      </c>
      <c r="CF120" s="1" t="s">
        <v>1925</v>
      </c>
      <c r="CG120">
        <v>3</v>
      </c>
      <c r="CH120" s="1" t="s">
        <v>963</v>
      </c>
      <c r="CI120" s="1" t="s">
        <v>129</v>
      </c>
      <c r="CJ120" s="1" t="s">
        <v>257</v>
      </c>
      <c r="CK120" s="1" t="s">
        <v>161</v>
      </c>
      <c r="CL120" s="1" t="s">
        <v>327</v>
      </c>
      <c r="CM120" s="1" t="s">
        <v>1926</v>
      </c>
      <c r="CN120">
        <v>70.599999999999994</v>
      </c>
      <c r="CO120" s="1" t="s">
        <v>1927</v>
      </c>
      <c r="CP120" s="1" t="s">
        <v>1928</v>
      </c>
      <c r="CS120" s="1" t="s">
        <v>555</v>
      </c>
      <c r="CT120" s="1" t="s">
        <v>1929</v>
      </c>
      <c r="CU120">
        <v>1622</v>
      </c>
      <c r="CV120">
        <v>1618.2</v>
      </c>
      <c r="CW120">
        <v>58.85</v>
      </c>
      <c r="CX120">
        <v>53.9</v>
      </c>
      <c r="CY120">
        <v>50.8</v>
      </c>
      <c r="CZ120">
        <v>40</v>
      </c>
      <c r="DA120">
        <v>1</v>
      </c>
      <c r="DB120" t="s">
        <v>1920</v>
      </c>
      <c r="DC120">
        <v>0</v>
      </c>
      <c r="DD120" s="1" t="s">
        <v>1930</v>
      </c>
      <c r="DE120">
        <v>-51.548565187471297</v>
      </c>
      <c r="DF120" t="e">
        <f>_xlfn.XLOOKUP(Table1[[#This Row],[Player ID]],Table2[feed_id],Table2[trade_status])</f>
        <v>#N/A</v>
      </c>
      <c r="DG120">
        <f>_xlfn.NUMBERVALUE(Table1[[#This Row],[predicted]])</f>
        <v>51.548565187471297</v>
      </c>
    </row>
    <row r="121" spans="1:111" hidden="1" x14ac:dyDescent="0.25">
      <c r="A121">
        <v>69375</v>
      </c>
      <c r="B121">
        <v>6530</v>
      </c>
      <c r="C121" t="s">
        <v>1931</v>
      </c>
      <c r="D121" t="s">
        <v>1183</v>
      </c>
      <c r="E121">
        <v>2018</v>
      </c>
      <c r="F121">
        <v>281329</v>
      </c>
      <c r="G121" t="s">
        <v>1932</v>
      </c>
      <c r="H121" t="s">
        <v>1933</v>
      </c>
      <c r="I121" t="s">
        <v>201</v>
      </c>
      <c r="J121">
        <v>14</v>
      </c>
      <c r="K121">
        <v>79</v>
      </c>
      <c r="L121">
        <v>69</v>
      </c>
      <c r="M121">
        <v>54</v>
      </c>
      <c r="N121">
        <v>65</v>
      </c>
      <c r="O121">
        <v>87</v>
      </c>
      <c r="P121">
        <v>12</v>
      </c>
      <c r="Q121">
        <v>8</v>
      </c>
      <c r="R121">
        <v>7</v>
      </c>
      <c r="S121">
        <v>2</v>
      </c>
      <c r="T121">
        <v>0</v>
      </c>
      <c r="U121">
        <v>1</v>
      </c>
      <c r="V121">
        <v>1</v>
      </c>
      <c r="W121">
        <v>0</v>
      </c>
      <c r="X121">
        <v>0</v>
      </c>
      <c r="Y121" t="s">
        <v>113</v>
      </c>
      <c r="Z121" t="s">
        <v>525</v>
      </c>
      <c r="AA121" t="s">
        <v>1348</v>
      </c>
      <c r="AD121">
        <v>431900</v>
      </c>
      <c r="AE121">
        <v>0</v>
      </c>
      <c r="AF121">
        <v>318900</v>
      </c>
      <c r="AG121">
        <v>72</v>
      </c>
      <c r="AH121" t="s">
        <v>118</v>
      </c>
      <c r="AI121">
        <v>8</v>
      </c>
      <c r="AJ121">
        <v>2</v>
      </c>
      <c r="AK121">
        <v>67.67</v>
      </c>
      <c r="AL121">
        <v>70.67</v>
      </c>
      <c r="AM121">
        <v>0</v>
      </c>
      <c r="AN121">
        <v>0</v>
      </c>
      <c r="AO121">
        <v>0.2</v>
      </c>
      <c r="AP121">
        <v>455000</v>
      </c>
      <c r="AQ121">
        <v>68</v>
      </c>
      <c r="AS121">
        <v>7</v>
      </c>
      <c r="AT121">
        <v>2</v>
      </c>
      <c r="AU121">
        <v>4</v>
      </c>
      <c r="AV121">
        <v>70</v>
      </c>
      <c r="AW121">
        <v>77</v>
      </c>
      <c r="AZ121" t="b">
        <v>0</v>
      </c>
      <c r="BA121">
        <v>1873</v>
      </c>
      <c r="BB121">
        <v>1411</v>
      </c>
      <c r="BC121">
        <v>5</v>
      </c>
      <c r="BD121" t="s">
        <v>1934</v>
      </c>
      <c r="BE121" s="1" t="s">
        <v>1023</v>
      </c>
      <c r="BF121">
        <v>0</v>
      </c>
      <c r="BG121">
        <v>74</v>
      </c>
      <c r="BH121">
        <v>0</v>
      </c>
      <c r="BI121" s="1" t="s">
        <v>1829</v>
      </c>
      <c r="BJ121" s="1" t="s">
        <v>294</v>
      </c>
      <c r="BK121">
        <v>6</v>
      </c>
      <c r="BL121">
        <v>5.6</v>
      </c>
      <c r="BM121" s="1" t="s">
        <v>160</v>
      </c>
      <c r="BN121">
        <v>4.2</v>
      </c>
      <c r="BO121">
        <v>2</v>
      </c>
      <c r="BP121" s="1" t="s">
        <v>375</v>
      </c>
      <c r="BQ121">
        <v>0</v>
      </c>
      <c r="BR121">
        <v>0</v>
      </c>
      <c r="BS121" s="1" t="s">
        <v>128</v>
      </c>
      <c r="BT121" s="1" t="s">
        <v>238</v>
      </c>
      <c r="BU121" s="1" t="s">
        <v>128</v>
      </c>
      <c r="BV121">
        <v>0.6</v>
      </c>
      <c r="BW121" s="1" t="s">
        <v>129</v>
      </c>
      <c r="BX121" s="1" t="s">
        <v>128</v>
      </c>
      <c r="BY121">
        <v>1</v>
      </c>
      <c r="BZ121" s="1" t="s">
        <v>128</v>
      </c>
      <c r="CA121" s="1" t="s">
        <v>1467</v>
      </c>
      <c r="CB121" s="1" t="s">
        <v>1935</v>
      </c>
      <c r="CC121" s="1" t="s">
        <v>1936</v>
      </c>
      <c r="CD121" s="1" t="s">
        <v>1937</v>
      </c>
      <c r="CE121" s="1" t="s">
        <v>1467</v>
      </c>
      <c r="CF121">
        <v>0.11600000000000001</v>
      </c>
      <c r="CG121" s="1" t="s">
        <v>204</v>
      </c>
      <c r="CH121">
        <v>5</v>
      </c>
      <c r="CI121" s="1" t="s">
        <v>161</v>
      </c>
      <c r="CJ121" s="1" t="s">
        <v>399</v>
      </c>
      <c r="CK121">
        <v>2</v>
      </c>
      <c r="CL121">
        <v>2.4</v>
      </c>
      <c r="CM121">
        <v>70</v>
      </c>
      <c r="CN121">
        <v>65</v>
      </c>
      <c r="CO121" s="1" t="s">
        <v>263</v>
      </c>
      <c r="CP121" s="1" t="s">
        <v>969</v>
      </c>
      <c r="CS121" s="1" t="s">
        <v>1938</v>
      </c>
      <c r="CT121" s="1" t="s">
        <v>1939</v>
      </c>
      <c r="CU121" s="1" t="s">
        <v>1940</v>
      </c>
      <c r="CV121" s="1" t="s">
        <v>1941</v>
      </c>
      <c r="CW121">
        <v>61.7</v>
      </c>
      <c r="CX121">
        <v>61</v>
      </c>
      <c r="CY121">
        <v>64.8</v>
      </c>
      <c r="CZ121" s="1" t="s">
        <v>261</v>
      </c>
      <c r="DA121">
        <v>1</v>
      </c>
      <c r="DB121" t="s">
        <v>525</v>
      </c>
      <c r="DC121">
        <v>69</v>
      </c>
      <c r="DD121" s="1" t="s">
        <v>1942</v>
      </c>
      <c r="DE121" s="1" t="s">
        <v>1943</v>
      </c>
      <c r="DF121" t="e">
        <f>_xlfn.XLOOKUP(Table1[[#This Row],[Player ID]],Table2[feed_id],Table2[trade_status])</f>
        <v>#N/A</v>
      </c>
      <c r="DG121">
        <f>_xlfn.NUMBERVALUE(Table1[[#This Row],[predicted]])</f>
        <v>66.890928967894098</v>
      </c>
    </row>
    <row r="122" spans="1:111" hidden="1" x14ac:dyDescent="0.25">
      <c r="A122">
        <v>69409</v>
      </c>
      <c r="B122">
        <v>6531</v>
      </c>
      <c r="C122" t="s">
        <v>1944</v>
      </c>
      <c r="D122" t="s">
        <v>1183</v>
      </c>
      <c r="E122">
        <v>2018</v>
      </c>
      <c r="F122">
        <v>292030</v>
      </c>
      <c r="G122" t="s">
        <v>1127</v>
      </c>
      <c r="H122" t="s">
        <v>1945</v>
      </c>
      <c r="I122" t="s">
        <v>712</v>
      </c>
      <c r="J122">
        <v>13</v>
      </c>
      <c r="K122">
        <v>51</v>
      </c>
      <c r="L122">
        <v>53</v>
      </c>
      <c r="M122">
        <v>66</v>
      </c>
      <c r="N122">
        <v>45</v>
      </c>
      <c r="O122">
        <v>54</v>
      </c>
      <c r="P122">
        <v>8</v>
      </c>
      <c r="Q122">
        <v>1</v>
      </c>
      <c r="R122">
        <v>7</v>
      </c>
      <c r="S122">
        <v>0</v>
      </c>
      <c r="T122">
        <v>0</v>
      </c>
      <c r="U122">
        <v>1</v>
      </c>
      <c r="V122">
        <v>1</v>
      </c>
      <c r="W122">
        <v>1</v>
      </c>
      <c r="X122">
        <v>0</v>
      </c>
      <c r="Y122" t="s">
        <v>113</v>
      </c>
      <c r="Z122" t="s">
        <v>987</v>
      </c>
      <c r="AA122" t="s">
        <v>1946</v>
      </c>
      <c r="AB122" t="s">
        <v>656</v>
      </c>
      <c r="AC122" t="s">
        <v>1947</v>
      </c>
      <c r="AD122">
        <v>457600</v>
      </c>
      <c r="AE122">
        <v>0</v>
      </c>
      <c r="AF122">
        <v>326200</v>
      </c>
      <c r="AG122">
        <v>105</v>
      </c>
      <c r="AH122" t="s">
        <v>155</v>
      </c>
      <c r="AI122">
        <v>43</v>
      </c>
      <c r="AJ122">
        <v>1</v>
      </c>
      <c r="AK122">
        <v>47</v>
      </c>
      <c r="AL122">
        <v>44.5</v>
      </c>
      <c r="AM122">
        <v>0</v>
      </c>
      <c r="AN122">
        <v>0</v>
      </c>
      <c r="AO122">
        <v>0.06</v>
      </c>
      <c r="AP122">
        <v>437000</v>
      </c>
      <c r="AQ122">
        <v>85</v>
      </c>
      <c r="AS122">
        <v>2</v>
      </c>
      <c r="AT122">
        <v>0</v>
      </c>
      <c r="AU122">
        <v>1</v>
      </c>
      <c r="AV122">
        <v>88</v>
      </c>
      <c r="AW122">
        <v>82</v>
      </c>
      <c r="AZ122" t="b">
        <v>0</v>
      </c>
      <c r="BA122">
        <v>1543</v>
      </c>
      <c r="BB122">
        <v>1714</v>
      </c>
      <c r="BC122">
        <v>5</v>
      </c>
      <c r="BD122" t="s">
        <v>1948</v>
      </c>
      <c r="BE122" s="1" t="s">
        <v>1023</v>
      </c>
      <c r="BF122">
        <v>0</v>
      </c>
      <c r="BG122">
        <v>74</v>
      </c>
      <c r="BH122">
        <v>0</v>
      </c>
      <c r="BI122" s="1" t="s">
        <v>204</v>
      </c>
      <c r="BJ122" s="1" t="s">
        <v>545</v>
      </c>
      <c r="BK122" s="1" t="s">
        <v>161</v>
      </c>
      <c r="BL122" s="1" t="s">
        <v>214</v>
      </c>
      <c r="BM122" s="1" t="s">
        <v>124</v>
      </c>
      <c r="BN122">
        <v>6</v>
      </c>
      <c r="BO122" s="1" t="s">
        <v>129</v>
      </c>
      <c r="BP122">
        <v>1</v>
      </c>
      <c r="BQ122">
        <v>0</v>
      </c>
      <c r="BR122">
        <v>0.8</v>
      </c>
      <c r="BS122" s="1" t="s">
        <v>129</v>
      </c>
      <c r="BT122" s="1" t="s">
        <v>238</v>
      </c>
      <c r="BU122" s="1" t="s">
        <v>128</v>
      </c>
      <c r="BV122" s="1" t="s">
        <v>130</v>
      </c>
      <c r="BW122" s="1" t="s">
        <v>128</v>
      </c>
      <c r="BX122" s="1" t="s">
        <v>206</v>
      </c>
      <c r="BY122" s="1" t="s">
        <v>129</v>
      </c>
      <c r="BZ122" s="1" t="s">
        <v>257</v>
      </c>
      <c r="CA122">
        <v>0.03</v>
      </c>
      <c r="CB122" s="1" t="s">
        <v>1144</v>
      </c>
      <c r="CC122">
        <v>0.05</v>
      </c>
      <c r="CD122" s="1" t="s">
        <v>1949</v>
      </c>
      <c r="CE122">
        <v>7.6666666666666897E-2</v>
      </c>
      <c r="CF122" s="1" t="s">
        <v>1950</v>
      </c>
      <c r="CG122" s="1" t="s">
        <v>161</v>
      </c>
      <c r="CH122" s="1" t="s">
        <v>169</v>
      </c>
      <c r="CI122">
        <v>0</v>
      </c>
      <c r="CJ122" s="1" t="s">
        <v>184</v>
      </c>
      <c r="CK122" s="1" t="s">
        <v>161</v>
      </c>
      <c r="CL122">
        <v>2.2000000000000002</v>
      </c>
      <c r="CM122">
        <v>87</v>
      </c>
      <c r="CN122">
        <v>63</v>
      </c>
      <c r="CO122" s="1" t="s">
        <v>516</v>
      </c>
      <c r="CP122" s="1" t="s">
        <v>1951</v>
      </c>
      <c r="CS122" s="1" t="s">
        <v>1952</v>
      </c>
      <c r="CT122">
        <v>1662</v>
      </c>
      <c r="CU122" s="1" t="s">
        <v>1953</v>
      </c>
      <c r="CV122">
        <v>1599</v>
      </c>
      <c r="CW122">
        <v>60.6</v>
      </c>
      <c r="CX122">
        <v>60.5</v>
      </c>
      <c r="CY122">
        <v>59.2</v>
      </c>
      <c r="CZ122">
        <v>46</v>
      </c>
      <c r="DA122">
        <v>1</v>
      </c>
      <c r="DB122" t="s">
        <v>987</v>
      </c>
      <c r="DC122">
        <v>53</v>
      </c>
      <c r="DD122" s="1" t="s">
        <v>1954</v>
      </c>
      <c r="DE122">
        <v>-24.700767132037399</v>
      </c>
      <c r="DF122" t="e">
        <f>_xlfn.XLOOKUP(Table1[[#This Row],[Player ID]],Table2[feed_id],Table2[trade_status])</f>
        <v>#N/A</v>
      </c>
      <c r="DG122">
        <f>_xlfn.NUMBERVALUE(Table1[[#This Row],[predicted]])</f>
        <v>77.700767132037399</v>
      </c>
    </row>
    <row r="123" spans="1:111" hidden="1" x14ac:dyDescent="0.25">
      <c r="A123">
        <v>69583</v>
      </c>
      <c r="B123">
        <v>6535</v>
      </c>
      <c r="C123" t="s">
        <v>1955</v>
      </c>
      <c r="D123" t="s">
        <v>1183</v>
      </c>
      <c r="E123">
        <v>2018</v>
      </c>
      <c r="F123">
        <v>260955</v>
      </c>
      <c r="G123" t="s">
        <v>1956</v>
      </c>
      <c r="H123" t="s">
        <v>1957</v>
      </c>
      <c r="I123" t="s">
        <v>391</v>
      </c>
      <c r="J123">
        <v>2</v>
      </c>
      <c r="K123">
        <v>27</v>
      </c>
      <c r="L123">
        <v>45</v>
      </c>
      <c r="M123">
        <v>36</v>
      </c>
      <c r="N123">
        <v>18</v>
      </c>
      <c r="O123">
        <v>27</v>
      </c>
      <c r="P123">
        <v>3</v>
      </c>
      <c r="Q123">
        <v>3</v>
      </c>
      <c r="R123">
        <v>0</v>
      </c>
      <c r="S123">
        <v>3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113</v>
      </c>
      <c r="Z123" t="s">
        <v>861</v>
      </c>
      <c r="AA123" t="s">
        <v>1958</v>
      </c>
      <c r="AB123" t="s">
        <v>114</v>
      </c>
      <c r="AC123" t="s">
        <v>1959</v>
      </c>
      <c r="AD123">
        <v>347000</v>
      </c>
      <c r="AE123">
        <v>0</v>
      </c>
      <c r="AF123">
        <v>311700</v>
      </c>
      <c r="AG123">
        <v>55</v>
      </c>
      <c r="AH123" t="s">
        <v>155</v>
      </c>
      <c r="AI123">
        <v>33</v>
      </c>
      <c r="AJ123">
        <v>3</v>
      </c>
      <c r="AK123">
        <v>45</v>
      </c>
      <c r="AL123">
        <v>59.5</v>
      </c>
      <c r="AM123">
        <v>0</v>
      </c>
      <c r="AN123">
        <v>0</v>
      </c>
      <c r="AO123">
        <v>1.06</v>
      </c>
      <c r="AP123">
        <v>445000</v>
      </c>
      <c r="AQ123">
        <v>107</v>
      </c>
      <c r="AS123">
        <v>6</v>
      </c>
      <c r="AT123">
        <v>2</v>
      </c>
      <c r="AU123">
        <v>2</v>
      </c>
      <c r="AV123">
        <v>66</v>
      </c>
      <c r="AW123">
        <v>40</v>
      </c>
      <c r="AZ123" t="b">
        <v>1</v>
      </c>
      <c r="BA123">
        <v>1494</v>
      </c>
      <c r="BB123">
        <v>1768</v>
      </c>
      <c r="BC123">
        <v>5</v>
      </c>
      <c r="BD123" t="s">
        <v>1960</v>
      </c>
      <c r="BE123" s="1" t="s">
        <v>1023</v>
      </c>
      <c r="BF123">
        <v>0</v>
      </c>
      <c r="BG123">
        <v>74</v>
      </c>
      <c r="BH123">
        <v>0</v>
      </c>
      <c r="BI123" s="1" t="s">
        <v>211</v>
      </c>
      <c r="BJ123" s="1" t="s">
        <v>253</v>
      </c>
      <c r="BK123">
        <v>4</v>
      </c>
      <c r="BL123" s="1" t="s">
        <v>212</v>
      </c>
      <c r="BM123" s="1" t="s">
        <v>128</v>
      </c>
      <c r="BN123" s="1" t="s">
        <v>169</v>
      </c>
      <c r="BO123" s="1" t="s">
        <v>138</v>
      </c>
      <c r="BP123" s="1" t="s">
        <v>125</v>
      </c>
      <c r="BQ123">
        <v>0</v>
      </c>
      <c r="BR123" s="1" t="s">
        <v>213</v>
      </c>
      <c r="BS123">
        <v>0</v>
      </c>
      <c r="BT123" s="1" t="s">
        <v>130</v>
      </c>
      <c r="BU123" s="1" t="s">
        <v>128</v>
      </c>
      <c r="BV123" s="1" t="s">
        <v>162</v>
      </c>
      <c r="BW123" s="1" t="s">
        <v>129</v>
      </c>
      <c r="BX123" s="1" t="s">
        <v>399</v>
      </c>
      <c r="BY123" s="1" t="s">
        <v>129</v>
      </c>
      <c r="BZ123">
        <v>0.8</v>
      </c>
      <c r="CA123" s="1" t="s">
        <v>1961</v>
      </c>
      <c r="CB123" s="1" t="s">
        <v>1962</v>
      </c>
      <c r="CC123" s="1" t="s">
        <v>1963</v>
      </c>
      <c r="CD123" s="1" t="s">
        <v>1964</v>
      </c>
      <c r="CE123" s="1" t="s">
        <v>1965</v>
      </c>
      <c r="CF123" s="1" t="s">
        <v>1966</v>
      </c>
      <c r="CG123" s="1" t="s">
        <v>124</v>
      </c>
      <c r="CH123" s="1" t="s">
        <v>963</v>
      </c>
      <c r="CI123" s="1" t="s">
        <v>126</v>
      </c>
      <c r="CJ123" s="1" t="s">
        <v>298</v>
      </c>
      <c r="CK123" s="1" t="s">
        <v>159</v>
      </c>
      <c r="CL123">
        <v>2.2000000000000002</v>
      </c>
      <c r="CM123" s="1" t="s">
        <v>822</v>
      </c>
      <c r="CN123">
        <v>66.400000000000006</v>
      </c>
      <c r="CO123" s="1" t="s">
        <v>787</v>
      </c>
      <c r="CP123" s="1" t="s">
        <v>1289</v>
      </c>
      <c r="CS123" s="1" t="s">
        <v>1192</v>
      </c>
      <c r="CT123" s="1" t="s">
        <v>1967</v>
      </c>
      <c r="CU123" s="1" t="s">
        <v>1164</v>
      </c>
      <c r="CV123" s="1" t="s">
        <v>1968</v>
      </c>
      <c r="CW123">
        <v>73.400000000000006</v>
      </c>
      <c r="CX123">
        <v>63.2</v>
      </c>
      <c r="CY123">
        <v>59.2</v>
      </c>
      <c r="CZ123" s="1" t="s">
        <v>1969</v>
      </c>
      <c r="DA123">
        <v>1</v>
      </c>
      <c r="DB123" t="s">
        <v>861</v>
      </c>
      <c r="DC123">
        <v>45</v>
      </c>
      <c r="DD123" s="1" t="s">
        <v>1970</v>
      </c>
      <c r="DE123">
        <v>-25.852574152627302</v>
      </c>
      <c r="DF123" t="e">
        <f>_xlfn.XLOOKUP(Table1[[#This Row],[Player ID]],Table2[feed_id],Table2[trade_status])</f>
        <v>#N/A</v>
      </c>
      <c r="DG123">
        <f>_xlfn.NUMBERVALUE(Table1[[#This Row],[predicted]])</f>
        <v>70.852574152627298</v>
      </c>
    </row>
    <row r="124" spans="1:111" hidden="1" x14ac:dyDescent="0.25">
      <c r="A124">
        <v>69588</v>
      </c>
      <c r="B124">
        <v>6535</v>
      </c>
      <c r="C124" t="s">
        <v>1955</v>
      </c>
      <c r="D124" t="s">
        <v>1183</v>
      </c>
      <c r="E124">
        <v>2018</v>
      </c>
      <c r="F124">
        <v>291802</v>
      </c>
      <c r="G124" t="s">
        <v>1971</v>
      </c>
      <c r="H124" t="s">
        <v>1972</v>
      </c>
      <c r="I124" t="s">
        <v>291</v>
      </c>
      <c r="J124">
        <v>20</v>
      </c>
      <c r="K124">
        <v>85</v>
      </c>
      <c r="L124">
        <v>74</v>
      </c>
      <c r="M124">
        <v>71</v>
      </c>
      <c r="N124">
        <v>67</v>
      </c>
      <c r="O124">
        <v>91</v>
      </c>
      <c r="P124">
        <v>10</v>
      </c>
      <c r="Q124">
        <v>9</v>
      </c>
      <c r="R124">
        <v>4</v>
      </c>
      <c r="S124">
        <v>6</v>
      </c>
      <c r="T124">
        <v>0</v>
      </c>
      <c r="U124">
        <v>3</v>
      </c>
      <c r="V124">
        <v>2</v>
      </c>
      <c r="W124">
        <v>0</v>
      </c>
      <c r="X124">
        <v>4</v>
      </c>
      <c r="Y124" t="s">
        <v>113</v>
      </c>
      <c r="Z124" t="s">
        <v>861</v>
      </c>
      <c r="AA124" t="s">
        <v>1973</v>
      </c>
      <c r="AD124">
        <v>416700</v>
      </c>
      <c r="AE124">
        <v>0</v>
      </c>
      <c r="AF124">
        <v>334300</v>
      </c>
      <c r="AG124">
        <v>53</v>
      </c>
      <c r="AH124" t="s">
        <v>118</v>
      </c>
      <c r="AI124">
        <v>32</v>
      </c>
      <c r="AJ124">
        <v>2</v>
      </c>
      <c r="AK124">
        <v>67.33</v>
      </c>
      <c r="AL124">
        <v>55</v>
      </c>
      <c r="AM124">
        <v>0</v>
      </c>
      <c r="AN124">
        <v>0</v>
      </c>
      <c r="AO124">
        <v>0.2</v>
      </c>
      <c r="AP124">
        <v>435000</v>
      </c>
      <c r="AQ124">
        <v>52</v>
      </c>
      <c r="AS124">
        <v>10</v>
      </c>
      <c r="AT124">
        <v>2</v>
      </c>
      <c r="AU124">
        <v>4</v>
      </c>
      <c r="AV124">
        <v>47</v>
      </c>
      <c r="AW124">
        <v>78</v>
      </c>
      <c r="AZ124" t="b">
        <v>0</v>
      </c>
      <c r="BA124">
        <v>1768</v>
      </c>
      <c r="BB124">
        <v>1494</v>
      </c>
      <c r="BC124">
        <v>5</v>
      </c>
      <c r="BD124" t="s">
        <v>1974</v>
      </c>
      <c r="BE124" s="1" t="s">
        <v>1023</v>
      </c>
      <c r="BF124">
        <v>0</v>
      </c>
      <c r="BG124">
        <v>74</v>
      </c>
      <c r="BH124">
        <v>1</v>
      </c>
      <c r="BI124" s="1" t="s">
        <v>294</v>
      </c>
      <c r="BJ124" s="1" t="s">
        <v>168</v>
      </c>
      <c r="BK124" s="1" t="s">
        <v>204</v>
      </c>
      <c r="BL124">
        <v>6.8</v>
      </c>
      <c r="BM124">
        <v>3</v>
      </c>
      <c r="BN124">
        <v>2.8</v>
      </c>
      <c r="BO124" s="1" t="s">
        <v>211</v>
      </c>
      <c r="BP124">
        <v>3.4</v>
      </c>
      <c r="BQ124">
        <v>0</v>
      </c>
      <c r="BR124">
        <v>0</v>
      </c>
      <c r="BS124" s="1" t="s">
        <v>159</v>
      </c>
      <c r="BT124" s="1" t="s">
        <v>257</v>
      </c>
      <c r="BU124" s="1" t="s">
        <v>126</v>
      </c>
      <c r="BV124" s="1" t="s">
        <v>399</v>
      </c>
      <c r="BW124" s="1" t="s">
        <v>126</v>
      </c>
      <c r="BX124">
        <v>0.8</v>
      </c>
      <c r="BY124" s="1" t="s">
        <v>159</v>
      </c>
      <c r="BZ124" s="1" t="s">
        <v>257</v>
      </c>
      <c r="CA124">
        <v>7.3333333333333306E-2</v>
      </c>
      <c r="CB124" s="1" t="s">
        <v>1975</v>
      </c>
      <c r="CC124" s="1" t="s">
        <v>1976</v>
      </c>
      <c r="CD124" s="1" t="s">
        <v>1977</v>
      </c>
      <c r="CE124" s="1" t="s">
        <v>1978</v>
      </c>
      <c r="CF124">
        <v>0.33600000000000002</v>
      </c>
      <c r="CG124" s="1" t="s">
        <v>204</v>
      </c>
      <c r="CH124" s="1" t="s">
        <v>260</v>
      </c>
      <c r="CI124" s="1" t="s">
        <v>126</v>
      </c>
      <c r="CJ124" s="1" t="s">
        <v>162</v>
      </c>
      <c r="CK124">
        <v>4</v>
      </c>
      <c r="CL124" s="1" t="s">
        <v>255</v>
      </c>
      <c r="CM124">
        <v>56</v>
      </c>
      <c r="CN124" s="1" t="s">
        <v>1979</v>
      </c>
      <c r="CO124">
        <v>78</v>
      </c>
      <c r="CP124" s="1" t="s">
        <v>1980</v>
      </c>
      <c r="CS124" s="1" t="s">
        <v>1981</v>
      </c>
      <c r="CT124">
        <v>1638.4</v>
      </c>
      <c r="CU124">
        <v>1583</v>
      </c>
      <c r="CV124" s="1" t="s">
        <v>1982</v>
      </c>
      <c r="CW124">
        <v>64</v>
      </c>
      <c r="CX124">
        <v>59.5</v>
      </c>
      <c r="CY124">
        <v>50</v>
      </c>
      <c r="CZ124" s="1" t="s">
        <v>1391</v>
      </c>
      <c r="DA124">
        <v>1</v>
      </c>
      <c r="DB124" t="s">
        <v>861</v>
      </c>
      <c r="DC124">
        <v>74</v>
      </c>
      <c r="DD124" s="1" t="s">
        <v>1983</v>
      </c>
      <c r="DE124" s="1" t="s">
        <v>1984</v>
      </c>
      <c r="DF124" t="e">
        <f>_xlfn.XLOOKUP(Table1[[#This Row],[Player ID]],Table2[feed_id],Table2[trade_status])</f>
        <v>#N/A</v>
      </c>
      <c r="DG124">
        <f>_xlfn.NUMBERVALUE(Table1[[#This Row],[predicted]])</f>
        <v>68.664475434130495</v>
      </c>
    </row>
    <row r="125" spans="1:111" hidden="1" x14ac:dyDescent="0.25">
      <c r="A125">
        <v>69647</v>
      </c>
      <c r="B125">
        <v>6536</v>
      </c>
      <c r="C125" t="s">
        <v>1985</v>
      </c>
      <c r="D125" t="s">
        <v>1183</v>
      </c>
      <c r="E125">
        <v>2018</v>
      </c>
      <c r="F125">
        <v>280933</v>
      </c>
      <c r="G125" t="s">
        <v>1986</v>
      </c>
      <c r="H125" t="s">
        <v>1987</v>
      </c>
      <c r="I125" t="s">
        <v>152</v>
      </c>
      <c r="J125">
        <v>7</v>
      </c>
      <c r="K125">
        <v>21</v>
      </c>
      <c r="L125">
        <v>35</v>
      </c>
      <c r="M125">
        <v>19</v>
      </c>
      <c r="N125">
        <v>15</v>
      </c>
      <c r="O125">
        <v>18</v>
      </c>
      <c r="P125">
        <v>2</v>
      </c>
      <c r="Q125">
        <v>0</v>
      </c>
      <c r="R125">
        <v>0</v>
      </c>
      <c r="S125">
        <v>2</v>
      </c>
      <c r="T125">
        <v>0</v>
      </c>
      <c r="U125">
        <v>1</v>
      </c>
      <c r="V125">
        <v>0</v>
      </c>
      <c r="W125">
        <v>1</v>
      </c>
      <c r="X125">
        <v>0</v>
      </c>
      <c r="Y125" t="s">
        <v>113</v>
      </c>
      <c r="Z125" t="s">
        <v>114</v>
      </c>
      <c r="AA125" t="s">
        <v>1988</v>
      </c>
      <c r="AB125" t="s">
        <v>226</v>
      </c>
      <c r="AC125" t="s">
        <v>1989</v>
      </c>
      <c r="AD125">
        <v>593100</v>
      </c>
      <c r="AE125">
        <v>0</v>
      </c>
      <c r="AF125">
        <v>480500</v>
      </c>
      <c r="AG125">
        <v>106</v>
      </c>
      <c r="AH125" t="s">
        <v>181</v>
      </c>
      <c r="AI125">
        <v>17</v>
      </c>
      <c r="AJ125">
        <v>3</v>
      </c>
      <c r="AK125">
        <v>79.75</v>
      </c>
      <c r="AL125">
        <v>81.75</v>
      </c>
      <c r="AM125">
        <v>0</v>
      </c>
      <c r="AN125">
        <v>0</v>
      </c>
      <c r="AO125">
        <v>1.73</v>
      </c>
      <c r="AP125">
        <v>605000</v>
      </c>
      <c r="AQ125">
        <v>121</v>
      </c>
      <c r="AS125">
        <v>1</v>
      </c>
      <c r="AT125">
        <v>0</v>
      </c>
      <c r="AU125">
        <v>0</v>
      </c>
      <c r="AV125">
        <v>50</v>
      </c>
      <c r="AW125">
        <v>28</v>
      </c>
      <c r="AZ125" t="b">
        <v>1</v>
      </c>
      <c r="BA125">
        <v>1741</v>
      </c>
      <c r="BB125">
        <v>1511</v>
      </c>
      <c r="BC125">
        <v>5</v>
      </c>
      <c r="BD125" t="s">
        <v>1990</v>
      </c>
      <c r="BE125" s="1" t="s">
        <v>1023</v>
      </c>
      <c r="BF125">
        <v>0</v>
      </c>
      <c r="BG125">
        <v>74</v>
      </c>
      <c r="BH125">
        <v>0</v>
      </c>
      <c r="BI125">
        <v>8</v>
      </c>
      <c r="BJ125">
        <v>14.2</v>
      </c>
      <c r="BK125" s="1" t="s">
        <v>211</v>
      </c>
      <c r="BL125" s="1" t="s">
        <v>205</v>
      </c>
      <c r="BM125">
        <v>4</v>
      </c>
      <c r="BN125" s="1" t="s">
        <v>449</v>
      </c>
      <c r="BO125" s="1" t="s">
        <v>126</v>
      </c>
      <c r="BP125" s="1" t="s">
        <v>126</v>
      </c>
      <c r="BQ125">
        <v>0</v>
      </c>
      <c r="BR125">
        <v>0</v>
      </c>
      <c r="BS125" s="1" t="s">
        <v>128</v>
      </c>
      <c r="BT125" s="1" t="s">
        <v>128</v>
      </c>
      <c r="BU125">
        <v>1</v>
      </c>
      <c r="BV125" s="1" t="s">
        <v>128</v>
      </c>
      <c r="BW125" s="1" t="s">
        <v>129</v>
      </c>
      <c r="BX125" s="1" t="s">
        <v>213</v>
      </c>
      <c r="BY125">
        <v>0</v>
      </c>
      <c r="BZ125">
        <v>0</v>
      </c>
      <c r="CA125" s="1" t="s">
        <v>1991</v>
      </c>
      <c r="CB125" s="1" t="s">
        <v>1992</v>
      </c>
      <c r="CC125" s="1" t="s">
        <v>1993</v>
      </c>
      <c r="CD125" s="1" t="s">
        <v>1994</v>
      </c>
      <c r="CE125" s="1" t="s">
        <v>1995</v>
      </c>
      <c r="CF125" s="1" t="s">
        <v>1996</v>
      </c>
      <c r="CG125" s="1" t="s">
        <v>138</v>
      </c>
      <c r="CH125">
        <v>4.5999999999999996</v>
      </c>
      <c r="CI125">
        <v>0</v>
      </c>
      <c r="CJ125" s="1" t="s">
        <v>213</v>
      </c>
      <c r="CK125">
        <v>2</v>
      </c>
      <c r="CL125">
        <v>2.6</v>
      </c>
      <c r="CM125" s="1" t="s">
        <v>1242</v>
      </c>
      <c r="CN125" s="1" t="s">
        <v>1417</v>
      </c>
      <c r="CO125">
        <v>66</v>
      </c>
      <c r="CP125">
        <v>82</v>
      </c>
      <c r="CS125" s="1" t="s">
        <v>1997</v>
      </c>
      <c r="CT125" s="1" t="s">
        <v>1998</v>
      </c>
      <c r="CU125" s="1" t="s">
        <v>1999</v>
      </c>
      <c r="CV125" s="1" t="s">
        <v>2000</v>
      </c>
      <c r="CW125">
        <v>82.55</v>
      </c>
      <c r="CX125">
        <v>74.099999999999994</v>
      </c>
      <c r="CY125">
        <v>61</v>
      </c>
      <c r="CZ125" s="1" t="s">
        <v>1166</v>
      </c>
      <c r="DA125">
        <v>1</v>
      </c>
      <c r="DB125" t="s">
        <v>114</v>
      </c>
      <c r="DC125">
        <v>35</v>
      </c>
      <c r="DD125" s="1" t="s">
        <v>2001</v>
      </c>
      <c r="DE125">
        <v>-22.085129256796499</v>
      </c>
      <c r="DF125" t="e">
        <f>_xlfn.XLOOKUP(Table1[[#This Row],[Player ID]],Table2[feed_id],Table2[trade_status])</f>
        <v>#N/A</v>
      </c>
      <c r="DG125">
        <f>_xlfn.NUMBERVALUE(Table1[[#This Row],[predicted]])</f>
        <v>57.085129256796499</v>
      </c>
    </row>
    <row r="126" spans="1:111" hidden="1" x14ac:dyDescent="0.25">
      <c r="A126">
        <v>70314</v>
      </c>
      <c r="B126">
        <v>6552</v>
      </c>
      <c r="C126" t="s">
        <v>2002</v>
      </c>
      <c r="D126" t="s">
        <v>443</v>
      </c>
      <c r="E126">
        <v>2018</v>
      </c>
      <c r="F126">
        <v>295285</v>
      </c>
      <c r="G126" t="s">
        <v>2003</v>
      </c>
      <c r="H126" t="s">
        <v>986</v>
      </c>
      <c r="I126" t="s">
        <v>619</v>
      </c>
      <c r="J126">
        <v>1</v>
      </c>
      <c r="K126">
        <v>20</v>
      </c>
      <c r="L126">
        <v>35</v>
      </c>
      <c r="M126">
        <v>25</v>
      </c>
      <c r="N126">
        <v>17</v>
      </c>
      <c r="O126">
        <v>27</v>
      </c>
      <c r="P126">
        <v>3</v>
      </c>
      <c r="Q126">
        <v>5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0</v>
      </c>
      <c r="Y126" t="s">
        <v>113</v>
      </c>
      <c r="Z126" t="s">
        <v>861</v>
      </c>
      <c r="AA126" t="s">
        <v>2004</v>
      </c>
      <c r="AD126">
        <v>330700</v>
      </c>
      <c r="AE126">
        <v>7</v>
      </c>
      <c r="AF126">
        <v>242500</v>
      </c>
      <c r="AG126">
        <v>12</v>
      </c>
      <c r="AH126" t="s">
        <v>118</v>
      </c>
      <c r="AI126">
        <v>20</v>
      </c>
      <c r="AJ126">
        <v>1</v>
      </c>
      <c r="AK126">
        <v>71</v>
      </c>
      <c r="AL126">
        <v>65</v>
      </c>
      <c r="AM126">
        <v>0.22</v>
      </c>
      <c r="AN126">
        <v>0</v>
      </c>
      <c r="AO126">
        <v>0.33</v>
      </c>
      <c r="AP126">
        <v>349000</v>
      </c>
      <c r="AQ126">
        <v>39</v>
      </c>
      <c r="AS126">
        <v>4</v>
      </c>
      <c r="AT126">
        <v>0</v>
      </c>
      <c r="AU126">
        <v>2</v>
      </c>
      <c r="AV126">
        <v>100</v>
      </c>
      <c r="AW126">
        <v>80</v>
      </c>
      <c r="AZ126" t="b">
        <v>0</v>
      </c>
      <c r="BA126">
        <v>1615</v>
      </c>
      <c r="BB126">
        <v>1648</v>
      </c>
      <c r="BC126">
        <v>7</v>
      </c>
      <c r="BD126" t="s">
        <v>2005</v>
      </c>
      <c r="BE126" s="1" t="s">
        <v>1586</v>
      </c>
      <c r="BF126">
        <v>0</v>
      </c>
      <c r="BG126">
        <v>74</v>
      </c>
      <c r="BH126">
        <v>0</v>
      </c>
      <c r="BI126" s="1" t="s">
        <v>204</v>
      </c>
      <c r="BJ126" s="1" t="s">
        <v>1239</v>
      </c>
      <c r="BK126" s="1" t="s">
        <v>204</v>
      </c>
      <c r="BL126">
        <v>8.1999999999999993</v>
      </c>
      <c r="BM126">
        <v>4</v>
      </c>
      <c r="BN126">
        <v>4.8</v>
      </c>
      <c r="BO126" s="1" t="s">
        <v>126</v>
      </c>
      <c r="BP126">
        <v>1.8</v>
      </c>
      <c r="BQ126">
        <v>0</v>
      </c>
      <c r="BR126">
        <v>0</v>
      </c>
      <c r="BS126" s="1" t="s">
        <v>128</v>
      </c>
      <c r="BT126">
        <v>0.4</v>
      </c>
      <c r="BU126" s="1" t="s">
        <v>128</v>
      </c>
      <c r="BV126">
        <v>0.4</v>
      </c>
      <c r="BW126">
        <v>0</v>
      </c>
      <c r="BX126" s="1" t="s">
        <v>184</v>
      </c>
      <c r="BY126">
        <v>0</v>
      </c>
      <c r="BZ126" s="1" t="s">
        <v>231</v>
      </c>
      <c r="CA126" s="1" t="s">
        <v>2006</v>
      </c>
      <c r="CB126" s="1" t="s">
        <v>2007</v>
      </c>
      <c r="CC126" s="1" t="s">
        <v>2008</v>
      </c>
      <c r="CD126" s="1" t="s">
        <v>2009</v>
      </c>
      <c r="CE126">
        <v>0.32</v>
      </c>
      <c r="CF126" s="1" t="s">
        <v>2010</v>
      </c>
      <c r="CG126">
        <v>5</v>
      </c>
      <c r="CH126" s="1" t="s">
        <v>963</v>
      </c>
      <c r="CI126" s="1" t="s">
        <v>129</v>
      </c>
      <c r="CJ126">
        <v>1.2</v>
      </c>
      <c r="CK126" s="1" t="s">
        <v>126</v>
      </c>
      <c r="CL126">
        <v>1.4</v>
      </c>
      <c r="CM126" s="1" t="s">
        <v>364</v>
      </c>
      <c r="CN126" s="1" t="s">
        <v>517</v>
      </c>
      <c r="CO126" s="1" t="s">
        <v>437</v>
      </c>
      <c r="CP126" s="1" t="s">
        <v>850</v>
      </c>
      <c r="CS126" s="1" t="s">
        <v>1780</v>
      </c>
      <c r="CT126">
        <v>1595.4</v>
      </c>
      <c r="CU126" s="1" t="s">
        <v>2011</v>
      </c>
      <c r="CV126" s="1" t="s">
        <v>2012</v>
      </c>
      <c r="CW126">
        <v>56.85</v>
      </c>
      <c r="CX126">
        <v>60.7</v>
      </c>
      <c r="CY126">
        <v>57.4</v>
      </c>
      <c r="CZ126" s="1" t="s">
        <v>2013</v>
      </c>
      <c r="DA126">
        <v>1</v>
      </c>
      <c r="DB126" t="s">
        <v>861</v>
      </c>
      <c r="DC126">
        <v>35</v>
      </c>
      <c r="DD126" s="1" t="s">
        <v>2014</v>
      </c>
      <c r="DE126">
        <v>-25.489624697380901</v>
      </c>
      <c r="DF126" t="e">
        <f>_xlfn.XLOOKUP(Table1[[#This Row],[Player ID]],Table2[feed_id],Table2[trade_status])</f>
        <v>#N/A</v>
      </c>
      <c r="DG126">
        <f>_xlfn.NUMBERVALUE(Table1[[#This Row],[predicted]])</f>
        <v>60.489624697380897</v>
      </c>
    </row>
    <row r="127" spans="1:111" hidden="1" x14ac:dyDescent="0.25">
      <c r="A127">
        <v>70801</v>
      </c>
      <c r="B127">
        <v>6563</v>
      </c>
      <c r="C127" t="s">
        <v>2015</v>
      </c>
      <c r="D127" t="s">
        <v>2016</v>
      </c>
      <c r="E127">
        <v>2018</v>
      </c>
      <c r="F127">
        <v>280104</v>
      </c>
      <c r="G127" t="s">
        <v>2017</v>
      </c>
      <c r="H127" t="s">
        <v>2018</v>
      </c>
      <c r="I127" t="s">
        <v>112</v>
      </c>
      <c r="J127">
        <v>13</v>
      </c>
      <c r="K127">
        <v>64</v>
      </c>
      <c r="L127">
        <v>68</v>
      </c>
      <c r="M127">
        <v>51</v>
      </c>
      <c r="N127">
        <v>50</v>
      </c>
      <c r="O127">
        <v>69</v>
      </c>
      <c r="P127">
        <v>8</v>
      </c>
      <c r="Q127">
        <v>8</v>
      </c>
      <c r="R127">
        <v>3</v>
      </c>
      <c r="S127">
        <v>4</v>
      </c>
      <c r="T127">
        <v>0</v>
      </c>
      <c r="U127">
        <v>2</v>
      </c>
      <c r="V127">
        <v>1</v>
      </c>
      <c r="W127">
        <v>0</v>
      </c>
      <c r="X127">
        <v>0</v>
      </c>
      <c r="Y127" t="s">
        <v>113</v>
      </c>
      <c r="Z127" t="s">
        <v>525</v>
      </c>
      <c r="AA127" t="s">
        <v>2019</v>
      </c>
      <c r="AD127">
        <v>367400</v>
      </c>
      <c r="AE127">
        <v>18</v>
      </c>
      <c r="AF127">
        <v>328900</v>
      </c>
      <c r="AG127">
        <v>55</v>
      </c>
      <c r="AH127" t="s">
        <v>155</v>
      </c>
      <c r="AI127">
        <v>11</v>
      </c>
      <c r="AJ127">
        <v>1</v>
      </c>
      <c r="AK127">
        <v>75</v>
      </c>
      <c r="AL127">
        <v>70</v>
      </c>
      <c r="AM127">
        <v>0.08</v>
      </c>
      <c r="AN127">
        <v>0.13</v>
      </c>
      <c r="AO127">
        <v>0.13</v>
      </c>
      <c r="AP127">
        <v>384000</v>
      </c>
      <c r="AQ127">
        <v>45</v>
      </c>
      <c r="AS127">
        <v>6</v>
      </c>
      <c r="AT127">
        <v>1</v>
      </c>
      <c r="AU127">
        <v>1</v>
      </c>
      <c r="AV127">
        <v>75</v>
      </c>
      <c r="AW127">
        <v>79</v>
      </c>
      <c r="AZ127" t="b">
        <v>0</v>
      </c>
      <c r="BA127">
        <v>1603</v>
      </c>
      <c r="BB127">
        <v>1665</v>
      </c>
      <c r="BC127">
        <v>8</v>
      </c>
      <c r="BD127" t="s">
        <v>2020</v>
      </c>
      <c r="BE127" s="1" t="s">
        <v>1586</v>
      </c>
      <c r="BF127">
        <v>0</v>
      </c>
      <c r="BG127">
        <v>75</v>
      </c>
      <c r="BH127">
        <v>0</v>
      </c>
      <c r="BI127">
        <v>6</v>
      </c>
      <c r="BJ127" s="1" t="s">
        <v>205</v>
      </c>
      <c r="BK127" s="1" t="s">
        <v>977</v>
      </c>
      <c r="BL127" s="1" t="s">
        <v>498</v>
      </c>
      <c r="BM127" s="1" t="s">
        <v>169</v>
      </c>
      <c r="BN127">
        <v>2.2000000000000002</v>
      </c>
      <c r="BO127" s="1" t="s">
        <v>125</v>
      </c>
      <c r="BP127">
        <v>4.2</v>
      </c>
      <c r="BQ127">
        <v>0</v>
      </c>
      <c r="BR127">
        <v>0</v>
      </c>
      <c r="BS127" s="1" t="s">
        <v>161</v>
      </c>
      <c r="BT127" s="1" t="s">
        <v>162</v>
      </c>
      <c r="BU127">
        <v>1</v>
      </c>
      <c r="BV127" s="1" t="s">
        <v>127</v>
      </c>
      <c r="BW127" s="1" t="s">
        <v>129</v>
      </c>
      <c r="BX127" s="1" t="s">
        <v>399</v>
      </c>
      <c r="BY127">
        <v>0</v>
      </c>
      <c r="BZ127" s="1" t="s">
        <v>231</v>
      </c>
      <c r="CA127">
        <v>7.3333333333333306E-2</v>
      </c>
      <c r="CB127" s="1" t="s">
        <v>2021</v>
      </c>
      <c r="CC127" s="1" t="s">
        <v>1531</v>
      </c>
      <c r="CD127" s="1" t="s">
        <v>2022</v>
      </c>
      <c r="CE127">
        <v>0.31</v>
      </c>
      <c r="CF127">
        <v>0.52600000000000002</v>
      </c>
      <c r="CG127" s="1" t="s">
        <v>204</v>
      </c>
      <c r="CH127" s="1" t="s">
        <v>680</v>
      </c>
      <c r="CI127" s="1" t="s">
        <v>128</v>
      </c>
      <c r="CJ127">
        <v>1.2</v>
      </c>
      <c r="CK127" s="1" t="s">
        <v>161</v>
      </c>
      <c r="CL127" s="1" t="s">
        <v>159</v>
      </c>
      <c r="CM127">
        <v>74</v>
      </c>
      <c r="CN127">
        <v>70.8</v>
      </c>
      <c r="CO127" s="1" t="s">
        <v>241</v>
      </c>
      <c r="CP127" s="1" t="s">
        <v>930</v>
      </c>
      <c r="CS127" s="1" t="s">
        <v>2023</v>
      </c>
      <c r="CT127">
        <v>1712.8</v>
      </c>
      <c r="CU127">
        <v>1602</v>
      </c>
      <c r="CV127" s="1" t="s">
        <v>2024</v>
      </c>
      <c r="CW127">
        <v>63.25</v>
      </c>
      <c r="CX127">
        <v>62.9</v>
      </c>
      <c r="CY127">
        <v>64.400000000000006</v>
      </c>
      <c r="CZ127">
        <v>67</v>
      </c>
      <c r="DA127">
        <v>1</v>
      </c>
      <c r="DB127" t="s">
        <v>525</v>
      </c>
      <c r="DC127">
        <v>68</v>
      </c>
      <c r="DD127">
        <v>66.363323817499804</v>
      </c>
      <c r="DE127" s="1" t="s">
        <v>2025</v>
      </c>
      <c r="DF127" t="e">
        <f>_xlfn.XLOOKUP(Table1[[#This Row],[Player ID]],Table2[feed_id],Table2[trade_status])</f>
        <v>#N/A</v>
      </c>
      <c r="DG127">
        <f>_xlfn.NUMBERVALUE(Table1[[#This Row],[predicted]])</f>
        <v>66.363323817499804</v>
      </c>
    </row>
    <row r="128" spans="1:111" hidden="1" x14ac:dyDescent="0.25">
      <c r="A128">
        <v>71299</v>
      </c>
      <c r="B128">
        <v>6575</v>
      </c>
      <c r="C128" t="s">
        <v>2026</v>
      </c>
      <c r="D128" t="s">
        <v>475</v>
      </c>
      <c r="E128">
        <v>2018</v>
      </c>
      <c r="F128">
        <v>250111</v>
      </c>
      <c r="G128" t="s">
        <v>889</v>
      </c>
      <c r="H128" t="s">
        <v>2027</v>
      </c>
      <c r="I128" t="s">
        <v>524</v>
      </c>
      <c r="J128">
        <v>7</v>
      </c>
      <c r="K128">
        <v>30</v>
      </c>
      <c r="L128">
        <v>37</v>
      </c>
      <c r="M128">
        <v>37</v>
      </c>
      <c r="N128">
        <v>26</v>
      </c>
      <c r="O128">
        <v>36</v>
      </c>
      <c r="P128">
        <v>4</v>
      </c>
      <c r="Q128">
        <v>4</v>
      </c>
      <c r="R128">
        <v>1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0</v>
      </c>
      <c r="Y128" t="s">
        <v>113</v>
      </c>
      <c r="Z128" t="s">
        <v>542</v>
      </c>
      <c r="AA128" t="s">
        <v>2028</v>
      </c>
      <c r="AB128" t="s">
        <v>525</v>
      </c>
      <c r="AC128" t="s">
        <v>1440</v>
      </c>
      <c r="AD128">
        <v>488500</v>
      </c>
      <c r="AE128">
        <v>93</v>
      </c>
      <c r="AF128">
        <v>368300</v>
      </c>
      <c r="AG128">
        <v>100</v>
      </c>
      <c r="AH128" t="s">
        <v>118</v>
      </c>
      <c r="AI128">
        <v>3</v>
      </c>
      <c r="AJ128">
        <v>4</v>
      </c>
      <c r="AK128">
        <v>72.75</v>
      </c>
      <c r="AL128">
        <v>68.75</v>
      </c>
      <c r="AM128">
        <v>0.13</v>
      </c>
      <c r="AN128">
        <v>0.09</v>
      </c>
      <c r="AO128">
        <v>7.0000000000000007E-2</v>
      </c>
      <c r="AP128">
        <v>506000</v>
      </c>
      <c r="AQ128">
        <v>85</v>
      </c>
      <c r="AS128">
        <v>3</v>
      </c>
      <c r="AT128">
        <v>1</v>
      </c>
      <c r="AU128">
        <v>2</v>
      </c>
      <c r="AV128">
        <v>50</v>
      </c>
      <c r="AW128">
        <v>44</v>
      </c>
      <c r="AZ128" t="b">
        <v>0</v>
      </c>
      <c r="BA128">
        <v>1726</v>
      </c>
      <c r="BB128">
        <v>1552</v>
      </c>
      <c r="BC128">
        <v>10</v>
      </c>
      <c r="BD128" t="s">
        <v>2029</v>
      </c>
      <c r="BE128">
        <v>99</v>
      </c>
      <c r="BF128">
        <v>0</v>
      </c>
      <c r="BG128">
        <v>75</v>
      </c>
      <c r="BH128">
        <v>0</v>
      </c>
      <c r="BI128">
        <v>8</v>
      </c>
      <c r="BJ128" s="1" t="s">
        <v>2030</v>
      </c>
      <c r="BK128" s="1" t="s">
        <v>545</v>
      </c>
      <c r="BL128">
        <v>11</v>
      </c>
      <c r="BM128" s="1" t="s">
        <v>161</v>
      </c>
      <c r="BN128">
        <v>4</v>
      </c>
      <c r="BO128">
        <v>2</v>
      </c>
      <c r="BP128" s="1" t="s">
        <v>169</v>
      </c>
      <c r="BQ128">
        <v>0</v>
      </c>
      <c r="BR128">
        <v>0</v>
      </c>
      <c r="BS128" s="1" t="s">
        <v>129</v>
      </c>
      <c r="BT128">
        <v>0.8</v>
      </c>
      <c r="BU128" s="1" t="s">
        <v>129</v>
      </c>
      <c r="BV128" s="1" t="s">
        <v>162</v>
      </c>
      <c r="BW128" s="1" t="s">
        <v>129</v>
      </c>
      <c r="BX128" s="1" t="s">
        <v>213</v>
      </c>
      <c r="BY128" s="1" t="s">
        <v>129</v>
      </c>
      <c r="BZ128" s="1" t="s">
        <v>213</v>
      </c>
      <c r="CA128">
        <v>0.14000000000000001</v>
      </c>
      <c r="CB128" s="1" t="s">
        <v>2031</v>
      </c>
      <c r="CC128">
        <v>6.3333333333333297E-2</v>
      </c>
      <c r="CD128" s="1" t="s">
        <v>2032</v>
      </c>
      <c r="CE128">
        <v>7.6666666666666605E-2</v>
      </c>
      <c r="CF128" s="1" t="s">
        <v>2033</v>
      </c>
      <c r="CG128" s="1" t="s">
        <v>449</v>
      </c>
      <c r="CH128" s="1" t="s">
        <v>430</v>
      </c>
      <c r="CI128">
        <v>1</v>
      </c>
      <c r="CJ128" s="1" t="s">
        <v>214</v>
      </c>
      <c r="CK128" s="1" t="s">
        <v>161</v>
      </c>
      <c r="CL128" s="1" t="s">
        <v>255</v>
      </c>
      <c r="CM128" s="1" t="s">
        <v>971</v>
      </c>
      <c r="CN128">
        <v>73</v>
      </c>
      <c r="CO128" s="1" t="s">
        <v>883</v>
      </c>
      <c r="CP128">
        <v>83</v>
      </c>
      <c r="CS128" s="1" t="s">
        <v>2034</v>
      </c>
      <c r="CT128" s="1" t="s">
        <v>2035</v>
      </c>
      <c r="CU128">
        <v>1785</v>
      </c>
      <c r="CV128">
        <v>1743.2</v>
      </c>
      <c r="CW128">
        <v>74.8</v>
      </c>
      <c r="CX128">
        <v>70.5</v>
      </c>
      <c r="CY128">
        <v>62.4</v>
      </c>
      <c r="CZ128">
        <v>53</v>
      </c>
      <c r="DA128">
        <v>1</v>
      </c>
      <c r="DB128" t="s">
        <v>542</v>
      </c>
      <c r="DC128">
        <v>37</v>
      </c>
      <c r="DD128" s="1" t="s">
        <v>2036</v>
      </c>
      <c r="DE128">
        <v>-25.593351195087202</v>
      </c>
      <c r="DF128" t="e">
        <f>_xlfn.XLOOKUP(Table1[[#This Row],[Player ID]],Table2[feed_id],Table2[trade_status])</f>
        <v>#N/A</v>
      </c>
      <c r="DG128">
        <f>_xlfn.NUMBERVALUE(Table1[[#This Row],[predicted]])</f>
        <v>62.593351195087202</v>
      </c>
    </row>
    <row r="129" spans="1:111" hidden="1" x14ac:dyDescent="0.25">
      <c r="A129">
        <v>71730</v>
      </c>
      <c r="B129">
        <v>6585</v>
      </c>
      <c r="C129" t="s">
        <v>2037</v>
      </c>
      <c r="D129" t="s">
        <v>491</v>
      </c>
      <c r="E129">
        <v>2018</v>
      </c>
      <c r="F129">
        <v>292503</v>
      </c>
      <c r="G129" t="s">
        <v>763</v>
      </c>
      <c r="H129" t="s">
        <v>2038</v>
      </c>
      <c r="I129" t="s">
        <v>1061</v>
      </c>
      <c r="J129">
        <v>9</v>
      </c>
      <c r="K129">
        <v>43</v>
      </c>
      <c r="L129">
        <v>42</v>
      </c>
      <c r="M129">
        <v>56</v>
      </c>
      <c r="N129">
        <v>37</v>
      </c>
      <c r="O129">
        <v>49</v>
      </c>
      <c r="P129">
        <v>6</v>
      </c>
      <c r="Q129">
        <v>3</v>
      </c>
      <c r="R129">
        <v>3</v>
      </c>
      <c r="S129">
        <v>2</v>
      </c>
      <c r="T129">
        <v>0</v>
      </c>
      <c r="U129">
        <v>1</v>
      </c>
      <c r="V129">
        <v>2</v>
      </c>
      <c r="W129">
        <v>1</v>
      </c>
      <c r="X129">
        <v>1</v>
      </c>
      <c r="Y129" t="s">
        <v>113</v>
      </c>
      <c r="Z129" t="s">
        <v>656</v>
      </c>
      <c r="AA129" t="s">
        <v>2039</v>
      </c>
      <c r="AD129">
        <v>292700</v>
      </c>
      <c r="AE129">
        <v>16</v>
      </c>
      <c r="AF129">
        <v>257300</v>
      </c>
      <c r="AG129">
        <v>25</v>
      </c>
      <c r="AH129" t="s">
        <v>155</v>
      </c>
      <c r="AI129">
        <v>36</v>
      </c>
      <c r="AJ129">
        <v>2</v>
      </c>
      <c r="AK129">
        <v>60.5</v>
      </c>
      <c r="AL129">
        <v>65</v>
      </c>
      <c r="AM129">
        <v>0.3</v>
      </c>
      <c r="AN129">
        <v>0.48</v>
      </c>
      <c r="AO129">
        <v>0.55000000000000004</v>
      </c>
      <c r="AP129">
        <v>356000</v>
      </c>
      <c r="AQ129">
        <v>39</v>
      </c>
      <c r="AS129">
        <v>4</v>
      </c>
      <c r="AT129">
        <v>0</v>
      </c>
      <c r="AU129">
        <v>2</v>
      </c>
      <c r="AV129">
        <v>44</v>
      </c>
      <c r="AW129">
        <v>90</v>
      </c>
      <c r="AZ129" t="b">
        <v>0</v>
      </c>
      <c r="BA129">
        <v>1572</v>
      </c>
      <c r="BB129">
        <v>1700</v>
      </c>
      <c r="BC129">
        <v>11</v>
      </c>
      <c r="BD129" t="s">
        <v>2040</v>
      </c>
      <c r="BE129">
        <v>101</v>
      </c>
      <c r="BF129">
        <v>0</v>
      </c>
      <c r="BG129">
        <v>75</v>
      </c>
      <c r="BH129">
        <v>0</v>
      </c>
      <c r="BI129" s="1" t="s">
        <v>397</v>
      </c>
      <c r="BJ129" s="1" t="s">
        <v>1066</v>
      </c>
      <c r="BK129" s="1" t="s">
        <v>449</v>
      </c>
      <c r="BL129">
        <v>6</v>
      </c>
      <c r="BM129" s="1" t="s">
        <v>449</v>
      </c>
      <c r="BN129" s="1" t="s">
        <v>565</v>
      </c>
      <c r="BO129">
        <v>2</v>
      </c>
      <c r="BP129" s="1" t="s">
        <v>169</v>
      </c>
      <c r="BQ129">
        <v>0</v>
      </c>
      <c r="BR129">
        <v>0</v>
      </c>
      <c r="BS129" s="1" t="s">
        <v>128</v>
      </c>
      <c r="BT129">
        <v>0.8</v>
      </c>
      <c r="BU129">
        <v>2</v>
      </c>
      <c r="BV129" s="1" t="s">
        <v>327</v>
      </c>
      <c r="BW129">
        <v>1</v>
      </c>
      <c r="BX129" s="1" t="s">
        <v>275</v>
      </c>
      <c r="BY129">
        <v>1</v>
      </c>
      <c r="BZ129">
        <v>1.2</v>
      </c>
      <c r="CA129" s="1" t="s">
        <v>2041</v>
      </c>
      <c r="CB129" s="1" t="s">
        <v>2042</v>
      </c>
      <c r="CC129" s="1" t="s">
        <v>2043</v>
      </c>
      <c r="CD129" s="1" t="s">
        <v>1849</v>
      </c>
      <c r="CE129" s="1" t="s">
        <v>2044</v>
      </c>
      <c r="CF129" s="1" t="s">
        <v>832</v>
      </c>
      <c r="CG129" s="1" t="s">
        <v>160</v>
      </c>
      <c r="CH129" s="1" t="s">
        <v>139</v>
      </c>
      <c r="CI129">
        <v>0</v>
      </c>
      <c r="CJ129" s="1" t="s">
        <v>128</v>
      </c>
      <c r="CK129" s="1" t="s">
        <v>159</v>
      </c>
      <c r="CL129" s="1" t="s">
        <v>169</v>
      </c>
      <c r="CM129">
        <v>60</v>
      </c>
      <c r="CN129" s="1" t="s">
        <v>1354</v>
      </c>
      <c r="CO129" s="1" t="s">
        <v>306</v>
      </c>
      <c r="CP129">
        <v>69.8</v>
      </c>
      <c r="CS129">
        <v>1558</v>
      </c>
      <c r="CT129" s="1" t="s">
        <v>2045</v>
      </c>
      <c r="CU129" s="1" t="s">
        <v>2046</v>
      </c>
      <c r="CV129">
        <v>1581.2</v>
      </c>
      <c r="CW129">
        <v>70.650000000000006</v>
      </c>
      <c r="CX129">
        <v>63.9</v>
      </c>
      <c r="CY129">
        <v>59.2</v>
      </c>
      <c r="CZ129">
        <v>61</v>
      </c>
      <c r="DA129">
        <v>1</v>
      </c>
      <c r="DB129" t="s">
        <v>656</v>
      </c>
      <c r="DC129">
        <v>42</v>
      </c>
      <c r="DD129" s="1" t="s">
        <v>2047</v>
      </c>
      <c r="DE129">
        <v>-29.381550628774502</v>
      </c>
      <c r="DF129" t="e">
        <f>_xlfn.XLOOKUP(Table1[[#This Row],[Player ID]],Table2[feed_id],Table2[trade_status])</f>
        <v>#N/A</v>
      </c>
      <c r="DG129">
        <f>_xlfn.NUMBERVALUE(Table1[[#This Row],[predicted]])</f>
        <v>71.381550628774505</v>
      </c>
    </row>
    <row r="130" spans="1:111" hidden="1" x14ac:dyDescent="0.25">
      <c r="A130">
        <v>71775</v>
      </c>
      <c r="B130">
        <v>6586</v>
      </c>
      <c r="C130" t="s">
        <v>2048</v>
      </c>
      <c r="D130" t="s">
        <v>491</v>
      </c>
      <c r="E130">
        <v>2018</v>
      </c>
      <c r="F130">
        <v>291777</v>
      </c>
      <c r="G130" t="s">
        <v>1986</v>
      </c>
      <c r="H130" t="s">
        <v>2049</v>
      </c>
      <c r="I130" t="s">
        <v>1089</v>
      </c>
      <c r="J130">
        <v>9</v>
      </c>
      <c r="K130">
        <v>31</v>
      </c>
      <c r="L130">
        <v>29</v>
      </c>
      <c r="M130">
        <v>40</v>
      </c>
      <c r="N130">
        <v>33</v>
      </c>
      <c r="O130">
        <v>45</v>
      </c>
      <c r="P130">
        <v>6</v>
      </c>
      <c r="Q130">
        <v>2</v>
      </c>
      <c r="R130">
        <v>3</v>
      </c>
      <c r="S130">
        <v>0</v>
      </c>
      <c r="T130">
        <v>0</v>
      </c>
      <c r="U130">
        <v>0</v>
      </c>
      <c r="V130">
        <v>4</v>
      </c>
      <c r="W130">
        <v>2</v>
      </c>
      <c r="X130">
        <v>0</v>
      </c>
      <c r="Y130" t="s">
        <v>113</v>
      </c>
      <c r="Z130" t="s">
        <v>2050</v>
      </c>
      <c r="AA130" t="s">
        <v>2051</v>
      </c>
      <c r="AB130" t="s">
        <v>525</v>
      </c>
      <c r="AC130" t="s">
        <v>2052</v>
      </c>
      <c r="AD130">
        <v>155900</v>
      </c>
      <c r="AE130">
        <v>-1</v>
      </c>
      <c r="AF130">
        <v>158300</v>
      </c>
      <c r="AG130">
        <v>1</v>
      </c>
      <c r="AH130" t="s">
        <v>155</v>
      </c>
      <c r="AI130">
        <v>43</v>
      </c>
      <c r="AJ130">
        <v>1</v>
      </c>
      <c r="AK130">
        <v>37</v>
      </c>
      <c r="AL130">
        <v>47</v>
      </c>
      <c r="AM130">
        <v>0.55000000000000004</v>
      </c>
      <c r="AN130">
        <v>0.68</v>
      </c>
      <c r="AO130">
        <v>0.13</v>
      </c>
      <c r="AP130">
        <v>299000</v>
      </c>
      <c r="AQ130">
        <v>53</v>
      </c>
      <c r="AS130">
        <v>4</v>
      </c>
      <c r="AT130">
        <v>0</v>
      </c>
      <c r="AU130">
        <v>6</v>
      </c>
      <c r="AV130">
        <v>62</v>
      </c>
      <c r="AW130">
        <v>65</v>
      </c>
      <c r="AZ130" t="b">
        <v>0</v>
      </c>
      <c r="BA130">
        <v>1619</v>
      </c>
      <c r="BB130">
        <v>1657</v>
      </c>
      <c r="BC130">
        <v>11</v>
      </c>
      <c r="BD130" t="s">
        <v>2053</v>
      </c>
      <c r="BE130">
        <v>101</v>
      </c>
      <c r="BF130">
        <v>0</v>
      </c>
      <c r="BG130">
        <v>75</v>
      </c>
      <c r="BH130">
        <v>0</v>
      </c>
      <c r="BI130" s="1" t="s">
        <v>160</v>
      </c>
      <c r="BJ130">
        <v>7.8</v>
      </c>
      <c r="BK130">
        <v>3</v>
      </c>
      <c r="BL130">
        <v>5.8</v>
      </c>
      <c r="BM130" s="1" t="s">
        <v>126</v>
      </c>
      <c r="BN130">
        <v>3</v>
      </c>
      <c r="BO130" s="1" t="s">
        <v>161</v>
      </c>
      <c r="BP130" s="1" t="s">
        <v>373</v>
      </c>
      <c r="BQ130">
        <v>0</v>
      </c>
      <c r="BR130">
        <v>0</v>
      </c>
      <c r="BS130" s="1" t="s">
        <v>128</v>
      </c>
      <c r="BT130" s="1" t="s">
        <v>231</v>
      </c>
      <c r="BU130" s="1" t="s">
        <v>126</v>
      </c>
      <c r="BV130" s="1" t="s">
        <v>162</v>
      </c>
      <c r="BW130" s="1" t="s">
        <v>128</v>
      </c>
      <c r="BX130" s="1" t="s">
        <v>130</v>
      </c>
      <c r="BY130">
        <v>0</v>
      </c>
      <c r="BZ130" s="1" t="s">
        <v>128</v>
      </c>
      <c r="CA130">
        <v>0.34</v>
      </c>
      <c r="CB130" s="1" t="s">
        <v>2054</v>
      </c>
      <c r="CC130">
        <v>0.48</v>
      </c>
      <c r="CD130" s="1" t="s">
        <v>2055</v>
      </c>
      <c r="CE130">
        <v>9.6666666666666595E-2</v>
      </c>
      <c r="CF130" s="1" t="s">
        <v>2056</v>
      </c>
      <c r="CG130">
        <v>4</v>
      </c>
      <c r="CH130">
        <v>3.8</v>
      </c>
      <c r="CI130">
        <v>0</v>
      </c>
      <c r="CJ130" s="1" t="s">
        <v>231</v>
      </c>
      <c r="CK130" s="1" t="s">
        <v>159</v>
      </c>
      <c r="CL130" s="1" t="s">
        <v>169</v>
      </c>
      <c r="CM130">
        <v>65</v>
      </c>
      <c r="CN130">
        <v>69.8</v>
      </c>
      <c r="CO130">
        <v>63</v>
      </c>
      <c r="CP130" s="1" t="s">
        <v>2057</v>
      </c>
      <c r="CS130" s="1" t="s">
        <v>2058</v>
      </c>
      <c r="CT130" s="1" t="s">
        <v>2059</v>
      </c>
      <c r="CU130" s="1" t="s">
        <v>2060</v>
      </c>
      <c r="CV130" s="1" t="s">
        <v>2061</v>
      </c>
      <c r="CW130">
        <v>57.55</v>
      </c>
      <c r="CX130">
        <v>55.5</v>
      </c>
      <c r="CY130">
        <v>47.2</v>
      </c>
      <c r="CZ130">
        <v>36</v>
      </c>
      <c r="DA130">
        <v>1</v>
      </c>
      <c r="DB130" t="s">
        <v>2050</v>
      </c>
      <c r="DC130">
        <v>29</v>
      </c>
      <c r="DD130" s="1" t="s">
        <v>2062</v>
      </c>
      <c r="DE130">
        <v>-28.459105970216701</v>
      </c>
      <c r="DF130" t="e">
        <f>_xlfn.XLOOKUP(Table1[[#This Row],[Player ID]],Table2[feed_id],Table2[trade_status])</f>
        <v>#N/A</v>
      </c>
      <c r="DG130">
        <f>_xlfn.NUMBERVALUE(Table1[[#This Row],[predicted]])</f>
        <v>57.459105970216697</v>
      </c>
    </row>
    <row r="131" spans="1:111" hidden="1" x14ac:dyDescent="0.25">
      <c r="A131">
        <v>71896</v>
      </c>
      <c r="B131">
        <v>6589</v>
      </c>
      <c r="C131" t="s">
        <v>2063</v>
      </c>
      <c r="D131" t="s">
        <v>491</v>
      </c>
      <c r="E131">
        <v>2018</v>
      </c>
      <c r="F131">
        <v>250063</v>
      </c>
      <c r="G131" t="s">
        <v>2064</v>
      </c>
      <c r="H131" t="s">
        <v>477</v>
      </c>
      <c r="I131" t="s">
        <v>178</v>
      </c>
      <c r="J131">
        <v>9</v>
      </c>
      <c r="K131">
        <v>60</v>
      </c>
      <c r="L131">
        <v>55</v>
      </c>
      <c r="M131">
        <v>78</v>
      </c>
      <c r="N131">
        <v>45</v>
      </c>
      <c r="O131">
        <v>63</v>
      </c>
      <c r="P131">
        <v>5</v>
      </c>
      <c r="Q131">
        <v>8</v>
      </c>
      <c r="R131">
        <v>3</v>
      </c>
      <c r="S131">
        <v>5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113</v>
      </c>
      <c r="Z131" t="s">
        <v>525</v>
      </c>
      <c r="AA131" t="s">
        <v>2065</v>
      </c>
      <c r="AD131">
        <v>420300</v>
      </c>
      <c r="AE131">
        <v>64</v>
      </c>
      <c r="AF131">
        <v>321600</v>
      </c>
      <c r="AG131">
        <v>83</v>
      </c>
      <c r="AH131" t="s">
        <v>118</v>
      </c>
      <c r="AI131">
        <v>6</v>
      </c>
      <c r="AJ131">
        <v>2</v>
      </c>
      <c r="AK131">
        <v>66.5</v>
      </c>
      <c r="AL131">
        <v>55.5</v>
      </c>
      <c r="AM131">
        <v>0.03</v>
      </c>
      <c r="AN131">
        <v>7.0000000000000007E-2</v>
      </c>
      <c r="AO131">
        <v>0.05</v>
      </c>
      <c r="AP131">
        <v>490000</v>
      </c>
      <c r="AQ131">
        <v>82</v>
      </c>
      <c r="AS131">
        <v>7</v>
      </c>
      <c r="AT131">
        <v>4</v>
      </c>
      <c r="AU131">
        <v>1</v>
      </c>
      <c r="AV131">
        <v>92</v>
      </c>
      <c r="AW131">
        <v>68</v>
      </c>
      <c r="AZ131" t="b">
        <v>0</v>
      </c>
      <c r="BA131">
        <v>1631</v>
      </c>
      <c r="BB131">
        <v>1642</v>
      </c>
      <c r="BC131">
        <v>11</v>
      </c>
      <c r="BD131" t="s">
        <v>2066</v>
      </c>
      <c r="BE131">
        <v>101</v>
      </c>
      <c r="BF131">
        <v>0</v>
      </c>
      <c r="BG131">
        <v>75</v>
      </c>
      <c r="BH131">
        <v>0</v>
      </c>
      <c r="BI131" s="1" t="s">
        <v>183</v>
      </c>
      <c r="BJ131" s="1" t="s">
        <v>276</v>
      </c>
      <c r="BK131" s="1" t="s">
        <v>204</v>
      </c>
      <c r="BL131" s="1" t="s">
        <v>253</v>
      </c>
      <c r="BM131" s="1" t="s">
        <v>125</v>
      </c>
      <c r="BN131" s="1" t="s">
        <v>138</v>
      </c>
      <c r="BO131" s="1" t="s">
        <v>125</v>
      </c>
      <c r="BP131" s="1" t="s">
        <v>140</v>
      </c>
      <c r="BQ131">
        <v>0</v>
      </c>
      <c r="BR131">
        <v>0</v>
      </c>
      <c r="BS131" s="1" t="s">
        <v>129</v>
      </c>
      <c r="BT131">
        <v>0.6</v>
      </c>
      <c r="BU131">
        <v>0</v>
      </c>
      <c r="BV131" s="1" t="s">
        <v>184</v>
      </c>
      <c r="BW131" s="1" t="s">
        <v>129</v>
      </c>
      <c r="BX131" s="1" t="s">
        <v>129</v>
      </c>
      <c r="BY131">
        <v>0</v>
      </c>
      <c r="BZ131">
        <v>6.6666666666666596E-2</v>
      </c>
      <c r="CA131">
        <v>0.02</v>
      </c>
      <c r="CB131" s="1" t="s">
        <v>2067</v>
      </c>
      <c r="CC131">
        <v>4.6666666666666502E-2</v>
      </c>
      <c r="CD131" s="1" t="s">
        <v>2068</v>
      </c>
      <c r="CE131">
        <v>0.03</v>
      </c>
      <c r="CF131" s="1" t="s">
        <v>2068</v>
      </c>
      <c r="CG131" s="1" t="s">
        <v>160</v>
      </c>
      <c r="CH131" s="1" t="s">
        <v>429</v>
      </c>
      <c r="CI131" s="1" t="s">
        <v>159</v>
      </c>
      <c r="CJ131" s="1" t="s">
        <v>206</v>
      </c>
      <c r="CK131" s="1" t="s">
        <v>161</v>
      </c>
      <c r="CL131" s="1" t="s">
        <v>170</v>
      </c>
      <c r="CM131">
        <v>76</v>
      </c>
      <c r="CN131">
        <v>67.2</v>
      </c>
      <c r="CO131">
        <v>73</v>
      </c>
      <c r="CP131" s="1" t="s">
        <v>994</v>
      </c>
      <c r="CS131" s="1" t="s">
        <v>735</v>
      </c>
      <c r="CT131" s="1" t="s">
        <v>2069</v>
      </c>
      <c r="CU131" s="1" t="s">
        <v>2070</v>
      </c>
      <c r="CV131" s="1" t="s">
        <v>2071</v>
      </c>
      <c r="CW131">
        <v>70.3</v>
      </c>
      <c r="CX131">
        <v>62.2</v>
      </c>
      <c r="CY131">
        <v>51.2</v>
      </c>
      <c r="CZ131" s="1" t="s">
        <v>1316</v>
      </c>
      <c r="DA131">
        <v>1</v>
      </c>
      <c r="DB131" t="s">
        <v>525</v>
      </c>
      <c r="DC131">
        <v>55</v>
      </c>
      <c r="DD131">
        <v>65.622487246843406</v>
      </c>
      <c r="DE131">
        <v>-10.6224872468434</v>
      </c>
      <c r="DF131" t="e">
        <f>_xlfn.XLOOKUP(Table1[[#This Row],[Player ID]],Table2[feed_id],Table2[trade_status])</f>
        <v>#N/A</v>
      </c>
      <c r="DG131">
        <f>_xlfn.NUMBERVALUE(Table1[[#This Row],[predicted]])</f>
        <v>65.622487246843406</v>
      </c>
    </row>
    <row r="132" spans="1:111" hidden="1" x14ac:dyDescent="0.25">
      <c r="A132">
        <v>72526</v>
      </c>
      <c r="B132">
        <v>6603</v>
      </c>
      <c r="C132" t="s">
        <v>2072</v>
      </c>
      <c r="D132" t="s">
        <v>579</v>
      </c>
      <c r="E132">
        <v>2018</v>
      </c>
      <c r="F132">
        <v>290748</v>
      </c>
      <c r="G132" t="s">
        <v>1318</v>
      </c>
      <c r="H132" t="s">
        <v>2073</v>
      </c>
      <c r="I132" t="s">
        <v>619</v>
      </c>
      <c r="J132">
        <v>10</v>
      </c>
      <c r="K132">
        <v>45</v>
      </c>
      <c r="L132">
        <v>48</v>
      </c>
      <c r="M132">
        <v>39</v>
      </c>
      <c r="N132">
        <v>41</v>
      </c>
      <c r="O132">
        <v>55</v>
      </c>
      <c r="P132">
        <v>4</v>
      </c>
      <c r="Q132">
        <v>8</v>
      </c>
      <c r="R132">
        <v>2</v>
      </c>
      <c r="S132">
        <v>2</v>
      </c>
      <c r="T132">
        <v>0</v>
      </c>
      <c r="U132">
        <v>2</v>
      </c>
      <c r="V132">
        <v>2</v>
      </c>
      <c r="W132">
        <v>1</v>
      </c>
      <c r="X132">
        <v>1</v>
      </c>
      <c r="Y132" t="s">
        <v>113</v>
      </c>
      <c r="Z132" t="s">
        <v>861</v>
      </c>
      <c r="AA132" t="s">
        <v>2074</v>
      </c>
      <c r="AD132">
        <v>374100</v>
      </c>
      <c r="AE132">
        <v>106</v>
      </c>
      <c r="AF132">
        <v>328000</v>
      </c>
      <c r="AG132">
        <v>121</v>
      </c>
      <c r="AH132" t="s">
        <v>155</v>
      </c>
      <c r="AI132">
        <v>15</v>
      </c>
      <c r="AJ132">
        <v>5</v>
      </c>
      <c r="AK132">
        <v>52</v>
      </c>
      <c r="AL132">
        <v>60.17</v>
      </c>
      <c r="AM132">
        <v>0</v>
      </c>
      <c r="AN132">
        <v>0</v>
      </c>
      <c r="AO132">
        <v>0.22</v>
      </c>
      <c r="AP132">
        <v>385000</v>
      </c>
      <c r="AQ132">
        <v>93</v>
      </c>
      <c r="AS132">
        <v>8</v>
      </c>
      <c r="AT132">
        <v>1</v>
      </c>
      <c r="AU132">
        <v>4</v>
      </c>
      <c r="AV132">
        <v>75</v>
      </c>
      <c r="AW132">
        <v>80</v>
      </c>
      <c r="AZ132" t="b">
        <v>0</v>
      </c>
      <c r="BA132">
        <v>1611</v>
      </c>
      <c r="BB132">
        <v>1636</v>
      </c>
      <c r="BC132">
        <v>13</v>
      </c>
      <c r="BD132" t="s">
        <v>2075</v>
      </c>
      <c r="BE132">
        <v>98</v>
      </c>
      <c r="BF132">
        <v>0</v>
      </c>
      <c r="BG132">
        <v>73</v>
      </c>
      <c r="BH132">
        <v>0</v>
      </c>
      <c r="BI132" s="1" t="s">
        <v>253</v>
      </c>
      <c r="BJ132">
        <v>7.6</v>
      </c>
      <c r="BK132" s="1" t="s">
        <v>449</v>
      </c>
      <c r="BL132" s="1" t="s">
        <v>256</v>
      </c>
      <c r="BM132" s="1" t="s">
        <v>159</v>
      </c>
      <c r="BN132" s="1" t="s">
        <v>214</v>
      </c>
      <c r="BO132">
        <v>3</v>
      </c>
      <c r="BP132" s="1" t="s">
        <v>237</v>
      </c>
      <c r="BQ132">
        <v>0</v>
      </c>
      <c r="BR132">
        <v>0</v>
      </c>
      <c r="BS132" s="1" t="s">
        <v>126</v>
      </c>
      <c r="BT132" s="1" t="s">
        <v>162</v>
      </c>
      <c r="BU132" s="1" t="s">
        <v>128</v>
      </c>
      <c r="BV132" s="1" t="s">
        <v>128</v>
      </c>
      <c r="BW132" s="1" t="s">
        <v>126</v>
      </c>
      <c r="BX132">
        <v>1.2</v>
      </c>
      <c r="BY132" s="1" t="s">
        <v>128</v>
      </c>
      <c r="BZ132" s="1" t="s">
        <v>206</v>
      </c>
      <c r="CA132">
        <v>0</v>
      </c>
      <c r="CB132" s="1" t="s">
        <v>2076</v>
      </c>
      <c r="CC132">
        <v>0</v>
      </c>
      <c r="CD132" s="1" t="s">
        <v>2077</v>
      </c>
      <c r="CE132" s="1" t="s">
        <v>501</v>
      </c>
      <c r="CF132">
        <v>0.26400000000000001</v>
      </c>
      <c r="CG132" s="1" t="s">
        <v>545</v>
      </c>
      <c r="CH132" s="1" t="s">
        <v>898</v>
      </c>
      <c r="CI132" s="1" t="s">
        <v>126</v>
      </c>
      <c r="CJ132" s="1" t="s">
        <v>128</v>
      </c>
      <c r="CK132" s="1" t="s">
        <v>159</v>
      </c>
      <c r="CL132">
        <v>2</v>
      </c>
      <c r="CM132" s="1" t="s">
        <v>215</v>
      </c>
      <c r="CN132" s="1" t="s">
        <v>2078</v>
      </c>
      <c r="CO132" s="1" t="s">
        <v>755</v>
      </c>
      <c r="CP132" s="1" t="s">
        <v>2079</v>
      </c>
      <c r="CS132" s="1" t="s">
        <v>1069</v>
      </c>
      <c r="CT132" s="1" t="s">
        <v>2080</v>
      </c>
      <c r="CU132" s="1" t="s">
        <v>1030</v>
      </c>
      <c r="CV132" s="1" t="s">
        <v>2081</v>
      </c>
      <c r="CW132">
        <v>59.8</v>
      </c>
      <c r="CX132">
        <v>61.6</v>
      </c>
      <c r="CY132">
        <v>69.8</v>
      </c>
      <c r="CZ132" s="1" t="s">
        <v>593</v>
      </c>
      <c r="DA132">
        <v>1</v>
      </c>
      <c r="DB132" t="s">
        <v>861</v>
      </c>
      <c r="DC132">
        <v>48</v>
      </c>
      <c r="DD132" s="1" t="s">
        <v>2082</v>
      </c>
      <c r="DE132">
        <v>-17.961202457838802</v>
      </c>
      <c r="DF132" t="e">
        <f>_xlfn.XLOOKUP(Table1[[#This Row],[Player ID]],Table2[feed_id],Table2[trade_status])</f>
        <v>#N/A</v>
      </c>
      <c r="DG132">
        <f>_xlfn.NUMBERVALUE(Table1[[#This Row],[predicted]])</f>
        <v>65.961202457838795</v>
      </c>
    </row>
    <row r="133" spans="1:111" hidden="1" x14ac:dyDescent="0.25">
      <c r="A133">
        <v>72654</v>
      </c>
      <c r="B133">
        <v>6606</v>
      </c>
      <c r="C133" t="s">
        <v>2083</v>
      </c>
      <c r="D133" t="s">
        <v>1360</v>
      </c>
      <c r="E133">
        <v>2018</v>
      </c>
      <c r="F133">
        <v>298307</v>
      </c>
      <c r="G133" t="s">
        <v>2084</v>
      </c>
      <c r="H133" t="s">
        <v>2085</v>
      </c>
      <c r="I133" t="s">
        <v>712</v>
      </c>
      <c r="J133">
        <v>3</v>
      </c>
      <c r="K133">
        <v>42</v>
      </c>
      <c r="L133">
        <v>34</v>
      </c>
      <c r="M133">
        <v>28</v>
      </c>
      <c r="N133">
        <v>31</v>
      </c>
      <c r="O133">
        <v>42</v>
      </c>
      <c r="P133">
        <v>7</v>
      </c>
      <c r="Q133">
        <v>3</v>
      </c>
      <c r="R133">
        <v>1</v>
      </c>
      <c r="S133">
        <v>3</v>
      </c>
      <c r="T133">
        <v>0</v>
      </c>
      <c r="U133">
        <v>3</v>
      </c>
      <c r="V133">
        <v>1</v>
      </c>
      <c r="W133">
        <v>0</v>
      </c>
      <c r="X133">
        <v>0</v>
      </c>
      <c r="Y133" t="s">
        <v>113</v>
      </c>
      <c r="Z133" t="s">
        <v>525</v>
      </c>
      <c r="AA133" t="s">
        <v>2086</v>
      </c>
      <c r="AD133">
        <v>308500</v>
      </c>
      <c r="AE133">
        <v>46</v>
      </c>
      <c r="AF133">
        <v>257000</v>
      </c>
      <c r="AG133">
        <v>41</v>
      </c>
      <c r="AH133" t="s">
        <v>118</v>
      </c>
      <c r="AI133">
        <v>19</v>
      </c>
      <c r="AJ133">
        <v>4</v>
      </c>
      <c r="AK133">
        <v>47.4</v>
      </c>
      <c r="AL133">
        <v>53.8</v>
      </c>
      <c r="AM133">
        <v>0</v>
      </c>
      <c r="AN133">
        <v>0</v>
      </c>
      <c r="AO133">
        <v>0.39</v>
      </c>
      <c r="AP133">
        <v>323000</v>
      </c>
      <c r="AQ133">
        <v>53</v>
      </c>
      <c r="AS133">
        <v>5</v>
      </c>
      <c r="AT133">
        <v>3</v>
      </c>
      <c r="AU133">
        <v>5</v>
      </c>
      <c r="AV133">
        <v>50</v>
      </c>
      <c r="AW133">
        <v>81</v>
      </c>
      <c r="AZ133" t="b">
        <v>0</v>
      </c>
      <c r="BA133">
        <v>1912</v>
      </c>
      <c r="BB133">
        <v>1368</v>
      </c>
      <c r="BC133">
        <v>14</v>
      </c>
      <c r="BD133" t="s">
        <v>2087</v>
      </c>
      <c r="BE133">
        <v>97</v>
      </c>
      <c r="BF133">
        <v>0</v>
      </c>
      <c r="BG133">
        <v>76.5</v>
      </c>
      <c r="BH133">
        <v>0</v>
      </c>
      <c r="BI133" s="1" t="s">
        <v>449</v>
      </c>
      <c r="BJ133" s="1" t="s">
        <v>374</v>
      </c>
      <c r="BK133" s="1" t="s">
        <v>124</v>
      </c>
      <c r="BL133" s="1" t="s">
        <v>260</v>
      </c>
      <c r="BM133">
        <v>1</v>
      </c>
      <c r="BN133" s="1" t="s">
        <v>375</v>
      </c>
      <c r="BO133" s="1" t="s">
        <v>169</v>
      </c>
      <c r="BP133" s="1" t="s">
        <v>640</v>
      </c>
      <c r="BQ133">
        <v>0</v>
      </c>
      <c r="BR133">
        <v>6.6666666666666596E-2</v>
      </c>
      <c r="BS133" s="1" t="s">
        <v>126</v>
      </c>
      <c r="BT133">
        <v>0.8</v>
      </c>
      <c r="BU133" s="1" t="s">
        <v>126</v>
      </c>
      <c r="BV133">
        <v>0.6</v>
      </c>
      <c r="BW133" s="1" t="s">
        <v>129</v>
      </c>
      <c r="BX133">
        <v>0.4</v>
      </c>
      <c r="BY133" s="1" t="s">
        <v>129</v>
      </c>
      <c r="BZ133">
        <v>0.4</v>
      </c>
      <c r="CA133">
        <v>0.15</v>
      </c>
      <c r="CB133">
        <v>0.498</v>
      </c>
      <c r="CC133" s="1" t="s">
        <v>2088</v>
      </c>
      <c r="CD133" s="1" t="s">
        <v>2089</v>
      </c>
      <c r="CE133" s="1" t="s">
        <v>2090</v>
      </c>
      <c r="CF133" s="1" t="s">
        <v>130</v>
      </c>
      <c r="CG133">
        <v>5</v>
      </c>
      <c r="CH133">
        <v>4.8</v>
      </c>
      <c r="CI133" s="1" t="s">
        <v>126</v>
      </c>
      <c r="CJ133" s="1" t="s">
        <v>304</v>
      </c>
      <c r="CK133" s="1" t="s">
        <v>169</v>
      </c>
      <c r="CL133" s="1" t="s">
        <v>126</v>
      </c>
      <c r="CM133">
        <v>64</v>
      </c>
      <c r="CN133">
        <v>72.8</v>
      </c>
      <c r="CO133" s="1" t="s">
        <v>241</v>
      </c>
      <c r="CP133" s="1" t="s">
        <v>2079</v>
      </c>
      <c r="CS133">
        <v>1597</v>
      </c>
      <c r="CT133">
        <v>1601.4</v>
      </c>
      <c r="CU133" s="1" t="s">
        <v>2091</v>
      </c>
      <c r="CV133">
        <v>1667.8</v>
      </c>
      <c r="CW133">
        <v>50.4</v>
      </c>
      <c r="CX133">
        <v>54.9</v>
      </c>
      <c r="CY133">
        <v>51</v>
      </c>
      <c r="CZ133" s="1" t="s">
        <v>1245</v>
      </c>
      <c r="DA133">
        <v>1</v>
      </c>
      <c r="DB133" t="s">
        <v>525</v>
      </c>
      <c r="DC133">
        <v>34</v>
      </c>
      <c r="DD133" s="1" t="s">
        <v>2092</v>
      </c>
      <c r="DE133">
        <v>-19.419384788018899</v>
      </c>
      <c r="DF133" t="e">
        <f>_xlfn.XLOOKUP(Table1[[#This Row],[Player ID]],Table2[feed_id],Table2[trade_status])</f>
        <v>#N/A</v>
      </c>
      <c r="DG133">
        <f>_xlfn.NUMBERVALUE(Table1[[#This Row],[predicted]])</f>
        <v>53.419384788018903</v>
      </c>
    </row>
    <row r="134" spans="1:111" hidden="1" x14ac:dyDescent="0.25">
      <c r="A134">
        <v>72816</v>
      </c>
      <c r="B134">
        <v>6610</v>
      </c>
      <c r="C134" t="s">
        <v>2093</v>
      </c>
      <c r="D134" t="s">
        <v>1360</v>
      </c>
      <c r="E134">
        <v>2018</v>
      </c>
      <c r="F134">
        <v>250557</v>
      </c>
      <c r="G134" t="s">
        <v>958</v>
      </c>
      <c r="H134" t="s">
        <v>1319</v>
      </c>
      <c r="I134" t="s">
        <v>510</v>
      </c>
      <c r="J134">
        <v>9</v>
      </c>
      <c r="K134">
        <v>78</v>
      </c>
      <c r="L134">
        <v>82</v>
      </c>
      <c r="M134">
        <v>49</v>
      </c>
      <c r="N134">
        <v>64</v>
      </c>
      <c r="O134">
        <v>87</v>
      </c>
      <c r="P134">
        <v>12</v>
      </c>
      <c r="Q134">
        <v>11</v>
      </c>
      <c r="R134">
        <v>5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 t="s">
        <v>113</v>
      </c>
      <c r="Z134" t="s">
        <v>1757</v>
      </c>
      <c r="AA134" t="s">
        <v>2094</v>
      </c>
      <c r="AB134" t="s">
        <v>525</v>
      </c>
      <c r="AC134" t="s">
        <v>2095</v>
      </c>
      <c r="AD134">
        <v>570100</v>
      </c>
      <c r="AE134">
        <v>87</v>
      </c>
      <c r="AF134">
        <v>429100</v>
      </c>
      <c r="AG134">
        <v>92</v>
      </c>
      <c r="AH134" t="s">
        <v>118</v>
      </c>
      <c r="AI134">
        <v>20</v>
      </c>
      <c r="AJ134">
        <v>4</v>
      </c>
      <c r="AK134">
        <v>89.2</v>
      </c>
      <c r="AL134">
        <v>82.2</v>
      </c>
      <c r="AM134">
        <v>0</v>
      </c>
      <c r="AN134">
        <v>0</v>
      </c>
      <c r="AO134">
        <v>0.15</v>
      </c>
      <c r="AP134">
        <v>579000</v>
      </c>
      <c r="AQ134">
        <v>85</v>
      </c>
      <c r="AS134">
        <v>9</v>
      </c>
      <c r="AT134">
        <v>3</v>
      </c>
      <c r="AU134">
        <v>0</v>
      </c>
      <c r="AV134">
        <v>78</v>
      </c>
      <c r="AW134">
        <v>66</v>
      </c>
      <c r="AZ134" t="b">
        <v>1</v>
      </c>
      <c r="BA134">
        <v>1841</v>
      </c>
      <c r="BB134">
        <v>1448</v>
      </c>
      <c r="BC134">
        <v>14</v>
      </c>
      <c r="BD134" t="s">
        <v>2096</v>
      </c>
      <c r="BE134">
        <v>97</v>
      </c>
      <c r="BF134">
        <v>0</v>
      </c>
      <c r="BG134">
        <v>76.5</v>
      </c>
      <c r="BH134">
        <v>1</v>
      </c>
      <c r="BI134" s="1" t="s">
        <v>622</v>
      </c>
      <c r="BJ134" s="1" t="s">
        <v>357</v>
      </c>
      <c r="BK134">
        <v>9</v>
      </c>
      <c r="BL134">
        <v>10.4</v>
      </c>
      <c r="BM134" s="1" t="s">
        <v>124</v>
      </c>
      <c r="BN134" s="1" t="s">
        <v>499</v>
      </c>
      <c r="BO134" s="1" t="s">
        <v>161</v>
      </c>
      <c r="BP134" s="1" t="s">
        <v>528</v>
      </c>
      <c r="BQ134">
        <v>0</v>
      </c>
      <c r="BR134">
        <v>0</v>
      </c>
      <c r="BS134" s="1" t="s">
        <v>126</v>
      </c>
      <c r="BT134">
        <v>0.8</v>
      </c>
      <c r="BU134" s="1" t="s">
        <v>129</v>
      </c>
      <c r="BV134" s="1" t="s">
        <v>128</v>
      </c>
      <c r="BW134" s="1" t="s">
        <v>129</v>
      </c>
      <c r="BX134" s="1" t="s">
        <v>184</v>
      </c>
      <c r="BY134" s="1" t="s">
        <v>129</v>
      </c>
      <c r="BZ134" s="1" t="s">
        <v>184</v>
      </c>
      <c r="CA134">
        <v>0</v>
      </c>
      <c r="CB134" s="1" t="s">
        <v>2097</v>
      </c>
      <c r="CC134">
        <v>0</v>
      </c>
      <c r="CD134">
        <v>0.218</v>
      </c>
      <c r="CE134" s="1" t="s">
        <v>2098</v>
      </c>
      <c r="CF134" s="1" t="s">
        <v>2099</v>
      </c>
      <c r="CG134">
        <v>9</v>
      </c>
      <c r="CH134">
        <v>7.6</v>
      </c>
      <c r="CI134" s="1" t="s">
        <v>159</v>
      </c>
      <c r="CJ134">
        <v>2.2000000000000002</v>
      </c>
      <c r="CK134" s="1" t="s">
        <v>128</v>
      </c>
      <c r="CL134" s="1" t="s">
        <v>375</v>
      </c>
      <c r="CM134">
        <v>69</v>
      </c>
      <c r="CN134">
        <v>70</v>
      </c>
      <c r="CO134" s="1" t="s">
        <v>683</v>
      </c>
      <c r="CP134" s="1" t="s">
        <v>1042</v>
      </c>
      <c r="CS134" s="1" t="s">
        <v>2100</v>
      </c>
      <c r="CT134" s="1" t="s">
        <v>2101</v>
      </c>
      <c r="CU134" s="1" t="s">
        <v>2102</v>
      </c>
      <c r="CV134">
        <v>1741.6</v>
      </c>
      <c r="CW134">
        <v>81.75</v>
      </c>
      <c r="CX134">
        <v>82.6</v>
      </c>
      <c r="CY134">
        <v>82.2</v>
      </c>
      <c r="CZ134" s="1" t="s">
        <v>306</v>
      </c>
      <c r="DA134">
        <v>1</v>
      </c>
      <c r="DB134" t="s">
        <v>1757</v>
      </c>
      <c r="DC134">
        <v>82</v>
      </c>
      <c r="DD134" s="1" t="s">
        <v>2103</v>
      </c>
      <c r="DE134">
        <v>-3.1753679672752302</v>
      </c>
      <c r="DF134" t="e">
        <f>_xlfn.XLOOKUP(Table1[[#This Row],[Player ID]],Table2[feed_id],Table2[trade_status])</f>
        <v>#N/A</v>
      </c>
      <c r="DG134">
        <f>_xlfn.NUMBERVALUE(Table1[[#This Row],[predicted]])</f>
        <v>85.175367967275207</v>
      </c>
    </row>
    <row r="135" spans="1:111" hidden="1" x14ac:dyDescent="0.25">
      <c r="A135">
        <v>72850</v>
      </c>
      <c r="B135">
        <v>6611</v>
      </c>
      <c r="C135" t="s">
        <v>2104</v>
      </c>
      <c r="D135" t="s">
        <v>1360</v>
      </c>
      <c r="E135">
        <v>2018</v>
      </c>
      <c r="F135">
        <v>296161</v>
      </c>
      <c r="G135" t="s">
        <v>2105</v>
      </c>
      <c r="H135" t="s">
        <v>2106</v>
      </c>
      <c r="I135" t="s">
        <v>1061</v>
      </c>
      <c r="J135">
        <v>1</v>
      </c>
      <c r="K135">
        <v>19</v>
      </c>
      <c r="L135">
        <v>25</v>
      </c>
      <c r="M135">
        <v>24</v>
      </c>
      <c r="N135">
        <v>19</v>
      </c>
      <c r="O135">
        <v>29</v>
      </c>
      <c r="P135">
        <v>4</v>
      </c>
      <c r="Q135">
        <v>4</v>
      </c>
      <c r="R135">
        <v>1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2</v>
      </c>
      <c r="Y135" t="s">
        <v>113</v>
      </c>
      <c r="Z135" t="s">
        <v>525</v>
      </c>
      <c r="AA135" t="s">
        <v>2107</v>
      </c>
      <c r="AD135">
        <v>298400</v>
      </c>
      <c r="AE135">
        <v>45</v>
      </c>
      <c r="AF135">
        <v>260800</v>
      </c>
      <c r="AG135">
        <v>51</v>
      </c>
      <c r="AH135" t="s">
        <v>155</v>
      </c>
      <c r="AI135">
        <v>28</v>
      </c>
      <c r="AJ135">
        <v>9</v>
      </c>
      <c r="AK135">
        <v>47.8</v>
      </c>
      <c r="AL135">
        <v>50.9</v>
      </c>
      <c r="AM135">
        <v>0</v>
      </c>
      <c r="AN135">
        <v>0</v>
      </c>
      <c r="AO135">
        <v>0.39</v>
      </c>
      <c r="AP135">
        <v>311000</v>
      </c>
      <c r="AQ135">
        <v>48</v>
      </c>
      <c r="AS135">
        <v>4</v>
      </c>
      <c r="AT135">
        <v>1</v>
      </c>
      <c r="AU135">
        <v>2</v>
      </c>
      <c r="AV135">
        <v>75</v>
      </c>
      <c r="AW135">
        <v>67</v>
      </c>
      <c r="AZ135" t="b">
        <v>0</v>
      </c>
      <c r="BA135">
        <v>1732</v>
      </c>
      <c r="BB135">
        <v>1545</v>
      </c>
      <c r="BC135">
        <v>14</v>
      </c>
      <c r="BD135" t="s">
        <v>2108</v>
      </c>
      <c r="BE135">
        <v>97</v>
      </c>
      <c r="BF135">
        <v>0</v>
      </c>
      <c r="BG135">
        <v>76.5</v>
      </c>
      <c r="BH135">
        <v>0</v>
      </c>
      <c r="BI135" s="1" t="s">
        <v>211</v>
      </c>
      <c r="BJ135">
        <v>5.8</v>
      </c>
      <c r="BK135">
        <v>3</v>
      </c>
      <c r="BL135" s="1" t="s">
        <v>499</v>
      </c>
      <c r="BM135">
        <v>1</v>
      </c>
      <c r="BN135">
        <v>2.6</v>
      </c>
      <c r="BO135" s="1" t="s">
        <v>211</v>
      </c>
      <c r="BP135">
        <v>3.8</v>
      </c>
      <c r="BQ135">
        <v>0</v>
      </c>
      <c r="BR135">
        <v>0</v>
      </c>
      <c r="BS135" s="1" t="s">
        <v>128</v>
      </c>
      <c r="BT135">
        <v>0.6</v>
      </c>
      <c r="BU135">
        <v>1</v>
      </c>
      <c r="BV135" s="1" t="s">
        <v>399</v>
      </c>
      <c r="BW135">
        <v>0</v>
      </c>
      <c r="BX135" s="1" t="s">
        <v>129</v>
      </c>
      <c r="BY135" s="1" t="s">
        <v>126</v>
      </c>
      <c r="BZ135" s="1" t="s">
        <v>238</v>
      </c>
      <c r="CA135" s="1" t="s">
        <v>1540</v>
      </c>
      <c r="CB135" s="1" t="s">
        <v>2109</v>
      </c>
      <c r="CC135">
        <v>0.34</v>
      </c>
      <c r="CD135">
        <v>0.39800000000000002</v>
      </c>
      <c r="CE135">
        <v>0.44</v>
      </c>
      <c r="CF135" s="1" t="s">
        <v>432</v>
      </c>
      <c r="CG135">
        <v>3</v>
      </c>
      <c r="CH135" s="1" t="s">
        <v>990</v>
      </c>
      <c r="CI135" s="1" t="s">
        <v>128</v>
      </c>
      <c r="CJ135" s="1" t="s">
        <v>231</v>
      </c>
      <c r="CK135">
        <v>1</v>
      </c>
      <c r="CL135">
        <v>1.8</v>
      </c>
      <c r="CM135" s="1" t="s">
        <v>215</v>
      </c>
      <c r="CN135" s="1" t="s">
        <v>1521</v>
      </c>
      <c r="CO135">
        <v>79</v>
      </c>
      <c r="CP135" s="1" t="s">
        <v>803</v>
      </c>
      <c r="CS135" s="1" t="s">
        <v>611</v>
      </c>
      <c r="CT135">
        <v>1650.2</v>
      </c>
      <c r="CU135" s="1" t="s">
        <v>2110</v>
      </c>
      <c r="CV135" s="1" t="s">
        <v>2111</v>
      </c>
      <c r="CW135">
        <v>50.55</v>
      </c>
      <c r="CX135">
        <v>47.6</v>
      </c>
      <c r="CY135">
        <v>48.2</v>
      </c>
      <c r="CZ135" s="1" t="s">
        <v>2112</v>
      </c>
      <c r="DA135">
        <v>1</v>
      </c>
      <c r="DB135" t="s">
        <v>525</v>
      </c>
      <c r="DC135">
        <v>25</v>
      </c>
      <c r="DD135" s="1" t="s">
        <v>2113</v>
      </c>
      <c r="DE135">
        <v>-26.389755406575802</v>
      </c>
      <c r="DF135" t="e">
        <f>_xlfn.XLOOKUP(Table1[[#This Row],[Player ID]],Table2[feed_id],Table2[trade_status])</f>
        <v>#N/A</v>
      </c>
      <c r="DG135">
        <f>_xlfn.NUMBERVALUE(Table1[[#This Row],[predicted]])</f>
        <v>51.389755406575802</v>
      </c>
    </row>
    <row r="136" spans="1:111" hidden="1" x14ac:dyDescent="0.25">
      <c r="A136">
        <v>72979</v>
      </c>
      <c r="B136">
        <v>6614</v>
      </c>
      <c r="C136" t="s">
        <v>2114</v>
      </c>
      <c r="D136" t="s">
        <v>1377</v>
      </c>
      <c r="E136">
        <v>2018</v>
      </c>
      <c r="F136">
        <v>290683</v>
      </c>
      <c r="G136" t="s">
        <v>2115</v>
      </c>
      <c r="H136" t="s">
        <v>2116</v>
      </c>
      <c r="I136" t="s">
        <v>391</v>
      </c>
      <c r="J136">
        <v>4</v>
      </c>
      <c r="K136">
        <v>46</v>
      </c>
      <c r="L136">
        <v>55</v>
      </c>
      <c r="M136">
        <v>57</v>
      </c>
      <c r="N136">
        <v>37</v>
      </c>
      <c r="O136">
        <v>51</v>
      </c>
      <c r="P136">
        <v>5</v>
      </c>
      <c r="Q136">
        <v>8</v>
      </c>
      <c r="R136">
        <v>2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0</v>
      </c>
      <c r="Y136" t="s">
        <v>113</v>
      </c>
      <c r="Z136" t="s">
        <v>525</v>
      </c>
      <c r="AA136" t="s">
        <v>2117</v>
      </c>
      <c r="AD136">
        <v>410200</v>
      </c>
      <c r="AE136">
        <v>82</v>
      </c>
      <c r="AF136">
        <v>287100</v>
      </c>
      <c r="AG136">
        <v>75</v>
      </c>
      <c r="AH136" t="s">
        <v>118</v>
      </c>
      <c r="AI136">
        <v>29</v>
      </c>
      <c r="AJ136">
        <v>4</v>
      </c>
      <c r="AK136">
        <v>46.4</v>
      </c>
      <c r="AL136">
        <v>39</v>
      </c>
      <c r="AM136">
        <v>0</v>
      </c>
      <c r="AN136">
        <v>0</v>
      </c>
      <c r="AO136">
        <v>0.25</v>
      </c>
      <c r="AP136">
        <v>395000</v>
      </c>
      <c r="AQ136">
        <v>83</v>
      </c>
      <c r="AS136">
        <v>5</v>
      </c>
      <c r="AT136">
        <v>0</v>
      </c>
      <c r="AU136">
        <v>0</v>
      </c>
      <c r="AV136">
        <v>69</v>
      </c>
      <c r="AW136">
        <v>74</v>
      </c>
      <c r="AZ136" t="b">
        <v>0</v>
      </c>
      <c r="BA136">
        <v>1389</v>
      </c>
      <c r="BB136">
        <v>1864</v>
      </c>
      <c r="BC136">
        <v>15</v>
      </c>
      <c r="BD136" t="s">
        <v>2118</v>
      </c>
      <c r="BE136" s="1" t="s">
        <v>605</v>
      </c>
      <c r="BF136">
        <v>0</v>
      </c>
      <c r="BG136">
        <v>74</v>
      </c>
      <c r="BH136">
        <v>0</v>
      </c>
      <c r="BI136" s="1" t="s">
        <v>183</v>
      </c>
      <c r="BJ136" s="1" t="s">
        <v>294</v>
      </c>
      <c r="BK136">
        <v>5</v>
      </c>
      <c r="BL136" s="1" t="s">
        <v>398</v>
      </c>
      <c r="BM136">
        <v>2</v>
      </c>
      <c r="BN136" s="1" t="s">
        <v>766</v>
      </c>
      <c r="BO136">
        <v>2</v>
      </c>
      <c r="BP136" s="1" t="s">
        <v>528</v>
      </c>
      <c r="BQ136">
        <v>0</v>
      </c>
      <c r="BR136">
        <v>0</v>
      </c>
      <c r="BS136">
        <v>1</v>
      </c>
      <c r="BT136">
        <v>0.8</v>
      </c>
      <c r="BU136">
        <v>0</v>
      </c>
      <c r="BV136" s="1" t="s">
        <v>128</v>
      </c>
      <c r="BW136">
        <v>0</v>
      </c>
      <c r="BX136">
        <v>0.4</v>
      </c>
      <c r="BY136" s="1" t="s">
        <v>129</v>
      </c>
      <c r="BZ136" s="1" t="s">
        <v>128</v>
      </c>
      <c r="CA136">
        <v>5.6666666666666698E-2</v>
      </c>
      <c r="CB136" s="1" t="s">
        <v>2119</v>
      </c>
      <c r="CC136" s="1" t="s">
        <v>213</v>
      </c>
      <c r="CD136" s="1" t="s">
        <v>2120</v>
      </c>
      <c r="CE136" s="1" t="s">
        <v>2121</v>
      </c>
      <c r="CF136" s="1" t="s">
        <v>2122</v>
      </c>
      <c r="CG136">
        <v>4</v>
      </c>
      <c r="CH136" s="1" t="s">
        <v>398</v>
      </c>
      <c r="CI136" s="1" t="s">
        <v>129</v>
      </c>
      <c r="CJ136" s="1" t="s">
        <v>275</v>
      </c>
      <c r="CK136" s="1" t="s">
        <v>159</v>
      </c>
      <c r="CL136" s="1" t="s">
        <v>237</v>
      </c>
      <c r="CM136">
        <v>46</v>
      </c>
      <c r="CN136">
        <v>60.6</v>
      </c>
      <c r="CO136" s="1" t="s">
        <v>263</v>
      </c>
      <c r="CP136">
        <v>74.8</v>
      </c>
      <c r="CS136" s="1" t="s">
        <v>2123</v>
      </c>
      <c r="CT136" s="1" t="s">
        <v>2124</v>
      </c>
      <c r="CU136" s="1" t="s">
        <v>2125</v>
      </c>
      <c r="CV136" s="1" t="s">
        <v>2126</v>
      </c>
      <c r="CW136">
        <v>62.35</v>
      </c>
      <c r="CX136">
        <v>53.6</v>
      </c>
      <c r="CY136">
        <v>44.2</v>
      </c>
      <c r="CZ136" s="1" t="s">
        <v>2127</v>
      </c>
      <c r="DA136">
        <v>1</v>
      </c>
      <c r="DB136" t="s">
        <v>525</v>
      </c>
      <c r="DC136">
        <v>55</v>
      </c>
      <c r="DD136" s="1" t="s">
        <v>2128</v>
      </c>
      <c r="DE136">
        <v>-7.08197919793691</v>
      </c>
      <c r="DF136" t="e">
        <f>_xlfn.XLOOKUP(Table1[[#This Row],[Player ID]],Table2[feed_id],Table2[trade_status])</f>
        <v>#N/A</v>
      </c>
      <c r="DG136">
        <f>_xlfn.NUMBERVALUE(Table1[[#This Row],[predicted]])</f>
        <v>62.081979197936903</v>
      </c>
    </row>
    <row r="137" spans="1:111" hidden="1" x14ac:dyDescent="0.25">
      <c r="A137">
        <v>73087</v>
      </c>
      <c r="B137">
        <v>6616</v>
      </c>
      <c r="C137" t="s">
        <v>2129</v>
      </c>
      <c r="D137" t="s">
        <v>1377</v>
      </c>
      <c r="E137">
        <v>2018</v>
      </c>
      <c r="F137">
        <v>296198</v>
      </c>
      <c r="G137" t="s">
        <v>2130</v>
      </c>
      <c r="H137" t="s">
        <v>2131</v>
      </c>
      <c r="I137" t="s">
        <v>813</v>
      </c>
      <c r="J137">
        <v>1</v>
      </c>
      <c r="K137">
        <v>21</v>
      </c>
      <c r="L137">
        <v>26</v>
      </c>
      <c r="M137">
        <v>17</v>
      </c>
      <c r="N137">
        <v>17</v>
      </c>
      <c r="O137">
        <v>24</v>
      </c>
      <c r="P137">
        <v>2</v>
      </c>
      <c r="Q137">
        <v>5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 t="s">
        <v>113</v>
      </c>
      <c r="Z137" t="s">
        <v>542</v>
      </c>
      <c r="AA137" t="s">
        <v>2132</v>
      </c>
      <c r="AB137" t="s">
        <v>114</v>
      </c>
      <c r="AC137" t="s">
        <v>2133</v>
      </c>
      <c r="AD137">
        <v>431200</v>
      </c>
      <c r="AE137">
        <v>96</v>
      </c>
      <c r="AF137">
        <v>324600</v>
      </c>
      <c r="AG137">
        <v>95</v>
      </c>
      <c r="AH137" t="s">
        <v>118</v>
      </c>
      <c r="AI137">
        <v>39</v>
      </c>
      <c r="AJ137">
        <v>12</v>
      </c>
      <c r="AK137">
        <v>69.31</v>
      </c>
      <c r="AL137">
        <v>66.849999999999994</v>
      </c>
      <c r="AM137">
        <v>0</v>
      </c>
      <c r="AN137">
        <v>0</v>
      </c>
      <c r="AO137">
        <v>0.56999999999999995</v>
      </c>
      <c r="AP137">
        <v>446000</v>
      </c>
      <c r="AQ137">
        <v>92</v>
      </c>
      <c r="AS137">
        <v>3</v>
      </c>
      <c r="AT137">
        <v>0</v>
      </c>
      <c r="AU137">
        <v>0</v>
      </c>
      <c r="AV137">
        <v>100</v>
      </c>
      <c r="AW137">
        <v>29</v>
      </c>
      <c r="AZ137" t="b">
        <v>1</v>
      </c>
      <c r="BA137">
        <v>1700</v>
      </c>
      <c r="BB137">
        <v>1566</v>
      </c>
      <c r="BC137">
        <v>15</v>
      </c>
      <c r="BD137" t="s">
        <v>2134</v>
      </c>
      <c r="BE137" s="1" t="s">
        <v>605</v>
      </c>
      <c r="BF137">
        <v>0</v>
      </c>
      <c r="BG137">
        <v>74</v>
      </c>
      <c r="BH137">
        <v>0</v>
      </c>
      <c r="BI137" s="1" t="s">
        <v>160</v>
      </c>
      <c r="BJ137" s="1" t="s">
        <v>977</v>
      </c>
      <c r="BK137">
        <v>10</v>
      </c>
      <c r="BL137" s="1" t="s">
        <v>962</v>
      </c>
      <c r="BM137">
        <v>4</v>
      </c>
      <c r="BN137" s="1" t="s">
        <v>211</v>
      </c>
      <c r="BO137">
        <v>2</v>
      </c>
      <c r="BP137" s="1" t="s">
        <v>170</v>
      </c>
      <c r="BQ137">
        <v>0</v>
      </c>
      <c r="BR137">
        <v>0</v>
      </c>
      <c r="BS137" s="1" t="s">
        <v>129</v>
      </c>
      <c r="BT137" s="1" t="s">
        <v>129</v>
      </c>
      <c r="BU137" s="1" t="s">
        <v>129</v>
      </c>
      <c r="BV137">
        <v>0.6</v>
      </c>
      <c r="BW137" s="1" t="s">
        <v>129</v>
      </c>
      <c r="BX137" s="1" t="s">
        <v>231</v>
      </c>
      <c r="BY137">
        <v>0</v>
      </c>
      <c r="BZ137" s="1" t="s">
        <v>129</v>
      </c>
      <c r="CA137">
        <v>9.3333333333333296E-2</v>
      </c>
      <c r="CB137" s="1" t="s">
        <v>2109</v>
      </c>
      <c r="CC137" s="1" t="s">
        <v>1579</v>
      </c>
      <c r="CD137" s="1" t="s">
        <v>1201</v>
      </c>
      <c r="CE137">
        <v>0.56999999999999995</v>
      </c>
      <c r="CF137">
        <v>0.54400000000000004</v>
      </c>
      <c r="CG137" s="1" t="s">
        <v>211</v>
      </c>
      <c r="CH137">
        <v>6</v>
      </c>
      <c r="CI137">
        <v>0</v>
      </c>
      <c r="CJ137" s="1" t="s">
        <v>327</v>
      </c>
      <c r="CK137" s="1" t="s">
        <v>129</v>
      </c>
      <c r="CL137">
        <v>2.6</v>
      </c>
      <c r="CM137" s="1" t="s">
        <v>1110</v>
      </c>
      <c r="CN137">
        <v>71.2</v>
      </c>
      <c r="CO137" s="1" t="s">
        <v>333</v>
      </c>
      <c r="CP137">
        <v>77.8</v>
      </c>
      <c r="CS137" s="1" t="s">
        <v>2135</v>
      </c>
      <c r="CT137" s="1" t="s">
        <v>2136</v>
      </c>
      <c r="CU137">
        <v>1626</v>
      </c>
      <c r="CV137" s="1" t="s">
        <v>2137</v>
      </c>
      <c r="CW137">
        <v>72.05</v>
      </c>
      <c r="CX137">
        <v>64.900000000000006</v>
      </c>
      <c r="CY137">
        <v>56.4</v>
      </c>
      <c r="CZ137" s="1" t="s">
        <v>195</v>
      </c>
      <c r="DA137">
        <v>1</v>
      </c>
      <c r="DB137" t="s">
        <v>542</v>
      </c>
      <c r="DC137">
        <v>26</v>
      </c>
      <c r="DD137" s="1" t="s">
        <v>2138</v>
      </c>
      <c r="DE137">
        <v>-33.594552723457703</v>
      </c>
      <c r="DF137" t="e">
        <f>_xlfn.XLOOKUP(Table1[[#This Row],[Player ID]],Table2[feed_id],Table2[trade_status])</f>
        <v>#N/A</v>
      </c>
      <c r="DG137">
        <f>_xlfn.NUMBERVALUE(Table1[[#This Row],[predicted]])</f>
        <v>59.594552723457703</v>
      </c>
    </row>
    <row r="138" spans="1:111" hidden="1" x14ac:dyDescent="0.25">
      <c r="A138">
        <v>73270</v>
      </c>
      <c r="B138">
        <v>6621</v>
      </c>
      <c r="C138" t="s">
        <v>2139</v>
      </c>
      <c r="D138" t="s">
        <v>599</v>
      </c>
      <c r="E138">
        <v>2018</v>
      </c>
      <c r="F138">
        <v>290306</v>
      </c>
      <c r="G138" t="s">
        <v>2140</v>
      </c>
      <c r="H138" t="s">
        <v>2141</v>
      </c>
      <c r="I138" t="s">
        <v>510</v>
      </c>
      <c r="J138">
        <v>15</v>
      </c>
      <c r="K138">
        <v>70</v>
      </c>
      <c r="L138">
        <v>75</v>
      </c>
      <c r="M138">
        <v>90</v>
      </c>
      <c r="N138">
        <v>53</v>
      </c>
      <c r="O138">
        <v>72</v>
      </c>
      <c r="P138">
        <v>7</v>
      </c>
      <c r="Q138">
        <v>7</v>
      </c>
      <c r="R138">
        <v>3</v>
      </c>
      <c r="S138">
        <v>5</v>
      </c>
      <c r="T138">
        <v>0</v>
      </c>
      <c r="U138">
        <v>0</v>
      </c>
      <c r="V138">
        <v>0</v>
      </c>
      <c r="W138">
        <v>1</v>
      </c>
      <c r="X138">
        <v>0</v>
      </c>
      <c r="Y138" t="s">
        <v>113</v>
      </c>
      <c r="Z138" t="s">
        <v>525</v>
      </c>
      <c r="AA138" t="s">
        <v>2142</v>
      </c>
      <c r="AD138">
        <v>440000</v>
      </c>
      <c r="AE138">
        <v>96</v>
      </c>
      <c r="AF138">
        <v>332300</v>
      </c>
      <c r="AG138">
        <v>111</v>
      </c>
      <c r="AH138" t="s">
        <v>181</v>
      </c>
      <c r="AI138">
        <v>17</v>
      </c>
      <c r="AJ138">
        <v>1</v>
      </c>
      <c r="AK138">
        <v>54</v>
      </c>
      <c r="AL138">
        <v>45</v>
      </c>
      <c r="AM138">
        <v>0.1</v>
      </c>
      <c r="AN138">
        <v>0.2</v>
      </c>
      <c r="AO138">
        <v>0.12</v>
      </c>
      <c r="AP138">
        <v>430000</v>
      </c>
      <c r="AQ138">
        <v>77</v>
      </c>
      <c r="AS138">
        <v>9</v>
      </c>
      <c r="AT138">
        <v>0</v>
      </c>
      <c r="AU138">
        <v>3</v>
      </c>
      <c r="AV138">
        <v>64</v>
      </c>
      <c r="AW138">
        <v>79</v>
      </c>
      <c r="AZ138" t="b">
        <v>0</v>
      </c>
      <c r="BA138">
        <v>1580</v>
      </c>
      <c r="BB138">
        <v>1680</v>
      </c>
      <c r="BC138">
        <v>16</v>
      </c>
      <c r="BD138" t="s">
        <v>2143</v>
      </c>
      <c r="BE138">
        <v>101</v>
      </c>
      <c r="BF138">
        <v>0</v>
      </c>
      <c r="BG138">
        <v>73</v>
      </c>
      <c r="BH138">
        <v>1</v>
      </c>
      <c r="BI138" s="1" t="s">
        <v>397</v>
      </c>
      <c r="BJ138">
        <v>7</v>
      </c>
      <c r="BK138" s="1" t="s">
        <v>211</v>
      </c>
      <c r="BL138" s="1" t="s">
        <v>397</v>
      </c>
      <c r="BM138">
        <v>3</v>
      </c>
      <c r="BN138">
        <v>2.8</v>
      </c>
      <c r="BO138">
        <v>4</v>
      </c>
      <c r="BP138" s="1" t="s">
        <v>499</v>
      </c>
      <c r="BQ138">
        <v>0</v>
      </c>
      <c r="BR138">
        <v>0</v>
      </c>
      <c r="BS138">
        <v>0</v>
      </c>
      <c r="BT138" s="1" t="s">
        <v>129</v>
      </c>
      <c r="BU138">
        <v>0</v>
      </c>
      <c r="BV138" s="1" t="s">
        <v>162</v>
      </c>
      <c r="BW138" s="1" t="s">
        <v>128</v>
      </c>
      <c r="BX138" s="1" t="s">
        <v>184</v>
      </c>
      <c r="BY138">
        <v>0</v>
      </c>
      <c r="BZ138" s="1" t="s">
        <v>213</v>
      </c>
      <c r="CA138">
        <v>15.71</v>
      </c>
      <c r="CB138" s="1" t="s">
        <v>2144</v>
      </c>
      <c r="CC138">
        <v>17.13</v>
      </c>
      <c r="CD138" s="1" t="s">
        <v>2145</v>
      </c>
      <c r="CE138">
        <v>13.56</v>
      </c>
      <c r="CF138" s="1" t="s">
        <v>2146</v>
      </c>
      <c r="CG138" s="1" t="s">
        <v>160</v>
      </c>
      <c r="CH138" s="1" t="s">
        <v>124</v>
      </c>
      <c r="CI138" s="1" t="s">
        <v>126</v>
      </c>
      <c r="CJ138" s="1" t="s">
        <v>126</v>
      </c>
      <c r="CK138" s="1" t="s">
        <v>161</v>
      </c>
      <c r="CL138" s="1" t="s">
        <v>170</v>
      </c>
      <c r="CM138" s="1" t="s">
        <v>2147</v>
      </c>
      <c r="CN138" s="1" t="s">
        <v>1354</v>
      </c>
      <c r="CO138" s="1" t="s">
        <v>558</v>
      </c>
      <c r="CP138" s="1" t="s">
        <v>609</v>
      </c>
      <c r="CS138" s="1" t="s">
        <v>1522</v>
      </c>
      <c r="CT138" s="1" t="s">
        <v>2148</v>
      </c>
      <c r="CU138">
        <v>1627</v>
      </c>
      <c r="CV138">
        <v>1593.6</v>
      </c>
      <c r="CW138">
        <v>55.55</v>
      </c>
      <c r="CX138">
        <v>61.4</v>
      </c>
      <c r="CY138">
        <v>54</v>
      </c>
      <c r="CZ138">
        <v>57</v>
      </c>
      <c r="DA138">
        <v>1</v>
      </c>
      <c r="DB138" t="s">
        <v>525</v>
      </c>
      <c r="DC138">
        <v>75</v>
      </c>
      <c r="DD138" s="1" t="s">
        <v>2149</v>
      </c>
      <c r="DE138" s="1" t="s">
        <v>2150</v>
      </c>
      <c r="DF138" t="e">
        <f>_xlfn.XLOOKUP(Table1[[#This Row],[Player ID]],Table2[feed_id],Table2[trade_status])</f>
        <v>#N/A</v>
      </c>
      <c r="DG138">
        <f>_xlfn.NUMBERVALUE(Table1[[#This Row],[predicted]])</f>
        <v>56.193870773143601</v>
      </c>
    </row>
    <row r="139" spans="1:111" hidden="1" x14ac:dyDescent="0.25">
      <c r="A139">
        <v>73538</v>
      </c>
      <c r="B139">
        <v>6627</v>
      </c>
      <c r="C139" t="s">
        <v>2151</v>
      </c>
      <c r="D139" t="s">
        <v>616</v>
      </c>
      <c r="E139">
        <v>2018</v>
      </c>
      <c r="F139">
        <v>295695</v>
      </c>
      <c r="G139" t="s">
        <v>2152</v>
      </c>
      <c r="H139" t="s">
        <v>2153</v>
      </c>
      <c r="I139" t="s">
        <v>338</v>
      </c>
      <c r="J139">
        <v>7</v>
      </c>
      <c r="K139">
        <v>30</v>
      </c>
      <c r="L139">
        <v>31</v>
      </c>
      <c r="M139">
        <v>40</v>
      </c>
      <c r="N139">
        <v>24</v>
      </c>
      <c r="O139">
        <v>38</v>
      </c>
      <c r="P139">
        <v>2</v>
      </c>
      <c r="Q139">
        <v>6</v>
      </c>
      <c r="R139">
        <v>0</v>
      </c>
      <c r="S139">
        <v>4</v>
      </c>
      <c r="T139">
        <v>2</v>
      </c>
      <c r="U139">
        <v>0</v>
      </c>
      <c r="V139">
        <v>2</v>
      </c>
      <c r="W139">
        <v>0</v>
      </c>
      <c r="X139">
        <v>0</v>
      </c>
      <c r="Y139" t="s">
        <v>113</v>
      </c>
      <c r="Z139" t="s">
        <v>525</v>
      </c>
      <c r="AA139" t="s">
        <v>2154</v>
      </c>
      <c r="AD139">
        <v>381400</v>
      </c>
      <c r="AE139">
        <v>110</v>
      </c>
      <c r="AF139">
        <v>339600</v>
      </c>
      <c r="AG139">
        <v>119</v>
      </c>
      <c r="AH139" t="s">
        <v>155</v>
      </c>
      <c r="AI139">
        <v>22</v>
      </c>
      <c r="AJ139">
        <v>7</v>
      </c>
      <c r="AK139">
        <v>54.71</v>
      </c>
      <c r="AL139">
        <v>63.29</v>
      </c>
      <c r="AM139">
        <v>7.0000000000000007E-2</v>
      </c>
      <c r="AN139">
        <v>0.1</v>
      </c>
      <c r="AO139">
        <v>0.05</v>
      </c>
      <c r="AP139">
        <v>394000</v>
      </c>
      <c r="AQ139">
        <v>95</v>
      </c>
      <c r="AS139">
        <v>4</v>
      </c>
      <c r="AT139">
        <v>0</v>
      </c>
      <c r="AU139">
        <v>3</v>
      </c>
      <c r="AV139">
        <v>62</v>
      </c>
      <c r="AW139">
        <v>85</v>
      </c>
      <c r="AZ139" t="b">
        <v>0</v>
      </c>
      <c r="BA139">
        <v>1727</v>
      </c>
      <c r="BB139">
        <v>1538</v>
      </c>
      <c r="BC139">
        <v>17</v>
      </c>
      <c r="BD139" t="s">
        <v>2155</v>
      </c>
      <c r="BE139">
        <v>101</v>
      </c>
      <c r="BF139">
        <v>0</v>
      </c>
      <c r="BG139">
        <v>73</v>
      </c>
      <c r="BH139">
        <v>0</v>
      </c>
      <c r="BI139" s="1" t="s">
        <v>160</v>
      </c>
      <c r="BJ139" s="1" t="s">
        <v>624</v>
      </c>
      <c r="BK139">
        <v>7</v>
      </c>
      <c r="BL139">
        <v>6.8</v>
      </c>
      <c r="BM139" s="1" t="s">
        <v>159</v>
      </c>
      <c r="BN139" s="1" t="s">
        <v>321</v>
      </c>
      <c r="BO139" s="1" t="s">
        <v>169</v>
      </c>
      <c r="BP139" s="1" t="s">
        <v>766</v>
      </c>
      <c r="BQ139" s="1" t="s">
        <v>159</v>
      </c>
      <c r="BR139">
        <v>2.4</v>
      </c>
      <c r="BS139" s="1" t="s">
        <v>129</v>
      </c>
      <c r="BT139" s="1" t="s">
        <v>162</v>
      </c>
      <c r="BU139" s="1" t="s">
        <v>126</v>
      </c>
      <c r="BV139">
        <v>1</v>
      </c>
      <c r="BW139" s="1" t="s">
        <v>128</v>
      </c>
      <c r="BX139">
        <v>0.6</v>
      </c>
      <c r="BY139" s="1" t="s">
        <v>129</v>
      </c>
      <c r="BZ139" s="1" t="s">
        <v>238</v>
      </c>
      <c r="CA139">
        <v>5.6666666666666601E-2</v>
      </c>
      <c r="CB139">
        <v>8.3333333333333301E-2</v>
      </c>
      <c r="CC139">
        <v>8.3333333333333301E-2</v>
      </c>
      <c r="CD139" s="1" t="s">
        <v>2156</v>
      </c>
      <c r="CE139">
        <v>8.3333333333333398E-2</v>
      </c>
      <c r="CF139">
        <v>9.6000000000000002E-2</v>
      </c>
      <c r="CG139" s="1" t="s">
        <v>397</v>
      </c>
      <c r="CH139">
        <v>6.8</v>
      </c>
      <c r="CI139" s="1" t="s">
        <v>126</v>
      </c>
      <c r="CJ139" s="1" t="s">
        <v>206</v>
      </c>
      <c r="CK139" s="1" t="s">
        <v>169</v>
      </c>
      <c r="CL139" s="1" t="s">
        <v>373</v>
      </c>
      <c r="CM139" s="1" t="s">
        <v>2147</v>
      </c>
      <c r="CN139">
        <v>70</v>
      </c>
      <c r="CO139" s="1" t="s">
        <v>241</v>
      </c>
      <c r="CP139" s="1" t="s">
        <v>1243</v>
      </c>
      <c r="CS139" s="1" t="s">
        <v>2157</v>
      </c>
      <c r="CT139">
        <v>1644.8</v>
      </c>
      <c r="CU139" s="1" t="s">
        <v>873</v>
      </c>
      <c r="CV139" s="1" t="s">
        <v>2158</v>
      </c>
      <c r="CW139">
        <v>67.150000000000006</v>
      </c>
      <c r="CX139">
        <v>67.7</v>
      </c>
      <c r="CY139">
        <v>62.6</v>
      </c>
      <c r="CZ139" s="1" t="s">
        <v>706</v>
      </c>
      <c r="DA139">
        <v>1</v>
      </c>
      <c r="DB139" t="s">
        <v>525</v>
      </c>
      <c r="DC139">
        <v>31</v>
      </c>
      <c r="DD139" s="1" t="s">
        <v>2159</v>
      </c>
      <c r="DE139">
        <v>-34.0258520754589</v>
      </c>
      <c r="DF139" t="e">
        <f>_xlfn.XLOOKUP(Table1[[#This Row],[Player ID]],Table2[feed_id],Table2[trade_status])</f>
        <v>#N/A</v>
      </c>
      <c r="DG139">
        <f>_xlfn.NUMBERVALUE(Table1[[#This Row],[predicted]])</f>
        <v>65.0258520754589</v>
      </c>
    </row>
    <row r="140" spans="1:111" hidden="1" x14ac:dyDescent="0.25">
      <c r="A140">
        <v>73688</v>
      </c>
      <c r="B140">
        <v>6630</v>
      </c>
      <c r="C140" t="s">
        <v>2160</v>
      </c>
      <c r="D140" t="s">
        <v>616</v>
      </c>
      <c r="E140">
        <v>2018</v>
      </c>
      <c r="F140">
        <v>294317</v>
      </c>
      <c r="G140" t="s">
        <v>508</v>
      </c>
      <c r="H140" t="s">
        <v>2161</v>
      </c>
      <c r="I140" t="s">
        <v>152</v>
      </c>
      <c r="J140">
        <v>2</v>
      </c>
      <c r="K140">
        <v>20</v>
      </c>
      <c r="L140">
        <v>34</v>
      </c>
      <c r="M140">
        <v>19</v>
      </c>
      <c r="N140">
        <v>23</v>
      </c>
      <c r="O140">
        <v>33</v>
      </c>
      <c r="P140">
        <v>1</v>
      </c>
      <c r="Q140">
        <v>8</v>
      </c>
      <c r="R140">
        <v>2</v>
      </c>
      <c r="S140">
        <v>0</v>
      </c>
      <c r="T140">
        <v>0</v>
      </c>
      <c r="U140">
        <v>1</v>
      </c>
      <c r="V140">
        <v>2</v>
      </c>
      <c r="W140">
        <v>0</v>
      </c>
      <c r="X140">
        <v>0</v>
      </c>
      <c r="Y140" t="s">
        <v>113</v>
      </c>
      <c r="Z140" t="s">
        <v>226</v>
      </c>
      <c r="AA140" t="s">
        <v>2162</v>
      </c>
      <c r="AD140">
        <v>246900</v>
      </c>
      <c r="AE140">
        <v>58</v>
      </c>
      <c r="AF140">
        <v>183300</v>
      </c>
      <c r="AG140">
        <v>48</v>
      </c>
      <c r="AH140" t="s">
        <v>155</v>
      </c>
      <c r="AI140">
        <v>34</v>
      </c>
      <c r="AJ140">
        <v>1</v>
      </c>
      <c r="AK140">
        <v>29</v>
      </c>
      <c r="AL140">
        <v>32</v>
      </c>
      <c r="AM140">
        <v>0.06</v>
      </c>
      <c r="AN140">
        <v>0.24</v>
      </c>
      <c r="AO140">
        <v>0.11</v>
      </c>
      <c r="AP140">
        <v>252000</v>
      </c>
      <c r="AQ140">
        <v>47</v>
      </c>
      <c r="AS140">
        <v>7</v>
      </c>
      <c r="AT140">
        <v>0</v>
      </c>
      <c r="AU140">
        <v>3</v>
      </c>
      <c r="AV140">
        <v>77</v>
      </c>
      <c r="AW140">
        <v>72</v>
      </c>
      <c r="AZ140" t="b">
        <v>0</v>
      </c>
      <c r="BA140">
        <v>1888</v>
      </c>
      <c r="BB140">
        <v>1415</v>
      </c>
      <c r="BC140">
        <v>17</v>
      </c>
      <c r="BD140" t="s">
        <v>2163</v>
      </c>
      <c r="BE140">
        <v>101</v>
      </c>
      <c r="BF140">
        <v>0</v>
      </c>
      <c r="BG140">
        <v>73</v>
      </c>
      <c r="BH140">
        <v>0</v>
      </c>
      <c r="BI140" s="1" t="s">
        <v>161</v>
      </c>
      <c r="BJ140">
        <v>4.4000000000000004</v>
      </c>
      <c r="BK140" s="1" t="s">
        <v>124</v>
      </c>
      <c r="BL140">
        <v>5</v>
      </c>
      <c r="BM140" s="1" t="s">
        <v>126</v>
      </c>
      <c r="BN140" s="1" t="s">
        <v>304</v>
      </c>
      <c r="BO140" s="1" t="s">
        <v>161</v>
      </c>
      <c r="BP140" s="1" t="s">
        <v>321</v>
      </c>
      <c r="BQ140">
        <v>0</v>
      </c>
      <c r="BR140">
        <v>0</v>
      </c>
      <c r="BS140" s="1" t="s">
        <v>128</v>
      </c>
      <c r="BT140" s="1" t="s">
        <v>130</v>
      </c>
      <c r="BU140" s="1" t="s">
        <v>128</v>
      </c>
      <c r="BV140">
        <v>0.6</v>
      </c>
      <c r="BW140">
        <v>0</v>
      </c>
      <c r="BX140" s="1" t="s">
        <v>238</v>
      </c>
      <c r="BY140" s="1" t="s">
        <v>129</v>
      </c>
      <c r="BZ140" s="1" t="s">
        <v>238</v>
      </c>
      <c r="CA140">
        <v>0.08</v>
      </c>
      <c r="CB140">
        <v>8.2666666666666597E-2</v>
      </c>
      <c r="CC140">
        <v>0.27</v>
      </c>
      <c r="CD140">
        <v>0.15</v>
      </c>
      <c r="CE140" s="1" t="s">
        <v>213</v>
      </c>
      <c r="CF140">
        <v>9.73333333333333E-2</v>
      </c>
      <c r="CG140" s="1" t="s">
        <v>125</v>
      </c>
      <c r="CH140" s="1" t="s">
        <v>212</v>
      </c>
      <c r="CI140">
        <v>0</v>
      </c>
      <c r="CJ140" s="1" t="s">
        <v>231</v>
      </c>
      <c r="CK140" s="1" t="s">
        <v>161</v>
      </c>
      <c r="CL140" s="1" t="s">
        <v>298</v>
      </c>
      <c r="CM140" s="1" t="s">
        <v>305</v>
      </c>
      <c r="CN140">
        <v>71.400000000000006</v>
      </c>
      <c r="CO140">
        <v>68</v>
      </c>
      <c r="CP140" s="1" t="s">
        <v>1616</v>
      </c>
      <c r="CS140">
        <v>1481</v>
      </c>
      <c r="CT140">
        <v>1602.6</v>
      </c>
      <c r="CU140" s="1" t="s">
        <v>2164</v>
      </c>
      <c r="CV140" s="1" t="s">
        <v>2165</v>
      </c>
      <c r="CW140">
        <v>45.95</v>
      </c>
      <c r="CX140">
        <v>43.9</v>
      </c>
      <c r="CY140">
        <v>38.200000000000003</v>
      </c>
      <c r="CZ140">
        <v>32</v>
      </c>
      <c r="DA140">
        <v>1</v>
      </c>
      <c r="DB140" t="s">
        <v>226</v>
      </c>
      <c r="DC140">
        <v>34</v>
      </c>
      <c r="DD140">
        <v>73.053113667936799</v>
      </c>
      <c r="DE140">
        <v>-39.053113667936799</v>
      </c>
      <c r="DF140" t="e">
        <f>_xlfn.XLOOKUP(Table1[[#This Row],[Player ID]],Table2[feed_id],Table2[trade_status])</f>
        <v>#N/A</v>
      </c>
      <c r="DG140">
        <f>_xlfn.NUMBERVALUE(Table1[[#This Row],[predicted]])</f>
        <v>73.053113667936799</v>
      </c>
    </row>
    <row r="141" spans="1:111" hidden="1" x14ac:dyDescent="0.25">
      <c r="A141">
        <v>73782</v>
      </c>
      <c r="B141">
        <v>6633</v>
      </c>
      <c r="C141" t="s">
        <v>2166</v>
      </c>
      <c r="D141" t="s">
        <v>616</v>
      </c>
      <c r="E141">
        <v>2018</v>
      </c>
      <c r="F141">
        <v>290802</v>
      </c>
      <c r="G141" t="s">
        <v>670</v>
      </c>
      <c r="H141" t="s">
        <v>2167</v>
      </c>
      <c r="I141" t="s">
        <v>813</v>
      </c>
      <c r="J141">
        <v>25</v>
      </c>
      <c r="K141">
        <v>95</v>
      </c>
      <c r="L141">
        <v>102</v>
      </c>
      <c r="M141">
        <v>117</v>
      </c>
      <c r="N141">
        <v>76</v>
      </c>
      <c r="O141">
        <v>106</v>
      </c>
      <c r="P141">
        <v>11</v>
      </c>
      <c r="Q141">
        <v>15</v>
      </c>
      <c r="R141">
        <v>3</v>
      </c>
      <c r="S141">
        <v>4</v>
      </c>
      <c r="T141">
        <v>0</v>
      </c>
      <c r="U141">
        <v>0</v>
      </c>
      <c r="V141">
        <v>0</v>
      </c>
      <c r="W141">
        <v>1</v>
      </c>
      <c r="X141">
        <v>1</v>
      </c>
      <c r="Y141" t="s">
        <v>113</v>
      </c>
      <c r="Z141" t="s">
        <v>1563</v>
      </c>
      <c r="AA141" t="s">
        <v>2168</v>
      </c>
      <c r="AD141">
        <v>515000</v>
      </c>
      <c r="AE141">
        <v>104</v>
      </c>
      <c r="AF141">
        <v>427000</v>
      </c>
      <c r="AG141">
        <v>104</v>
      </c>
      <c r="AH141" t="s">
        <v>118</v>
      </c>
      <c r="AI141">
        <v>5</v>
      </c>
      <c r="AJ141">
        <v>12</v>
      </c>
      <c r="AK141">
        <v>76.08</v>
      </c>
      <c r="AL141">
        <v>78.42</v>
      </c>
      <c r="AM141">
        <v>2.2000000000000002</v>
      </c>
      <c r="AN141">
        <v>1.78</v>
      </c>
      <c r="AO141">
        <v>3.12</v>
      </c>
      <c r="AP141">
        <v>520000</v>
      </c>
      <c r="AQ141">
        <v>83</v>
      </c>
      <c r="AS141">
        <v>8</v>
      </c>
      <c r="AT141">
        <v>4</v>
      </c>
      <c r="AU141">
        <v>3</v>
      </c>
      <c r="AV141">
        <v>65</v>
      </c>
      <c r="AW141">
        <v>82</v>
      </c>
      <c r="AZ141" t="b">
        <v>0</v>
      </c>
      <c r="BA141">
        <v>1424</v>
      </c>
      <c r="BB141">
        <v>1851</v>
      </c>
      <c r="BC141">
        <v>17</v>
      </c>
      <c r="BD141" t="s">
        <v>2169</v>
      </c>
      <c r="BE141">
        <v>101</v>
      </c>
      <c r="BF141">
        <v>1</v>
      </c>
      <c r="BG141">
        <v>73</v>
      </c>
      <c r="BH141">
        <v>1</v>
      </c>
      <c r="BI141" s="1" t="s">
        <v>137</v>
      </c>
      <c r="BJ141">
        <v>7.4</v>
      </c>
      <c r="BK141" s="1" t="s">
        <v>123</v>
      </c>
      <c r="BL141">
        <v>11</v>
      </c>
      <c r="BM141">
        <v>2</v>
      </c>
      <c r="BN141">
        <v>2.4</v>
      </c>
      <c r="BO141" s="1" t="s">
        <v>125</v>
      </c>
      <c r="BP141">
        <v>6.6</v>
      </c>
      <c r="BQ141">
        <v>0</v>
      </c>
      <c r="BR141">
        <v>0</v>
      </c>
      <c r="BS141" s="1" t="s">
        <v>161</v>
      </c>
      <c r="BT141">
        <v>1.2</v>
      </c>
      <c r="BU141">
        <v>2</v>
      </c>
      <c r="BV141">
        <v>2</v>
      </c>
      <c r="BW141">
        <v>1</v>
      </c>
      <c r="BX141">
        <v>0.4</v>
      </c>
      <c r="BY141" s="1" t="s">
        <v>129</v>
      </c>
      <c r="BZ141" s="1" t="s">
        <v>213</v>
      </c>
      <c r="CA141" s="1" t="s">
        <v>2170</v>
      </c>
      <c r="CB141" s="1" t="s">
        <v>1834</v>
      </c>
      <c r="CC141" s="1" t="s">
        <v>880</v>
      </c>
      <c r="CD141" s="1" t="s">
        <v>2171</v>
      </c>
      <c r="CE141" s="1" t="s">
        <v>2172</v>
      </c>
      <c r="CF141" s="1" t="s">
        <v>2173</v>
      </c>
      <c r="CG141">
        <v>9</v>
      </c>
      <c r="CH141" s="1" t="s">
        <v>1442</v>
      </c>
      <c r="CI141" s="1" t="s">
        <v>138</v>
      </c>
      <c r="CJ141" s="1" t="s">
        <v>373</v>
      </c>
      <c r="CK141" s="1" t="s">
        <v>138</v>
      </c>
      <c r="CL141">
        <v>3.6</v>
      </c>
      <c r="CM141" s="1" t="s">
        <v>263</v>
      </c>
      <c r="CN141">
        <v>71.400000000000006</v>
      </c>
      <c r="CO141">
        <v>83</v>
      </c>
      <c r="CP141" s="1" t="s">
        <v>1951</v>
      </c>
      <c r="CS141" s="1" t="s">
        <v>2174</v>
      </c>
      <c r="CT141" s="1" t="s">
        <v>2175</v>
      </c>
      <c r="CU141" s="1" t="s">
        <v>2176</v>
      </c>
      <c r="CV141">
        <v>1616</v>
      </c>
      <c r="CW141">
        <v>70.25</v>
      </c>
      <c r="CX141">
        <v>82.5</v>
      </c>
      <c r="CY141">
        <v>93.2</v>
      </c>
      <c r="CZ141" s="1" t="s">
        <v>2177</v>
      </c>
      <c r="DA141">
        <v>1</v>
      </c>
      <c r="DB141" t="s">
        <v>1563</v>
      </c>
      <c r="DC141">
        <v>102</v>
      </c>
      <c r="DD141" s="1" t="s">
        <v>2178</v>
      </c>
      <c r="DE141" s="1" t="s">
        <v>2179</v>
      </c>
      <c r="DF141" t="e">
        <f>_xlfn.XLOOKUP(Table1[[#This Row],[Player ID]],Table2[feed_id],Table2[trade_status])</f>
        <v>#N/A</v>
      </c>
      <c r="DG141">
        <f>_xlfn.NUMBERVALUE(Table1[[#This Row],[predicted]])</f>
        <v>86.638372117935802</v>
      </c>
    </row>
    <row r="142" spans="1:111" hidden="1" x14ac:dyDescent="0.25">
      <c r="A142">
        <v>74070</v>
      </c>
      <c r="B142">
        <v>6639</v>
      </c>
      <c r="C142" t="s">
        <v>2180</v>
      </c>
      <c r="D142" t="s">
        <v>653</v>
      </c>
      <c r="E142">
        <v>2018</v>
      </c>
      <c r="F142">
        <v>295608</v>
      </c>
      <c r="G142" t="s">
        <v>2181</v>
      </c>
      <c r="H142" t="s">
        <v>2182</v>
      </c>
      <c r="I142" t="s">
        <v>712</v>
      </c>
      <c r="J142">
        <v>12</v>
      </c>
      <c r="K142">
        <v>62</v>
      </c>
      <c r="L142">
        <v>66</v>
      </c>
      <c r="M142">
        <v>49</v>
      </c>
      <c r="N142">
        <v>44</v>
      </c>
      <c r="O142">
        <v>63</v>
      </c>
      <c r="P142">
        <v>8</v>
      </c>
      <c r="Q142">
        <v>7</v>
      </c>
      <c r="R142">
        <v>1</v>
      </c>
      <c r="S142">
        <v>5</v>
      </c>
      <c r="T142">
        <v>0</v>
      </c>
      <c r="U142">
        <v>1</v>
      </c>
      <c r="V142">
        <v>0</v>
      </c>
      <c r="W142">
        <v>0</v>
      </c>
      <c r="X142">
        <v>0</v>
      </c>
      <c r="Y142" t="s">
        <v>113</v>
      </c>
      <c r="Z142" t="s">
        <v>861</v>
      </c>
      <c r="AA142" t="s">
        <v>2183</v>
      </c>
      <c r="AD142">
        <v>485400</v>
      </c>
      <c r="AE142">
        <v>128</v>
      </c>
      <c r="AF142">
        <v>366800</v>
      </c>
      <c r="AG142">
        <v>164</v>
      </c>
      <c r="AH142" t="s">
        <v>181</v>
      </c>
      <c r="AI142">
        <v>24</v>
      </c>
      <c r="AJ142">
        <v>3</v>
      </c>
      <c r="AK142">
        <v>54.67</v>
      </c>
      <c r="AL142">
        <v>35.33</v>
      </c>
      <c r="AM142">
        <v>0.09</v>
      </c>
      <c r="AN142">
        <v>0.13</v>
      </c>
      <c r="AO142">
        <v>0.11</v>
      </c>
      <c r="AP142">
        <v>484000</v>
      </c>
      <c r="AQ142">
        <v>114</v>
      </c>
      <c r="AS142">
        <v>5</v>
      </c>
      <c r="AT142">
        <v>0</v>
      </c>
      <c r="AU142">
        <v>1</v>
      </c>
      <c r="AV142">
        <v>80</v>
      </c>
      <c r="AW142">
        <v>78</v>
      </c>
      <c r="AZ142" t="b">
        <v>0</v>
      </c>
      <c r="BA142">
        <v>1726</v>
      </c>
      <c r="BB142">
        <v>1532</v>
      </c>
      <c r="BC142">
        <v>18</v>
      </c>
      <c r="BD142" t="s">
        <v>2184</v>
      </c>
      <c r="BE142" s="1" t="s">
        <v>585</v>
      </c>
      <c r="BF142">
        <v>0</v>
      </c>
      <c r="BG142">
        <v>74</v>
      </c>
      <c r="BH142">
        <v>0</v>
      </c>
      <c r="BI142" s="1" t="s">
        <v>253</v>
      </c>
      <c r="BJ142">
        <v>12.6</v>
      </c>
      <c r="BK142" s="1" t="s">
        <v>160</v>
      </c>
      <c r="BL142" s="1" t="s">
        <v>964</v>
      </c>
      <c r="BM142">
        <v>2</v>
      </c>
      <c r="BN142" s="1" t="s">
        <v>499</v>
      </c>
      <c r="BO142" s="1" t="s">
        <v>211</v>
      </c>
      <c r="BP142" s="1" t="s">
        <v>214</v>
      </c>
      <c r="BQ142">
        <v>0</v>
      </c>
      <c r="BR142">
        <v>0</v>
      </c>
      <c r="BS142" s="1" t="s">
        <v>128</v>
      </c>
      <c r="BT142" s="1" t="s">
        <v>129</v>
      </c>
      <c r="BU142" s="1" t="s">
        <v>128</v>
      </c>
      <c r="BV142" s="1" t="s">
        <v>231</v>
      </c>
      <c r="BW142" s="1" t="s">
        <v>129</v>
      </c>
      <c r="BX142">
        <v>6.6666666666666596E-2</v>
      </c>
      <c r="BY142" s="1" t="s">
        <v>129</v>
      </c>
      <c r="BZ142">
        <v>6.6666666666666596E-2</v>
      </c>
      <c r="CA142">
        <v>0.06</v>
      </c>
      <c r="CB142" s="1" t="s">
        <v>2185</v>
      </c>
      <c r="CC142">
        <v>8.66666666666666E-2</v>
      </c>
      <c r="CD142">
        <v>0.20599999999999999</v>
      </c>
      <c r="CE142" s="1" t="s">
        <v>465</v>
      </c>
      <c r="CF142" s="1" t="s">
        <v>2186</v>
      </c>
      <c r="CG142" s="1" t="s">
        <v>125</v>
      </c>
      <c r="CH142">
        <v>4</v>
      </c>
      <c r="CI142" s="1" t="s">
        <v>129</v>
      </c>
      <c r="CJ142">
        <v>0.2</v>
      </c>
      <c r="CK142" s="1" t="s">
        <v>161</v>
      </c>
      <c r="CL142" s="1" t="s">
        <v>327</v>
      </c>
      <c r="CM142">
        <v>64</v>
      </c>
      <c r="CN142">
        <v>76.2</v>
      </c>
      <c r="CO142">
        <v>79</v>
      </c>
      <c r="CP142" s="1" t="s">
        <v>968</v>
      </c>
      <c r="CS142" s="1" t="s">
        <v>2187</v>
      </c>
      <c r="CT142" s="1" t="s">
        <v>2188</v>
      </c>
      <c r="CU142">
        <v>1780</v>
      </c>
      <c r="CV142" s="1" t="s">
        <v>2189</v>
      </c>
      <c r="CW142">
        <v>71.650000000000006</v>
      </c>
      <c r="CX142">
        <v>61</v>
      </c>
      <c r="CY142">
        <v>44</v>
      </c>
      <c r="CZ142">
        <v>47</v>
      </c>
      <c r="DA142">
        <v>1</v>
      </c>
      <c r="DB142" t="s">
        <v>861</v>
      </c>
      <c r="DC142">
        <v>66</v>
      </c>
      <c r="DD142" s="1" t="s">
        <v>2190</v>
      </c>
      <c r="DE142">
        <v>-1.6921103238978701</v>
      </c>
      <c r="DF142" t="e">
        <f>_xlfn.XLOOKUP(Table1[[#This Row],[Player ID]],Table2[feed_id],Table2[trade_status])</f>
        <v>#N/A</v>
      </c>
      <c r="DG142">
        <f>_xlfn.NUMBERVALUE(Table1[[#This Row],[predicted]])</f>
        <v>67.692110323897793</v>
      </c>
    </row>
    <row r="143" spans="1:111" hidden="1" x14ac:dyDescent="0.25">
      <c r="A143">
        <v>74390</v>
      </c>
      <c r="B143">
        <v>6647</v>
      </c>
      <c r="C143" t="s">
        <v>2191</v>
      </c>
      <c r="D143" t="s">
        <v>690</v>
      </c>
      <c r="E143">
        <v>2018</v>
      </c>
      <c r="F143">
        <v>296840</v>
      </c>
      <c r="G143" t="s">
        <v>2192</v>
      </c>
      <c r="H143" t="s">
        <v>2193</v>
      </c>
      <c r="I143" t="s">
        <v>338</v>
      </c>
      <c r="J143">
        <v>13</v>
      </c>
      <c r="K143">
        <v>68</v>
      </c>
      <c r="L143">
        <v>74</v>
      </c>
      <c r="M143">
        <v>91</v>
      </c>
      <c r="N143">
        <v>54</v>
      </c>
      <c r="O143">
        <v>72</v>
      </c>
      <c r="P143">
        <v>12</v>
      </c>
      <c r="Q143">
        <v>3</v>
      </c>
      <c r="R143">
        <v>7</v>
      </c>
      <c r="S143">
        <v>2</v>
      </c>
      <c r="T143">
        <v>0</v>
      </c>
      <c r="U143">
        <v>0</v>
      </c>
      <c r="V143">
        <v>1</v>
      </c>
      <c r="W143">
        <v>0</v>
      </c>
      <c r="X143">
        <v>0</v>
      </c>
      <c r="Y143" t="s">
        <v>113</v>
      </c>
      <c r="Z143" t="s">
        <v>179</v>
      </c>
      <c r="AA143" t="s">
        <v>2194</v>
      </c>
      <c r="AD143">
        <v>332600</v>
      </c>
      <c r="AE143">
        <v>65</v>
      </c>
      <c r="AF143">
        <v>296400</v>
      </c>
      <c r="AG143">
        <v>82</v>
      </c>
      <c r="AH143" t="s">
        <v>181</v>
      </c>
      <c r="AI143">
        <v>31</v>
      </c>
      <c r="AJ143">
        <v>8</v>
      </c>
      <c r="AK143">
        <v>50.11</v>
      </c>
      <c r="AL143">
        <v>56.89</v>
      </c>
      <c r="AM143">
        <v>0</v>
      </c>
      <c r="AN143">
        <v>0</v>
      </c>
      <c r="AO143">
        <v>0.16</v>
      </c>
      <c r="AP143">
        <v>339000</v>
      </c>
      <c r="AQ143">
        <v>53</v>
      </c>
      <c r="AS143">
        <v>1</v>
      </c>
      <c r="AT143">
        <v>0</v>
      </c>
      <c r="AU143">
        <v>1</v>
      </c>
      <c r="AV143">
        <v>86</v>
      </c>
      <c r="AW143">
        <v>74</v>
      </c>
      <c r="AZ143" t="b">
        <v>0</v>
      </c>
      <c r="BA143">
        <v>1626</v>
      </c>
      <c r="BB143">
        <v>1658</v>
      </c>
      <c r="BC143">
        <v>19</v>
      </c>
      <c r="BD143" t="s">
        <v>2195</v>
      </c>
      <c r="BE143">
        <v>100</v>
      </c>
      <c r="BF143">
        <v>0</v>
      </c>
      <c r="BG143">
        <v>74</v>
      </c>
      <c r="BH143">
        <v>1</v>
      </c>
      <c r="BI143">
        <v>10</v>
      </c>
      <c r="BJ143" s="1" t="s">
        <v>1442</v>
      </c>
      <c r="BK143" s="1" t="s">
        <v>160</v>
      </c>
      <c r="BL143" s="1" t="s">
        <v>729</v>
      </c>
      <c r="BM143" s="1" t="s">
        <v>160</v>
      </c>
      <c r="BN143" s="1" t="s">
        <v>587</v>
      </c>
      <c r="BO143" s="1" t="s">
        <v>126</v>
      </c>
      <c r="BP143">
        <v>1.4</v>
      </c>
      <c r="BQ143">
        <v>0</v>
      </c>
      <c r="BR143">
        <v>0</v>
      </c>
      <c r="BS143" s="1" t="s">
        <v>129</v>
      </c>
      <c r="BT143" s="1" t="s">
        <v>129</v>
      </c>
      <c r="BU143" s="1" t="s">
        <v>128</v>
      </c>
      <c r="BV143" s="1" t="s">
        <v>238</v>
      </c>
      <c r="BW143">
        <v>0</v>
      </c>
      <c r="BX143">
        <v>0</v>
      </c>
      <c r="BY143">
        <v>0</v>
      </c>
      <c r="BZ143" s="1" t="s">
        <v>213</v>
      </c>
      <c r="CA143">
        <v>3.6666666666666597E-2</v>
      </c>
      <c r="CB143" s="1" t="s">
        <v>2196</v>
      </c>
      <c r="CC143">
        <v>4.3333333333333397E-2</v>
      </c>
      <c r="CD143" s="1" t="s">
        <v>2197</v>
      </c>
      <c r="CE143">
        <v>0.15</v>
      </c>
      <c r="CF143" s="1" t="s">
        <v>2198</v>
      </c>
      <c r="CG143">
        <v>3</v>
      </c>
      <c r="CH143" s="1" t="s">
        <v>256</v>
      </c>
      <c r="CI143">
        <v>0</v>
      </c>
      <c r="CJ143">
        <v>6.6666666666666596E-2</v>
      </c>
      <c r="CK143">
        <v>2</v>
      </c>
      <c r="CL143">
        <v>2</v>
      </c>
      <c r="CM143" s="1" t="s">
        <v>1110</v>
      </c>
      <c r="CN143" s="1" t="s">
        <v>1490</v>
      </c>
      <c r="CO143" s="1" t="s">
        <v>305</v>
      </c>
      <c r="CP143">
        <v>81.400000000000006</v>
      </c>
      <c r="CS143">
        <v>1709</v>
      </c>
      <c r="CT143" s="1" t="s">
        <v>2199</v>
      </c>
      <c r="CU143" s="1" t="s">
        <v>871</v>
      </c>
      <c r="CV143" s="1" t="s">
        <v>1809</v>
      </c>
      <c r="CW143">
        <v>54.95</v>
      </c>
      <c r="CX143">
        <v>58.1</v>
      </c>
      <c r="CY143">
        <v>63</v>
      </c>
      <c r="CZ143">
        <v>63</v>
      </c>
      <c r="DA143">
        <v>1</v>
      </c>
      <c r="DB143" t="s">
        <v>179</v>
      </c>
      <c r="DC143">
        <v>74</v>
      </c>
      <c r="DD143">
        <v>49.619413982884403</v>
      </c>
      <c r="DE143" s="1" t="s">
        <v>2200</v>
      </c>
      <c r="DF143" t="e">
        <f>_xlfn.XLOOKUP(Table1[[#This Row],[Player ID]],Table2[feed_id],Table2[trade_status])</f>
        <v>#N/A</v>
      </c>
      <c r="DG143">
        <f>_xlfn.NUMBERVALUE(Table1[[#This Row],[predicted]])</f>
        <v>49.619413982884403</v>
      </c>
    </row>
    <row r="144" spans="1:111" hidden="1" x14ac:dyDescent="0.25">
      <c r="A144">
        <v>74560</v>
      </c>
      <c r="B144">
        <v>6651</v>
      </c>
      <c r="C144" t="s">
        <v>2201</v>
      </c>
      <c r="D144" t="s">
        <v>690</v>
      </c>
      <c r="E144">
        <v>2018</v>
      </c>
      <c r="F144">
        <v>290790</v>
      </c>
      <c r="G144" t="s">
        <v>889</v>
      </c>
      <c r="H144" t="s">
        <v>353</v>
      </c>
      <c r="I144" t="s">
        <v>249</v>
      </c>
      <c r="J144">
        <v>13</v>
      </c>
      <c r="K144">
        <v>76</v>
      </c>
      <c r="L144">
        <v>65</v>
      </c>
      <c r="M144">
        <v>94</v>
      </c>
      <c r="N144">
        <v>65</v>
      </c>
      <c r="O144">
        <v>87</v>
      </c>
      <c r="P144">
        <v>9</v>
      </c>
      <c r="Q144">
        <v>12</v>
      </c>
      <c r="R144">
        <v>7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113</v>
      </c>
      <c r="Z144" t="s">
        <v>226</v>
      </c>
      <c r="AA144" t="s">
        <v>2202</v>
      </c>
      <c r="AD144">
        <v>304100</v>
      </c>
      <c r="AE144">
        <v>48</v>
      </c>
      <c r="AF144">
        <v>180300</v>
      </c>
      <c r="AG144">
        <v>39</v>
      </c>
      <c r="AH144" t="s">
        <v>118</v>
      </c>
      <c r="AI144">
        <v>37</v>
      </c>
      <c r="AJ144">
        <v>1</v>
      </c>
      <c r="AK144">
        <v>48</v>
      </c>
      <c r="AL144">
        <v>35.5</v>
      </c>
      <c r="AM144">
        <v>0</v>
      </c>
      <c r="AN144">
        <v>0</v>
      </c>
      <c r="AO144">
        <v>0.12</v>
      </c>
      <c r="AP144">
        <v>368000</v>
      </c>
      <c r="AQ144">
        <v>68</v>
      </c>
      <c r="AS144">
        <v>3</v>
      </c>
      <c r="AT144">
        <v>0</v>
      </c>
      <c r="AU144">
        <v>1</v>
      </c>
      <c r="AV144">
        <v>81</v>
      </c>
      <c r="AW144">
        <v>91</v>
      </c>
      <c r="AZ144" t="b">
        <v>0</v>
      </c>
      <c r="BA144">
        <v>1759</v>
      </c>
      <c r="BB144">
        <v>1497</v>
      </c>
      <c r="BC144">
        <v>19</v>
      </c>
      <c r="BD144" t="s">
        <v>2203</v>
      </c>
      <c r="BE144">
        <v>100</v>
      </c>
      <c r="BF144">
        <v>0</v>
      </c>
      <c r="BG144">
        <v>74</v>
      </c>
      <c r="BH144">
        <v>0</v>
      </c>
      <c r="BI144" s="1" t="s">
        <v>977</v>
      </c>
      <c r="BJ144" s="1" t="s">
        <v>1761</v>
      </c>
      <c r="BK144" s="1" t="s">
        <v>545</v>
      </c>
      <c r="BL144" s="1" t="s">
        <v>448</v>
      </c>
      <c r="BM144" s="1" t="s">
        <v>211</v>
      </c>
      <c r="BN144" s="1" t="s">
        <v>752</v>
      </c>
      <c r="BO144" s="1" t="s">
        <v>128</v>
      </c>
      <c r="BP144" s="1" t="s">
        <v>257</v>
      </c>
      <c r="BQ144">
        <v>0</v>
      </c>
      <c r="BR144" s="1" t="s">
        <v>213</v>
      </c>
      <c r="BS144">
        <v>0</v>
      </c>
      <c r="BT144" s="1" t="s">
        <v>129</v>
      </c>
      <c r="BU144" s="1" t="s">
        <v>129</v>
      </c>
      <c r="BV144">
        <v>0.2</v>
      </c>
      <c r="BW144" s="1" t="s">
        <v>129</v>
      </c>
      <c r="BX144" s="1" t="s">
        <v>213</v>
      </c>
      <c r="BY144" s="1" t="s">
        <v>129</v>
      </c>
      <c r="BZ144">
        <v>6.6666666666666596E-2</v>
      </c>
      <c r="CA144">
        <v>4.3333333333333397E-2</v>
      </c>
      <c r="CB144">
        <v>0.106</v>
      </c>
      <c r="CC144" s="1" t="s">
        <v>2204</v>
      </c>
      <c r="CD144" s="1" t="s">
        <v>2205</v>
      </c>
      <c r="CE144">
        <v>8.66666666666666E-2</v>
      </c>
      <c r="CF144" s="1" t="s">
        <v>2206</v>
      </c>
      <c r="CG144" s="1" t="s">
        <v>169</v>
      </c>
      <c r="CH144">
        <v>4.2</v>
      </c>
      <c r="CI144" s="1" t="s">
        <v>128</v>
      </c>
      <c r="CJ144" s="1" t="s">
        <v>399</v>
      </c>
      <c r="CK144" s="1" t="s">
        <v>138</v>
      </c>
      <c r="CL144" s="1" t="s">
        <v>566</v>
      </c>
      <c r="CM144" s="1" t="s">
        <v>1838</v>
      </c>
      <c r="CN144" s="1" t="s">
        <v>531</v>
      </c>
      <c r="CO144" s="1" t="s">
        <v>239</v>
      </c>
      <c r="CP144">
        <v>82.4</v>
      </c>
      <c r="CS144">
        <v>1494</v>
      </c>
      <c r="CT144">
        <v>1553.4</v>
      </c>
      <c r="CU144" s="1" t="s">
        <v>2207</v>
      </c>
      <c r="CV144" s="1" t="s">
        <v>2208</v>
      </c>
      <c r="CW144">
        <v>62.95</v>
      </c>
      <c r="CX144">
        <v>53.5</v>
      </c>
      <c r="CY144">
        <v>45.6</v>
      </c>
      <c r="CZ144" s="1" t="s">
        <v>1100</v>
      </c>
      <c r="DA144">
        <v>1</v>
      </c>
      <c r="DB144" t="s">
        <v>226</v>
      </c>
      <c r="DC144">
        <v>65</v>
      </c>
      <c r="DD144" s="1" t="s">
        <v>2209</v>
      </c>
      <c r="DE144">
        <v>-23.893898842684401</v>
      </c>
      <c r="DF144" t="e">
        <f>_xlfn.XLOOKUP(Table1[[#This Row],[Player ID]],Table2[feed_id],Table2[trade_status])</f>
        <v>#N/A</v>
      </c>
      <c r="DG144">
        <f>_xlfn.NUMBERVALUE(Table1[[#This Row],[predicted]])</f>
        <v>88.893898842684393</v>
      </c>
    </row>
    <row r="145" spans="1:111" hidden="1" x14ac:dyDescent="0.25">
      <c r="A145">
        <v>74632</v>
      </c>
      <c r="B145">
        <v>6652</v>
      </c>
      <c r="C145" t="s">
        <v>2210</v>
      </c>
      <c r="D145" t="s">
        <v>690</v>
      </c>
      <c r="E145">
        <v>2018</v>
      </c>
      <c r="F145">
        <v>296367</v>
      </c>
      <c r="G145" t="s">
        <v>776</v>
      </c>
      <c r="H145" t="s">
        <v>1605</v>
      </c>
      <c r="I145" t="s">
        <v>712</v>
      </c>
      <c r="J145">
        <v>5</v>
      </c>
      <c r="K145">
        <v>44</v>
      </c>
      <c r="L145">
        <v>53</v>
      </c>
      <c r="M145">
        <v>30</v>
      </c>
      <c r="N145">
        <v>38</v>
      </c>
      <c r="O145">
        <v>52</v>
      </c>
      <c r="P145">
        <v>6</v>
      </c>
      <c r="Q145">
        <v>5</v>
      </c>
      <c r="R145">
        <v>0</v>
      </c>
      <c r="S145">
        <v>2</v>
      </c>
      <c r="T145">
        <v>13</v>
      </c>
      <c r="U145">
        <v>1</v>
      </c>
      <c r="V145">
        <v>2</v>
      </c>
      <c r="W145">
        <v>0</v>
      </c>
      <c r="X145">
        <v>0</v>
      </c>
      <c r="Y145" t="s">
        <v>113</v>
      </c>
      <c r="Z145" t="s">
        <v>602</v>
      </c>
      <c r="AA145" t="s">
        <v>2211</v>
      </c>
      <c r="AD145">
        <v>417300</v>
      </c>
      <c r="AE145">
        <v>79</v>
      </c>
      <c r="AF145">
        <v>343500</v>
      </c>
      <c r="AG145">
        <v>70</v>
      </c>
      <c r="AH145" t="s">
        <v>274</v>
      </c>
      <c r="AI145">
        <v>17</v>
      </c>
      <c r="AJ145">
        <v>11</v>
      </c>
      <c r="AK145">
        <v>64.75</v>
      </c>
      <c r="AL145">
        <v>68.08</v>
      </c>
      <c r="AM145">
        <v>0</v>
      </c>
      <c r="AN145">
        <v>0</v>
      </c>
      <c r="AO145">
        <v>1.24</v>
      </c>
      <c r="AP145">
        <v>425000</v>
      </c>
      <c r="AQ145">
        <v>58</v>
      </c>
      <c r="AS145">
        <v>4</v>
      </c>
      <c r="AT145">
        <v>1</v>
      </c>
      <c r="AU145">
        <v>2</v>
      </c>
      <c r="AV145">
        <v>63</v>
      </c>
      <c r="AW145">
        <v>72</v>
      </c>
      <c r="AZ145" t="b">
        <v>0</v>
      </c>
      <c r="BA145">
        <v>1830</v>
      </c>
      <c r="BB145">
        <v>1447</v>
      </c>
      <c r="BC145">
        <v>19</v>
      </c>
      <c r="BD145" t="s">
        <v>2212</v>
      </c>
      <c r="BE145">
        <v>100</v>
      </c>
      <c r="BF145">
        <v>0</v>
      </c>
      <c r="BG145">
        <v>74</v>
      </c>
      <c r="BH145">
        <v>0</v>
      </c>
      <c r="BI145" s="1" t="s">
        <v>160</v>
      </c>
      <c r="BJ145" s="1" t="s">
        <v>416</v>
      </c>
      <c r="BK145" s="1" t="s">
        <v>183</v>
      </c>
      <c r="BL145" s="1" t="s">
        <v>204</v>
      </c>
      <c r="BM145" s="1" t="s">
        <v>129</v>
      </c>
      <c r="BN145" s="1" t="s">
        <v>170</v>
      </c>
      <c r="BO145">
        <v>3</v>
      </c>
      <c r="BP145" s="1" t="s">
        <v>255</v>
      </c>
      <c r="BQ145" s="1" t="s">
        <v>2213</v>
      </c>
      <c r="BR145">
        <v>18.8</v>
      </c>
      <c r="BS145">
        <v>2</v>
      </c>
      <c r="BT145">
        <v>1.4</v>
      </c>
      <c r="BU145" s="1" t="s">
        <v>126</v>
      </c>
      <c r="BV145" s="1" t="s">
        <v>127</v>
      </c>
      <c r="BW145">
        <v>0</v>
      </c>
      <c r="BX145" s="1" t="s">
        <v>128</v>
      </c>
      <c r="BY145">
        <v>0</v>
      </c>
      <c r="BZ145" s="1" t="s">
        <v>129</v>
      </c>
      <c r="CA145" s="1" t="s">
        <v>453</v>
      </c>
      <c r="CB145" s="1" t="s">
        <v>2214</v>
      </c>
      <c r="CC145" s="1" t="s">
        <v>399</v>
      </c>
      <c r="CD145">
        <v>2.8319999999999999</v>
      </c>
      <c r="CE145" s="1" t="s">
        <v>126</v>
      </c>
      <c r="CF145" s="1" t="s">
        <v>2215</v>
      </c>
      <c r="CG145">
        <v>7</v>
      </c>
      <c r="CH145">
        <v>6.6</v>
      </c>
      <c r="CI145">
        <v>2</v>
      </c>
      <c r="CJ145" s="1" t="s">
        <v>304</v>
      </c>
      <c r="CK145" s="1" t="s">
        <v>169</v>
      </c>
      <c r="CL145" s="1" t="s">
        <v>322</v>
      </c>
      <c r="CM145" s="1" t="s">
        <v>971</v>
      </c>
      <c r="CN145" s="1" t="s">
        <v>2216</v>
      </c>
      <c r="CO145" s="1" t="s">
        <v>610</v>
      </c>
      <c r="CP145" s="1" t="s">
        <v>1259</v>
      </c>
      <c r="CS145">
        <v>1529</v>
      </c>
      <c r="CT145" s="1" t="s">
        <v>2217</v>
      </c>
      <c r="CU145">
        <v>1741</v>
      </c>
      <c r="CV145" s="1" t="s">
        <v>2218</v>
      </c>
      <c r="CW145">
        <v>68.349999999999994</v>
      </c>
      <c r="CX145">
        <v>67.5</v>
      </c>
      <c r="CY145">
        <v>68</v>
      </c>
      <c r="CZ145" s="1" t="s">
        <v>2147</v>
      </c>
      <c r="DA145">
        <v>1</v>
      </c>
      <c r="DB145" t="s">
        <v>602</v>
      </c>
      <c r="DC145">
        <v>53</v>
      </c>
      <c r="DD145" s="1" t="s">
        <v>2219</v>
      </c>
      <c r="DE145">
        <v>-27.634273089408101</v>
      </c>
      <c r="DF145" t="e">
        <f>_xlfn.XLOOKUP(Table1[[#This Row],[Player ID]],Table2[feed_id],Table2[trade_status])</f>
        <v>#N/A</v>
      </c>
      <c r="DG145">
        <f>_xlfn.NUMBERVALUE(Table1[[#This Row],[predicted]])</f>
        <v>80.634273089408097</v>
      </c>
    </row>
    <row r="146" spans="1:111" hidden="1" x14ac:dyDescent="0.25">
      <c r="A146">
        <v>74655</v>
      </c>
      <c r="B146">
        <v>6653</v>
      </c>
      <c r="C146" t="s">
        <v>2220</v>
      </c>
      <c r="D146" t="s">
        <v>690</v>
      </c>
      <c r="E146">
        <v>2018</v>
      </c>
      <c r="F146">
        <v>261909</v>
      </c>
      <c r="G146" t="s">
        <v>2221</v>
      </c>
      <c r="H146" t="s">
        <v>2222</v>
      </c>
      <c r="I146" t="s">
        <v>425</v>
      </c>
      <c r="J146">
        <v>2</v>
      </c>
      <c r="K146">
        <v>33</v>
      </c>
      <c r="L146">
        <v>33</v>
      </c>
      <c r="M146">
        <v>40</v>
      </c>
      <c r="N146">
        <v>28</v>
      </c>
      <c r="O146">
        <v>35</v>
      </c>
      <c r="P146">
        <v>3</v>
      </c>
      <c r="Q146">
        <v>5</v>
      </c>
      <c r="R146">
        <v>2</v>
      </c>
      <c r="S146">
        <v>1</v>
      </c>
      <c r="T146">
        <v>0</v>
      </c>
      <c r="U146">
        <v>2</v>
      </c>
      <c r="V146">
        <v>0</v>
      </c>
      <c r="W146">
        <v>0</v>
      </c>
      <c r="X146">
        <v>2</v>
      </c>
      <c r="Y146" t="s">
        <v>113</v>
      </c>
      <c r="Z146" t="s">
        <v>861</v>
      </c>
      <c r="AA146" t="s">
        <v>2223</v>
      </c>
      <c r="AD146">
        <v>404400</v>
      </c>
      <c r="AE146">
        <v>72</v>
      </c>
      <c r="AF146">
        <v>297100</v>
      </c>
      <c r="AG146">
        <v>94</v>
      </c>
      <c r="AH146" t="s">
        <v>155</v>
      </c>
      <c r="AI146">
        <v>48</v>
      </c>
      <c r="AJ146">
        <v>6</v>
      </c>
      <c r="AK146">
        <v>60.29</v>
      </c>
      <c r="AL146">
        <v>54.29</v>
      </c>
      <c r="AM146">
        <v>0</v>
      </c>
      <c r="AN146">
        <v>0</v>
      </c>
      <c r="AO146">
        <v>0.11</v>
      </c>
      <c r="AP146">
        <v>411000</v>
      </c>
      <c r="AQ146">
        <v>62</v>
      </c>
      <c r="AS146">
        <v>4</v>
      </c>
      <c r="AT146">
        <v>0</v>
      </c>
      <c r="AU146">
        <v>1</v>
      </c>
      <c r="AV146">
        <v>50</v>
      </c>
      <c r="AW146">
        <v>63</v>
      </c>
      <c r="AZ146" t="b">
        <v>0</v>
      </c>
      <c r="BA146">
        <v>1726</v>
      </c>
      <c r="BB146">
        <v>1548</v>
      </c>
      <c r="BC146">
        <v>19</v>
      </c>
      <c r="BD146" t="s">
        <v>2224</v>
      </c>
      <c r="BE146">
        <v>100</v>
      </c>
      <c r="BF146">
        <v>0</v>
      </c>
      <c r="BG146">
        <v>74</v>
      </c>
      <c r="BH146">
        <v>0</v>
      </c>
      <c r="BI146">
        <v>7</v>
      </c>
      <c r="BJ146" s="1" t="s">
        <v>498</v>
      </c>
      <c r="BK146">
        <v>4</v>
      </c>
      <c r="BL146" s="1" t="s">
        <v>565</v>
      </c>
      <c r="BM146" s="1" t="s">
        <v>161</v>
      </c>
      <c r="BN146">
        <v>2.8</v>
      </c>
      <c r="BO146" s="1" t="s">
        <v>125</v>
      </c>
      <c r="BP146">
        <v>3.8</v>
      </c>
      <c r="BQ146">
        <v>0</v>
      </c>
      <c r="BR146">
        <v>0</v>
      </c>
      <c r="BS146" s="1" t="s">
        <v>126</v>
      </c>
      <c r="BT146" s="1" t="s">
        <v>298</v>
      </c>
      <c r="BU146">
        <v>0</v>
      </c>
      <c r="BV146">
        <v>1.2</v>
      </c>
      <c r="BW146">
        <v>0</v>
      </c>
      <c r="BX146">
        <v>0.6</v>
      </c>
      <c r="BY146">
        <v>1</v>
      </c>
      <c r="BZ146" s="1" t="s">
        <v>399</v>
      </c>
      <c r="CA146">
        <v>0.06</v>
      </c>
      <c r="CB146">
        <v>7.8E-2</v>
      </c>
      <c r="CC146" s="1" t="s">
        <v>2225</v>
      </c>
      <c r="CD146" s="1" t="s">
        <v>2226</v>
      </c>
      <c r="CE146" s="1" t="s">
        <v>2227</v>
      </c>
      <c r="CF146" s="1" t="s">
        <v>2228</v>
      </c>
      <c r="CG146">
        <v>4</v>
      </c>
      <c r="CH146" s="1" t="s">
        <v>781</v>
      </c>
      <c r="CI146" s="1" t="s">
        <v>129</v>
      </c>
      <c r="CJ146" s="1" t="s">
        <v>231</v>
      </c>
      <c r="CK146">
        <v>2</v>
      </c>
      <c r="CL146">
        <v>2.6</v>
      </c>
      <c r="CM146">
        <v>46</v>
      </c>
      <c r="CN146" s="1" t="s">
        <v>2229</v>
      </c>
      <c r="CO146" s="1" t="s">
        <v>1080</v>
      </c>
      <c r="CP146" s="1" t="s">
        <v>1080</v>
      </c>
      <c r="CS146" s="1" t="s">
        <v>2080</v>
      </c>
      <c r="CT146" s="1" t="s">
        <v>2230</v>
      </c>
      <c r="CU146" s="1" t="s">
        <v>2231</v>
      </c>
      <c r="CV146" s="1" t="s">
        <v>2232</v>
      </c>
      <c r="CW146">
        <v>56.1</v>
      </c>
      <c r="CX146">
        <v>55.9</v>
      </c>
      <c r="CY146">
        <v>51.6</v>
      </c>
      <c r="CZ146" s="1" t="s">
        <v>999</v>
      </c>
      <c r="DA146">
        <v>1</v>
      </c>
      <c r="DB146" t="s">
        <v>861</v>
      </c>
      <c r="DC146">
        <v>33</v>
      </c>
      <c r="DD146" s="1" t="s">
        <v>2233</v>
      </c>
      <c r="DE146">
        <v>-28.3479267673899</v>
      </c>
      <c r="DF146" t="e">
        <f>_xlfn.XLOOKUP(Table1[[#This Row],[Player ID]],Table2[feed_id],Table2[trade_status])</f>
        <v>#N/A</v>
      </c>
      <c r="DG146">
        <f>_xlfn.NUMBERVALUE(Table1[[#This Row],[predicted]])</f>
        <v>61.3479267673899</v>
      </c>
    </row>
    <row r="147" spans="1:111" hidden="1" x14ac:dyDescent="0.25">
      <c r="A147">
        <v>74804</v>
      </c>
      <c r="B147">
        <v>6656</v>
      </c>
      <c r="C147" t="s">
        <v>2234</v>
      </c>
      <c r="D147" t="s">
        <v>709</v>
      </c>
      <c r="E147">
        <v>2018</v>
      </c>
      <c r="F147">
        <v>296214</v>
      </c>
      <c r="G147" t="s">
        <v>1235</v>
      </c>
      <c r="H147" t="s">
        <v>2235</v>
      </c>
      <c r="I147" t="s">
        <v>201</v>
      </c>
      <c r="J147">
        <v>9</v>
      </c>
      <c r="K147">
        <v>47</v>
      </c>
      <c r="L147">
        <v>50</v>
      </c>
      <c r="M147">
        <v>46</v>
      </c>
      <c r="N147">
        <v>43</v>
      </c>
      <c r="O147">
        <v>57</v>
      </c>
      <c r="P147">
        <v>2</v>
      </c>
      <c r="Q147">
        <v>11</v>
      </c>
      <c r="R147">
        <v>3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 t="s">
        <v>113</v>
      </c>
      <c r="Z147" t="s">
        <v>861</v>
      </c>
      <c r="AA147" t="s">
        <v>2236</v>
      </c>
      <c r="AD147">
        <v>411500</v>
      </c>
      <c r="AE147">
        <v>111</v>
      </c>
      <c r="AF147">
        <v>329300</v>
      </c>
      <c r="AG147">
        <v>108</v>
      </c>
      <c r="AH147" t="s">
        <v>118</v>
      </c>
      <c r="AI147">
        <v>43</v>
      </c>
      <c r="AJ147">
        <v>4</v>
      </c>
      <c r="AK147">
        <v>53</v>
      </c>
      <c r="AL147">
        <v>58</v>
      </c>
      <c r="AM147">
        <v>0.09</v>
      </c>
      <c r="AN147">
        <v>0.05</v>
      </c>
      <c r="AO147">
        <v>0.02</v>
      </c>
      <c r="AP147">
        <v>410000</v>
      </c>
      <c r="AQ147">
        <v>86</v>
      </c>
      <c r="AS147">
        <v>6</v>
      </c>
      <c r="AT147">
        <v>0</v>
      </c>
      <c r="AU147">
        <v>1</v>
      </c>
      <c r="AV147">
        <v>69</v>
      </c>
      <c r="AW147">
        <v>76</v>
      </c>
      <c r="AZ147" t="b">
        <v>0</v>
      </c>
      <c r="BA147">
        <v>1775</v>
      </c>
      <c r="BB147">
        <v>1486</v>
      </c>
      <c r="BC147">
        <v>20</v>
      </c>
      <c r="BD147" t="s">
        <v>2237</v>
      </c>
      <c r="BE147" s="1" t="s">
        <v>1023</v>
      </c>
      <c r="BF147">
        <v>0</v>
      </c>
      <c r="BG147">
        <v>75</v>
      </c>
      <c r="BH147">
        <v>0</v>
      </c>
      <c r="BI147" s="1" t="s">
        <v>159</v>
      </c>
      <c r="BJ147">
        <v>5.4</v>
      </c>
      <c r="BK147" s="1" t="s">
        <v>137</v>
      </c>
      <c r="BL147" s="1" t="s">
        <v>396</v>
      </c>
      <c r="BM147">
        <v>3</v>
      </c>
      <c r="BN147" s="1" t="s">
        <v>237</v>
      </c>
      <c r="BO147" s="1" t="s">
        <v>159</v>
      </c>
      <c r="BP147">
        <v>3.6</v>
      </c>
      <c r="BQ147">
        <v>0</v>
      </c>
      <c r="BR147">
        <v>0</v>
      </c>
      <c r="BS147">
        <v>0</v>
      </c>
      <c r="BT147">
        <v>0.4</v>
      </c>
      <c r="BU147">
        <v>1</v>
      </c>
      <c r="BV147">
        <v>0.8</v>
      </c>
      <c r="BW147" s="1" t="s">
        <v>128</v>
      </c>
      <c r="BX147" s="1" t="s">
        <v>162</v>
      </c>
      <c r="BY147">
        <v>0</v>
      </c>
      <c r="BZ147" s="1" t="s">
        <v>231</v>
      </c>
      <c r="CA147" s="1" t="s">
        <v>2238</v>
      </c>
      <c r="CB147">
        <v>20.332000000000001</v>
      </c>
      <c r="CC147">
        <v>3.3333333333333298E-2</v>
      </c>
      <c r="CD147" s="1" t="s">
        <v>2239</v>
      </c>
      <c r="CE147">
        <v>0.02</v>
      </c>
      <c r="CF147">
        <v>14.7</v>
      </c>
      <c r="CG147">
        <v>4</v>
      </c>
      <c r="CH147" s="1" t="s">
        <v>449</v>
      </c>
      <c r="CI147">
        <v>0</v>
      </c>
      <c r="CJ147" s="1" t="s">
        <v>238</v>
      </c>
      <c r="CK147" s="1" t="s">
        <v>159</v>
      </c>
      <c r="CL147" s="1" t="s">
        <v>214</v>
      </c>
      <c r="CM147">
        <v>72</v>
      </c>
      <c r="CN147" s="1" t="s">
        <v>483</v>
      </c>
      <c r="CO147" s="1" t="s">
        <v>754</v>
      </c>
      <c r="CP147">
        <v>83</v>
      </c>
      <c r="CS147">
        <v>1595</v>
      </c>
      <c r="CT147">
        <v>1644.8</v>
      </c>
      <c r="CU147" s="1" t="s">
        <v>737</v>
      </c>
      <c r="CV147" s="1" t="s">
        <v>2240</v>
      </c>
      <c r="CW147">
        <v>63.3</v>
      </c>
      <c r="CX147">
        <v>64.8</v>
      </c>
      <c r="CY147">
        <v>58</v>
      </c>
      <c r="CZ147">
        <v>48</v>
      </c>
      <c r="DA147">
        <v>1</v>
      </c>
      <c r="DB147" t="s">
        <v>861</v>
      </c>
      <c r="DC147">
        <v>50</v>
      </c>
      <c r="DD147" s="1" t="s">
        <v>2241</v>
      </c>
      <c r="DE147">
        <v>-14.239099032109401</v>
      </c>
      <c r="DF147" t="e">
        <f>_xlfn.XLOOKUP(Table1[[#This Row],[Player ID]],Table2[feed_id],Table2[trade_status])</f>
        <v>#N/A</v>
      </c>
      <c r="DG147">
        <f>_xlfn.NUMBERVALUE(Table1[[#This Row],[predicted]])</f>
        <v>64.239099032109394</v>
      </c>
    </row>
    <row r="148" spans="1:111" hidden="1" x14ac:dyDescent="0.25">
      <c r="A148">
        <v>74994</v>
      </c>
      <c r="B148">
        <v>6661</v>
      </c>
      <c r="C148" t="s">
        <v>2242</v>
      </c>
      <c r="D148" t="s">
        <v>709</v>
      </c>
      <c r="E148">
        <v>2018</v>
      </c>
      <c r="F148">
        <v>296369</v>
      </c>
      <c r="G148" t="s">
        <v>1718</v>
      </c>
      <c r="H148" t="s">
        <v>2243</v>
      </c>
      <c r="I148" t="s">
        <v>712</v>
      </c>
      <c r="J148">
        <v>7</v>
      </c>
      <c r="K148">
        <v>45</v>
      </c>
      <c r="L148">
        <v>54</v>
      </c>
      <c r="M148">
        <v>60</v>
      </c>
      <c r="N148">
        <v>30</v>
      </c>
      <c r="O148">
        <v>40</v>
      </c>
      <c r="P148">
        <v>7</v>
      </c>
      <c r="Q148">
        <v>2</v>
      </c>
      <c r="R148">
        <v>0</v>
      </c>
      <c r="S148">
        <v>4</v>
      </c>
      <c r="T148">
        <v>0</v>
      </c>
      <c r="U148">
        <v>3</v>
      </c>
      <c r="V148">
        <v>0</v>
      </c>
      <c r="W148">
        <v>0</v>
      </c>
      <c r="X148">
        <v>1</v>
      </c>
      <c r="Y148" t="s">
        <v>113</v>
      </c>
      <c r="Z148" t="s">
        <v>525</v>
      </c>
      <c r="AA148" t="s">
        <v>2244</v>
      </c>
      <c r="AD148">
        <v>414700</v>
      </c>
      <c r="AE148">
        <v>71</v>
      </c>
      <c r="AF148">
        <v>275800</v>
      </c>
      <c r="AG148">
        <v>69</v>
      </c>
      <c r="AH148" t="s">
        <v>118</v>
      </c>
      <c r="AI148">
        <v>22</v>
      </c>
      <c r="AJ148">
        <v>12</v>
      </c>
      <c r="AK148">
        <v>66.92</v>
      </c>
      <c r="AL148">
        <v>60.17</v>
      </c>
      <c r="AM148">
        <v>7.0000000000000007E-2</v>
      </c>
      <c r="AN148">
        <v>0.12</v>
      </c>
      <c r="AO148">
        <v>0.16</v>
      </c>
      <c r="AP148">
        <v>436000</v>
      </c>
      <c r="AQ148">
        <v>77</v>
      </c>
      <c r="AS148">
        <v>6</v>
      </c>
      <c r="AT148">
        <v>1</v>
      </c>
      <c r="AU148">
        <v>0</v>
      </c>
      <c r="AV148">
        <v>55</v>
      </c>
      <c r="AW148">
        <v>79</v>
      </c>
      <c r="AZ148" t="b">
        <v>0</v>
      </c>
      <c r="BA148">
        <v>1712</v>
      </c>
      <c r="BB148">
        <v>1540</v>
      </c>
      <c r="BC148">
        <v>20</v>
      </c>
      <c r="BD148" t="s">
        <v>2245</v>
      </c>
      <c r="BE148" s="1" t="s">
        <v>1023</v>
      </c>
      <c r="BF148">
        <v>0</v>
      </c>
      <c r="BG148">
        <v>75</v>
      </c>
      <c r="BH148">
        <v>0</v>
      </c>
      <c r="BI148" s="1" t="s">
        <v>204</v>
      </c>
      <c r="BJ148">
        <v>8.1999999999999993</v>
      </c>
      <c r="BK148">
        <v>5</v>
      </c>
      <c r="BL148" s="1" t="s">
        <v>818</v>
      </c>
      <c r="BM148">
        <v>2</v>
      </c>
      <c r="BN148" s="1" t="s">
        <v>256</v>
      </c>
      <c r="BO148" s="1" t="s">
        <v>211</v>
      </c>
      <c r="BP148" s="1" t="s">
        <v>212</v>
      </c>
      <c r="BQ148">
        <v>0</v>
      </c>
      <c r="BR148">
        <v>0</v>
      </c>
      <c r="BS148" s="1" t="s">
        <v>169</v>
      </c>
      <c r="BT148" s="1" t="s">
        <v>161</v>
      </c>
      <c r="BU148">
        <v>0</v>
      </c>
      <c r="BV148" s="1" t="s">
        <v>257</v>
      </c>
      <c r="BW148">
        <v>0</v>
      </c>
      <c r="BX148" s="1" t="s">
        <v>184</v>
      </c>
      <c r="BY148" s="1" t="s">
        <v>128</v>
      </c>
      <c r="BZ148" s="1" t="s">
        <v>231</v>
      </c>
      <c r="CA148">
        <v>5.6666666666666601E-2</v>
      </c>
      <c r="CB148" s="1" t="s">
        <v>2246</v>
      </c>
      <c r="CC148">
        <v>8.3333333333333301E-2</v>
      </c>
      <c r="CD148" s="1" t="s">
        <v>2247</v>
      </c>
      <c r="CE148" s="1" t="s">
        <v>1427</v>
      </c>
      <c r="CF148">
        <v>0.32200000000000001</v>
      </c>
      <c r="CG148" s="1" t="s">
        <v>124</v>
      </c>
      <c r="CH148" s="1" t="s">
        <v>963</v>
      </c>
      <c r="CI148" s="1" t="s">
        <v>128</v>
      </c>
      <c r="CJ148" s="1" t="s">
        <v>126</v>
      </c>
      <c r="CK148" s="1" t="s">
        <v>128</v>
      </c>
      <c r="CL148" s="1" t="s">
        <v>373</v>
      </c>
      <c r="CM148">
        <v>57</v>
      </c>
      <c r="CN148" s="1" t="s">
        <v>2248</v>
      </c>
      <c r="CO148" s="1" t="s">
        <v>241</v>
      </c>
      <c r="CP148" s="1" t="s">
        <v>2249</v>
      </c>
      <c r="CS148" s="1" t="s">
        <v>2250</v>
      </c>
      <c r="CT148" s="1" t="s">
        <v>2251</v>
      </c>
      <c r="CU148">
        <v>1756</v>
      </c>
      <c r="CV148">
        <v>1654.4</v>
      </c>
      <c r="CW148">
        <v>61.05</v>
      </c>
      <c r="CX148">
        <v>57.3</v>
      </c>
      <c r="CY148">
        <v>52.4</v>
      </c>
      <c r="CZ148" s="1" t="s">
        <v>1926</v>
      </c>
      <c r="DA148">
        <v>1</v>
      </c>
      <c r="DB148" t="s">
        <v>525</v>
      </c>
      <c r="DC148">
        <v>54</v>
      </c>
      <c r="DD148">
        <v>61.239845741111601</v>
      </c>
      <c r="DE148">
        <v>-7.2398457411116004</v>
      </c>
      <c r="DF148" t="e">
        <f>_xlfn.XLOOKUP(Table1[[#This Row],[Player ID]],Table2[feed_id],Table2[trade_status])</f>
        <v>#N/A</v>
      </c>
      <c r="DG148">
        <f>_xlfn.NUMBERVALUE(Table1[[#This Row],[predicted]])</f>
        <v>61.239845741111601</v>
      </c>
    </row>
    <row r="149" spans="1:111" hidden="1" x14ac:dyDescent="0.25">
      <c r="A149">
        <v>75129</v>
      </c>
      <c r="B149">
        <v>6664</v>
      </c>
      <c r="C149" t="s">
        <v>2252</v>
      </c>
      <c r="D149" t="s">
        <v>762</v>
      </c>
      <c r="E149">
        <v>2018</v>
      </c>
      <c r="F149">
        <v>261386</v>
      </c>
      <c r="G149" t="s">
        <v>2253</v>
      </c>
      <c r="H149" t="s">
        <v>2254</v>
      </c>
      <c r="I149" t="s">
        <v>391</v>
      </c>
      <c r="J149">
        <v>8</v>
      </c>
      <c r="K149">
        <v>44</v>
      </c>
      <c r="L149">
        <v>31</v>
      </c>
      <c r="M149">
        <v>55</v>
      </c>
      <c r="N149">
        <v>36</v>
      </c>
      <c r="O149">
        <v>45</v>
      </c>
      <c r="P149">
        <v>6</v>
      </c>
      <c r="Q149">
        <v>3</v>
      </c>
      <c r="R149">
        <v>3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 t="s">
        <v>113</v>
      </c>
      <c r="Z149" t="s">
        <v>525</v>
      </c>
      <c r="AA149" t="s">
        <v>2255</v>
      </c>
      <c r="AD149">
        <v>420600</v>
      </c>
      <c r="AE149">
        <v>66</v>
      </c>
      <c r="AF149">
        <v>312900</v>
      </c>
      <c r="AG149">
        <v>73</v>
      </c>
      <c r="AH149" t="s">
        <v>181</v>
      </c>
      <c r="AI149">
        <v>11</v>
      </c>
      <c r="AJ149">
        <v>4</v>
      </c>
      <c r="AK149">
        <v>66.75</v>
      </c>
      <c r="AL149">
        <v>63.5</v>
      </c>
      <c r="AM149">
        <v>0.05</v>
      </c>
      <c r="AN149">
        <v>0.05</v>
      </c>
      <c r="AO149">
        <v>0.03</v>
      </c>
      <c r="AP149">
        <v>452000</v>
      </c>
      <c r="AQ149">
        <v>83</v>
      </c>
      <c r="AS149">
        <v>3</v>
      </c>
      <c r="AT149">
        <v>0</v>
      </c>
      <c r="AU149">
        <v>2</v>
      </c>
      <c r="AV149">
        <v>55</v>
      </c>
      <c r="AW149">
        <v>69</v>
      </c>
      <c r="AZ149" t="b">
        <v>0</v>
      </c>
      <c r="BA149">
        <v>1540</v>
      </c>
      <c r="BB149">
        <v>1715</v>
      </c>
      <c r="BC149">
        <v>21</v>
      </c>
      <c r="BD149" t="s">
        <v>2256</v>
      </c>
      <c r="BE149" s="1" t="s">
        <v>2257</v>
      </c>
      <c r="BF149">
        <v>0</v>
      </c>
      <c r="BG149">
        <v>73</v>
      </c>
      <c r="BH149">
        <v>0</v>
      </c>
      <c r="BI149" s="1" t="s">
        <v>204</v>
      </c>
      <c r="BJ149">
        <v>7.6</v>
      </c>
      <c r="BK149" s="1" t="s">
        <v>449</v>
      </c>
      <c r="BL149" s="1" t="s">
        <v>1092</v>
      </c>
      <c r="BM149" s="1" t="s">
        <v>125</v>
      </c>
      <c r="BN149">
        <v>4.8</v>
      </c>
      <c r="BO149" s="1" t="s">
        <v>169</v>
      </c>
      <c r="BP149">
        <v>2.6</v>
      </c>
      <c r="BQ149">
        <v>0</v>
      </c>
      <c r="BR149">
        <v>0</v>
      </c>
      <c r="BS149" s="1" t="s">
        <v>129</v>
      </c>
      <c r="BT149" s="1" t="s">
        <v>231</v>
      </c>
      <c r="BU149" s="1" t="s">
        <v>129</v>
      </c>
      <c r="BV149">
        <v>0.6</v>
      </c>
      <c r="BW149" s="1" t="s">
        <v>129</v>
      </c>
      <c r="BX149" s="1" t="s">
        <v>129</v>
      </c>
      <c r="BY149" s="1" t="s">
        <v>129</v>
      </c>
      <c r="BZ149" s="1" t="s">
        <v>231</v>
      </c>
      <c r="CA149">
        <v>3.3333333333333298E-2</v>
      </c>
      <c r="CB149">
        <v>0.19800000000000001</v>
      </c>
      <c r="CC149">
        <v>3.3333333333333298E-2</v>
      </c>
      <c r="CD149">
        <v>0.40400000000000003</v>
      </c>
      <c r="CE149">
        <v>0.03</v>
      </c>
      <c r="CF149" s="1" t="s">
        <v>549</v>
      </c>
      <c r="CG149">
        <v>4</v>
      </c>
      <c r="CH149" s="1" t="s">
        <v>990</v>
      </c>
      <c r="CI149" s="1" t="s">
        <v>129</v>
      </c>
      <c r="CJ149" s="1" t="s">
        <v>399</v>
      </c>
      <c r="CK149" s="1" t="s">
        <v>169</v>
      </c>
      <c r="CL149">
        <v>1.6</v>
      </c>
      <c r="CM149" s="1" t="s">
        <v>822</v>
      </c>
      <c r="CN149" s="1" t="s">
        <v>1272</v>
      </c>
      <c r="CO149" s="1" t="s">
        <v>417</v>
      </c>
      <c r="CP149">
        <v>72.8</v>
      </c>
      <c r="CS149">
        <v>1764</v>
      </c>
      <c r="CT149" s="1" t="s">
        <v>2258</v>
      </c>
      <c r="CU149" s="1" t="s">
        <v>1302</v>
      </c>
      <c r="CV149">
        <v>1638.2</v>
      </c>
      <c r="CW149">
        <v>62</v>
      </c>
      <c r="CX149">
        <v>56.6</v>
      </c>
      <c r="CY149">
        <v>51.8</v>
      </c>
      <c r="CZ149" s="1" t="s">
        <v>2259</v>
      </c>
      <c r="DA149">
        <v>1</v>
      </c>
      <c r="DB149" t="s">
        <v>525</v>
      </c>
      <c r="DC149">
        <v>31</v>
      </c>
      <c r="DD149" s="1" t="s">
        <v>2260</v>
      </c>
      <c r="DE149">
        <v>-29.572840656212001</v>
      </c>
      <c r="DF149" t="e">
        <f>_xlfn.XLOOKUP(Table1[[#This Row],[Player ID]],Table2[feed_id],Table2[trade_status])</f>
        <v>#N/A</v>
      </c>
      <c r="DG149">
        <f>_xlfn.NUMBERVALUE(Table1[[#This Row],[predicted]])</f>
        <v>60.572840656212001</v>
      </c>
    </row>
    <row r="150" spans="1:111" hidden="1" x14ac:dyDescent="0.25">
      <c r="A150">
        <v>75292</v>
      </c>
      <c r="B150">
        <v>6668</v>
      </c>
      <c r="C150" t="s">
        <v>2261</v>
      </c>
      <c r="D150" t="s">
        <v>762</v>
      </c>
      <c r="E150">
        <v>2018</v>
      </c>
      <c r="F150">
        <v>250338</v>
      </c>
      <c r="G150" t="s">
        <v>740</v>
      </c>
      <c r="H150" t="s">
        <v>1538</v>
      </c>
      <c r="I150" t="s">
        <v>338</v>
      </c>
      <c r="J150">
        <v>13</v>
      </c>
      <c r="K150">
        <v>77</v>
      </c>
      <c r="L150">
        <v>70</v>
      </c>
      <c r="M150">
        <v>100</v>
      </c>
      <c r="N150">
        <v>61</v>
      </c>
      <c r="O150">
        <v>78</v>
      </c>
      <c r="P150">
        <v>10</v>
      </c>
      <c r="Q150">
        <v>6</v>
      </c>
      <c r="R150">
        <v>7</v>
      </c>
      <c r="S150">
        <v>3</v>
      </c>
      <c r="T150">
        <v>0</v>
      </c>
      <c r="U150">
        <v>2</v>
      </c>
      <c r="V150">
        <v>0</v>
      </c>
      <c r="W150">
        <v>0</v>
      </c>
      <c r="X150">
        <v>0</v>
      </c>
      <c r="Y150" t="s">
        <v>113</v>
      </c>
      <c r="Z150" t="s">
        <v>226</v>
      </c>
      <c r="AA150" t="s">
        <v>2262</v>
      </c>
      <c r="AD150">
        <v>370500</v>
      </c>
      <c r="AE150">
        <v>75</v>
      </c>
      <c r="AF150">
        <v>301300</v>
      </c>
      <c r="AG150">
        <v>100</v>
      </c>
      <c r="AH150" t="s">
        <v>181</v>
      </c>
      <c r="AI150">
        <v>40</v>
      </c>
      <c r="AJ150">
        <v>17</v>
      </c>
      <c r="AK150">
        <v>61.47</v>
      </c>
      <c r="AL150">
        <v>64.819999999999993</v>
      </c>
      <c r="AM150">
        <v>1.1299999999999999</v>
      </c>
      <c r="AN150">
        <v>1.36</v>
      </c>
      <c r="AO150">
        <v>1.47</v>
      </c>
      <c r="AP150">
        <v>376000</v>
      </c>
      <c r="AQ150">
        <v>71</v>
      </c>
      <c r="AS150">
        <v>3</v>
      </c>
      <c r="AT150">
        <v>0</v>
      </c>
      <c r="AU150">
        <v>1</v>
      </c>
      <c r="AV150">
        <v>75</v>
      </c>
      <c r="AW150">
        <v>85</v>
      </c>
      <c r="AZ150" t="b">
        <v>0</v>
      </c>
      <c r="BA150">
        <v>1614</v>
      </c>
      <c r="BB150">
        <v>1659</v>
      </c>
      <c r="BC150">
        <v>21</v>
      </c>
      <c r="BD150" t="s">
        <v>2263</v>
      </c>
      <c r="BE150" s="1" t="s">
        <v>2257</v>
      </c>
      <c r="BF150">
        <v>0</v>
      </c>
      <c r="BG150">
        <v>73</v>
      </c>
      <c r="BH150">
        <v>0</v>
      </c>
      <c r="BI150">
        <v>6</v>
      </c>
      <c r="BJ150">
        <v>6.8</v>
      </c>
      <c r="BK150" s="1" t="s">
        <v>449</v>
      </c>
      <c r="BL150">
        <v>7.8</v>
      </c>
      <c r="BM150">
        <v>5</v>
      </c>
      <c r="BN150">
        <v>4.5999999999999996</v>
      </c>
      <c r="BO150" s="1" t="s">
        <v>138</v>
      </c>
      <c r="BP150" s="1" t="s">
        <v>169</v>
      </c>
      <c r="BQ150">
        <v>0</v>
      </c>
      <c r="BR150">
        <v>0</v>
      </c>
      <c r="BS150" s="1" t="s">
        <v>161</v>
      </c>
      <c r="BT150" s="1" t="s">
        <v>257</v>
      </c>
      <c r="BU150" s="1" t="s">
        <v>128</v>
      </c>
      <c r="BV150">
        <v>0.4</v>
      </c>
      <c r="BW150">
        <v>0</v>
      </c>
      <c r="BX150">
        <v>0</v>
      </c>
      <c r="BY150">
        <v>0</v>
      </c>
      <c r="BZ150">
        <v>6.6666666666666596E-2</v>
      </c>
      <c r="CA150" s="1" t="s">
        <v>2264</v>
      </c>
      <c r="CB150" s="1" t="s">
        <v>2265</v>
      </c>
      <c r="CC150" s="1" t="s">
        <v>2266</v>
      </c>
      <c r="CD150" s="1" t="s">
        <v>2267</v>
      </c>
      <c r="CE150">
        <v>1.49</v>
      </c>
      <c r="CF150" s="1" t="s">
        <v>2268</v>
      </c>
      <c r="CG150">
        <v>4</v>
      </c>
      <c r="CH150" s="1" t="s">
        <v>205</v>
      </c>
      <c r="CI150" s="1" t="s">
        <v>129</v>
      </c>
      <c r="CJ150" s="1" t="s">
        <v>129</v>
      </c>
      <c r="CK150" s="1" t="s">
        <v>161</v>
      </c>
      <c r="CL150" s="1" t="s">
        <v>327</v>
      </c>
      <c r="CM150" s="1" t="s">
        <v>516</v>
      </c>
      <c r="CN150" s="1" t="s">
        <v>610</v>
      </c>
      <c r="CO150" s="1" t="s">
        <v>941</v>
      </c>
      <c r="CP150" s="1" t="s">
        <v>2269</v>
      </c>
      <c r="CS150" s="1" t="s">
        <v>769</v>
      </c>
      <c r="CT150">
        <v>1666.4</v>
      </c>
      <c r="CU150">
        <v>1689</v>
      </c>
      <c r="CV150" s="1" t="s">
        <v>2270</v>
      </c>
      <c r="CW150">
        <v>63.75</v>
      </c>
      <c r="CX150">
        <v>63.7</v>
      </c>
      <c r="CY150">
        <v>56.6</v>
      </c>
      <c r="CZ150" s="1" t="s">
        <v>1857</v>
      </c>
      <c r="DA150">
        <v>1</v>
      </c>
      <c r="DB150" t="s">
        <v>226</v>
      </c>
      <c r="DC150">
        <v>70</v>
      </c>
      <c r="DD150" s="1" t="s">
        <v>2271</v>
      </c>
      <c r="DE150">
        <v>-15.9965894867114</v>
      </c>
      <c r="DF150" t="e">
        <f>_xlfn.XLOOKUP(Table1[[#This Row],[Player ID]],Table2[feed_id],Table2[trade_status])</f>
        <v>#N/A</v>
      </c>
      <c r="DG150">
        <f>_xlfn.NUMBERVALUE(Table1[[#This Row],[predicted]])</f>
        <v>85.9965894867114</v>
      </c>
    </row>
    <row r="151" spans="1:111" hidden="1" x14ac:dyDescent="0.25">
      <c r="A151">
        <v>75344</v>
      </c>
      <c r="B151">
        <v>6669</v>
      </c>
      <c r="C151" t="s">
        <v>2272</v>
      </c>
      <c r="D151" t="s">
        <v>762</v>
      </c>
      <c r="E151">
        <v>2018</v>
      </c>
      <c r="F151">
        <v>290540</v>
      </c>
      <c r="G151" t="s">
        <v>2273</v>
      </c>
      <c r="H151" t="s">
        <v>2274</v>
      </c>
      <c r="I151" t="s">
        <v>249</v>
      </c>
      <c r="J151">
        <v>2</v>
      </c>
      <c r="K151">
        <v>29</v>
      </c>
      <c r="L151">
        <v>13</v>
      </c>
      <c r="M151">
        <v>40</v>
      </c>
      <c r="N151">
        <v>19</v>
      </c>
      <c r="O151">
        <v>27</v>
      </c>
      <c r="P151">
        <v>4</v>
      </c>
      <c r="Q151">
        <v>1</v>
      </c>
      <c r="R151">
        <v>1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113</v>
      </c>
      <c r="Z151" t="s">
        <v>179</v>
      </c>
      <c r="AA151" t="s">
        <v>2275</v>
      </c>
      <c r="AD151">
        <v>326200</v>
      </c>
      <c r="AE151">
        <v>57</v>
      </c>
      <c r="AF151">
        <v>199800</v>
      </c>
      <c r="AG151">
        <v>68</v>
      </c>
      <c r="AH151" t="s">
        <v>181</v>
      </c>
      <c r="AI151">
        <v>24</v>
      </c>
      <c r="AJ151">
        <v>10</v>
      </c>
      <c r="AK151">
        <v>52</v>
      </c>
      <c r="AL151">
        <v>39.4</v>
      </c>
      <c r="AM151">
        <v>2.5299999999999998</v>
      </c>
      <c r="AN151">
        <v>4.46</v>
      </c>
      <c r="AO151">
        <v>7.53</v>
      </c>
      <c r="AP151">
        <v>338000</v>
      </c>
      <c r="AQ151">
        <v>60</v>
      </c>
      <c r="AS151">
        <v>1</v>
      </c>
      <c r="AT151">
        <v>0</v>
      </c>
      <c r="AU151">
        <v>4</v>
      </c>
      <c r="AV151">
        <v>0</v>
      </c>
      <c r="AW151">
        <v>82</v>
      </c>
      <c r="AZ151" t="b">
        <v>0</v>
      </c>
      <c r="BA151">
        <v>1986</v>
      </c>
      <c r="BB151">
        <v>1299</v>
      </c>
      <c r="BC151">
        <v>21</v>
      </c>
      <c r="BD151" t="s">
        <v>2276</v>
      </c>
      <c r="BE151" s="1" t="s">
        <v>2257</v>
      </c>
      <c r="BF151">
        <v>0</v>
      </c>
      <c r="BG151">
        <v>73</v>
      </c>
      <c r="BH151">
        <v>0</v>
      </c>
      <c r="BI151" s="1" t="s">
        <v>183</v>
      </c>
      <c r="BJ151" s="1" t="s">
        <v>1041</v>
      </c>
      <c r="BK151" s="1" t="s">
        <v>159</v>
      </c>
      <c r="BL151" s="1" t="s">
        <v>212</v>
      </c>
      <c r="BM151" s="1" t="s">
        <v>125</v>
      </c>
      <c r="BN151">
        <v>3.2</v>
      </c>
      <c r="BO151">
        <v>2</v>
      </c>
      <c r="BP151" s="1" t="s">
        <v>140</v>
      </c>
      <c r="BQ151">
        <v>0</v>
      </c>
      <c r="BR151" s="1" t="s">
        <v>213</v>
      </c>
      <c r="BS151" s="1" t="s">
        <v>129</v>
      </c>
      <c r="BT151" s="1" t="s">
        <v>130</v>
      </c>
      <c r="BU151" s="1" t="s">
        <v>161</v>
      </c>
      <c r="BV151" s="1" t="s">
        <v>275</v>
      </c>
      <c r="BW151">
        <v>0</v>
      </c>
      <c r="BX151">
        <v>0</v>
      </c>
      <c r="BY151">
        <v>0</v>
      </c>
      <c r="BZ151">
        <v>0</v>
      </c>
      <c r="CA151" s="1" t="s">
        <v>2277</v>
      </c>
      <c r="CB151" s="1" t="s">
        <v>2278</v>
      </c>
      <c r="CC151" s="1" t="s">
        <v>2279</v>
      </c>
      <c r="CD151" s="1" t="s">
        <v>2280</v>
      </c>
      <c r="CE151" s="1" t="s">
        <v>2281</v>
      </c>
      <c r="CF151" s="1" t="s">
        <v>2282</v>
      </c>
      <c r="CG151">
        <v>3</v>
      </c>
      <c r="CH151" s="1" t="s">
        <v>431</v>
      </c>
      <c r="CI151">
        <v>0</v>
      </c>
      <c r="CJ151" s="1" t="s">
        <v>129</v>
      </c>
      <c r="CK151" s="1" t="s">
        <v>397</v>
      </c>
      <c r="CL151" s="1" t="s">
        <v>565</v>
      </c>
      <c r="CM151" s="1" t="s">
        <v>420</v>
      </c>
      <c r="CN151" s="1" t="s">
        <v>2283</v>
      </c>
      <c r="CO151" s="1" t="s">
        <v>1258</v>
      </c>
      <c r="CP151" s="1" t="s">
        <v>516</v>
      </c>
      <c r="CS151" s="1" t="s">
        <v>2284</v>
      </c>
      <c r="CT151" s="1" t="s">
        <v>2285</v>
      </c>
      <c r="CU151">
        <v>1832</v>
      </c>
      <c r="CV151" s="1" t="s">
        <v>2286</v>
      </c>
      <c r="CW151">
        <v>44.95</v>
      </c>
      <c r="CX151">
        <v>35.9</v>
      </c>
      <c r="CY151">
        <v>28.8</v>
      </c>
      <c r="CZ151" s="1" t="s">
        <v>2287</v>
      </c>
      <c r="DA151">
        <v>1</v>
      </c>
      <c r="DB151" t="s">
        <v>179</v>
      </c>
      <c r="DC151">
        <v>13</v>
      </c>
      <c r="DD151" s="1" t="s">
        <v>2288</v>
      </c>
      <c r="DE151">
        <v>-29.8948918337035</v>
      </c>
      <c r="DF151" t="e">
        <f>_xlfn.XLOOKUP(Table1[[#This Row],[Player ID]],Table2[feed_id],Table2[trade_status])</f>
        <v>#N/A</v>
      </c>
      <c r="DG151">
        <f>_xlfn.NUMBERVALUE(Table1[[#This Row],[predicted]])</f>
        <v>42.894891833703497</v>
      </c>
    </row>
    <row r="152" spans="1:111" hidden="1" x14ac:dyDescent="0.25">
      <c r="A152">
        <v>75388</v>
      </c>
      <c r="B152">
        <v>6670</v>
      </c>
      <c r="C152" t="s">
        <v>2289</v>
      </c>
      <c r="D152" t="s">
        <v>762</v>
      </c>
      <c r="E152">
        <v>2018</v>
      </c>
      <c r="F152">
        <v>261142</v>
      </c>
      <c r="G152" t="s">
        <v>2290</v>
      </c>
      <c r="H152" t="s">
        <v>2291</v>
      </c>
      <c r="I152" t="s">
        <v>291</v>
      </c>
      <c r="J152">
        <v>9</v>
      </c>
      <c r="K152">
        <v>52</v>
      </c>
      <c r="L152">
        <v>57</v>
      </c>
      <c r="M152">
        <v>68</v>
      </c>
      <c r="N152">
        <v>38</v>
      </c>
      <c r="O152">
        <v>54</v>
      </c>
      <c r="P152">
        <v>4</v>
      </c>
      <c r="Q152">
        <v>7</v>
      </c>
      <c r="R152">
        <v>2</v>
      </c>
      <c r="S152">
        <v>5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113</v>
      </c>
      <c r="Z152" t="s">
        <v>226</v>
      </c>
      <c r="AA152" t="s">
        <v>2292</v>
      </c>
      <c r="AD152">
        <v>339100</v>
      </c>
      <c r="AE152">
        <v>45</v>
      </c>
      <c r="AF152">
        <v>276500</v>
      </c>
      <c r="AG152">
        <v>37</v>
      </c>
      <c r="AH152" t="s">
        <v>181</v>
      </c>
      <c r="AI152">
        <v>23</v>
      </c>
      <c r="AJ152">
        <v>15</v>
      </c>
      <c r="AK152">
        <v>60.53</v>
      </c>
      <c r="AL152">
        <v>66.13</v>
      </c>
      <c r="AM152">
        <v>0.53</v>
      </c>
      <c r="AN152">
        <v>1.08</v>
      </c>
      <c r="AO152">
        <v>1.1399999999999999</v>
      </c>
      <c r="AP152">
        <v>349000</v>
      </c>
      <c r="AQ152">
        <v>67</v>
      </c>
      <c r="AS152">
        <v>5</v>
      </c>
      <c r="AT152">
        <v>1</v>
      </c>
      <c r="AU152">
        <v>1</v>
      </c>
      <c r="AV152">
        <v>72</v>
      </c>
      <c r="AW152">
        <v>85</v>
      </c>
      <c r="AZ152" t="b">
        <v>0</v>
      </c>
      <c r="BA152">
        <v>1251</v>
      </c>
      <c r="BB152">
        <v>2036</v>
      </c>
      <c r="BC152">
        <v>21</v>
      </c>
      <c r="BD152" t="s">
        <v>2293</v>
      </c>
      <c r="BE152" s="1" t="s">
        <v>2257</v>
      </c>
      <c r="BF152">
        <v>0</v>
      </c>
      <c r="BG152">
        <v>73</v>
      </c>
      <c r="BH152">
        <v>0</v>
      </c>
      <c r="BI152" s="1" t="s">
        <v>545</v>
      </c>
      <c r="BJ152" s="1" t="s">
        <v>879</v>
      </c>
      <c r="BK152" s="1" t="s">
        <v>204</v>
      </c>
      <c r="BL152" s="1" t="s">
        <v>397</v>
      </c>
      <c r="BM152" s="1" t="s">
        <v>159</v>
      </c>
      <c r="BN152" s="1" t="s">
        <v>169</v>
      </c>
      <c r="BO152">
        <v>2</v>
      </c>
      <c r="BP152">
        <v>2.4</v>
      </c>
      <c r="BQ152">
        <v>0</v>
      </c>
      <c r="BR152">
        <v>0</v>
      </c>
      <c r="BS152" s="1" t="s">
        <v>129</v>
      </c>
      <c r="BT152">
        <v>0.6</v>
      </c>
      <c r="BU152" s="1" t="s">
        <v>128</v>
      </c>
      <c r="BV152" s="1" t="s">
        <v>399</v>
      </c>
      <c r="BW152">
        <v>0</v>
      </c>
      <c r="BX152">
        <v>6.6666666666666596E-2</v>
      </c>
      <c r="BY152">
        <v>0</v>
      </c>
      <c r="BZ152">
        <v>6.6666666666666596E-2</v>
      </c>
      <c r="CA152" s="1" t="s">
        <v>2294</v>
      </c>
      <c r="CB152" s="1" t="s">
        <v>129</v>
      </c>
      <c r="CC152" s="1" t="s">
        <v>2295</v>
      </c>
      <c r="CD152" s="1" t="s">
        <v>2296</v>
      </c>
      <c r="CE152" s="1" t="s">
        <v>2297</v>
      </c>
      <c r="CF152" s="1" t="s">
        <v>2298</v>
      </c>
      <c r="CG152">
        <v>4</v>
      </c>
      <c r="CH152" s="1" t="s">
        <v>205</v>
      </c>
      <c r="CI152" s="1" t="s">
        <v>128</v>
      </c>
      <c r="CJ152" s="1" t="s">
        <v>162</v>
      </c>
      <c r="CK152" s="1" t="s">
        <v>159</v>
      </c>
      <c r="CL152" s="1" t="s">
        <v>159</v>
      </c>
      <c r="CM152" s="1" t="s">
        <v>822</v>
      </c>
      <c r="CN152">
        <v>72.400000000000006</v>
      </c>
      <c r="CO152" s="1" t="s">
        <v>516</v>
      </c>
      <c r="CP152">
        <v>83.8</v>
      </c>
      <c r="CS152">
        <v>1720</v>
      </c>
      <c r="CT152" s="1" t="s">
        <v>2299</v>
      </c>
      <c r="CU152" s="1" t="s">
        <v>2300</v>
      </c>
      <c r="CV152" s="1" t="s">
        <v>2301</v>
      </c>
      <c r="CW152">
        <v>64.25</v>
      </c>
      <c r="CX152">
        <v>52.8</v>
      </c>
      <c r="CY152">
        <v>53</v>
      </c>
      <c r="CZ152">
        <v>56</v>
      </c>
      <c r="DA152">
        <v>1</v>
      </c>
      <c r="DB152" t="s">
        <v>226</v>
      </c>
      <c r="DC152">
        <v>57</v>
      </c>
      <c r="DD152" s="1" t="s">
        <v>2302</v>
      </c>
      <c r="DE152">
        <v>-31.066669654596598</v>
      </c>
      <c r="DF152" t="e">
        <f>_xlfn.XLOOKUP(Table1[[#This Row],[Player ID]],Table2[feed_id],Table2[trade_status])</f>
        <v>#N/A</v>
      </c>
      <c r="DG152">
        <f>_xlfn.NUMBERVALUE(Table1[[#This Row],[predicted]])</f>
        <v>88.066669654596595</v>
      </c>
    </row>
    <row r="153" spans="1:111" hidden="1" x14ac:dyDescent="0.25">
      <c r="A153">
        <v>75398</v>
      </c>
      <c r="B153">
        <v>6670</v>
      </c>
      <c r="C153" t="s">
        <v>2289</v>
      </c>
      <c r="D153" t="s">
        <v>762</v>
      </c>
      <c r="E153">
        <v>2018</v>
      </c>
      <c r="F153">
        <v>294583</v>
      </c>
      <c r="G153" t="s">
        <v>1184</v>
      </c>
      <c r="H153" t="s">
        <v>1772</v>
      </c>
      <c r="I153" t="s">
        <v>524</v>
      </c>
      <c r="J153">
        <v>15</v>
      </c>
      <c r="K153">
        <v>62</v>
      </c>
      <c r="L153">
        <v>62</v>
      </c>
      <c r="M153">
        <v>61</v>
      </c>
      <c r="N153">
        <v>48</v>
      </c>
      <c r="O153">
        <v>69</v>
      </c>
      <c r="P153">
        <v>6</v>
      </c>
      <c r="Q153">
        <v>7</v>
      </c>
      <c r="R153">
        <v>3</v>
      </c>
      <c r="S153">
        <v>7</v>
      </c>
      <c r="T153">
        <v>0</v>
      </c>
      <c r="U153">
        <v>2</v>
      </c>
      <c r="V153">
        <v>3</v>
      </c>
      <c r="W153">
        <v>0</v>
      </c>
      <c r="X153">
        <v>0</v>
      </c>
      <c r="Y153" t="s">
        <v>113</v>
      </c>
      <c r="Z153" t="s">
        <v>877</v>
      </c>
      <c r="AA153" t="s">
        <v>2303</v>
      </c>
      <c r="AD153">
        <v>421800</v>
      </c>
      <c r="AE153">
        <v>66</v>
      </c>
      <c r="AF153">
        <v>348000</v>
      </c>
      <c r="AG153">
        <v>64</v>
      </c>
      <c r="AH153" t="s">
        <v>118</v>
      </c>
      <c r="AI153">
        <v>7</v>
      </c>
      <c r="AJ153">
        <v>3</v>
      </c>
      <c r="AK153">
        <v>63.33</v>
      </c>
      <c r="AL153">
        <v>73</v>
      </c>
      <c r="AM153">
        <v>0.04</v>
      </c>
      <c r="AN153">
        <v>0.11</v>
      </c>
      <c r="AO153">
        <v>0.08</v>
      </c>
      <c r="AP153">
        <v>455000</v>
      </c>
      <c r="AQ153">
        <v>62</v>
      </c>
      <c r="AS153">
        <v>9</v>
      </c>
      <c r="AT153">
        <v>5</v>
      </c>
      <c r="AU153">
        <v>4</v>
      </c>
      <c r="AV153">
        <v>69</v>
      </c>
      <c r="AW153">
        <v>78</v>
      </c>
      <c r="AZ153" t="b">
        <v>0</v>
      </c>
      <c r="BA153">
        <v>2036</v>
      </c>
      <c r="BB153">
        <v>1251</v>
      </c>
      <c r="BC153">
        <v>21</v>
      </c>
      <c r="BD153" t="s">
        <v>2304</v>
      </c>
      <c r="BE153" s="1" t="s">
        <v>2257</v>
      </c>
      <c r="BF153">
        <v>0</v>
      </c>
      <c r="BG153">
        <v>73</v>
      </c>
      <c r="BH153">
        <v>0</v>
      </c>
      <c r="BI153">
        <v>7</v>
      </c>
      <c r="BJ153" s="1" t="s">
        <v>964</v>
      </c>
      <c r="BK153" s="1" t="s">
        <v>294</v>
      </c>
      <c r="BL153">
        <v>10.199999999999999</v>
      </c>
      <c r="BM153" s="1" t="s">
        <v>126</v>
      </c>
      <c r="BN153">
        <v>2.6</v>
      </c>
      <c r="BO153" s="1" t="s">
        <v>397</v>
      </c>
      <c r="BP153" s="1" t="s">
        <v>565</v>
      </c>
      <c r="BQ153">
        <v>0</v>
      </c>
      <c r="BR153">
        <v>0</v>
      </c>
      <c r="BS153" s="1" t="s">
        <v>128</v>
      </c>
      <c r="BT153" s="1" t="s">
        <v>130</v>
      </c>
      <c r="BU153" s="1" t="s">
        <v>126</v>
      </c>
      <c r="BV153">
        <v>1</v>
      </c>
      <c r="BW153">
        <v>0</v>
      </c>
      <c r="BX153" s="1" t="s">
        <v>213</v>
      </c>
      <c r="BY153">
        <v>0</v>
      </c>
      <c r="BZ153">
        <v>0</v>
      </c>
      <c r="CA153">
        <v>2.6666666666666599E-2</v>
      </c>
      <c r="CB153" s="1" t="s">
        <v>2088</v>
      </c>
      <c r="CC153">
        <v>7.3333333333333306E-2</v>
      </c>
      <c r="CD153" s="1" t="s">
        <v>627</v>
      </c>
      <c r="CE153">
        <v>7.3333333333333306E-2</v>
      </c>
      <c r="CF153">
        <v>0.21</v>
      </c>
      <c r="CG153" s="1" t="s">
        <v>1008</v>
      </c>
      <c r="CH153" s="1" t="s">
        <v>1079</v>
      </c>
      <c r="CI153" s="1" t="s">
        <v>449</v>
      </c>
      <c r="CJ153">
        <v>3</v>
      </c>
      <c r="CK153" s="1" t="s">
        <v>138</v>
      </c>
      <c r="CL153">
        <v>2.2000000000000002</v>
      </c>
      <c r="CM153">
        <v>67</v>
      </c>
      <c r="CN153" s="1" t="s">
        <v>2305</v>
      </c>
      <c r="CO153">
        <v>79</v>
      </c>
      <c r="CP153">
        <v>75.2</v>
      </c>
      <c r="CS153">
        <v>1455</v>
      </c>
      <c r="CT153" s="1" t="s">
        <v>2306</v>
      </c>
      <c r="CU153">
        <v>1825</v>
      </c>
      <c r="CV153" s="1" t="s">
        <v>2307</v>
      </c>
      <c r="CW153">
        <v>63.3</v>
      </c>
      <c r="CX153">
        <v>69.3</v>
      </c>
      <c r="CY153">
        <v>77</v>
      </c>
      <c r="CZ153">
        <v>74</v>
      </c>
      <c r="DA153">
        <v>1</v>
      </c>
      <c r="DB153" t="s">
        <v>877</v>
      </c>
      <c r="DC153">
        <v>62</v>
      </c>
      <c r="DD153">
        <v>52.810014695869903</v>
      </c>
      <c r="DE153" s="1" t="s">
        <v>2308</v>
      </c>
      <c r="DF153" t="e">
        <f>_xlfn.XLOOKUP(Table1[[#This Row],[Player ID]],Table2[feed_id],Table2[trade_status])</f>
        <v>#N/A</v>
      </c>
      <c r="DG153">
        <f>_xlfn.NUMBERVALUE(Table1[[#This Row],[predicted]])</f>
        <v>52.810014695869903</v>
      </c>
    </row>
    <row r="154" spans="1:111" hidden="1" x14ac:dyDescent="0.25">
      <c r="A154">
        <v>75767</v>
      </c>
      <c r="B154">
        <v>6679</v>
      </c>
      <c r="C154" t="s">
        <v>2309</v>
      </c>
      <c r="D154" t="s">
        <v>810</v>
      </c>
      <c r="E154">
        <v>2018</v>
      </c>
      <c r="F154">
        <v>292029</v>
      </c>
      <c r="G154" t="s">
        <v>271</v>
      </c>
      <c r="H154" t="s">
        <v>2310</v>
      </c>
      <c r="I154" t="s">
        <v>291</v>
      </c>
      <c r="J154">
        <v>11</v>
      </c>
      <c r="K154">
        <v>53</v>
      </c>
      <c r="L154">
        <v>57</v>
      </c>
      <c r="M154">
        <v>67</v>
      </c>
      <c r="N154">
        <v>43</v>
      </c>
      <c r="O154">
        <v>55</v>
      </c>
      <c r="P154">
        <v>6</v>
      </c>
      <c r="Q154">
        <v>4</v>
      </c>
      <c r="R154">
        <v>4</v>
      </c>
      <c r="S154">
        <v>2</v>
      </c>
      <c r="T154">
        <v>1</v>
      </c>
      <c r="U154">
        <v>0</v>
      </c>
      <c r="V154">
        <v>0</v>
      </c>
      <c r="W154">
        <v>1</v>
      </c>
      <c r="X154">
        <v>0</v>
      </c>
      <c r="Y154" t="s">
        <v>113</v>
      </c>
      <c r="Z154" t="s">
        <v>987</v>
      </c>
      <c r="AA154" t="s">
        <v>2311</v>
      </c>
      <c r="AD154">
        <v>508100</v>
      </c>
      <c r="AE154">
        <v>159</v>
      </c>
      <c r="AF154">
        <v>421400</v>
      </c>
      <c r="AG154">
        <v>177</v>
      </c>
      <c r="AH154" t="s">
        <v>155</v>
      </c>
      <c r="AI154">
        <v>21</v>
      </c>
      <c r="AJ154">
        <v>3</v>
      </c>
      <c r="AK154">
        <v>50.33</v>
      </c>
      <c r="AL154">
        <v>57.67</v>
      </c>
      <c r="AM154">
        <v>0.21</v>
      </c>
      <c r="AN154">
        <v>0.28999999999999998</v>
      </c>
      <c r="AO154">
        <v>0.22</v>
      </c>
      <c r="AP154">
        <v>495000</v>
      </c>
      <c r="AQ154">
        <v>127</v>
      </c>
      <c r="AS154">
        <v>5</v>
      </c>
      <c r="AT154">
        <v>1</v>
      </c>
      <c r="AU154">
        <v>2</v>
      </c>
      <c r="AV154">
        <v>80</v>
      </c>
      <c r="AW154">
        <v>83</v>
      </c>
      <c r="AZ154" t="b">
        <v>0</v>
      </c>
      <c r="BA154">
        <v>1738</v>
      </c>
      <c r="BB154">
        <v>1553</v>
      </c>
      <c r="BC154">
        <v>22</v>
      </c>
      <c r="BD154" t="s">
        <v>2312</v>
      </c>
      <c r="BE154" s="1" t="s">
        <v>120</v>
      </c>
      <c r="BF154">
        <v>0</v>
      </c>
      <c r="BG154">
        <v>75</v>
      </c>
      <c r="BH154">
        <v>0</v>
      </c>
      <c r="BI154">
        <v>5</v>
      </c>
      <c r="BJ154" s="1" t="s">
        <v>398</v>
      </c>
      <c r="BK154">
        <v>4</v>
      </c>
      <c r="BL154">
        <v>7.6</v>
      </c>
      <c r="BM154">
        <v>3</v>
      </c>
      <c r="BN154" s="1" t="s">
        <v>230</v>
      </c>
      <c r="BO154" s="1" t="s">
        <v>159</v>
      </c>
      <c r="BP154" s="1" t="s">
        <v>237</v>
      </c>
      <c r="BQ154">
        <v>3</v>
      </c>
      <c r="BR154" s="1" t="s">
        <v>1092</v>
      </c>
      <c r="BS154" s="1" t="s">
        <v>128</v>
      </c>
      <c r="BT154" s="1" t="s">
        <v>162</v>
      </c>
      <c r="BU154" s="1" t="s">
        <v>128</v>
      </c>
      <c r="BV154">
        <v>1</v>
      </c>
      <c r="BW154" s="1" t="s">
        <v>129</v>
      </c>
      <c r="BX154">
        <v>0.8</v>
      </c>
      <c r="BY154">
        <v>0</v>
      </c>
      <c r="BZ154">
        <v>0.4</v>
      </c>
      <c r="CA154">
        <v>0.56999999999999995</v>
      </c>
      <c r="CB154">
        <v>2.5579999999999998</v>
      </c>
      <c r="CC154" s="1" t="s">
        <v>238</v>
      </c>
      <c r="CD154" s="1" t="s">
        <v>2313</v>
      </c>
      <c r="CE154" s="1" t="s">
        <v>978</v>
      </c>
      <c r="CF154" s="1" t="s">
        <v>2314</v>
      </c>
      <c r="CG154" s="1" t="s">
        <v>211</v>
      </c>
      <c r="CH154" s="1" t="s">
        <v>429</v>
      </c>
      <c r="CI154">
        <v>1</v>
      </c>
      <c r="CJ154">
        <v>0.8</v>
      </c>
      <c r="CK154" s="1" t="s">
        <v>169</v>
      </c>
      <c r="CL154" s="1" t="s">
        <v>170</v>
      </c>
      <c r="CM154" s="1" t="s">
        <v>822</v>
      </c>
      <c r="CN154" s="1" t="s">
        <v>382</v>
      </c>
      <c r="CO154">
        <v>81</v>
      </c>
      <c r="CP154" s="1" t="s">
        <v>1740</v>
      </c>
      <c r="CS154" s="1" t="s">
        <v>2315</v>
      </c>
      <c r="CT154" s="1" t="s">
        <v>2316</v>
      </c>
      <c r="CU154">
        <v>1655</v>
      </c>
      <c r="CV154" s="1" t="s">
        <v>2317</v>
      </c>
      <c r="CW154">
        <v>78.400000000000006</v>
      </c>
      <c r="CX154">
        <v>67.400000000000006</v>
      </c>
      <c r="CY154">
        <v>55.8</v>
      </c>
      <c r="CZ154">
        <v>46</v>
      </c>
      <c r="DA154">
        <v>1</v>
      </c>
      <c r="DB154" t="s">
        <v>987</v>
      </c>
      <c r="DC154">
        <v>57</v>
      </c>
      <c r="DD154" s="1" t="s">
        <v>2318</v>
      </c>
      <c r="DE154">
        <v>-30.8236509638295</v>
      </c>
      <c r="DF154" t="e">
        <f>_xlfn.XLOOKUP(Table1[[#This Row],[Player ID]],Table2[feed_id],Table2[trade_status])</f>
        <v>#N/A</v>
      </c>
      <c r="DG154">
        <f>_xlfn.NUMBERVALUE(Table1[[#This Row],[predicted]])</f>
        <v>87.823650963829493</v>
      </c>
    </row>
    <row r="155" spans="1:111" hidden="1" x14ac:dyDescent="0.25">
      <c r="A155">
        <v>75829</v>
      </c>
      <c r="B155">
        <v>6680</v>
      </c>
      <c r="C155" t="s">
        <v>2319</v>
      </c>
      <c r="D155" t="s">
        <v>810</v>
      </c>
      <c r="E155">
        <v>2018</v>
      </c>
      <c r="F155">
        <v>295445</v>
      </c>
      <c r="G155" t="s">
        <v>740</v>
      </c>
      <c r="H155" t="s">
        <v>2320</v>
      </c>
      <c r="I155" t="s">
        <v>249</v>
      </c>
      <c r="J155">
        <v>8</v>
      </c>
      <c r="K155">
        <v>69</v>
      </c>
      <c r="L155">
        <v>45</v>
      </c>
      <c r="M155">
        <v>37</v>
      </c>
      <c r="N155">
        <v>52</v>
      </c>
      <c r="O155">
        <v>70</v>
      </c>
      <c r="P155">
        <v>13</v>
      </c>
      <c r="Q155">
        <v>5</v>
      </c>
      <c r="R155">
        <v>3</v>
      </c>
      <c r="S155">
        <v>2</v>
      </c>
      <c r="T155">
        <v>0</v>
      </c>
      <c r="U155">
        <v>2</v>
      </c>
      <c r="V155">
        <v>0</v>
      </c>
      <c r="W155">
        <v>0</v>
      </c>
      <c r="X155">
        <v>1</v>
      </c>
      <c r="Y155" t="s">
        <v>113</v>
      </c>
      <c r="Z155" t="s">
        <v>542</v>
      </c>
      <c r="AA155" t="s">
        <v>2321</v>
      </c>
      <c r="AB155" t="s">
        <v>525</v>
      </c>
      <c r="AC155" t="s">
        <v>1440</v>
      </c>
      <c r="AD155">
        <v>470400</v>
      </c>
      <c r="AE155">
        <v>90</v>
      </c>
      <c r="AF155">
        <v>329300</v>
      </c>
      <c r="AG155">
        <v>78</v>
      </c>
      <c r="AH155" t="s">
        <v>118</v>
      </c>
      <c r="AI155">
        <v>32</v>
      </c>
      <c r="AJ155">
        <v>8</v>
      </c>
      <c r="AK155">
        <v>68.5</v>
      </c>
      <c r="AL155">
        <v>62.5</v>
      </c>
      <c r="AM155">
        <v>0.15</v>
      </c>
      <c r="AN155">
        <v>0.13</v>
      </c>
      <c r="AO155">
        <v>0.08</v>
      </c>
      <c r="AP155">
        <v>449000</v>
      </c>
      <c r="AQ155">
        <v>106</v>
      </c>
      <c r="AS155">
        <v>6</v>
      </c>
      <c r="AT155">
        <v>4</v>
      </c>
      <c r="AU155">
        <v>2</v>
      </c>
      <c r="AV155">
        <v>44</v>
      </c>
      <c r="AW155">
        <v>68</v>
      </c>
      <c r="AZ155" t="b">
        <v>0</v>
      </c>
      <c r="BA155">
        <v>1761</v>
      </c>
      <c r="BB155">
        <v>1515</v>
      </c>
      <c r="BC155">
        <v>22</v>
      </c>
      <c r="BD155" t="s">
        <v>2322</v>
      </c>
      <c r="BE155" s="1" t="s">
        <v>120</v>
      </c>
      <c r="BF155">
        <v>0</v>
      </c>
      <c r="BG155">
        <v>75</v>
      </c>
      <c r="BH155">
        <v>0</v>
      </c>
      <c r="BI155" s="1" t="s">
        <v>977</v>
      </c>
      <c r="BJ155" s="1" t="s">
        <v>586</v>
      </c>
      <c r="BK155">
        <v>7</v>
      </c>
      <c r="BL155" s="1" t="s">
        <v>183</v>
      </c>
      <c r="BM155">
        <v>2</v>
      </c>
      <c r="BN155" s="1" t="s">
        <v>212</v>
      </c>
      <c r="BO155" s="1" t="s">
        <v>169</v>
      </c>
      <c r="BP155" s="1" t="s">
        <v>640</v>
      </c>
      <c r="BQ155">
        <v>0</v>
      </c>
      <c r="BR155">
        <v>0</v>
      </c>
      <c r="BS155">
        <v>1</v>
      </c>
      <c r="BT155" s="1" t="s">
        <v>399</v>
      </c>
      <c r="BU155" s="1" t="s">
        <v>126</v>
      </c>
      <c r="BV155" s="1" t="s">
        <v>162</v>
      </c>
      <c r="BW155">
        <v>0</v>
      </c>
      <c r="BX155">
        <v>0.2</v>
      </c>
      <c r="BY155" s="1" t="s">
        <v>129</v>
      </c>
      <c r="BZ155" s="1" t="s">
        <v>238</v>
      </c>
      <c r="CA155">
        <v>9.9999999999999895E-2</v>
      </c>
      <c r="CB155" s="1" t="s">
        <v>2323</v>
      </c>
      <c r="CC155">
        <v>8.66666666666666E-2</v>
      </c>
      <c r="CD155" s="1" t="s">
        <v>2324</v>
      </c>
      <c r="CE155">
        <v>0.08</v>
      </c>
      <c r="CF155" s="1" t="s">
        <v>2325</v>
      </c>
      <c r="CG155" s="1" t="s">
        <v>211</v>
      </c>
      <c r="CH155">
        <v>5.8</v>
      </c>
      <c r="CI155" s="1" t="s">
        <v>159</v>
      </c>
      <c r="CJ155">
        <v>2.2000000000000002</v>
      </c>
      <c r="CK155" s="1" t="s">
        <v>169</v>
      </c>
      <c r="CL155">
        <v>2.6</v>
      </c>
      <c r="CM155">
        <v>74</v>
      </c>
      <c r="CN155" s="1" t="s">
        <v>1839</v>
      </c>
      <c r="CO155" s="1" t="s">
        <v>1080</v>
      </c>
      <c r="CP155" s="1" t="s">
        <v>2326</v>
      </c>
      <c r="CS155">
        <v>1437</v>
      </c>
      <c r="CT155" s="1" t="s">
        <v>2327</v>
      </c>
      <c r="CU155" s="1" t="s">
        <v>2328</v>
      </c>
      <c r="CV155" s="1" t="s">
        <v>2329</v>
      </c>
      <c r="CW155">
        <v>67.2</v>
      </c>
      <c r="CX155">
        <v>57.2</v>
      </c>
      <c r="CY155">
        <v>53.6</v>
      </c>
      <c r="CZ155" s="1" t="s">
        <v>2013</v>
      </c>
      <c r="DA155">
        <v>1</v>
      </c>
      <c r="DB155" t="s">
        <v>542</v>
      </c>
      <c r="DC155">
        <v>45</v>
      </c>
      <c r="DD155" s="1" t="s">
        <v>2330</v>
      </c>
      <c r="DE155">
        <v>-15.9509373922957</v>
      </c>
      <c r="DF155" t="e">
        <f>_xlfn.XLOOKUP(Table1[[#This Row],[Player ID]],Table2[feed_id],Table2[trade_status])</f>
        <v>#N/A</v>
      </c>
      <c r="DG155">
        <f>_xlfn.NUMBERVALUE(Table1[[#This Row],[predicted]])</f>
        <v>60.9509373922957</v>
      </c>
    </row>
    <row r="156" spans="1:111" hidden="1" x14ac:dyDescent="0.25">
      <c r="A156">
        <v>75873</v>
      </c>
      <c r="B156">
        <v>6681</v>
      </c>
      <c r="C156" t="s">
        <v>2331</v>
      </c>
      <c r="D156" t="s">
        <v>109</v>
      </c>
      <c r="E156">
        <v>2018</v>
      </c>
      <c r="F156">
        <v>292025</v>
      </c>
      <c r="G156" t="s">
        <v>889</v>
      </c>
      <c r="H156" t="s">
        <v>2332</v>
      </c>
      <c r="I156" t="s">
        <v>619</v>
      </c>
      <c r="J156">
        <v>13</v>
      </c>
      <c r="K156">
        <v>71</v>
      </c>
      <c r="L156">
        <v>61</v>
      </c>
      <c r="M156">
        <v>42</v>
      </c>
      <c r="N156">
        <v>54</v>
      </c>
      <c r="O156">
        <v>72</v>
      </c>
      <c r="P156">
        <v>13</v>
      </c>
      <c r="Q156">
        <v>3</v>
      </c>
      <c r="R156">
        <v>6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113</v>
      </c>
      <c r="Z156" t="s">
        <v>179</v>
      </c>
      <c r="AA156" t="s">
        <v>2333</v>
      </c>
      <c r="AD156">
        <v>375200</v>
      </c>
      <c r="AE156">
        <v>97</v>
      </c>
      <c r="AF156">
        <v>338000</v>
      </c>
      <c r="AG156">
        <v>114</v>
      </c>
      <c r="AH156" t="s">
        <v>181</v>
      </c>
      <c r="AI156">
        <v>49</v>
      </c>
      <c r="AJ156">
        <v>11</v>
      </c>
      <c r="AK156">
        <v>53.67</v>
      </c>
      <c r="AL156">
        <v>61.83</v>
      </c>
      <c r="AM156">
        <v>0</v>
      </c>
      <c r="AN156">
        <v>0</v>
      </c>
      <c r="AO156">
        <v>0.09</v>
      </c>
      <c r="AP156">
        <v>382000</v>
      </c>
      <c r="AQ156">
        <v>81</v>
      </c>
      <c r="AS156">
        <v>0</v>
      </c>
      <c r="AT156">
        <v>0</v>
      </c>
      <c r="AU156">
        <v>2</v>
      </c>
      <c r="AV156">
        <v>87</v>
      </c>
      <c r="AW156">
        <v>90</v>
      </c>
      <c r="AZ156" t="b">
        <v>0</v>
      </c>
      <c r="BA156">
        <v>1661</v>
      </c>
      <c r="BB156">
        <v>1614</v>
      </c>
      <c r="BC156">
        <v>23</v>
      </c>
      <c r="BD156" t="s">
        <v>2334</v>
      </c>
      <c r="BE156">
        <v>97</v>
      </c>
      <c r="BF156">
        <v>0</v>
      </c>
      <c r="BG156">
        <v>75</v>
      </c>
      <c r="BH156">
        <v>0</v>
      </c>
      <c r="BI156">
        <v>9</v>
      </c>
      <c r="BJ156" s="1" t="s">
        <v>295</v>
      </c>
      <c r="BK156" s="1" t="s">
        <v>211</v>
      </c>
      <c r="BL156" s="1" t="s">
        <v>1092</v>
      </c>
      <c r="BM156" s="1" t="s">
        <v>160</v>
      </c>
      <c r="BN156">
        <v>5</v>
      </c>
      <c r="BO156">
        <v>1</v>
      </c>
      <c r="BP156">
        <v>1.6</v>
      </c>
      <c r="BQ156">
        <v>0</v>
      </c>
      <c r="BR156">
        <v>0</v>
      </c>
      <c r="BS156" s="1" t="s">
        <v>129</v>
      </c>
      <c r="BT156" s="1" t="s">
        <v>238</v>
      </c>
      <c r="BU156" s="1" t="s">
        <v>129</v>
      </c>
      <c r="BV156">
        <v>6.6666666666666596E-2</v>
      </c>
      <c r="BW156">
        <v>0</v>
      </c>
      <c r="BX156">
        <v>6.6666666666666596E-2</v>
      </c>
      <c r="BY156">
        <v>0</v>
      </c>
      <c r="BZ156">
        <v>0</v>
      </c>
      <c r="CA156">
        <v>0</v>
      </c>
      <c r="CB156">
        <v>9.9333333333333301E-2</v>
      </c>
      <c r="CC156">
        <v>0</v>
      </c>
      <c r="CD156">
        <v>8.5999999999999993E-2</v>
      </c>
      <c r="CE156" s="1" t="s">
        <v>1174</v>
      </c>
      <c r="CF156">
        <v>8.7999999999999995E-2</v>
      </c>
      <c r="CG156" s="1" t="s">
        <v>125</v>
      </c>
      <c r="CH156" s="1" t="s">
        <v>160</v>
      </c>
      <c r="CI156">
        <v>0</v>
      </c>
      <c r="CJ156" s="1" t="s">
        <v>213</v>
      </c>
      <c r="CK156">
        <v>2</v>
      </c>
      <c r="CL156" s="1" t="s">
        <v>257</v>
      </c>
      <c r="CM156">
        <v>84</v>
      </c>
      <c r="CN156" s="1" t="s">
        <v>2335</v>
      </c>
      <c r="CO156" s="1" t="s">
        <v>1979</v>
      </c>
      <c r="CP156" s="1" t="s">
        <v>2336</v>
      </c>
      <c r="CS156" s="1" t="s">
        <v>2337</v>
      </c>
      <c r="CT156" s="1" t="s">
        <v>2338</v>
      </c>
      <c r="CU156">
        <v>1526</v>
      </c>
      <c r="CV156" s="1" t="s">
        <v>2339</v>
      </c>
      <c r="CW156">
        <v>71.650000000000006</v>
      </c>
      <c r="CX156">
        <v>63.8</v>
      </c>
      <c r="CY156">
        <v>61.4</v>
      </c>
      <c r="CZ156" s="1" t="s">
        <v>1969</v>
      </c>
      <c r="DA156">
        <v>1</v>
      </c>
      <c r="DB156" t="s">
        <v>179</v>
      </c>
      <c r="DC156">
        <v>61</v>
      </c>
      <c r="DD156" s="1" t="s">
        <v>2340</v>
      </c>
      <c r="DE156" s="1" t="s">
        <v>2341</v>
      </c>
      <c r="DF156" t="e">
        <f>_xlfn.XLOOKUP(Table1[[#This Row],[Player ID]],Table2[feed_id],Table2[trade_status])</f>
        <v>#N/A</v>
      </c>
      <c r="DG156">
        <f>_xlfn.NUMBERVALUE(Table1[[#This Row],[predicted]])</f>
        <v>58.848375669835001</v>
      </c>
    </row>
    <row r="157" spans="1:111" hidden="1" x14ac:dyDescent="0.25">
      <c r="A157">
        <v>76033</v>
      </c>
      <c r="B157">
        <v>6685</v>
      </c>
      <c r="C157" t="s">
        <v>2342</v>
      </c>
      <c r="D157" t="s">
        <v>109</v>
      </c>
      <c r="E157">
        <v>2018</v>
      </c>
      <c r="F157">
        <v>296322</v>
      </c>
      <c r="G157" t="s">
        <v>1127</v>
      </c>
      <c r="H157" t="s">
        <v>2343</v>
      </c>
      <c r="I157" t="s">
        <v>524</v>
      </c>
      <c r="J157">
        <v>1</v>
      </c>
      <c r="K157">
        <v>10</v>
      </c>
      <c r="L157">
        <v>19</v>
      </c>
      <c r="M157">
        <v>15</v>
      </c>
      <c r="N157">
        <v>13</v>
      </c>
      <c r="O157">
        <v>20</v>
      </c>
      <c r="P157">
        <v>3</v>
      </c>
      <c r="Q157">
        <v>1</v>
      </c>
      <c r="R157">
        <v>2</v>
      </c>
      <c r="S157">
        <v>0</v>
      </c>
      <c r="T157">
        <v>2</v>
      </c>
      <c r="U157">
        <v>0</v>
      </c>
      <c r="V157">
        <v>3</v>
      </c>
      <c r="W157">
        <v>0</v>
      </c>
      <c r="X157">
        <v>0</v>
      </c>
      <c r="Y157" t="s">
        <v>113</v>
      </c>
      <c r="Z157" t="s">
        <v>179</v>
      </c>
      <c r="AA157" t="s">
        <v>2344</v>
      </c>
      <c r="AD157">
        <v>307400</v>
      </c>
      <c r="AE157">
        <v>77</v>
      </c>
      <c r="AF157">
        <v>306900</v>
      </c>
      <c r="AG157">
        <v>77</v>
      </c>
      <c r="AH157" t="s">
        <v>181</v>
      </c>
      <c r="AI157">
        <v>21</v>
      </c>
      <c r="AJ157">
        <v>7</v>
      </c>
      <c r="AK157">
        <v>42.5</v>
      </c>
      <c r="AL157">
        <v>56.63</v>
      </c>
      <c r="AM157">
        <v>0</v>
      </c>
      <c r="AN157">
        <v>0</v>
      </c>
      <c r="AO157">
        <v>0.06</v>
      </c>
      <c r="AP157">
        <v>307000</v>
      </c>
      <c r="AQ157">
        <v>65</v>
      </c>
      <c r="AS157">
        <v>2</v>
      </c>
      <c r="AT157">
        <v>0</v>
      </c>
      <c r="AU157">
        <v>5</v>
      </c>
      <c r="AV157">
        <v>25</v>
      </c>
      <c r="AW157">
        <v>98</v>
      </c>
      <c r="AZ157" t="b">
        <v>0</v>
      </c>
      <c r="BA157">
        <v>1764</v>
      </c>
      <c r="BB157">
        <v>1525</v>
      </c>
      <c r="BC157">
        <v>23</v>
      </c>
      <c r="BD157" t="s">
        <v>2345</v>
      </c>
      <c r="BE157">
        <v>97</v>
      </c>
      <c r="BF157">
        <v>0</v>
      </c>
      <c r="BG157">
        <v>75</v>
      </c>
      <c r="BH157">
        <v>0</v>
      </c>
      <c r="BI157">
        <v>4</v>
      </c>
      <c r="BJ157" s="1" t="s">
        <v>429</v>
      </c>
      <c r="BK157">
        <v>2</v>
      </c>
      <c r="BL157" s="1" t="s">
        <v>321</v>
      </c>
      <c r="BM157" s="1" t="s">
        <v>159</v>
      </c>
      <c r="BN157">
        <v>4.8</v>
      </c>
      <c r="BO157">
        <v>1</v>
      </c>
      <c r="BP157">
        <v>1.8</v>
      </c>
      <c r="BQ157" s="1" t="s">
        <v>138</v>
      </c>
      <c r="BR157" s="1" t="s">
        <v>128</v>
      </c>
      <c r="BS157">
        <v>0</v>
      </c>
      <c r="BT157" s="1" t="s">
        <v>129</v>
      </c>
      <c r="BU157">
        <v>2</v>
      </c>
      <c r="BV157">
        <v>1.4</v>
      </c>
      <c r="BW157" s="1" t="s">
        <v>129</v>
      </c>
      <c r="BX157">
        <v>6.6666666666666596E-2</v>
      </c>
      <c r="BY157">
        <v>1</v>
      </c>
      <c r="BZ157">
        <v>0.2</v>
      </c>
      <c r="CA157">
        <v>5.3333333333333302E-2</v>
      </c>
      <c r="CB157">
        <v>0.318</v>
      </c>
      <c r="CC157">
        <v>0.04</v>
      </c>
      <c r="CD157" s="1" t="s">
        <v>2346</v>
      </c>
      <c r="CE157">
        <v>5.3333333333333302E-2</v>
      </c>
      <c r="CF157" s="1" t="s">
        <v>2347</v>
      </c>
      <c r="CG157">
        <v>2</v>
      </c>
      <c r="CH157">
        <v>3.4</v>
      </c>
      <c r="CI157">
        <v>0</v>
      </c>
      <c r="CJ157" s="1" t="s">
        <v>184</v>
      </c>
      <c r="CK157">
        <v>3</v>
      </c>
      <c r="CL157">
        <v>2.6</v>
      </c>
      <c r="CM157" s="1" t="s">
        <v>329</v>
      </c>
      <c r="CN157" s="1" t="s">
        <v>610</v>
      </c>
      <c r="CO157" s="1" t="s">
        <v>146</v>
      </c>
      <c r="CP157" s="1" t="s">
        <v>2348</v>
      </c>
      <c r="CS157" s="1" t="s">
        <v>2349</v>
      </c>
      <c r="CT157" s="1" t="s">
        <v>2350</v>
      </c>
      <c r="CU157">
        <v>1871</v>
      </c>
      <c r="CV157" s="1" t="s">
        <v>2351</v>
      </c>
      <c r="CW157">
        <v>57.15</v>
      </c>
      <c r="CX157">
        <v>49.5</v>
      </c>
      <c r="CY157">
        <v>50.4</v>
      </c>
      <c r="CZ157" s="1" t="s">
        <v>536</v>
      </c>
      <c r="DA157">
        <v>1</v>
      </c>
      <c r="DB157" t="s">
        <v>179</v>
      </c>
      <c r="DC157">
        <v>19</v>
      </c>
      <c r="DD157" s="1" t="s">
        <v>2352</v>
      </c>
      <c r="DE157">
        <v>-27.5339001501011</v>
      </c>
      <c r="DF157" t="e">
        <f>_xlfn.XLOOKUP(Table1[[#This Row],[Player ID]],Table2[feed_id],Table2[trade_status])</f>
        <v>#N/A</v>
      </c>
      <c r="DG157">
        <f>_xlfn.NUMBERVALUE(Table1[[#This Row],[predicted]])</f>
        <v>46.533900150101097</v>
      </c>
    </row>
    <row r="158" spans="1:111" hidden="1" x14ac:dyDescent="0.25">
      <c r="A158">
        <v>76205</v>
      </c>
      <c r="B158">
        <v>6689</v>
      </c>
      <c r="C158" t="s">
        <v>2353</v>
      </c>
      <c r="D158" t="s">
        <v>109</v>
      </c>
      <c r="E158">
        <v>2018</v>
      </c>
      <c r="F158">
        <v>270215</v>
      </c>
      <c r="G158" t="s">
        <v>2354</v>
      </c>
      <c r="H158" t="s">
        <v>2355</v>
      </c>
      <c r="I158" t="s">
        <v>510</v>
      </c>
      <c r="J158">
        <v>2</v>
      </c>
      <c r="K158">
        <v>38</v>
      </c>
      <c r="L158">
        <v>33</v>
      </c>
      <c r="M158">
        <v>50</v>
      </c>
      <c r="N158">
        <v>29</v>
      </c>
      <c r="O158">
        <v>39</v>
      </c>
      <c r="P158">
        <v>7</v>
      </c>
      <c r="Q158">
        <v>2</v>
      </c>
      <c r="R158">
        <v>3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113</v>
      </c>
      <c r="Z158" t="s">
        <v>226</v>
      </c>
      <c r="AA158" t="s">
        <v>2356</v>
      </c>
      <c r="AD158">
        <v>377300</v>
      </c>
      <c r="AE158">
        <v>66</v>
      </c>
      <c r="AF158">
        <v>320600</v>
      </c>
      <c r="AG158">
        <v>73</v>
      </c>
      <c r="AH158" t="s">
        <v>181</v>
      </c>
      <c r="AI158">
        <v>25</v>
      </c>
      <c r="AJ158">
        <v>7</v>
      </c>
      <c r="AK158">
        <v>60.25</v>
      </c>
      <c r="AL158">
        <v>66.13</v>
      </c>
      <c r="AM158">
        <v>0</v>
      </c>
      <c r="AN158">
        <v>0</v>
      </c>
      <c r="AO158">
        <v>0.43</v>
      </c>
      <c r="AP158">
        <v>382000</v>
      </c>
      <c r="AQ158">
        <v>57</v>
      </c>
      <c r="AS158">
        <v>2</v>
      </c>
      <c r="AT158">
        <v>0</v>
      </c>
      <c r="AU158">
        <v>1</v>
      </c>
      <c r="AV158">
        <v>77</v>
      </c>
      <c r="AW158">
        <v>83</v>
      </c>
      <c r="AZ158" t="b">
        <v>0</v>
      </c>
      <c r="BA158">
        <v>1463</v>
      </c>
      <c r="BB158">
        <v>1797</v>
      </c>
      <c r="BC158">
        <v>23</v>
      </c>
      <c r="BD158" t="s">
        <v>2357</v>
      </c>
      <c r="BE158">
        <v>97</v>
      </c>
      <c r="BF158">
        <v>0</v>
      </c>
      <c r="BG158">
        <v>75</v>
      </c>
      <c r="BH158">
        <v>0</v>
      </c>
      <c r="BI158">
        <v>10</v>
      </c>
      <c r="BJ158" s="1" t="s">
        <v>2358</v>
      </c>
      <c r="BK158" s="1" t="s">
        <v>138</v>
      </c>
      <c r="BL158" s="1" t="s">
        <v>160</v>
      </c>
      <c r="BM158" s="1" t="s">
        <v>160</v>
      </c>
      <c r="BN158">
        <v>5.4</v>
      </c>
      <c r="BO158" s="1" t="s">
        <v>128</v>
      </c>
      <c r="BP158">
        <v>1</v>
      </c>
      <c r="BQ158">
        <v>0</v>
      </c>
      <c r="BR158">
        <v>0</v>
      </c>
      <c r="BS158" s="1" t="s">
        <v>129</v>
      </c>
      <c r="BT158">
        <v>0.6</v>
      </c>
      <c r="BU158" s="1" t="s">
        <v>128</v>
      </c>
      <c r="BV158" s="1" t="s">
        <v>231</v>
      </c>
      <c r="BW158">
        <v>0</v>
      </c>
      <c r="BX158">
        <v>0</v>
      </c>
      <c r="BY158">
        <v>0</v>
      </c>
      <c r="BZ158">
        <v>0</v>
      </c>
      <c r="CA158" s="1" t="s">
        <v>2359</v>
      </c>
      <c r="CB158" s="1" t="s">
        <v>2360</v>
      </c>
      <c r="CC158" s="1" t="s">
        <v>2361</v>
      </c>
      <c r="CD158" s="1" t="s">
        <v>2362</v>
      </c>
      <c r="CE158" s="1" t="s">
        <v>2363</v>
      </c>
      <c r="CF158" s="1" t="s">
        <v>2364</v>
      </c>
      <c r="CG158" s="1" t="s">
        <v>211</v>
      </c>
      <c r="CH158" s="1" t="s">
        <v>230</v>
      </c>
      <c r="CI158" s="1" t="s">
        <v>129</v>
      </c>
      <c r="CJ158">
        <v>0.2</v>
      </c>
      <c r="CK158">
        <v>2</v>
      </c>
      <c r="CL158" s="1" t="s">
        <v>257</v>
      </c>
      <c r="CM158" s="1" t="s">
        <v>683</v>
      </c>
      <c r="CN158" s="1" t="s">
        <v>2365</v>
      </c>
      <c r="CO158">
        <v>84</v>
      </c>
      <c r="CP158" s="1" t="s">
        <v>2335</v>
      </c>
      <c r="CS158" s="1" t="s">
        <v>330</v>
      </c>
      <c r="CT158">
        <v>1682.4</v>
      </c>
      <c r="CU158" s="1" t="s">
        <v>2366</v>
      </c>
      <c r="CV158" s="1" t="s">
        <v>2367</v>
      </c>
      <c r="CW158">
        <v>64.25</v>
      </c>
      <c r="CX158">
        <v>60.4</v>
      </c>
      <c r="CY158">
        <v>61.2</v>
      </c>
      <c r="CZ158" s="1" t="s">
        <v>329</v>
      </c>
      <c r="DA158">
        <v>1</v>
      </c>
      <c r="DB158" t="s">
        <v>226</v>
      </c>
      <c r="DC158">
        <v>33</v>
      </c>
      <c r="DD158" s="1" t="s">
        <v>2368</v>
      </c>
      <c r="DE158">
        <v>-54.791318393116399</v>
      </c>
      <c r="DF158" t="e">
        <f>_xlfn.XLOOKUP(Table1[[#This Row],[Player ID]],Table2[feed_id],Table2[trade_status])</f>
        <v>#N/A</v>
      </c>
      <c r="DG158">
        <f>_xlfn.NUMBERVALUE(Table1[[#This Row],[predicted]])</f>
        <v>87.791318393116399</v>
      </c>
    </row>
    <row r="159" spans="1:111" hidden="1" x14ac:dyDescent="0.25">
      <c r="A159">
        <v>76247</v>
      </c>
      <c r="B159">
        <v>6690</v>
      </c>
      <c r="C159" t="s">
        <v>2369</v>
      </c>
      <c r="D159" t="s">
        <v>198</v>
      </c>
      <c r="E159">
        <v>2018</v>
      </c>
      <c r="F159">
        <v>294604</v>
      </c>
      <c r="G159" t="s">
        <v>1235</v>
      </c>
      <c r="H159" t="s">
        <v>2370</v>
      </c>
      <c r="I159" t="s">
        <v>425</v>
      </c>
      <c r="J159">
        <v>1</v>
      </c>
      <c r="K159">
        <v>26</v>
      </c>
      <c r="L159">
        <v>28</v>
      </c>
      <c r="M159">
        <v>34</v>
      </c>
      <c r="N159">
        <v>23</v>
      </c>
      <c r="O159">
        <v>32</v>
      </c>
      <c r="P159">
        <v>5</v>
      </c>
      <c r="Q159">
        <v>3</v>
      </c>
      <c r="R159">
        <v>1</v>
      </c>
      <c r="S159">
        <v>1</v>
      </c>
      <c r="T159">
        <v>0</v>
      </c>
      <c r="U159">
        <v>2</v>
      </c>
      <c r="V159">
        <v>2</v>
      </c>
      <c r="W159">
        <v>0</v>
      </c>
      <c r="X159">
        <v>2</v>
      </c>
      <c r="Y159" t="s">
        <v>113</v>
      </c>
      <c r="Z159" t="s">
        <v>861</v>
      </c>
      <c r="AA159" t="s">
        <v>2371</v>
      </c>
      <c r="AD159">
        <v>338600</v>
      </c>
      <c r="AE159">
        <v>74</v>
      </c>
      <c r="AF159">
        <v>306000</v>
      </c>
      <c r="AG159">
        <v>78</v>
      </c>
      <c r="AH159" t="s">
        <v>155</v>
      </c>
      <c r="AI159">
        <v>3</v>
      </c>
      <c r="AJ159">
        <v>7</v>
      </c>
      <c r="AK159">
        <v>49.75</v>
      </c>
      <c r="AL159">
        <v>58.5</v>
      </c>
      <c r="AM159">
        <v>0</v>
      </c>
      <c r="AN159">
        <v>0</v>
      </c>
      <c r="AO159">
        <v>0.12</v>
      </c>
      <c r="AP159">
        <v>348000</v>
      </c>
      <c r="AQ159">
        <v>68</v>
      </c>
      <c r="AS159">
        <v>4</v>
      </c>
      <c r="AT159">
        <v>0</v>
      </c>
      <c r="AU159">
        <v>2</v>
      </c>
      <c r="AV159">
        <v>50</v>
      </c>
      <c r="AW159">
        <v>63</v>
      </c>
      <c r="AZ159" t="b">
        <v>0</v>
      </c>
      <c r="BA159">
        <v>1707</v>
      </c>
      <c r="BB159">
        <v>1539</v>
      </c>
      <c r="BC159">
        <v>24</v>
      </c>
      <c r="BD159" t="s">
        <v>2372</v>
      </c>
      <c r="BE159">
        <v>99</v>
      </c>
      <c r="BF159">
        <v>0</v>
      </c>
      <c r="BG159">
        <v>73</v>
      </c>
      <c r="BH159">
        <v>0</v>
      </c>
      <c r="BI159" s="1" t="s">
        <v>125</v>
      </c>
      <c r="BJ159">
        <v>6</v>
      </c>
      <c r="BK159">
        <v>5</v>
      </c>
      <c r="BL159" s="1" t="s">
        <v>397</v>
      </c>
      <c r="BM159">
        <v>2</v>
      </c>
      <c r="BN159" s="1" t="s">
        <v>375</v>
      </c>
      <c r="BO159" s="1" t="s">
        <v>138</v>
      </c>
      <c r="BP159" s="1" t="s">
        <v>230</v>
      </c>
      <c r="BQ159">
        <v>0</v>
      </c>
      <c r="BR159">
        <v>0</v>
      </c>
      <c r="BS159">
        <v>1</v>
      </c>
      <c r="BT159" s="1" t="s">
        <v>161</v>
      </c>
      <c r="BU159">
        <v>1</v>
      </c>
      <c r="BV159">
        <v>0.8</v>
      </c>
      <c r="BW159">
        <v>0</v>
      </c>
      <c r="BX159">
        <v>0.8</v>
      </c>
      <c r="BY159" s="1" t="s">
        <v>128</v>
      </c>
      <c r="BZ159" s="1" t="s">
        <v>238</v>
      </c>
      <c r="CA159">
        <v>0</v>
      </c>
      <c r="CB159">
        <v>0.06</v>
      </c>
      <c r="CC159">
        <v>0</v>
      </c>
      <c r="CD159" s="1" t="s">
        <v>2156</v>
      </c>
      <c r="CE159" s="1" t="s">
        <v>2373</v>
      </c>
      <c r="CF159">
        <v>0.13</v>
      </c>
      <c r="CG159">
        <v>4</v>
      </c>
      <c r="CH159" s="1" t="s">
        <v>449</v>
      </c>
      <c r="CI159">
        <v>0</v>
      </c>
      <c r="CJ159" s="1" t="s">
        <v>184</v>
      </c>
      <c r="CK159" s="1" t="s">
        <v>126</v>
      </c>
      <c r="CL159" s="1" t="s">
        <v>566</v>
      </c>
      <c r="CM159">
        <v>68</v>
      </c>
      <c r="CN159" s="1" t="s">
        <v>2374</v>
      </c>
      <c r="CO159" s="1" t="s">
        <v>1176</v>
      </c>
      <c r="CP159" s="1" t="s">
        <v>1805</v>
      </c>
      <c r="CS159" s="1" t="s">
        <v>2375</v>
      </c>
      <c r="CT159">
        <v>1691.4</v>
      </c>
      <c r="CU159" s="1" t="s">
        <v>2376</v>
      </c>
      <c r="CV159" s="1" t="s">
        <v>2377</v>
      </c>
      <c r="CW159">
        <v>58.75</v>
      </c>
      <c r="CX159">
        <v>64.5</v>
      </c>
      <c r="CY159">
        <v>55.6</v>
      </c>
      <c r="CZ159" s="1" t="s">
        <v>667</v>
      </c>
      <c r="DA159">
        <v>1</v>
      </c>
      <c r="DB159" t="s">
        <v>861</v>
      </c>
      <c r="DC159">
        <v>28</v>
      </c>
      <c r="DD159" s="1" t="s">
        <v>2378</v>
      </c>
      <c r="DE159">
        <v>-32.691935612751998</v>
      </c>
      <c r="DF159" t="e">
        <f>_xlfn.XLOOKUP(Table1[[#This Row],[Player ID]],Table2[feed_id],Table2[trade_status])</f>
        <v>#N/A</v>
      </c>
      <c r="DG159">
        <f>_xlfn.NUMBERVALUE(Table1[[#This Row],[predicted]])</f>
        <v>60.691935612751998</v>
      </c>
    </row>
    <row r="160" spans="1:111" hidden="1" x14ac:dyDescent="0.25">
      <c r="A160">
        <v>76251</v>
      </c>
      <c r="B160">
        <v>6690</v>
      </c>
      <c r="C160" t="s">
        <v>2369</v>
      </c>
      <c r="D160" t="s">
        <v>198</v>
      </c>
      <c r="E160">
        <v>2018</v>
      </c>
      <c r="F160">
        <v>230084</v>
      </c>
      <c r="G160" t="s">
        <v>2379</v>
      </c>
      <c r="H160" t="s">
        <v>2380</v>
      </c>
      <c r="I160" t="s">
        <v>619</v>
      </c>
      <c r="J160">
        <v>26</v>
      </c>
      <c r="K160">
        <v>116</v>
      </c>
      <c r="L160">
        <v>100</v>
      </c>
      <c r="M160">
        <v>81</v>
      </c>
      <c r="N160">
        <v>95</v>
      </c>
      <c r="O160">
        <v>123</v>
      </c>
      <c r="P160">
        <v>17</v>
      </c>
      <c r="Q160">
        <v>10</v>
      </c>
      <c r="R160">
        <v>12</v>
      </c>
      <c r="S160">
        <v>2</v>
      </c>
      <c r="T160">
        <v>0</v>
      </c>
      <c r="U160">
        <v>1</v>
      </c>
      <c r="V160">
        <v>0</v>
      </c>
      <c r="W160">
        <v>0</v>
      </c>
      <c r="X160">
        <v>0</v>
      </c>
      <c r="Y160" t="s">
        <v>113</v>
      </c>
      <c r="Z160" t="s">
        <v>1757</v>
      </c>
      <c r="AA160" t="s">
        <v>354</v>
      </c>
      <c r="AB160" t="s">
        <v>1074</v>
      </c>
      <c r="AC160" t="s">
        <v>2381</v>
      </c>
      <c r="AD160">
        <v>422100</v>
      </c>
      <c r="AE160">
        <v>115</v>
      </c>
      <c r="AF160">
        <v>341600</v>
      </c>
      <c r="AG160">
        <v>120</v>
      </c>
      <c r="AH160" t="s">
        <v>118</v>
      </c>
      <c r="AI160">
        <v>9</v>
      </c>
      <c r="AJ160">
        <v>20</v>
      </c>
      <c r="AK160">
        <v>77.48</v>
      </c>
      <c r="AL160">
        <v>77.19</v>
      </c>
      <c r="AM160">
        <v>0</v>
      </c>
      <c r="AN160">
        <v>0</v>
      </c>
      <c r="AO160">
        <v>3.13</v>
      </c>
      <c r="AP160">
        <v>421000</v>
      </c>
      <c r="AQ160">
        <v>91</v>
      </c>
      <c r="AS160">
        <v>2</v>
      </c>
      <c r="AT160">
        <v>0</v>
      </c>
      <c r="AU160">
        <v>1</v>
      </c>
      <c r="AV160">
        <v>92</v>
      </c>
      <c r="AW160">
        <v>83</v>
      </c>
      <c r="AZ160" t="b">
        <v>1</v>
      </c>
      <c r="BA160">
        <v>1539</v>
      </c>
      <c r="BB160">
        <v>1707</v>
      </c>
      <c r="BC160">
        <v>24</v>
      </c>
      <c r="BD160" t="s">
        <v>2382</v>
      </c>
      <c r="BE160">
        <v>99</v>
      </c>
      <c r="BF160">
        <v>1</v>
      </c>
      <c r="BG160">
        <v>73</v>
      </c>
      <c r="BH160">
        <v>1</v>
      </c>
      <c r="BI160" s="1" t="s">
        <v>977</v>
      </c>
      <c r="BJ160">
        <v>10.4</v>
      </c>
      <c r="BK160" s="1" t="s">
        <v>183</v>
      </c>
      <c r="BL160" s="1" t="s">
        <v>1761</v>
      </c>
      <c r="BM160" s="1" t="s">
        <v>397</v>
      </c>
      <c r="BN160" s="1" t="s">
        <v>260</v>
      </c>
      <c r="BO160" s="1" t="s">
        <v>128</v>
      </c>
      <c r="BP160" s="1" t="s">
        <v>126</v>
      </c>
      <c r="BQ160">
        <v>0</v>
      </c>
      <c r="BR160">
        <v>0</v>
      </c>
      <c r="BS160" s="1" t="s">
        <v>129</v>
      </c>
      <c r="BT160" s="1" t="s">
        <v>128</v>
      </c>
      <c r="BU160">
        <v>0</v>
      </c>
      <c r="BV160">
        <v>0.8</v>
      </c>
      <c r="BW160">
        <v>0</v>
      </c>
      <c r="BX160">
        <v>6.6666666666666596E-2</v>
      </c>
      <c r="BY160">
        <v>0</v>
      </c>
      <c r="BZ160">
        <v>0</v>
      </c>
      <c r="CA160" s="1" t="s">
        <v>2383</v>
      </c>
      <c r="CB160" s="1" t="s">
        <v>1663</v>
      </c>
      <c r="CC160" s="1" t="s">
        <v>2384</v>
      </c>
      <c r="CD160" s="1" t="s">
        <v>502</v>
      </c>
      <c r="CE160">
        <v>3.28</v>
      </c>
      <c r="CF160">
        <v>2.4180000000000001</v>
      </c>
      <c r="CG160">
        <v>2</v>
      </c>
      <c r="CH160" s="1" t="s">
        <v>781</v>
      </c>
      <c r="CI160">
        <v>0</v>
      </c>
      <c r="CJ160">
        <v>1.2</v>
      </c>
      <c r="CK160" s="1" t="s">
        <v>126</v>
      </c>
      <c r="CL160" s="1" t="s">
        <v>140</v>
      </c>
      <c r="CM160" s="1" t="s">
        <v>142</v>
      </c>
      <c r="CN160" s="1" t="s">
        <v>2385</v>
      </c>
      <c r="CO160">
        <v>56</v>
      </c>
      <c r="CP160" s="1" t="s">
        <v>2386</v>
      </c>
      <c r="CS160" s="1" t="s">
        <v>955</v>
      </c>
      <c r="CT160">
        <v>1699.2</v>
      </c>
      <c r="CU160" s="1" t="s">
        <v>851</v>
      </c>
      <c r="CV160">
        <v>1569.6</v>
      </c>
      <c r="CW160">
        <v>77.7</v>
      </c>
      <c r="CX160">
        <v>71.599999999999994</v>
      </c>
      <c r="CY160">
        <v>64.400000000000006</v>
      </c>
      <c r="CZ160" s="1" t="s">
        <v>1857</v>
      </c>
      <c r="DA160">
        <v>1</v>
      </c>
      <c r="DB160" t="s">
        <v>1757</v>
      </c>
      <c r="DC160">
        <v>100</v>
      </c>
      <c r="DD160" s="1" t="s">
        <v>2387</v>
      </c>
      <c r="DE160" s="1" t="s">
        <v>2388</v>
      </c>
      <c r="DF160" t="e">
        <f>_xlfn.XLOOKUP(Table1[[#This Row],[Player ID]],Table2[feed_id],Table2[trade_status])</f>
        <v>#N/A</v>
      </c>
      <c r="DG160">
        <f>_xlfn.NUMBERVALUE(Table1[[#This Row],[predicted]])</f>
        <v>77.827801995102803</v>
      </c>
    </row>
    <row r="161" spans="1:111" hidden="1" x14ac:dyDescent="0.25">
      <c r="A161">
        <v>76268</v>
      </c>
      <c r="B161">
        <v>6690</v>
      </c>
      <c r="C161" t="s">
        <v>2369</v>
      </c>
      <c r="D161" t="s">
        <v>198</v>
      </c>
      <c r="E161">
        <v>2018</v>
      </c>
      <c r="F161">
        <v>250335</v>
      </c>
      <c r="G161" t="s">
        <v>1002</v>
      </c>
      <c r="H161" t="s">
        <v>2389</v>
      </c>
      <c r="I161" t="s">
        <v>619</v>
      </c>
      <c r="J161">
        <v>13</v>
      </c>
      <c r="K161">
        <v>48</v>
      </c>
      <c r="L161">
        <v>53</v>
      </c>
      <c r="M161">
        <v>54</v>
      </c>
      <c r="N161">
        <v>39</v>
      </c>
      <c r="O161">
        <v>46</v>
      </c>
      <c r="P161">
        <v>1</v>
      </c>
      <c r="Q161">
        <v>2</v>
      </c>
      <c r="R161">
        <v>1</v>
      </c>
      <c r="S161">
        <v>4</v>
      </c>
      <c r="T161">
        <v>22</v>
      </c>
      <c r="U161">
        <v>0</v>
      </c>
      <c r="V161">
        <v>0</v>
      </c>
      <c r="W161">
        <v>0</v>
      </c>
      <c r="X161">
        <v>0</v>
      </c>
      <c r="Y161" t="s">
        <v>113</v>
      </c>
      <c r="Z161" t="s">
        <v>114</v>
      </c>
      <c r="AA161" t="s">
        <v>2390</v>
      </c>
      <c r="AB161" t="s">
        <v>602</v>
      </c>
      <c r="AC161" t="s">
        <v>2391</v>
      </c>
      <c r="AD161">
        <v>511800</v>
      </c>
      <c r="AE161">
        <v>99</v>
      </c>
      <c r="AF161">
        <v>376800</v>
      </c>
      <c r="AG161">
        <v>83</v>
      </c>
      <c r="AH161" t="s">
        <v>274</v>
      </c>
      <c r="AI161">
        <v>22</v>
      </c>
      <c r="AJ161">
        <v>1</v>
      </c>
      <c r="AK161">
        <v>72</v>
      </c>
      <c r="AL161">
        <v>74.5</v>
      </c>
      <c r="AM161">
        <v>0</v>
      </c>
      <c r="AN161">
        <v>0</v>
      </c>
      <c r="AO161">
        <v>0.16</v>
      </c>
      <c r="AP161">
        <v>519000</v>
      </c>
      <c r="AQ161">
        <v>90</v>
      </c>
      <c r="AS161">
        <v>2</v>
      </c>
      <c r="AT161">
        <v>0</v>
      </c>
      <c r="AU161">
        <v>0</v>
      </c>
      <c r="AV161">
        <v>100</v>
      </c>
      <c r="AW161">
        <v>39</v>
      </c>
      <c r="AZ161" t="b">
        <v>1</v>
      </c>
      <c r="BA161">
        <v>1539</v>
      </c>
      <c r="BB161">
        <v>1707</v>
      </c>
      <c r="BC161">
        <v>24</v>
      </c>
      <c r="BD161" t="s">
        <v>2382</v>
      </c>
      <c r="BE161">
        <v>99</v>
      </c>
      <c r="BF161">
        <v>0</v>
      </c>
      <c r="BG161">
        <v>73</v>
      </c>
      <c r="BH161">
        <v>0</v>
      </c>
      <c r="BI161" s="1" t="s">
        <v>160</v>
      </c>
      <c r="BJ161" s="1" t="s">
        <v>963</v>
      </c>
      <c r="BK161" s="1" t="s">
        <v>397</v>
      </c>
      <c r="BL161">
        <v>6.6</v>
      </c>
      <c r="BM161" s="1" t="s">
        <v>161</v>
      </c>
      <c r="BN161" s="1" t="s">
        <v>304</v>
      </c>
      <c r="BO161" s="1" t="s">
        <v>138</v>
      </c>
      <c r="BP161" s="1" t="s">
        <v>321</v>
      </c>
      <c r="BQ161" s="1" t="s">
        <v>2392</v>
      </c>
      <c r="BR161" s="1" t="s">
        <v>2393</v>
      </c>
      <c r="BS161" s="1" t="s">
        <v>129</v>
      </c>
      <c r="BT161" s="1" t="s">
        <v>130</v>
      </c>
      <c r="BU161">
        <v>2</v>
      </c>
      <c r="BV161" s="1" t="s">
        <v>126</v>
      </c>
      <c r="BW161">
        <v>0</v>
      </c>
      <c r="BX161" s="1" t="s">
        <v>213</v>
      </c>
      <c r="BY161">
        <v>0</v>
      </c>
      <c r="BZ161" s="1" t="s">
        <v>213</v>
      </c>
      <c r="CA161" s="1" t="s">
        <v>2008</v>
      </c>
      <c r="CB161" s="1" t="s">
        <v>2394</v>
      </c>
      <c r="CC161" s="1" t="s">
        <v>2395</v>
      </c>
      <c r="CD161" s="1" t="s">
        <v>2396</v>
      </c>
      <c r="CE161" s="1" t="s">
        <v>1737</v>
      </c>
      <c r="CF161">
        <v>7.33</v>
      </c>
      <c r="CG161">
        <v>6</v>
      </c>
      <c r="CH161" s="1" t="s">
        <v>343</v>
      </c>
      <c r="CI161">
        <v>1</v>
      </c>
      <c r="CJ161">
        <v>2.2000000000000002</v>
      </c>
      <c r="CK161">
        <v>3</v>
      </c>
      <c r="CL161" s="1" t="s">
        <v>528</v>
      </c>
      <c r="CM161" s="1" t="s">
        <v>994</v>
      </c>
      <c r="CN161">
        <v>67.2</v>
      </c>
      <c r="CO161">
        <v>67</v>
      </c>
      <c r="CP161" s="1" t="s">
        <v>1753</v>
      </c>
      <c r="CS161" s="1" t="s">
        <v>2397</v>
      </c>
      <c r="CT161" s="1" t="s">
        <v>2398</v>
      </c>
      <c r="CU161">
        <v>1637</v>
      </c>
      <c r="CV161">
        <v>1636.6</v>
      </c>
      <c r="CW161">
        <v>74.7</v>
      </c>
      <c r="CX161">
        <v>74.3</v>
      </c>
      <c r="CY161">
        <v>71.400000000000006</v>
      </c>
      <c r="CZ161" s="1" t="s">
        <v>883</v>
      </c>
      <c r="DA161">
        <v>1</v>
      </c>
      <c r="DB161" t="s">
        <v>114</v>
      </c>
      <c r="DC161">
        <v>53</v>
      </c>
      <c r="DD161" s="1" t="s">
        <v>2399</v>
      </c>
      <c r="DE161">
        <v>-2.2148028757295601</v>
      </c>
      <c r="DF161" t="e">
        <f>_xlfn.XLOOKUP(Table1[[#This Row],[Player ID]],Table2[feed_id],Table2[trade_status])</f>
        <v>#N/A</v>
      </c>
      <c r="DG161">
        <f>_xlfn.NUMBERVALUE(Table1[[#This Row],[predicted]])</f>
        <v>55.214802875729497</v>
      </c>
    </row>
    <row r="162" spans="1:111" hidden="1" x14ac:dyDescent="0.25">
      <c r="A162">
        <v>76292</v>
      </c>
      <c r="B162">
        <v>6691</v>
      </c>
      <c r="C162" t="s">
        <v>2400</v>
      </c>
      <c r="D162" t="s">
        <v>198</v>
      </c>
      <c r="E162">
        <v>2018</v>
      </c>
      <c r="F162">
        <v>292026</v>
      </c>
      <c r="G162" t="s">
        <v>461</v>
      </c>
      <c r="H162" t="s">
        <v>2401</v>
      </c>
      <c r="I162" t="s">
        <v>524</v>
      </c>
      <c r="J162">
        <v>31</v>
      </c>
      <c r="K162">
        <v>130</v>
      </c>
      <c r="L162">
        <v>105</v>
      </c>
      <c r="M162">
        <v>95</v>
      </c>
      <c r="N162">
        <v>108</v>
      </c>
      <c r="O162">
        <v>149</v>
      </c>
      <c r="P162">
        <v>18</v>
      </c>
      <c r="Q162">
        <v>17</v>
      </c>
      <c r="R162">
        <v>9</v>
      </c>
      <c r="S162">
        <v>5</v>
      </c>
      <c r="T162">
        <v>0</v>
      </c>
      <c r="U162">
        <v>2</v>
      </c>
      <c r="V162">
        <v>3</v>
      </c>
      <c r="W162">
        <v>0</v>
      </c>
      <c r="X162">
        <v>2</v>
      </c>
      <c r="Y162" t="s">
        <v>113</v>
      </c>
      <c r="Z162" t="s">
        <v>2402</v>
      </c>
      <c r="AA162" t="s">
        <v>2403</v>
      </c>
      <c r="AB162" t="s">
        <v>877</v>
      </c>
      <c r="AC162" t="s">
        <v>1814</v>
      </c>
      <c r="AD162">
        <v>654800</v>
      </c>
      <c r="AE162">
        <v>136</v>
      </c>
      <c r="AF162">
        <v>462700</v>
      </c>
      <c r="AG162">
        <v>127</v>
      </c>
      <c r="AH162" t="s">
        <v>118</v>
      </c>
      <c r="AI162">
        <v>20</v>
      </c>
      <c r="AJ162">
        <v>1</v>
      </c>
      <c r="AK162">
        <v>87.5</v>
      </c>
      <c r="AL162">
        <v>79</v>
      </c>
      <c r="AM162">
        <v>0</v>
      </c>
      <c r="AN162">
        <v>0</v>
      </c>
      <c r="AO162">
        <v>2.56</v>
      </c>
      <c r="AP162">
        <v>626000</v>
      </c>
      <c r="AQ162">
        <v>132</v>
      </c>
      <c r="AS162">
        <v>14</v>
      </c>
      <c r="AT162">
        <v>6</v>
      </c>
      <c r="AU162">
        <v>7</v>
      </c>
      <c r="AV162">
        <v>71</v>
      </c>
      <c r="AW162">
        <v>88</v>
      </c>
      <c r="AZ162" t="b">
        <v>0</v>
      </c>
      <c r="BA162">
        <v>1949</v>
      </c>
      <c r="BB162">
        <v>1344</v>
      </c>
      <c r="BC162">
        <v>24</v>
      </c>
      <c r="BD162" t="s">
        <v>2404</v>
      </c>
      <c r="BE162">
        <v>99</v>
      </c>
      <c r="BF162">
        <v>1</v>
      </c>
      <c r="BG162">
        <v>73</v>
      </c>
      <c r="BH162">
        <v>1</v>
      </c>
      <c r="BI162" s="1" t="s">
        <v>1829</v>
      </c>
      <c r="BJ162">
        <v>11.2</v>
      </c>
      <c r="BK162" s="1" t="s">
        <v>122</v>
      </c>
      <c r="BL162" s="1" t="s">
        <v>123</v>
      </c>
      <c r="BM162">
        <v>7</v>
      </c>
      <c r="BN162" s="1" t="s">
        <v>229</v>
      </c>
      <c r="BO162" s="1" t="s">
        <v>169</v>
      </c>
      <c r="BP162" s="1" t="s">
        <v>189</v>
      </c>
      <c r="BQ162">
        <v>0</v>
      </c>
      <c r="BR162">
        <v>0</v>
      </c>
      <c r="BS162" s="1" t="s">
        <v>126</v>
      </c>
      <c r="BT162" s="1" t="s">
        <v>130</v>
      </c>
      <c r="BU162" s="1" t="s">
        <v>169</v>
      </c>
      <c r="BV162">
        <v>1.2</v>
      </c>
      <c r="BW162" s="1" t="s">
        <v>129</v>
      </c>
      <c r="BX162" s="1" t="s">
        <v>130</v>
      </c>
      <c r="BY162" s="1" t="s">
        <v>128</v>
      </c>
      <c r="BZ162" s="1" t="s">
        <v>128</v>
      </c>
      <c r="CA162" s="1" t="s">
        <v>432</v>
      </c>
      <c r="CB162" s="1" t="s">
        <v>2405</v>
      </c>
      <c r="CC162">
        <v>0</v>
      </c>
      <c r="CD162" s="1" t="s">
        <v>2406</v>
      </c>
      <c r="CE162" s="1" t="s">
        <v>380</v>
      </c>
      <c r="CF162" s="1" t="s">
        <v>2407</v>
      </c>
      <c r="CG162" s="1" t="s">
        <v>977</v>
      </c>
      <c r="CH162" s="1" t="s">
        <v>1239</v>
      </c>
      <c r="CI162" s="1" t="s">
        <v>125</v>
      </c>
      <c r="CJ162">
        <v>3</v>
      </c>
      <c r="CK162">
        <v>4</v>
      </c>
      <c r="CL162">
        <v>3.4</v>
      </c>
      <c r="CM162" s="1" t="s">
        <v>610</v>
      </c>
      <c r="CN162">
        <v>68.400000000000006</v>
      </c>
      <c r="CO162" s="1" t="s">
        <v>268</v>
      </c>
      <c r="CP162" s="1" t="s">
        <v>2408</v>
      </c>
      <c r="CS162">
        <v>1421</v>
      </c>
      <c r="CT162" s="1" t="s">
        <v>2409</v>
      </c>
      <c r="CU162" s="1" t="s">
        <v>2410</v>
      </c>
      <c r="CV162" s="1" t="s">
        <v>2411</v>
      </c>
      <c r="CW162">
        <v>91.25</v>
      </c>
      <c r="CX162">
        <v>83.3</v>
      </c>
      <c r="CY162">
        <v>88</v>
      </c>
      <c r="CZ162" s="1" t="s">
        <v>306</v>
      </c>
      <c r="DA162">
        <v>1</v>
      </c>
      <c r="DB162" t="s">
        <v>2402</v>
      </c>
      <c r="DC162">
        <v>105</v>
      </c>
      <c r="DD162" s="1" t="s">
        <v>2412</v>
      </c>
      <c r="DE162" s="1" t="s">
        <v>2413</v>
      </c>
      <c r="DF162" t="e">
        <f>_xlfn.XLOOKUP(Table1[[#This Row],[Player ID]],Table2[feed_id],Table2[trade_status])</f>
        <v>#N/A</v>
      </c>
      <c r="DG162">
        <f>_xlfn.NUMBERVALUE(Table1[[#This Row],[predicted]])</f>
        <v>101.652475229853</v>
      </c>
    </row>
    <row r="163" spans="1:111" hidden="1" x14ac:dyDescent="0.25">
      <c r="A163">
        <v>76368</v>
      </c>
      <c r="B163">
        <v>6693</v>
      </c>
      <c r="C163" t="s">
        <v>2414</v>
      </c>
      <c r="D163" t="s">
        <v>198</v>
      </c>
      <c r="E163">
        <v>2018</v>
      </c>
      <c r="F163">
        <v>230107</v>
      </c>
      <c r="G163" t="s">
        <v>461</v>
      </c>
      <c r="H163" t="s">
        <v>1881</v>
      </c>
      <c r="I163" t="s">
        <v>178</v>
      </c>
      <c r="J163">
        <v>13</v>
      </c>
      <c r="K163">
        <v>65</v>
      </c>
      <c r="L163">
        <v>74</v>
      </c>
      <c r="M163">
        <v>85</v>
      </c>
      <c r="N163">
        <v>56</v>
      </c>
      <c r="O163">
        <v>72</v>
      </c>
      <c r="P163">
        <v>11</v>
      </c>
      <c r="Q163">
        <v>4</v>
      </c>
      <c r="R163">
        <v>9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 t="s">
        <v>113</v>
      </c>
      <c r="Z163" t="s">
        <v>179</v>
      </c>
      <c r="AA163" t="s">
        <v>2415</v>
      </c>
      <c r="AD163">
        <v>417200</v>
      </c>
      <c r="AE163">
        <v>61</v>
      </c>
      <c r="AF163">
        <v>355400</v>
      </c>
      <c r="AG163">
        <v>72</v>
      </c>
      <c r="AH163" t="s">
        <v>181</v>
      </c>
      <c r="AI163">
        <v>37</v>
      </c>
      <c r="AJ163">
        <v>11</v>
      </c>
      <c r="AK163">
        <v>63.75</v>
      </c>
      <c r="AL163">
        <v>67.92</v>
      </c>
      <c r="AM163">
        <v>0</v>
      </c>
      <c r="AN163">
        <v>0</v>
      </c>
      <c r="AO163">
        <v>0.24</v>
      </c>
      <c r="AP163">
        <v>410000</v>
      </c>
      <c r="AQ163">
        <v>91</v>
      </c>
      <c r="AS163">
        <v>5</v>
      </c>
      <c r="AT163">
        <v>0</v>
      </c>
      <c r="AU163">
        <v>2</v>
      </c>
      <c r="AV163">
        <v>93</v>
      </c>
      <c r="AW163">
        <v>85</v>
      </c>
      <c r="AZ163" t="b">
        <v>0</v>
      </c>
      <c r="BA163">
        <v>1578</v>
      </c>
      <c r="BB163">
        <v>1685</v>
      </c>
      <c r="BC163">
        <v>24</v>
      </c>
      <c r="BD163" t="s">
        <v>2416</v>
      </c>
      <c r="BE163">
        <v>99</v>
      </c>
      <c r="BF163">
        <v>0</v>
      </c>
      <c r="BG163">
        <v>73</v>
      </c>
      <c r="BH163">
        <v>1</v>
      </c>
      <c r="BI163" s="1" t="s">
        <v>294</v>
      </c>
      <c r="BJ163" s="1" t="s">
        <v>396</v>
      </c>
      <c r="BK163" s="1" t="s">
        <v>138</v>
      </c>
      <c r="BL163">
        <v>5.4</v>
      </c>
      <c r="BM163" s="1" t="s">
        <v>397</v>
      </c>
      <c r="BN163">
        <v>6</v>
      </c>
      <c r="BO163" s="1" t="s">
        <v>126</v>
      </c>
      <c r="BP163" s="1" t="s">
        <v>304</v>
      </c>
      <c r="BQ163" s="1" t="s">
        <v>129</v>
      </c>
      <c r="BR163" s="1" t="s">
        <v>231</v>
      </c>
      <c r="BS163" s="1" t="s">
        <v>128</v>
      </c>
      <c r="BT163">
        <v>0.6</v>
      </c>
      <c r="BU163">
        <v>1</v>
      </c>
      <c r="BV163" s="1" t="s">
        <v>162</v>
      </c>
      <c r="BW163">
        <v>0</v>
      </c>
      <c r="BX163">
        <v>0.2</v>
      </c>
      <c r="BY163">
        <v>0</v>
      </c>
      <c r="BZ163">
        <v>6.6666666666666596E-2</v>
      </c>
      <c r="CA163">
        <v>8.6666666666666503E-2</v>
      </c>
      <c r="CB163" s="1" t="s">
        <v>2417</v>
      </c>
      <c r="CC163">
        <v>5.00000000000001E-2</v>
      </c>
      <c r="CD163" s="1" t="s">
        <v>2418</v>
      </c>
      <c r="CE163" s="1" t="s">
        <v>480</v>
      </c>
      <c r="CF163" s="1" t="s">
        <v>2419</v>
      </c>
      <c r="CG163" s="1" t="s">
        <v>125</v>
      </c>
      <c r="CH163" s="1" t="s">
        <v>436</v>
      </c>
      <c r="CI163">
        <v>0</v>
      </c>
      <c r="CJ163">
        <v>0.4</v>
      </c>
      <c r="CK163" s="1" t="s">
        <v>169</v>
      </c>
      <c r="CL163" s="1" t="s">
        <v>170</v>
      </c>
      <c r="CM163" s="1" t="s">
        <v>554</v>
      </c>
      <c r="CN163" s="1" t="s">
        <v>1889</v>
      </c>
      <c r="CO163" s="1" t="s">
        <v>239</v>
      </c>
      <c r="CP163" s="1" t="s">
        <v>2420</v>
      </c>
      <c r="CS163" s="1" t="s">
        <v>2421</v>
      </c>
      <c r="CT163" s="1" t="s">
        <v>2422</v>
      </c>
      <c r="CU163" s="1" t="s">
        <v>2423</v>
      </c>
      <c r="CV163" s="1" t="s">
        <v>2424</v>
      </c>
      <c r="CW163">
        <v>67.2</v>
      </c>
      <c r="CX163">
        <v>68.900000000000006</v>
      </c>
      <c r="CY163">
        <v>65</v>
      </c>
      <c r="CZ163" s="1" t="s">
        <v>1391</v>
      </c>
      <c r="DA163">
        <v>1</v>
      </c>
      <c r="DB163" t="s">
        <v>179</v>
      </c>
      <c r="DC163">
        <v>74</v>
      </c>
      <c r="DD163" s="1" t="s">
        <v>2425</v>
      </c>
      <c r="DE163" s="1" t="s">
        <v>2426</v>
      </c>
      <c r="DF163" t="e">
        <f>_xlfn.XLOOKUP(Table1[[#This Row],[Player ID]],Table2[feed_id],Table2[trade_status])</f>
        <v>#N/A</v>
      </c>
      <c r="DG163">
        <f>_xlfn.NUMBERVALUE(Table1[[#This Row],[predicted]])</f>
        <v>56.789671564164401</v>
      </c>
    </row>
    <row r="164" spans="1:111" hidden="1" x14ac:dyDescent="0.25">
      <c r="A164">
        <v>76369</v>
      </c>
      <c r="B164">
        <v>6693</v>
      </c>
      <c r="C164" t="s">
        <v>2414</v>
      </c>
      <c r="D164" t="s">
        <v>198</v>
      </c>
      <c r="E164">
        <v>2018</v>
      </c>
      <c r="F164">
        <v>291949</v>
      </c>
      <c r="G164" t="s">
        <v>2181</v>
      </c>
      <c r="H164" t="s">
        <v>2427</v>
      </c>
      <c r="I164" t="s">
        <v>178</v>
      </c>
      <c r="J164">
        <v>9</v>
      </c>
      <c r="K164">
        <v>63</v>
      </c>
      <c r="L164">
        <v>42</v>
      </c>
      <c r="M164">
        <v>87</v>
      </c>
      <c r="N164">
        <v>47</v>
      </c>
      <c r="O164">
        <v>63</v>
      </c>
      <c r="P164">
        <v>12</v>
      </c>
      <c r="Q164">
        <v>0</v>
      </c>
      <c r="R164">
        <v>6</v>
      </c>
      <c r="S164">
        <v>3</v>
      </c>
      <c r="T164">
        <v>0</v>
      </c>
      <c r="U164">
        <v>0</v>
      </c>
      <c r="V164">
        <v>1</v>
      </c>
      <c r="W164">
        <v>0</v>
      </c>
      <c r="X164">
        <v>0</v>
      </c>
      <c r="Y164" t="s">
        <v>113</v>
      </c>
      <c r="Z164" t="s">
        <v>179</v>
      </c>
      <c r="AA164" t="s">
        <v>2428</v>
      </c>
      <c r="AD164">
        <v>390000</v>
      </c>
      <c r="AE164">
        <v>58</v>
      </c>
      <c r="AF164">
        <v>302500</v>
      </c>
      <c r="AG164">
        <v>65</v>
      </c>
      <c r="AH164" t="s">
        <v>155</v>
      </c>
      <c r="AI164">
        <v>22</v>
      </c>
      <c r="AJ164">
        <v>7</v>
      </c>
      <c r="AK164">
        <v>58.88</v>
      </c>
      <c r="AL164">
        <v>58.5</v>
      </c>
      <c r="AM164">
        <v>0</v>
      </c>
      <c r="AN164">
        <v>0</v>
      </c>
      <c r="AO164">
        <v>0.11</v>
      </c>
      <c r="AP164">
        <v>403000</v>
      </c>
      <c r="AQ164">
        <v>56</v>
      </c>
      <c r="AS164">
        <v>0</v>
      </c>
      <c r="AT164">
        <v>0</v>
      </c>
      <c r="AU164">
        <v>2</v>
      </c>
      <c r="AV164">
        <v>66</v>
      </c>
      <c r="AW164">
        <v>80</v>
      </c>
      <c r="AZ164" t="b">
        <v>0</v>
      </c>
      <c r="BA164">
        <v>1578</v>
      </c>
      <c r="BB164">
        <v>1685</v>
      </c>
      <c r="BC164">
        <v>24</v>
      </c>
      <c r="BD164" t="s">
        <v>2416</v>
      </c>
      <c r="BE164">
        <v>99</v>
      </c>
      <c r="BF164">
        <v>0</v>
      </c>
      <c r="BG164">
        <v>73</v>
      </c>
      <c r="BH164">
        <v>0</v>
      </c>
      <c r="BI164">
        <v>11</v>
      </c>
      <c r="BJ164">
        <v>8.4</v>
      </c>
      <c r="BK164" s="1" t="s">
        <v>138</v>
      </c>
      <c r="BL164">
        <v>4.5999999999999996</v>
      </c>
      <c r="BM164" s="1" t="s">
        <v>204</v>
      </c>
      <c r="BN164" s="1" t="s">
        <v>416</v>
      </c>
      <c r="BO164">
        <v>2</v>
      </c>
      <c r="BP164">
        <v>1.2</v>
      </c>
      <c r="BQ164">
        <v>0</v>
      </c>
      <c r="BR164">
        <v>0</v>
      </c>
      <c r="BS164" s="1" t="s">
        <v>128</v>
      </c>
      <c r="BT164">
        <v>0.6</v>
      </c>
      <c r="BU164" s="1" t="s">
        <v>128</v>
      </c>
      <c r="BV164">
        <v>0.8</v>
      </c>
      <c r="BW164" s="1" t="s">
        <v>129</v>
      </c>
      <c r="BX164">
        <v>0.8</v>
      </c>
      <c r="BY164">
        <v>0</v>
      </c>
      <c r="BZ164">
        <v>0.4</v>
      </c>
      <c r="CA164">
        <v>2.6666666666666599E-2</v>
      </c>
      <c r="CB164" s="1" t="s">
        <v>2429</v>
      </c>
      <c r="CC164">
        <v>0.06</v>
      </c>
      <c r="CD164" s="1" t="s">
        <v>467</v>
      </c>
      <c r="CE164" s="1" t="s">
        <v>2430</v>
      </c>
      <c r="CF164" s="1" t="s">
        <v>2431</v>
      </c>
      <c r="CG164" s="1" t="s">
        <v>160</v>
      </c>
      <c r="CH164" s="1" t="s">
        <v>436</v>
      </c>
      <c r="CI164">
        <v>0</v>
      </c>
      <c r="CJ164" s="1" t="s">
        <v>213</v>
      </c>
      <c r="CK164" s="1" t="s">
        <v>169</v>
      </c>
      <c r="CL164" s="1" t="s">
        <v>275</v>
      </c>
      <c r="CM164">
        <v>74</v>
      </c>
      <c r="CN164">
        <v>74.2</v>
      </c>
      <c r="CO164" s="1" t="s">
        <v>403</v>
      </c>
      <c r="CP164">
        <v>87</v>
      </c>
      <c r="CS164" s="1" t="s">
        <v>2421</v>
      </c>
      <c r="CT164" s="1" t="s">
        <v>2432</v>
      </c>
      <c r="CU164" s="1" t="s">
        <v>2423</v>
      </c>
      <c r="CV164">
        <v>1731.6</v>
      </c>
      <c r="CW164">
        <v>55.3</v>
      </c>
      <c r="CX164">
        <v>58.6</v>
      </c>
      <c r="CY164">
        <v>61.2</v>
      </c>
      <c r="CZ164" s="1" t="s">
        <v>1979</v>
      </c>
      <c r="DA164">
        <v>1</v>
      </c>
      <c r="DB164" t="s">
        <v>179</v>
      </c>
      <c r="DC164">
        <v>42</v>
      </c>
      <c r="DD164" s="1" t="s">
        <v>2433</v>
      </c>
      <c r="DE164">
        <v>-9.1861676021750203</v>
      </c>
      <c r="DF164" t="e">
        <f>_xlfn.XLOOKUP(Table1[[#This Row],[Player ID]],Table2[feed_id],Table2[trade_status])</f>
        <v>#N/A</v>
      </c>
      <c r="DG164">
        <f>_xlfn.NUMBERVALUE(Table1[[#This Row],[predicted]])</f>
        <v>51.186167602174997</v>
      </c>
    </row>
    <row r="165" spans="1:111" hidden="1" x14ac:dyDescent="0.25">
      <c r="A165">
        <v>76396</v>
      </c>
      <c r="B165">
        <v>6693</v>
      </c>
      <c r="C165" t="s">
        <v>2414</v>
      </c>
      <c r="D165" t="s">
        <v>198</v>
      </c>
      <c r="E165">
        <v>2018</v>
      </c>
      <c r="F165">
        <v>292048</v>
      </c>
      <c r="G165" t="s">
        <v>150</v>
      </c>
      <c r="H165" t="s">
        <v>2434</v>
      </c>
      <c r="I165" t="s">
        <v>112</v>
      </c>
      <c r="J165">
        <v>4</v>
      </c>
      <c r="K165">
        <v>42</v>
      </c>
      <c r="L165">
        <v>48</v>
      </c>
      <c r="M165">
        <v>30</v>
      </c>
      <c r="N165">
        <v>32</v>
      </c>
      <c r="O165">
        <v>45</v>
      </c>
      <c r="P165">
        <v>6</v>
      </c>
      <c r="Q165">
        <v>5</v>
      </c>
      <c r="R165">
        <v>2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113</v>
      </c>
      <c r="Z165" t="s">
        <v>226</v>
      </c>
      <c r="AA165" t="s">
        <v>2292</v>
      </c>
      <c r="AD165">
        <v>337800</v>
      </c>
      <c r="AE165">
        <v>77</v>
      </c>
      <c r="AF165">
        <v>260100</v>
      </c>
      <c r="AG165">
        <v>94</v>
      </c>
      <c r="AH165" t="s">
        <v>181</v>
      </c>
      <c r="AI165">
        <v>43</v>
      </c>
      <c r="AJ165">
        <v>1</v>
      </c>
      <c r="AK165">
        <v>41.5</v>
      </c>
      <c r="AL165">
        <v>33</v>
      </c>
      <c r="AM165">
        <v>0</v>
      </c>
      <c r="AN165">
        <v>0</v>
      </c>
      <c r="AO165">
        <v>0.11</v>
      </c>
      <c r="AP165">
        <v>345000</v>
      </c>
      <c r="AQ165">
        <v>42</v>
      </c>
      <c r="AS165">
        <v>1</v>
      </c>
      <c r="AT165">
        <v>0</v>
      </c>
      <c r="AU165">
        <v>0</v>
      </c>
      <c r="AV165">
        <v>100</v>
      </c>
      <c r="AW165">
        <v>67</v>
      </c>
      <c r="AZ165" t="b">
        <v>0</v>
      </c>
      <c r="BA165">
        <v>1685</v>
      </c>
      <c r="BB165">
        <v>1578</v>
      </c>
      <c r="BC165">
        <v>24</v>
      </c>
      <c r="BD165" t="s">
        <v>2435</v>
      </c>
      <c r="BE165">
        <v>99</v>
      </c>
      <c r="BF165">
        <v>0</v>
      </c>
      <c r="BG165">
        <v>73</v>
      </c>
      <c r="BH165">
        <v>0</v>
      </c>
      <c r="BI165">
        <v>7</v>
      </c>
      <c r="BJ165" s="1" t="s">
        <v>1761</v>
      </c>
      <c r="BK165" s="1" t="s">
        <v>211</v>
      </c>
      <c r="BL165">
        <v>6.2</v>
      </c>
      <c r="BM165">
        <v>3</v>
      </c>
      <c r="BN165" s="1" t="s">
        <v>436</v>
      </c>
      <c r="BO165" s="1" t="s">
        <v>125</v>
      </c>
      <c r="BP165" s="1" t="s">
        <v>255</v>
      </c>
      <c r="BQ165">
        <v>0</v>
      </c>
      <c r="BR165">
        <v>6.6666666666666596E-2</v>
      </c>
      <c r="BS165" s="1" t="s">
        <v>129</v>
      </c>
      <c r="BT165" s="1" t="s">
        <v>231</v>
      </c>
      <c r="BU165">
        <v>1</v>
      </c>
      <c r="BV165" s="1" t="s">
        <v>128</v>
      </c>
      <c r="BW165" s="1" t="s">
        <v>129</v>
      </c>
      <c r="BX165">
        <v>0.2</v>
      </c>
      <c r="BY165" s="1" t="s">
        <v>129</v>
      </c>
      <c r="BZ165">
        <v>0.2</v>
      </c>
      <c r="CA165">
        <v>0.01</v>
      </c>
      <c r="CB165" s="1" t="s">
        <v>2436</v>
      </c>
      <c r="CC165">
        <v>3.3333333333333298E-2</v>
      </c>
      <c r="CD165" s="1" t="s">
        <v>2437</v>
      </c>
      <c r="CE165">
        <v>8.3333333333333301E-2</v>
      </c>
      <c r="CF165" s="1" t="s">
        <v>662</v>
      </c>
      <c r="CG165">
        <v>3</v>
      </c>
      <c r="CH165" s="1" t="s">
        <v>436</v>
      </c>
      <c r="CI165">
        <v>0</v>
      </c>
      <c r="CJ165" s="1" t="s">
        <v>231</v>
      </c>
      <c r="CK165" s="1" t="s">
        <v>169</v>
      </c>
      <c r="CL165" s="1" t="s">
        <v>214</v>
      </c>
      <c r="CM165">
        <v>77</v>
      </c>
      <c r="CN165" s="1" t="s">
        <v>1272</v>
      </c>
      <c r="CO165">
        <v>76</v>
      </c>
      <c r="CP165" s="1" t="s">
        <v>2385</v>
      </c>
      <c r="CS165">
        <v>1686</v>
      </c>
      <c r="CT165" s="1" t="s">
        <v>2438</v>
      </c>
      <c r="CU165" s="1" t="s">
        <v>2439</v>
      </c>
      <c r="CV165" s="1" t="s">
        <v>2440</v>
      </c>
      <c r="CW165">
        <v>64.2</v>
      </c>
      <c r="CX165">
        <v>55.3</v>
      </c>
      <c r="CY165">
        <v>44.2</v>
      </c>
      <c r="CZ165" s="1" t="s">
        <v>1861</v>
      </c>
      <c r="DA165">
        <v>1</v>
      </c>
      <c r="DB165" t="s">
        <v>226</v>
      </c>
      <c r="DC165">
        <v>48</v>
      </c>
      <c r="DD165">
        <v>84.560562626767506</v>
      </c>
      <c r="DE165">
        <v>-36.560562626767499</v>
      </c>
      <c r="DF165" t="e">
        <f>_xlfn.XLOOKUP(Table1[[#This Row],[Player ID]],Table2[feed_id],Table2[trade_status])</f>
        <v>#N/A</v>
      </c>
      <c r="DG165">
        <f>_xlfn.NUMBERVALUE(Table1[[#This Row],[predicted]])</f>
        <v>84.560562626767506</v>
      </c>
    </row>
    <row r="166" spans="1:111" hidden="1" x14ac:dyDescent="0.25">
      <c r="A166">
        <v>76403</v>
      </c>
      <c r="B166">
        <v>6694</v>
      </c>
      <c r="C166" t="s">
        <v>2441</v>
      </c>
      <c r="D166" t="s">
        <v>198</v>
      </c>
      <c r="E166">
        <v>2018</v>
      </c>
      <c r="F166">
        <v>995121</v>
      </c>
      <c r="G166" t="s">
        <v>2442</v>
      </c>
      <c r="H166" t="s">
        <v>2443</v>
      </c>
      <c r="I166" t="s">
        <v>249</v>
      </c>
      <c r="J166">
        <v>10</v>
      </c>
      <c r="K166">
        <v>82</v>
      </c>
      <c r="L166">
        <v>74</v>
      </c>
      <c r="M166">
        <v>106</v>
      </c>
      <c r="N166">
        <v>63</v>
      </c>
      <c r="O166">
        <v>87</v>
      </c>
      <c r="P166">
        <v>13</v>
      </c>
      <c r="Q166">
        <v>8</v>
      </c>
      <c r="R166">
        <v>5</v>
      </c>
      <c r="S166">
        <v>3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113</v>
      </c>
      <c r="Z166" t="s">
        <v>226</v>
      </c>
      <c r="AA166" t="s">
        <v>2444</v>
      </c>
      <c r="AD166">
        <v>325600</v>
      </c>
      <c r="AE166">
        <v>54</v>
      </c>
      <c r="AF166">
        <v>245300</v>
      </c>
      <c r="AG166">
        <v>33</v>
      </c>
      <c r="AH166" t="s">
        <v>181</v>
      </c>
      <c r="AI166">
        <v>38</v>
      </c>
      <c r="AJ166">
        <v>5</v>
      </c>
      <c r="AK166">
        <v>53.83</v>
      </c>
      <c r="AL166">
        <v>53.83</v>
      </c>
      <c r="AM166">
        <v>0</v>
      </c>
      <c r="AN166">
        <v>0</v>
      </c>
      <c r="AO166">
        <v>2.5099999999999998</v>
      </c>
      <c r="AP166">
        <v>376000</v>
      </c>
      <c r="AQ166">
        <v>36</v>
      </c>
      <c r="AS166">
        <v>4</v>
      </c>
      <c r="AT166">
        <v>0</v>
      </c>
      <c r="AU166">
        <v>0</v>
      </c>
      <c r="AV166">
        <v>81</v>
      </c>
      <c r="AW166">
        <v>88</v>
      </c>
      <c r="AZ166" t="b">
        <v>0</v>
      </c>
      <c r="BA166">
        <v>1904</v>
      </c>
      <c r="BB166">
        <v>1343</v>
      </c>
      <c r="BC166">
        <v>24</v>
      </c>
      <c r="BD166" t="s">
        <v>2445</v>
      </c>
      <c r="BE166">
        <v>99</v>
      </c>
      <c r="BF166">
        <v>0</v>
      </c>
      <c r="BG166">
        <v>73</v>
      </c>
      <c r="BH166">
        <v>1</v>
      </c>
      <c r="BI166">
        <v>10</v>
      </c>
      <c r="BJ166" s="1" t="s">
        <v>1106</v>
      </c>
      <c r="BK166" s="1" t="s">
        <v>977</v>
      </c>
      <c r="BL166" s="1" t="s">
        <v>253</v>
      </c>
      <c r="BM166" s="1" t="s">
        <v>125</v>
      </c>
      <c r="BN166">
        <v>4.2</v>
      </c>
      <c r="BO166" s="1" t="s">
        <v>125</v>
      </c>
      <c r="BP166" s="1" t="s">
        <v>159</v>
      </c>
      <c r="BQ166">
        <v>0</v>
      </c>
      <c r="BR166">
        <v>0</v>
      </c>
      <c r="BS166" s="1" t="s">
        <v>161</v>
      </c>
      <c r="BT166">
        <v>1</v>
      </c>
      <c r="BU166" s="1" t="s">
        <v>128</v>
      </c>
      <c r="BV166">
        <v>1</v>
      </c>
      <c r="BW166">
        <v>0</v>
      </c>
      <c r="BX166">
        <v>0</v>
      </c>
      <c r="BY166">
        <v>0</v>
      </c>
      <c r="BZ166">
        <v>6.6666666666666596E-2</v>
      </c>
      <c r="CA166">
        <v>8.6666666666666906E-2</v>
      </c>
      <c r="CB166" s="1" t="s">
        <v>2446</v>
      </c>
      <c r="CC166" s="1" t="s">
        <v>1336</v>
      </c>
      <c r="CD166" s="1" t="s">
        <v>2447</v>
      </c>
      <c r="CE166">
        <v>2.5</v>
      </c>
      <c r="CF166" s="1" t="s">
        <v>2448</v>
      </c>
      <c r="CG166">
        <v>6</v>
      </c>
      <c r="CH166" s="1" t="s">
        <v>256</v>
      </c>
      <c r="CI166">
        <v>0</v>
      </c>
      <c r="CJ166">
        <v>0.4</v>
      </c>
      <c r="CK166" s="1" t="s">
        <v>126</v>
      </c>
      <c r="CL166">
        <v>2.2000000000000002</v>
      </c>
      <c r="CM166" s="1" t="s">
        <v>1110</v>
      </c>
      <c r="CN166">
        <v>77.599999999999994</v>
      </c>
      <c r="CO166" s="1" t="s">
        <v>1110</v>
      </c>
      <c r="CP166" s="1" t="s">
        <v>1889</v>
      </c>
      <c r="CS166">
        <v>1471</v>
      </c>
      <c r="CT166">
        <v>1581</v>
      </c>
      <c r="CU166">
        <v>1795</v>
      </c>
      <c r="CV166" s="1" t="s">
        <v>2449</v>
      </c>
      <c r="CW166">
        <v>65.05</v>
      </c>
      <c r="CX166">
        <v>63</v>
      </c>
      <c r="CY166">
        <v>68.599999999999994</v>
      </c>
      <c r="CZ166">
        <v>82</v>
      </c>
      <c r="DA166">
        <v>1</v>
      </c>
      <c r="DB166" t="s">
        <v>226</v>
      </c>
      <c r="DC166">
        <v>74</v>
      </c>
      <c r="DD166">
        <v>93.112002779237102</v>
      </c>
      <c r="DE166">
        <v>-19.112002779237098</v>
      </c>
      <c r="DF166" t="e">
        <f>_xlfn.XLOOKUP(Table1[[#This Row],[Player ID]],Table2[feed_id],Table2[trade_status])</f>
        <v>#N/A</v>
      </c>
      <c r="DG166">
        <f>_xlfn.NUMBERVALUE(Table1[[#This Row],[predicted]])</f>
        <v>93.112002779237102</v>
      </c>
    </row>
    <row r="167" spans="1:111" hidden="1" x14ac:dyDescent="0.25">
      <c r="A167">
        <v>76406</v>
      </c>
      <c r="B167">
        <v>6694</v>
      </c>
      <c r="C167" t="s">
        <v>2441</v>
      </c>
      <c r="D167" t="s">
        <v>198</v>
      </c>
      <c r="E167">
        <v>2018</v>
      </c>
      <c r="F167">
        <v>291806</v>
      </c>
      <c r="G167" t="s">
        <v>958</v>
      </c>
      <c r="H167" t="s">
        <v>2450</v>
      </c>
      <c r="I167" t="s">
        <v>249</v>
      </c>
      <c r="J167">
        <v>19</v>
      </c>
      <c r="K167">
        <v>79</v>
      </c>
      <c r="L167">
        <v>53</v>
      </c>
      <c r="M167">
        <v>96</v>
      </c>
      <c r="N167">
        <v>68</v>
      </c>
      <c r="O167">
        <v>90</v>
      </c>
      <c r="P167">
        <v>11</v>
      </c>
      <c r="Q167">
        <v>11</v>
      </c>
      <c r="R167">
        <v>6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 t="s">
        <v>113</v>
      </c>
      <c r="Z167" t="s">
        <v>525</v>
      </c>
      <c r="AA167" t="s">
        <v>2451</v>
      </c>
      <c r="AD167">
        <v>565400</v>
      </c>
      <c r="AE167">
        <v>90</v>
      </c>
      <c r="AF167">
        <v>446400</v>
      </c>
      <c r="AG167">
        <v>105</v>
      </c>
      <c r="AH167" t="s">
        <v>118</v>
      </c>
      <c r="AI167">
        <v>11</v>
      </c>
      <c r="AJ167">
        <v>9</v>
      </c>
      <c r="AK167">
        <v>86.7</v>
      </c>
      <c r="AL167">
        <v>87.3</v>
      </c>
      <c r="AM167">
        <v>0</v>
      </c>
      <c r="AN167">
        <v>0</v>
      </c>
      <c r="AO167">
        <v>0.08</v>
      </c>
      <c r="AP167">
        <v>574000</v>
      </c>
      <c r="AQ167">
        <v>83</v>
      </c>
      <c r="AS167">
        <v>7</v>
      </c>
      <c r="AT167">
        <v>2</v>
      </c>
      <c r="AU167">
        <v>5</v>
      </c>
      <c r="AV167">
        <v>63</v>
      </c>
      <c r="AW167">
        <v>77</v>
      </c>
      <c r="AZ167" t="b">
        <v>0</v>
      </c>
      <c r="BA167">
        <v>1904</v>
      </c>
      <c r="BB167">
        <v>1343</v>
      </c>
      <c r="BC167">
        <v>24</v>
      </c>
      <c r="BD167" t="s">
        <v>2445</v>
      </c>
      <c r="BE167">
        <v>99</v>
      </c>
      <c r="BF167">
        <v>0</v>
      </c>
      <c r="BG167">
        <v>73</v>
      </c>
      <c r="BH167">
        <v>0</v>
      </c>
      <c r="BI167" s="1" t="s">
        <v>121</v>
      </c>
      <c r="BJ167" s="1" t="s">
        <v>1672</v>
      </c>
      <c r="BK167" s="1" t="s">
        <v>977</v>
      </c>
      <c r="BL167" s="1" t="s">
        <v>879</v>
      </c>
      <c r="BM167">
        <v>6</v>
      </c>
      <c r="BN167" s="1" t="s">
        <v>1092</v>
      </c>
      <c r="BO167" s="1" t="s">
        <v>161</v>
      </c>
      <c r="BP167" s="1" t="s">
        <v>990</v>
      </c>
      <c r="BQ167">
        <v>0</v>
      </c>
      <c r="BR167">
        <v>0</v>
      </c>
      <c r="BS167" s="1" t="s">
        <v>129</v>
      </c>
      <c r="BT167" s="1" t="s">
        <v>126</v>
      </c>
      <c r="BU167" s="1" t="s">
        <v>129</v>
      </c>
      <c r="BV167">
        <v>1.4</v>
      </c>
      <c r="BW167" s="1" t="s">
        <v>128</v>
      </c>
      <c r="BX167" s="1" t="s">
        <v>184</v>
      </c>
      <c r="BY167">
        <v>0</v>
      </c>
      <c r="BZ167" s="1" t="s">
        <v>184</v>
      </c>
      <c r="CA167">
        <v>6.6666666666666602E-3</v>
      </c>
      <c r="CB167">
        <v>4.1333333333333298E-2</v>
      </c>
      <c r="CC167">
        <v>0.04</v>
      </c>
      <c r="CD167">
        <v>9.8666666666666597E-2</v>
      </c>
      <c r="CE167">
        <v>0.09</v>
      </c>
      <c r="CF167" s="1" t="s">
        <v>2452</v>
      </c>
      <c r="CG167">
        <v>7</v>
      </c>
      <c r="CH167">
        <v>8.4</v>
      </c>
      <c r="CI167" s="1" t="s">
        <v>159</v>
      </c>
      <c r="CJ167" s="1" t="s">
        <v>373</v>
      </c>
      <c r="CK167">
        <v>5</v>
      </c>
      <c r="CL167" s="1" t="s">
        <v>125</v>
      </c>
      <c r="CM167" s="1" t="s">
        <v>822</v>
      </c>
      <c r="CN167" s="1" t="s">
        <v>1340</v>
      </c>
      <c r="CO167">
        <v>77</v>
      </c>
      <c r="CP167" s="1" t="s">
        <v>240</v>
      </c>
      <c r="CS167">
        <v>1460</v>
      </c>
      <c r="CT167" s="1" t="s">
        <v>2453</v>
      </c>
      <c r="CU167" s="1" t="s">
        <v>2454</v>
      </c>
      <c r="CV167">
        <v>1737.6</v>
      </c>
      <c r="CW167">
        <v>83.7</v>
      </c>
      <c r="CX167">
        <v>83.4</v>
      </c>
      <c r="CY167">
        <v>78.8</v>
      </c>
      <c r="CZ167" s="1" t="s">
        <v>141</v>
      </c>
      <c r="DA167">
        <v>1</v>
      </c>
      <c r="DB167" t="s">
        <v>525</v>
      </c>
      <c r="DC167">
        <v>53</v>
      </c>
      <c r="DD167" s="1" t="s">
        <v>2455</v>
      </c>
      <c r="DE167">
        <v>-30.7548297889061</v>
      </c>
      <c r="DF167" t="e">
        <f>_xlfn.XLOOKUP(Table1[[#This Row],[Player ID]],Table2[feed_id],Table2[trade_status])</f>
        <v>#N/A</v>
      </c>
      <c r="DG167">
        <f>_xlfn.NUMBERVALUE(Table1[[#This Row],[predicted]])</f>
        <v>83.754829788906093</v>
      </c>
    </row>
    <row r="168" spans="1:111" hidden="1" x14ac:dyDescent="0.25">
      <c r="A168">
        <v>76408</v>
      </c>
      <c r="B168">
        <v>6694</v>
      </c>
      <c r="C168" t="s">
        <v>2441</v>
      </c>
      <c r="D168" t="s">
        <v>198</v>
      </c>
      <c r="E168">
        <v>2018</v>
      </c>
      <c r="F168">
        <v>291445</v>
      </c>
      <c r="G168" t="s">
        <v>2456</v>
      </c>
      <c r="H168" t="s">
        <v>2457</v>
      </c>
      <c r="I168" t="s">
        <v>249</v>
      </c>
      <c r="J168">
        <v>13</v>
      </c>
      <c r="K168">
        <v>69</v>
      </c>
      <c r="L168">
        <v>71</v>
      </c>
      <c r="M168">
        <v>88</v>
      </c>
      <c r="N168">
        <v>53</v>
      </c>
      <c r="O168">
        <v>70</v>
      </c>
      <c r="P168">
        <v>16</v>
      </c>
      <c r="Q168">
        <v>2</v>
      </c>
      <c r="R168">
        <v>3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1</v>
      </c>
      <c r="Y168" t="s">
        <v>113</v>
      </c>
      <c r="Z168" t="s">
        <v>525</v>
      </c>
      <c r="AA168" t="s">
        <v>2458</v>
      </c>
      <c r="AD168">
        <v>410800</v>
      </c>
      <c r="AE168">
        <v>77</v>
      </c>
      <c r="AF168">
        <v>321500</v>
      </c>
      <c r="AG168">
        <v>75</v>
      </c>
      <c r="AH168" t="s">
        <v>181</v>
      </c>
      <c r="AI168">
        <v>18</v>
      </c>
      <c r="AJ168">
        <v>11</v>
      </c>
      <c r="AK168">
        <v>62.33</v>
      </c>
      <c r="AL168">
        <v>62.17</v>
      </c>
      <c r="AM168">
        <v>0</v>
      </c>
      <c r="AN168">
        <v>0</v>
      </c>
      <c r="AO168">
        <v>3.47</v>
      </c>
      <c r="AP168">
        <v>404000</v>
      </c>
      <c r="AQ168">
        <v>88</v>
      </c>
      <c r="AS168">
        <v>6</v>
      </c>
      <c r="AT168">
        <v>0</v>
      </c>
      <c r="AU168">
        <v>1</v>
      </c>
      <c r="AV168">
        <v>72</v>
      </c>
      <c r="AW168">
        <v>75</v>
      </c>
      <c r="AZ168" t="b">
        <v>0</v>
      </c>
      <c r="BA168">
        <v>1904</v>
      </c>
      <c r="BB168">
        <v>1343</v>
      </c>
      <c r="BC168">
        <v>24</v>
      </c>
      <c r="BD168" t="s">
        <v>2445</v>
      </c>
      <c r="BE168">
        <v>99</v>
      </c>
      <c r="BF168">
        <v>0</v>
      </c>
      <c r="BG168">
        <v>73</v>
      </c>
      <c r="BH168">
        <v>0</v>
      </c>
      <c r="BI168">
        <v>10</v>
      </c>
      <c r="BJ168" s="1" t="s">
        <v>357</v>
      </c>
      <c r="BK168" s="1" t="s">
        <v>138</v>
      </c>
      <c r="BL168">
        <v>4.2</v>
      </c>
      <c r="BM168" s="1" t="s">
        <v>169</v>
      </c>
      <c r="BN168">
        <v>4.5999999999999996</v>
      </c>
      <c r="BO168">
        <v>2</v>
      </c>
      <c r="BP168">
        <v>1.8</v>
      </c>
      <c r="BQ168">
        <v>0</v>
      </c>
      <c r="BR168">
        <v>0</v>
      </c>
      <c r="BS168" s="1" t="s">
        <v>129</v>
      </c>
      <c r="BT168">
        <v>0.2</v>
      </c>
      <c r="BU168">
        <v>1</v>
      </c>
      <c r="BV168" s="1" t="s">
        <v>238</v>
      </c>
      <c r="BW168" s="1" t="s">
        <v>129</v>
      </c>
      <c r="BX168" s="1" t="s">
        <v>213</v>
      </c>
      <c r="BY168" s="1" t="s">
        <v>128</v>
      </c>
      <c r="BZ168" s="1" t="s">
        <v>184</v>
      </c>
      <c r="CA168">
        <v>4.9999999999999899E-2</v>
      </c>
      <c r="CB168" s="1" t="s">
        <v>1108</v>
      </c>
      <c r="CC168">
        <v>6.6666666666666596E-2</v>
      </c>
      <c r="CD168" s="1" t="s">
        <v>1336</v>
      </c>
      <c r="CE168">
        <v>3.52</v>
      </c>
      <c r="CF168" s="1" t="s">
        <v>2459</v>
      </c>
      <c r="CG168" s="1" t="s">
        <v>138</v>
      </c>
      <c r="CH168" s="1" t="s">
        <v>189</v>
      </c>
      <c r="CI168">
        <v>0</v>
      </c>
      <c r="CJ168" s="1" t="s">
        <v>128</v>
      </c>
      <c r="CK168" s="1" t="s">
        <v>126</v>
      </c>
      <c r="CL168">
        <v>2</v>
      </c>
      <c r="CM168" s="1" t="s">
        <v>593</v>
      </c>
      <c r="CN168">
        <v>73.400000000000006</v>
      </c>
      <c r="CO168" s="1" t="s">
        <v>2147</v>
      </c>
      <c r="CP168" s="1" t="s">
        <v>1980</v>
      </c>
      <c r="CS168" s="1" t="s">
        <v>2460</v>
      </c>
      <c r="CT168" s="1" t="s">
        <v>2461</v>
      </c>
      <c r="CU168" s="1" t="s">
        <v>2462</v>
      </c>
      <c r="CV168" s="1" t="s">
        <v>2463</v>
      </c>
      <c r="CW168">
        <v>70</v>
      </c>
      <c r="CX168">
        <v>61.7</v>
      </c>
      <c r="CY168">
        <v>62</v>
      </c>
      <c r="CZ168" s="1" t="s">
        <v>2464</v>
      </c>
      <c r="DA168">
        <v>1</v>
      </c>
      <c r="DB168" t="s">
        <v>525</v>
      </c>
      <c r="DC168">
        <v>71</v>
      </c>
      <c r="DD168" s="1" t="s">
        <v>2465</v>
      </c>
      <c r="DE168" s="1" t="s">
        <v>2466</v>
      </c>
      <c r="DF168" t="e">
        <f>_xlfn.XLOOKUP(Table1[[#This Row],[Player ID]],Table2[feed_id],Table2[trade_status])</f>
        <v>#N/A</v>
      </c>
      <c r="DG168">
        <f>_xlfn.NUMBERVALUE(Table1[[#This Row],[predicted]])</f>
        <v>66.803614394552696</v>
      </c>
    </row>
    <row r="169" spans="1:111" hidden="1" x14ac:dyDescent="0.25">
      <c r="A169">
        <v>76413</v>
      </c>
      <c r="B169">
        <v>6694</v>
      </c>
      <c r="C169" t="s">
        <v>2441</v>
      </c>
      <c r="D169" t="s">
        <v>198</v>
      </c>
      <c r="E169">
        <v>2018</v>
      </c>
      <c r="F169">
        <v>291544</v>
      </c>
      <c r="G169" t="s">
        <v>710</v>
      </c>
      <c r="H169" t="s">
        <v>2467</v>
      </c>
      <c r="I169" t="s">
        <v>249</v>
      </c>
      <c r="J169">
        <v>7</v>
      </c>
      <c r="K169">
        <v>53</v>
      </c>
      <c r="L169">
        <v>45</v>
      </c>
      <c r="M169">
        <v>68</v>
      </c>
      <c r="N169">
        <v>42</v>
      </c>
      <c r="O169">
        <v>61</v>
      </c>
      <c r="P169">
        <v>11</v>
      </c>
      <c r="Q169">
        <v>6</v>
      </c>
      <c r="R169">
        <v>2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1</v>
      </c>
      <c r="Y169" t="s">
        <v>113</v>
      </c>
      <c r="Z169" t="s">
        <v>226</v>
      </c>
      <c r="AA169" t="s">
        <v>2468</v>
      </c>
      <c r="AD169">
        <v>395600</v>
      </c>
      <c r="AE169">
        <v>61</v>
      </c>
      <c r="AF169">
        <v>318400</v>
      </c>
      <c r="AG169">
        <v>58</v>
      </c>
      <c r="AH169" t="s">
        <v>155</v>
      </c>
      <c r="AI169">
        <v>13</v>
      </c>
      <c r="AJ169">
        <v>16</v>
      </c>
      <c r="AK169">
        <v>57</v>
      </c>
      <c r="AL169">
        <v>60.35</v>
      </c>
      <c r="AM169">
        <v>0</v>
      </c>
      <c r="AN169">
        <v>0</v>
      </c>
      <c r="AO169">
        <v>0.1</v>
      </c>
      <c r="AP169">
        <v>414000</v>
      </c>
      <c r="AQ169">
        <v>55</v>
      </c>
      <c r="AS169">
        <v>5</v>
      </c>
      <c r="AT169">
        <v>1</v>
      </c>
      <c r="AU169">
        <v>3</v>
      </c>
      <c r="AV169">
        <v>64</v>
      </c>
      <c r="AW169">
        <v>89</v>
      </c>
      <c r="AZ169" t="b">
        <v>0</v>
      </c>
      <c r="BA169">
        <v>1904</v>
      </c>
      <c r="BB169">
        <v>1343</v>
      </c>
      <c r="BC169">
        <v>24</v>
      </c>
      <c r="BD169" t="s">
        <v>2445</v>
      </c>
      <c r="BE169">
        <v>99</v>
      </c>
      <c r="BF169">
        <v>0</v>
      </c>
      <c r="BG169">
        <v>73</v>
      </c>
      <c r="BH169">
        <v>0</v>
      </c>
      <c r="BI169" s="1" t="s">
        <v>122</v>
      </c>
      <c r="BJ169" s="1" t="s">
        <v>2030</v>
      </c>
      <c r="BK169" s="1" t="s">
        <v>211</v>
      </c>
      <c r="BL169">
        <v>4.5999999999999996</v>
      </c>
      <c r="BM169" s="1" t="s">
        <v>169</v>
      </c>
      <c r="BN169" s="1" t="s">
        <v>528</v>
      </c>
      <c r="BO169" s="1" t="s">
        <v>161</v>
      </c>
      <c r="BP169" s="1" t="s">
        <v>159</v>
      </c>
      <c r="BQ169">
        <v>0</v>
      </c>
      <c r="BR169">
        <v>0</v>
      </c>
      <c r="BS169" s="1" t="s">
        <v>129</v>
      </c>
      <c r="BT169" s="1" t="s">
        <v>162</v>
      </c>
      <c r="BU169" s="1" t="s">
        <v>128</v>
      </c>
      <c r="BV169">
        <v>1</v>
      </c>
      <c r="BW169">
        <v>0</v>
      </c>
      <c r="BX169">
        <v>0.4</v>
      </c>
      <c r="BY169" s="1" t="s">
        <v>129</v>
      </c>
      <c r="BZ169">
        <v>6.6666666666666596E-2</v>
      </c>
      <c r="CA169">
        <v>0.04</v>
      </c>
      <c r="CB169" s="1" t="s">
        <v>2469</v>
      </c>
      <c r="CC169">
        <v>0.06</v>
      </c>
      <c r="CD169">
        <v>9.5333333333333298E-2</v>
      </c>
      <c r="CE169">
        <v>0.1</v>
      </c>
      <c r="CF169">
        <v>8.1333333333333299E-2</v>
      </c>
      <c r="CG169" s="1" t="s">
        <v>211</v>
      </c>
      <c r="CH169" s="1" t="s">
        <v>256</v>
      </c>
      <c r="CI169">
        <v>1</v>
      </c>
      <c r="CJ169">
        <v>0.4</v>
      </c>
      <c r="CK169" s="1" t="s">
        <v>169</v>
      </c>
      <c r="CL169">
        <v>2.6</v>
      </c>
      <c r="CM169" s="1" t="s">
        <v>1406</v>
      </c>
      <c r="CN169">
        <v>76.8</v>
      </c>
      <c r="CO169">
        <v>81</v>
      </c>
      <c r="CP169" s="1" t="s">
        <v>720</v>
      </c>
      <c r="CS169">
        <v>1471</v>
      </c>
      <c r="CT169">
        <v>1510.4</v>
      </c>
      <c r="CU169">
        <v>1795</v>
      </c>
      <c r="CV169">
        <v>1757.6</v>
      </c>
      <c r="CW169">
        <v>59.55</v>
      </c>
      <c r="CX169">
        <v>65</v>
      </c>
      <c r="CY169">
        <v>63.2</v>
      </c>
      <c r="CZ169" s="1" t="s">
        <v>1391</v>
      </c>
      <c r="DA169">
        <v>1</v>
      </c>
      <c r="DB169" t="s">
        <v>226</v>
      </c>
      <c r="DC169">
        <v>45</v>
      </c>
      <c r="DD169" s="1" t="s">
        <v>2470</v>
      </c>
      <c r="DE169">
        <v>-44.569517142976203</v>
      </c>
      <c r="DF169" t="e">
        <f>_xlfn.XLOOKUP(Table1[[#This Row],[Player ID]],Table2[feed_id],Table2[trade_status])</f>
        <v>#N/A</v>
      </c>
      <c r="DG169">
        <f>_xlfn.NUMBERVALUE(Table1[[#This Row],[predicted]])</f>
        <v>89.569517142976196</v>
      </c>
    </row>
    <row r="170" spans="1:111" hidden="1" x14ac:dyDescent="0.25">
      <c r="A170">
        <v>76414</v>
      </c>
      <c r="B170">
        <v>6694</v>
      </c>
      <c r="C170" t="s">
        <v>2441</v>
      </c>
      <c r="D170" t="s">
        <v>198</v>
      </c>
      <c r="E170">
        <v>2018</v>
      </c>
      <c r="F170">
        <v>261384</v>
      </c>
      <c r="G170" t="s">
        <v>1002</v>
      </c>
      <c r="H170" t="s">
        <v>2161</v>
      </c>
      <c r="I170" t="s">
        <v>249</v>
      </c>
      <c r="J170">
        <v>4</v>
      </c>
      <c r="K170">
        <v>48</v>
      </c>
      <c r="L170">
        <v>34</v>
      </c>
      <c r="M170">
        <v>62</v>
      </c>
      <c r="N170">
        <v>38</v>
      </c>
      <c r="O170">
        <v>53</v>
      </c>
      <c r="P170">
        <v>8</v>
      </c>
      <c r="Q170">
        <v>5</v>
      </c>
      <c r="R170">
        <v>2</v>
      </c>
      <c r="S170">
        <v>2</v>
      </c>
      <c r="T170">
        <v>0</v>
      </c>
      <c r="U170">
        <v>1</v>
      </c>
      <c r="V170">
        <v>1</v>
      </c>
      <c r="W170">
        <v>0</v>
      </c>
      <c r="X170">
        <v>2</v>
      </c>
      <c r="Y170" t="s">
        <v>113</v>
      </c>
      <c r="Z170" t="s">
        <v>525</v>
      </c>
      <c r="AA170" t="s">
        <v>2471</v>
      </c>
      <c r="AD170">
        <v>422800</v>
      </c>
      <c r="AE170">
        <v>85</v>
      </c>
      <c r="AF170">
        <v>316600</v>
      </c>
      <c r="AG170">
        <v>68</v>
      </c>
      <c r="AH170" t="s">
        <v>155</v>
      </c>
      <c r="AI170">
        <v>46</v>
      </c>
      <c r="AJ170">
        <v>19</v>
      </c>
      <c r="AK170">
        <v>63.65</v>
      </c>
      <c r="AL170">
        <v>66.8</v>
      </c>
      <c r="AM170">
        <v>0</v>
      </c>
      <c r="AN170">
        <v>0</v>
      </c>
      <c r="AO170">
        <v>3.34</v>
      </c>
      <c r="AP170">
        <v>420000</v>
      </c>
      <c r="AQ170">
        <v>81</v>
      </c>
      <c r="AS170">
        <v>6</v>
      </c>
      <c r="AT170">
        <v>1</v>
      </c>
      <c r="AU170">
        <v>2</v>
      </c>
      <c r="AV170">
        <v>30</v>
      </c>
      <c r="AW170">
        <v>91</v>
      </c>
      <c r="AZ170" t="b">
        <v>0</v>
      </c>
      <c r="BA170">
        <v>1904</v>
      </c>
      <c r="BB170">
        <v>1343</v>
      </c>
      <c r="BC170">
        <v>24</v>
      </c>
      <c r="BD170" t="s">
        <v>2445</v>
      </c>
      <c r="BE170">
        <v>99</v>
      </c>
      <c r="BF170">
        <v>0</v>
      </c>
      <c r="BG170">
        <v>73</v>
      </c>
      <c r="BH170">
        <v>0</v>
      </c>
      <c r="BI170">
        <v>7</v>
      </c>
      <c r="BJ170">
        <v>8.6</v>
      </c>
      <c r="BK170" s="1" t="s">
        <v>138</v>
      </c>
      <c r="BL170" s="1" t="s">
        <v>499</v>
      </c>
      <c r="BM170">
        <v>3</v>
      </c>
      <c r="BN170" s="1" t="s">
        <v>256</v>
      </c>
      <c r="BO170">
        <v>1</v>
      </c>
      <c r="BP170" s="1" t="s">
        <v>170</v>
      </c>
      <c r="BQ170">
        <v>0</v>
      </c>
      <c r="BR170">
        <v>0</v>
      </c>
      <c r="BS170">
        <v>1</v>
      </c>
      <c r="BT170">
        <v>1</v>
      </c>
      <c r="BU170" s="1" t="s">
        <v>128</v>
      </c>
      <c r="BV170" s="1" t="s">
        <v>238</v>
      </c>
      <c r="BW170">
        <v>1</v>
      </c>
      <c r="BX170">
        <v>0.8</v>
      </c>
      <c r="BY170">
        <v>1</v>
      </c>
      <c r="BZ170" s="1" t="s">
        <v>128</v>
      </c>
      <c r="CA170">
        <v>6.6666666666666596E-2</v>
      </c>
      <c r="CB170" s="1" t="s">
        <v>2472</v>
      </c>
      <c r="CC170">
        <v>0.09</v>
      </c>
      <c r="CD170">
        <v>0.17</v>
      </c>
      <c r="CE170">
        <v>3.35</v>
      </c>
      <c r="CF170" s="1" t="s">
        <v>2473</v>
      </c>
      <c r="CG170" s="1" t="s">
        <v>449</v>
      </c>
      <c r="CH170" s="1" t="s">
        <v>374</v>
      </c>
      <c r="CI170" s="1" t="s">
        <v>129</v>
      </c>
      <c r="CJ170">
        <v>1</v>
      </c>
      <c r="CK170" s="1" t="s">
        <v>126</v>
      </c>
      <c r="CL170" s="1" t="s">
        <v>161</v>
      </c>
      <c r="CM170">
        <v>54</v>
      </c>
      <c r="CN170">
        <v>66.400000000000006</v>
      </c>
      <c r="CO170">
        <v>83</v>
      </c>
      <c r="CP170" s="1" t="s">
        <v>1740</v>
      </c>
      <c r="CS170">
        <v>1471</v>
      </c>
      <c r="CT170">
        <v>1500.2</v>
      </c>
      <c r="CU170">
        <v>1795</v>
      </c>
      <c r="CV170" s="1" t="s">
        <v>2474</v>
      </c>
      <c r="CW170">
        <v>63.65</v>
      </c>
      <c r="CX170">
        <v>60.4</v>
      </c>
      <c r="CY170">
        <v>60.2</v>
      </c>
      <c r="CZ170">
        <v>51</v>
      </c>
      <c r="DA170">
        <v>1</v>
      </c>
      <c r="DB170" t="s">
        <v>525</v>
      </c>
      <c r="DC170">
        <v>34</v>
      </c>
      <c r="DD170" s="1" t="s">
        <v>2475</v>
      </c>
      <c r="DE170">
        <v>-26.9475542031761</v>
      </c>
      <c r="DF170" t="e">
        <f>_xlfn.XLOOKUP(Table1[[#This Row],[Player ID]],Table2[feed_id],Table2[trade_status])</f>
        <v>#N/A</v>
      </c>
      <c r="DG170">
        <f>_xlfn.NUMBERVALUE(Table1[[#This Row],[predicted]])</f>
        <v>60.947554203176097</v>
      </c>
    </row>
    <row r="171" spans="1:111" hidden="1" x14ac:dyDescent="0.25">
      <c r="A171">
        <v>76574</v>
      </c>
      <c r="B171">
        <v>6698</v>
      </c>
      <c r="C171" t="s">
        <v>2476</v>
      </c>
      <c r="D171" t="s">
        <v>198</v>
      </c>
      <c r="E171">
        <v>2018</v>
      </c>
      <c r="F171">
        <v>250134</v>
      </c>
      <c r="G171" t="s">
        <v>958</v>
      </c>
      <c r="H171" t="s">
        <v>2477</v>
      </c>
      <c r="I171" t="s">
        <v>152</v>
      </c>
      <c r="J171">
        <v>31</v>
      </c>
      <c r="K171">
        <v>102</v>
      </c>
      <c r="L171">
        <v>85</v>
      </c>
      <c r="M171">
        <v>134</v>
      </c>
      <c r="N171">
        <v>78</v>
      </c>
      <c r="O171">
        <v>105</v>
      </c>
      <c r="P171">
        <v>14</v>
      </c>
      <c r="Q171">
        <v>7</v>
      </c>
      <c r="R171">
        <v>6</v>
      </c>
      <c r="S171">
        <v>6</v>
      </c>
      <c r="T171">
        <v>0</v>
      </c>
      <c r="U171">
        <v>1</v>
      </c>
      <c r="V171">
        <v>1</v>
      </c>
      <c r="W171">
        <v>1</v>
      </c>
      <c r="X171">
        <v>0</v>
      </c>
      <c r="Y171" t="s">
        <v>113</v>
      </c>
      <c r="Z171" t="s">
        <v>339</v>
      </c>
      <c r="AA171" t="s">
        <v>2478</v>
      </c>
      <c r="AB171" t="s">
        <v>179</v>
      </c>
      <c r="AC171" t="s">
        <v>2479</v>
      </c>
      <c r="AD171">
        <v>311600</v>
      </c>
      <c r="AE171">
        <v>50</v>
      </c>
      <c r="AF171">
        <v>264100</v>
      </c>
      <c r="AG171">
        <v>66</v>
      </c>
      <c r="AH171" t="s">
        <v>181</v>
      </c>
      <c r="AI171">
        <v>19</v>
      </c>
      <c r="AJ171">
        <v>9</v>
      </c>
      <c r="AK171">
        <v>53.5</v>
      </c>
      <c r="AL171">
        <v>56.5</v>
      </c>
      <c r="AM171">
        <v>0</v>
      </c>
      <c r="AN171">
        <v>0</v>
      </c>
      <c r="AO171">
        <v>0.1</v>
      </c>
      <c r="AP171">
        <v>334000</v>
      </c>
      <c r="AQ171">
        <v>53</v>
      </c>
      <c r="AS171">
        <v>4</v>
      </c>
      <c r="AT171">
        <v>0</v>
      </c>
      <c r="AU171">
        <v>3</v>
      </c>
      <c r="AV171">
        <v>76</v>
      </c>
      <c r="AW171">
        <v>91</v>
      </c>
      <c r="AZ171" t="b">
        <v>0</v>
      </c>
      <c r="BA171">
        <v>1710</v>
      </c>
      <c r="BB171">
        <v>1568</v>
      </c>
      <c r="BC171">
        <v>24</v>
      </c>
      <c r="BD171" t="s">
        <v>2480</v>
      </c>
      <c r="BE171">
        <v>99</v>
      </c>
      <c r="BF171">
        <v>0</v>
      </c>
      <c r="BG171">
        <v>73</v>
      </c>
      <c r="BH171">
        <v>1</v>
      </c>
      <c r="BI171" s="1" t="s">
        <v>157</v>
      </c>
      <c r="BJ171" s="1" t="s">
        <v>253</v>
      </c>
      <c r="BK171" s="1" t="s">
        <v>160</v>
      </c>
      <c r="BL171">
        <v>7</v>
      </c>
      <c r="BM171">
        <v>4</v>
      </c>
      <c r="BN171">
        <v>2.8</v>
      </c>
      <c r="BO171" s="1" t="s">
        <v>160</v>
      </c>
      <c r="BP171" s="1" t="s">
        <v>256</v>
      </c>
      <c r="BQ171">
        <v>0</v>
      </c>
      <c r="BR171" s="1" t="s">
        <v>238</v>
      </c>
      <c r="BS171" s="1" t="s">
        <v>128</v>
      </c>
      <c r="BT171" s="1" t="s">
        <v>130</v>
      </c>
      <c r="BU171" s="1" t="s">
        <v>126</v>
      </c>
      <c r="BV171" s="1" t="s">
        <v>126</v>
      </c>
      <c r="BW171" s="1" t="s">
        <v>129</v>
      </c>
      <c r="BX171" s="1" t="s">
        <v>213</v>
      </c>
      <c r="BY171">
        <v>0</v>
      </c>
      <c r="BZ171">
        <v>6.6666666666666596E-2</v>
      </c>
      <c r="CA171">
        <v>2.6666666666666599E-2</v>
      </c>
      <c r="CB171" s="1" t="s">
        <v>2206</v>
      </c>
      <c r="CC171">
        <v>4.3333333333333397E-2</v>
      </c>
      <c r="CD171" s="1" t="s">
        <v>1553</v>
      </c>
      <c r="CE171" s="1" t="s">
        <v>1174</v>
      </c>
      <c r="CF171" s="1" t="s">
        <v>1566</v>
      </c>
      <c r="CG171">
        <v>4</v>
      </c>
      <c r="CH171" s="1" t="s">
        <v>260</v>
      </c>
      <c r="CI171" s="1" t="s">
        <v>128</v>
      </c>
      <c r="CJ171" s="1" t="s">
        <v>238</v>
      </c>
      <c r="CK171">
        <v>4</v>
      </c>
      <c r="CL171" s="1" t="s">
        <v>125</v>
      </c>
      <c r="CM171">
        <v>64</v>
      </c>
      <c r="CN171">
        <v>67.599999999999994</v>
      </c>
      <c r="CO171">
        <v>89</v>
      </c>
      <c r="CP171">
        <v>81.8</v>
      </c>
      <c r="CS171">
        <v>1602</v>
      </c>
      <c r="CT171" s="1" t="s">
        <v>2481</v>
      </c>
      <c r="CU171">
        <v>1667</v>
      </c>
      <c r="CV171">
        <v>1667.8</v>
      </c>
      <c r="CW171">
        <v>61.25</v>
      </c>
      <c r="CX171">
        <v>59.7</v>
      </c>
      <c r="CY171">
        <v>56.2</v>
      </c>
      <c r="CZ171" s="1" t="s">
        <v>1166</v>
      </c>
      <c r="DA171">
        <v>1</v>
      </c>
      <c r="DB171" t="s">
        <v>339</v>
      </c>
      <c r="DC171">
        <v>85</v>
      </c>
      <c r="DD171" s="1" t="s">
        <v>2482</v>
      </c>
      <c r="DE171" s="1" t="s">
        <v>2483</v>
      </c>
      <c r="DF171" t="e">
        <f>_xlfn.XLOOKUP(Table1[[#This Row],[Player ID]],Table2[feed_id],Table2[trade_status])</f>
        <v>#N/A</v>
      </c>
      <c r="DG171">
        <f>_xlfn.NUMBERVALUE(Table1[[#This Row],[predicted]])</f>
        <v>67.962352869110603</v>
      </c>
    </row>
    <row r="172" spans="1:111" hidden="1" x14ac:dyDescent="0.25">
      <c r="A172">
        <v>76600</v>
      </c>
      <c r="B172">
        <v>6698</v>
      </c>
      <c r="C172" t="s">
        <v>2476</v>
      </c>
      <c r="D172" t="s">
        <v>198</v>
      </c>
      <c r="E172">
        <v>2018</v>
      </c>
      <c r="F172">
        <v>220110</v>
      </c>
      <c r="G172" t="s">
        <v>1548</v>
      </c>
      <c r="H172" t="s">
        <v>2484</v>
      </c>
      <c r="I172" t="s">
        <v>813</v>
      </c>
      <c r="J172">
        <v>25</v>
      </c>
      <c r="K172">
        <v>85</v>
      </c>
      <c r="L172">
        <v>85</v>
      </c>
      <c r="M172">
        <v>51</v>
      </c>
      <c r="N172">
        <v>75</v>
      </c>
      <c r="O172">
        <v>93</v>
      </c>
      <c r="P172">
        <v>14</v>
      </c>
      <c r="Q172">
        <v>2</v>
      </c>
      <c r="R172">
        <v>8</v>
      </c>
      <c r="S172">
        <v>0</v>
      </c>
      <c r="T172">
        <v>0</v>
      </c>
      <c r="U172">
        <v>0</v>
      </c>
      <c r="V172">
        <v>2</v>
      </c>
      <c r="W172">
        <v>3</v>
      </c>
      <c r="X172">
        <v>3</v>
      </c>
      <c r="Y172" t="s">
        <v>113</v>
      </c>
      <c r="Z172" t="s">
        <v>2485</v>
      </c>
      <c r="AA172" t="s">
        <v>2486</v>
      </c>
      <c r="AB172" t="s">
        <v>656</v>
      </c>
      <c r="AC172" t="s">
        <v>2487</v>
      </c>
      <c r="AD172">
        <v>526800</v>
      </c>
      <c r="AE172">
        <v>64</v>
      </c>
      <c r="AF172">
        <v>429500</v>
      </c>
      <c r="AG172">
        <v>99</v>
      </c>
      <c r="AH172" t="s">
        <v>155</v>
      </c>
      <c r="AI172">
        <v>30</v>
      </c>
      <c r="AJ172">
        <v>11</v>
      </c>
      <c r="AK172">
        <v>82.92</v>
      </c>
      <c r="AL172">
        <v>83.08</v>
      </c>
      <c r="AM172">
        <v>0</v>
      </c>
      <c r="AN172">
        <v>0</v>
      </c>
      <c r="AO172">
        <v>0.45</v>
      </c>
      <c r="AP172">
        <v>555000</v>
      </c>
      <c r="AQ172">
        <v>77</v>
      </c>
      <c r="AS172">
        <v>4</v>
      </c>
      <c r="AT172">
        <v>1</v>
      </c>
      <c r="AU172">
        <v>4</v>
      </c>
      <c r="AV172">
        <v>62</v>
      </c>
      <c r="AW172">
        <v>85</v>
      </c>
      <c r="AZ172" t="b">
        <v>0</v>
      </c>
      <c r="BA172">
        <v>1568</v>
      </c>
      <c r="BB172">
        <v>1710</v>
      </c>
      <c r="BC172">
        <v>24</v>
      </c>
      <c r="BD172" t="s">
        <v>2488</v>
      </c>
      <c r="BE172">
        <v>99</v>
      </c>
      <c r="BF172">
        <v>0</v>
      </c>
      <c r="BG172">
        <v>73</v>
      </c>
      <c r="BH172">
        <v>1</v>
      </c>
      <c r="BI172">
        <v>13</v>
      </c>
      <c r="BJ172" s="1" t="s">
        <v>1672</v>
      </c>
      <c r="BK172" s="1" t="s">
        <v>125</v>
      </c>
      <c r="BL172" s="1" t="s">
        <v>990</v>
      </c>
      <c r="BM172">
        <v>10</v>
      </c>
      <c r="BN172" s="1" t="s">
        <v>139</v>
      </c>
      <c r="BO172" s="1" t="s">
        <v>126</v>
      </c>
      <c r="BP172" s="1" t="s">
        <v>566</v>
      </c>
      <c r="BQ172">
        <v>0</v>
      </c>
      <c r="BR172" s="1" t="s">
        <v>128</v>
      </c>
      <c r="BS172" s="1" t="s">
        <v>129</v>
      </c>
      <c r="BT172" s="1" t="s">
        <v>162</v>
      </c>
      <c r="BU172">
        <v>1</v>
      </c>
      <c r="BV172" s="1" t="s">
        <v>162</v>
      </c>
      <c r="BW172" s="1" t="s">
        <v>169</v>
      </c>
      <c r="BX172" s="1" t="s">
        <v>322</v>
      </c>
      <c r="BY172">
        <v>2</v>
      </c>
      <c r="BZ172" s="1" t="s">
        <v>126</v>
      </c>
      <c r="CA172">
        <v>7.3333333333333306E-2</v>
      </c>
      <c r="CB172" s="1" t="s">
        <v>2489</v>
      </c>
      <c r="CC172">
        <v>8.66666666666666E-2</v>
      </c>
      <c r="CD172">
        <v>0.23799999999999999</v>
      </c>
      <c r="CE172" s="1" t="s">
        <v>1444</v>
      </c>
      <c r="CF172">
        <v>0.35</v>
      </c>
      <c r="CG172">
        <v>6</v>
      </c>
      <c r="CH172" s="1" t="s">
        <v>397</v>
      </c>
      <c r="CI172" s="1" t="s">
        <v>129</v>
      </c>
      <c r="CJ172">
        <v>0.6</v>
      </c>
      <c r="CK172">
        <v>3</v>
      </c>
      <c r="CL172" s="1" t="s">
        <v>140</v>
      </c>
      <c r="CM172" s="1" t="s">
        <v>2490</v>
      </c>
      <c r="CN172">
        <v>60.8</v>
      </c>
      <c r="CO172" s="1" t="s">
        <v>1273</v>
      </c>
      <c r="CP172">
        <v>87</v>
      </c>
      <c r="CS172">
        <v>1568</v>
      </c>
      <c r="CT172">
        <v>1613.8</v>
      </c>
      <c r="CU172" s="1" t="s">
        <v>2491</v>
      </c>
      <c r="CV172">
        <v>1657</v>
      </c>
      <c r="CW172">
        <v>81.599999999999994</v>
      </c>
      <c r="CX172">
        <v>89.1</v>
      </c>
      <c r="CY172">
        <v>86</v>
      </c>
      <c r="CZ172" s="1" t="s">
        <v>2492</v>
      </c>
      <c r="DA172">
        <v>1</v>
      </c>
      <c r="DB172" t="s">
        <v>2485</v>
      </c>
      <c r="DC172">
        <v>85</v>
      </c>
      <c r="DD172" s="1" t="s">
        <v>2493</v>
      </c>
      <c r="DE172" s="1" t="s">
        <v>2494</v>
      </c>
      <c r="DF172" t="e">
        <f>_xlfn.XLOOKUP(Table1[[#This Row],[Player ID]],Table2[feed_id],Table2[trade_status])</f>
        <v>#N/A</v>
      </c>
      <c r="DG172">
        <f>_xlfn.NUMBERVALUE(Table1[[#This Row],[predicted]])</f>
        <v>82.404611335087395</v>
      </c>
    </row>
    <row r="173" spans="1:111" hidden="1" x14ac:dyDescent="0.25">
      <c r="A173">
        <v>76708</v>
      </c>
      <c r="B173">
        <v>6703</v>
      </c>
      <c r="C173" t="s">
        <v>2495</v>
      </c>
      <c r="D173" t="s">
        <v>314</v>
      </c>
      <c r="E173">
        <v>2018</v>
      </c>
      <c r="F173">
        <v>294638</v>
      </c>
      <c r="G173" t="s">
        <v>289</v>
      </c>
      <c r="H173" t="s">
        <v>2496</v>
      </c>
      <c r="I173" t="s">
        <v>338</v>
      </c>
      <c r="J173">
        <v>10</v>
      </c>
      <c r="K173">
        <v>70</v>
      </c>
      <c r="L173">
        <v>60</v>
      </c>
      <c r="M173">
        <v>92</v>
      </c>
      <c r="N173">
        <v>56</v>
      </c>
      <c r="O173">
        <v>72</v>
      </c>
      <c r="P173">
        <v>10</v>
      </c>
      <c r="Q173">
        <v>4</v>
      </c>
      <c r="R173">
        <v>8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113</v>
      </c>
      <c r="Z173" t="s">
        <v>525</v>
      </c>
      <c r="AA173" t="s">
        <v>2497</v>
      </c>
      <c r="AD173">
        <v>303300</v>
      </c>
      <c r="AE173">
        <v>30</v>
      </c>
      <c r="AF173">
        <v>248200</v>
      </c>
      <c r="AG173">
        <v>40</v>
      </c>
      <c r="AH173" t="s">
        <v>118</v>
      </c>
      <c r="AI173">
        <v>27</v>
      </c>
      <c r="AJ173">
        <v>6</v>
      </c>
      <c r="AK173">
        <v>50.71</v>
      </c>
      <c r="AL173">
        <v>51.43</v>
      </c>
      <c r="AM173">
        <v>0</v>
      </c>
      <c r="AN173">
        <v>0</v>
      </c>
      <c r="AO173">
        <v>0.04</v>
      </c>
      <c r="AP173">
        <v>325000</v>
      </c>
      <c r="AQ173">
        <v>56</v>
      </c>
      <c r="AS173">
        <v>5</v>
      </c>
      <c r="AT173">
        <v>0</v>
      </c>
      <c r="AU173">
        <v>2</v>
      </c>
      <c r="AV173">
        <v>71</v>
      </c>
      <c r="AW173">
        <v>70</v>
      </c>
      <c r="AZ173" t="b">
        <v>0</v>
      </c>
      <c r="BA173">
        <v>1799</v>
      </c>
      <c r="BB173">
        <v>1487</v>
      </c>
      <c r="BC173">
        <v>30</v>
      </c>
      <c r="BD173" t="s">
        <v>2498</v>
      </c>
      <c r="BE173">
        <v>96</v>
      </c>
      <c r="BF173">
        <v>0</v>
      </c>
      <c r="BG173">
        <v>76</v>
      </c>
      <c r="BH173">
        <v>0</v>
      </c>
      <c r="BI173" s="1" t="s">
        <v>124</v>
      </c>
      <c r="BJ173" s="1" t="s">
        <v>565</v>
      </c>
      <c r="BK173" s="1" t="s">
        <v>449</v>
      </c>
      <c r="BL173" s="1" t="s">
        <v>168</v>
      </c>
      <c r="BM173" s="1" t="s">
        <v>125</v>
      </c>
      <c r="BN173" s="1" t="s">
        <v>255</v>
      </c>
      <c r="BO173" s="1" t="s">
        <v>169</v>
      </c>
      <c r="BP173">
        <v>3.2</v>
      </c>
      <c r="BQ173">
        <v>0</v>
      </c>
      <c r="BR173">
        <v>0</v>
      </c>
      <c r="BS173" s="1" t="s">
        <v>129</v>
      </c>
      <c r="BT173" s="1" t="s">
        <v>130</v>
      </c>
      <c r="BU173" s="1" t="s">
        <v>128</v>
      </c>
      <c r="BV173" s="1" t="s">
        <v>128</v>
      </c>
      <c r="BW173">
        <v>0</v>
      </c>
      <c r="BX173">
        <v>0.2</v>
      </c>
      <c r="BY173">
        <v>0</v>
      </c>
      <c r="BZ173">
        <v>0</v>
      </c>
      <c r="CA173">
        <v>0</v>
      </c>
      <c r="CB173" s="1" t="s">
        <v>731</v>
      </c>
      <c r="CC173">
        <v>0</v>
      </c>
      <c r="CD173" s="1" t="s">
        <v>502</v>
      </c>
      <c r="CE173">
        <v>0.04</v>
      </c>
      <c r="CF173" s="1" t="s">
        <v>2499</v>
      </c>
      <c r="CG173">
        <v>4</v>
      </c>
      <c r="CH173" s="1" t="s">
        <v>374</v>
      </c>
      <c r="CI173" s="1" t="s">
        <v>129</v>
      </c>
      <c r="CJ173">
        <v>0.8</v>
      </c>
      <c r="CK173" s="1" t="s">
        <v>161</v>
      </c>
      <c r="CL173" s="1" t="s">
        <v>566</v>
      </c>
      <c r="CM173" s="1" t="s">
        <v>350</v>
      </c>
      <c r="CN173" s="1" t="s">
        <v>1053</v>
      </c>
      <c r="CO173" s="1" t="s">
        <v>755</v>
      </c>
      <c r="CP173" s="1" t="s">
        <v>2500</v>
      </c>
      <c r="CS173">
        <v>1617</v>
      </c>
      <c r="CT173" s="1" t="s">
        <v>2501</v>
      </c>
      <c r="CU173" s="1" t="s">
        <v>2502</v>
      </c>
      <c r="CV173" s="1" t="s">
        <v>2503</v>
      </c>
      <c r="CW173">
        <v>53.2</v>
      </c>
      <c r="CX173">
        <v>50.3</v>
      </c>
      <c r="CY173">
        <v>47</v>
      </c>
      <c r="CZ173" s="1" t="s">
        <v>944</v>
      </c>
      <c r="DA173">
        <v>1</v>
      </c>
      <c r="DB173" t="s">
        <v>525</v>
      </c>
      <c r="DC173">
        <v>60</v>
      </c>
      <c r="DD173" s="1" t="s">
        <v>2504</v>
      </c>
      <c r="DE173" s="1" t="s">
        <v>2505</v>
      </c>
      <c r="DF173" t="e">
        <f>_xlfn.XLOOKUP(Table1[[#This Row],[Player ID]],Table2[feed_id],Table2[trade_status])</f>
        <v>#N/A</v>
      </c>
      <c r="DG173">
        <f>_xlfn.NUMBERVALUE(Table1[[#This Row],[predicted]])</f>
        <v>56.044026083953</v>
      </c>
    </row>
    <row r="174" spans="1:111" hidden="1" x14ac:dyDescent="0.25">
      <c r="A174">
        <v>76806</v>
      </c>
      <c r="B174">
        <v>6705</v>
      </c>
      <c r="C174" t="s">
        <v>2506</v>
      </c>
      <c r="D174" t="s">
        <v>336</v>
      </c>
      <c r="E174">
        <v>2018</v>
      </c>
      <c r="F174">
        <v>281301</v>
      </c>
      <c r="G174" t="s">
        <v>1332</v>
      </c>
      <c r="H174" t="s">
        <v>2507</v>
      </c>
      <c r="I174" t="s">
        <v>391</v>
      </c>
      <c r="J174">
        <v>9</v>
      </c>
      <c r="K174">
        <v>36</v>
      </c>
      <c r="L174">
        <v>50</v>
      </c>
      <c r="M174">
        <v>44</v>
      </c>
      <c r="N174">
        <v>33</v>
      </c>
      <c r="O174">
        <v>39</v>
      </c>
      <c r="P174">
        <v>5</v>
      </c>
      <c r="Q174">
        <v>1</v>
      </c>
      <c r="R174">
        <v>3</v>
      </c>
      <c r="S174">
        <v>0</v>
      </c>
      <c r="T174">
        <v>0</v>
      </c>
      <c r="U174">
        <v>1</v>
      </c>
      <c r="V174">
        <v>1</v>
      </c>
      <c r="W174">
        <v>2</v>
      </c>
      <c r="X174">
        <v>0</v>
      </c>
      <c r="Y174" t="s">
        <v>113</v>
      </c>
      <c r="Z174" t="s">
        <v>656</v>
      </c>
      <c r="AA174" t="s">
        <v>2508</v>
      </c>
      <c r="AD174">
        <v>372500</v>
      </c>
      <c r="AE174">
        <v>61</v>
      </c>
      <c r="AF174">
        <v>286400</v>
      </c>
      <c r="AG174">
        <v>67</v>
      </c>
      <c r="AH174" t="s">
        <v>155</v>
      </c>
      <c r="AI174">
        <v>25</v>
      </c>
      <c r="AJ174">
        <v>6</v>
      </c>
      <c r="AK174">
        <v>54.71</v>
      </c>
      <c r="AL174">
        <v>53.14</v>
      </c>
      <c r="AM174">
        <v>0</v>
      </c>
      <c r="AN174">
        <v>0</v>
      </c>
      <c r="AO174">
        <v>0.27</v>
      </c>
      <c r="AP174">
        <v>354000</v>
      </c>
      <c r="AQ174">
        <v>76</v>
      </c>
      <c r="AS174">
        <v>6</v>
      </c>
      <c r="AT174">
        <v>0</v>
      </c>
      <c r="AU174">
        <v>4</v>
      </c>
      <c r="AV174">
        <v>66</v>
      </c>
      <c r="AW174">
        <v>66</v>
      </c>
      <c r="AZ174" t="b">
        <v>0</v>
      </c>
      <c r="BA174">
        <v>1647</v>
      </c>
      <c r="BB174">
        <v>1606</v>
      </c>
      <c r="BC174">
        <v>32</v>
      </c>
      <c r="BD174" t="s">
        <v>2509</v>
      </c>
      <c r="BE174">
        <v>101</v>
      </c>
      <c r="BF174">
        <v>0</v>
      </c>
      <c r="BG174">
        <v>73</v>
      </c>
      <c r="BH174">
        <v>0</v>
      </c>
      <c r="BI174" s="1" t="s">
        <v>160</v>
      </c>
      <c r="BJ174">
        <v>6</v>
      </c>
      <c r="BK174">
        <v>2</v>
      </c>
      <c r="BL174">
        <v>3.8</v>
      </c>
      <c r="BM174" s="1" t="s">
        <v>169</v>
      </c>
      <c r="BN174" s="1" t="s">
        <v>766</v>
      </c>
      <c r="BO174" s="1" t="s">
        <v>128</v>
      </c>
      <c r="BP174" s="1" t="s">
        <v>161</v>
      </c>
      <c r="BQ174" s="1" t="s">
        <v>129</v>
      </c>
      <c r="BR174" s="1" t="s">
        <v>399</v>
      </c>
      <c r="BS174" s="1" t="s">
        <v>128</v>
      </c>
      <c r="BT174">
        <v>0.6</v>
      </c>
      <c r="BU174" s="1" t="s">
        <v>161</v>
      </c>
      <c r="BV174" s="1" t="s">
        <v>162</v>
      </c>
      <c r="BW174">
        <v>1</v>
      </c>
      <c r="BX174" s="1" t="s">
        <v>298</v>
      </c>
      <c r="BY174" s="1" t="s">
        <v>129</v>
      </c>
      <c r="BZ174">
        <v>0.8</v>
      </c>
      <c r="CA174">
        <v>0</v>
      </c>
      <c r="CB174" s="1" t="s">
        <v>2510</v>
      </c>
      <c r="CC174">
        <v>0</v>
      </c>
      <c r="CD174">
        <v>1.458</v>
      </c>
      <c r="CE174">
        <v>0.27</v>
      </c>
      <c r="CF174" s="1" t="s">
        <v>2417</v>
      </c>
      <c r="CG174" s="1" t="s">
        <v>160</v>
      </c>
      <c r="CH174" s="1" t="s">
        <v>436</v>
      </c>
      <c r="CI174">
        <v>0</v>
      </c>
      <c r="CJ174" s="1" t="s">
        <v>184</v>
      </c>
      <c r="CK174">
        <v>3</v>
      </c>
      <c r="CL174" s="1" t="s">
        <v>375</v>
      </c>
      <c r="CM174" s="1" t="s">
        <v>593</v>
      </c>
      <c r="CN174" s="1" t="s">
        <v>2511</v>
      </c>
      <c r="CO174" s="1" t="s">
        <v>215</v>
      </c>
      <c r="CP174" s="1" t="s">
        <v>1387</v>
      </c>
      <c r="CS174" s="1" t="s">
        <v>664</v>
      </c>
      <c r="CT174">
        <v>1708.6</v>
      </c>
      <c r="CU174">
        <v>1643</v>
      </c>
      <c r="CV174">
        <v>1552.8</v>
      </c>
      <c r="CW174">
        <v>52.65</v>
      </c>
      <c r="CX174">
        <v>48.3</v>
      </c>
      <c r="CY174">
        <v>43.4</v>
      </c>
      <c r="CZ174" s="1" t="s">
        <v>2512</v>
      </c>
      <c r="DA174">
        <v>1</v>
      </c>
      <c r="DB174" t="s">
        <v>656</v>
      </c>
      <c r="DC174">
        <v>50</v>
      </c>
      <c r="DD174" s="1" t="s">
        <v>2513</v>
      </c>
      <c r="DE174">
        <v>-6.5445367209913901</v>
      </c>
      <c r="DF174" t="e">
        <f>_xlfn.XLOOKUP(Table1[[#This Row],[Player ID]],Table2[feed_id],Table2[trade_status])</f>
        <v>#N/A</v>
      </c>
      <c r="DG174">
        <f>_xlfn.NUMBERVALUE(Table1[[#This Row],[predicted]])</f>
        <v>56.544536720991303</v>
      </c>
    </row>
    <row r="175" spans="1:111" hidden="1" x14ac:dyDescent="0.25">
      <c r="A175">
        <v>76867</v>
      </c>
      <c r="B175">
        <v>6706</v>
      </c>
      <c r="C175" t="s">
        <v>2514</v>
      </c>
      <c r="D175" t="s">
        <v>336</v>
      </c>
      <c r="E175">
        <v>2018</v>
      </c>
      <c r="F175">
        <v>240156</v>
      </c>
      <c r="G175" t="s">
        <v>1332</v>
      </c>
      <c r="H175" t="s">
        <v>2515</v>
      </c>
      <c r="I175" t="s">
        <v>1089</v>
      </c>
      <c r="J175">
        <v>9</v>
      </c>
      <c r="K175">
        <v>42</v>
      </c>
      <c r="L175">
        <v>50</v>
      </c>
      <c r="M175">
        <v>35</v>
      </c>
      <c r="N175">
        <v>33</v>
      </c>
      <c r="O175">
        <v>45</v>
      </c>
      <c r="P175">
        <v>5</v>
      </c>
      <c r="Q175">
        <v>3</v>
      </c>
      <c r="R175">
        <v>2</v>
      </c>
      <c r="S175">
        <v>3</v>
      </c>
      <c r="T175">
        <v>0</v>
      </c>
      <c r="U175">
        <v>0</v>
      </c>
      <c r="V175">
        <v>1</v>
      </c>
      <c r="W175">
        <v>1</v>
      </c>
      <c r="X175">
        <v>0</v>
      </c>
      <c r="Y175" t="s">
        <v>113</v>
      </c>
      <c r="Z175" t="s">
        <v>861</v>
      </c>
      <c r="AA175" t="s">
        <v>2516</v>
      </c>
      <c r="AD175">
        <v>418100</v>
      </c>
      <c r="AE175">
        <v>81</v>
      </c>
      <c r="AF175">
        <v>325900</v>
      </c>
      <c r="AG175">
        <v>85</v>
      </c>
      <c r="AH175" t="s">
        <v>118</v>
      </c>
      <c r="AI175">
        <v>32</v>
      </c>
      <c r="AJ175">
        <v>14</v>
      </c>
      <c r="AK175">
        <v>64.8</v>
      </c>
      <c r="AL175">
        <v>66</v>
      </c>
      <c r="AM175">
        <v>0</v>
      </c>
      <c r="AN175">
        <v>0</v>
      </c>
      <c r="AO175">
        <v>0.3</v>
      </c>
      <c r="AP175">
        <v>407000</v>
      </c>
      <c r="AQ175">
        <v>92</v>
      </c>
      <c r="AS175">
        <v>5</v>
      </c>
      <c r="AT175">
        <v>0</v>
      </c>
      <c r="AU175">
        <v>1</v>
      </c>
      <c r="AV175">
        <v>62</v>
      </c>
      <c r="AW175">
        <v>64</v>
      </c>
      <c r="AZ175" t="b">
        <v>0</v>
      </c>
      <c r="BA175">
        <v>1822</v>
      </c>
      <c r="BB175">
        <v>1441</v>
      </c>
      <c r="BC175">
        <v>32</v>
      </c>
      <c r="BD175" t="s">
        <v>2517</v>
      </c>
      <c r="BE175">
        <v>101</v>
      </c>
      <c r="BF175">
        <v>0</v>
      </c>
      <c r="BG175">
        <v>73</v>
      </c>
      <c r="BH175">
        <v>0</v>
      </c>
      <c r="BI175">
        <v>5</v>
      </c>
      <c r="BJ175" s="1" t="s">
        <v>158</v>
      </c>
      <c r="BK175" s="1" t="s">
        <v>138</v>
      </c>
      <c r="BL175" s="1" t="s">
        <v>818</v>
      </c>
      <c r="BM175" s="1" t="s">
        <v>161</v>
      </c>
      <c r="BN175">
        <v>2.8</v>
      </c>
      <c r="BO175" s="1" t="s">
        <v>169</v>
      </c>
      <c r="BP175">
        <v>2.2000000000000002</v>
      </c>
      <c r="BQ175">
        <v>0</v>
      </c>
      <c r="BR175">
        <v>0</v>
      </c>
      <c r="BS175">
        <v>0</v>
      </c>
      <c r="BT175" s="1" t="s">
        <v>238</v>
      </c>
      <c r="BU175">
        <v>1</v>
      </c>
      <c r="BV175" s="1" t="s">
        <v>162</v>
      </c>
      <c r="BW175" s="1" t="s">
        <v>128</v>
      </c>
      <c r="BX175" s="1" t="s">
        <v>162</v>
      </c>
      <c r="BY175" s="1" t="s">
        <v>128</v>
      </c>
      <c r="BZ175">
        <v>0.6</v>
      </c>
      <c r="CA175" s="1" t="s">
        <v>2518</v>
      </c>
      <c r="CB175" s="1" t="s">
        <v>2519</v>
      </c>
      <c r="CC175" s="1" t="s">
        <v>2520</v>
      </c>
      <c r="CD175" s="1" t="s">
        <v>2521</v>
      </c>
      <c r="CE175" s="1" t="s">
        <v>2522</v>
      </c>
      <c r="CF175">
        <v>0.32600000000000001</v>
      </c>
      <c r="CG175" s="1" t="s">
        <v>125</v>
      </c>
      <c r="CH175" s="1" t="s">
        <v>204</v>
      </c>
      <c r="CI175">
        <v>0</v>
      </c>
      <c r="CJ175" s="1" t="s">
        <v>128</v>
      </c>
      <c r="CK175">
        <v>2</v>
      </c>
      <c r="CL175" s="1" t="s">
        <v>169</v>
      </c>
      <c r="CM175" s="1" t="s">
        <v>1857</v>
      </c>
      <c r="CN175" s="1" t="s">
        <v>2523</v>
      </c>
      <c r="CO175">
        <v>65</v>
      </c>
      <c r="CP175" s="1" t="s">
        <v>1353</v>
      </c>
      <c r="CS175" s="1" t="s">
        <v>2524</v>
      </c>
      <c r="CT175">
        <v>1634.2</v>
      </c>
      <c r="CU175" s="1" t="s">
        <v>734</v>
      </c>
      <c r="CV175">
        <v>1638.4</v>
      </c>
      <c r="CW175">
        <v>62.05</v>
      </c>
      <c r="CX175">
        <v>60.3</v>
      </c>
      <c r="CY175">
        <v>52.8</v>
      </c>
      <c r="CZ175">
        <v>42</v>
      </c>
      <c r="DA175">
        <v>1</v>
      </c>
      <c r="DB175" t="s">
        <v>861</v>
      </c>
      <c r="DC175">
        <v>50</v>
      </c>
      <c r="DD175" s="1" t="s">
        <v>2525</v>
      </c>
      <c r="DE175">
        <v>-11.455225803932301</v>
      </c>
      <c r="DF175" t="e">
        <f>_xlfn.XLOOKUP(Table1[[#This Row],[Player ID]],Table2[feed_id],Table2[trade_status])</f>
        <v>#N/A</v>
      </c>
      <c r="DG175">
        <f>_xlfn.NUMBERVALUE(Table1[[#This Row],[predicted]])</f>
        <v>61.455225803932301</v>
      </c>
    </row>
    <row r="176" spans="1:111" hidden="1" x14ac:dyDescent="0.25">
      <c r="A176">
        <v>76878</v>
      </c>
      <c r="B176">
        <v>6707</v>
      </c>
      <c r="C176" t="s">
        <v>2526</v>
      </c>
      <c r="D176" t="s">
        <v>1058</v>
      </c>
      <c r="E176">
        <v>2018</v>
      </c>
      <c r="F176">
        <v>261362</v>
      </c>
      <c r="G176" t="s">
        <v>1450</v>
      </c>
      <c r="H176" t="s">
        <v>2527</v>
      </c>
      <c r="I176" t="s">
        <v>317</v>
      </c>
      <c r="J176">
        <v>14</v>
      </c>
      <c r="K176">
        <v>73</v>
      </c>
      <c r="L176">
        <v>77</v>
      </c>
      <c r="M176">
        <v>91</v>
      </c>
      <c r="N176">
        <v>63</v>
      </c>
      <c r="O176">
        <v>84</v>
      </c>
      <c r="P176">
        <v>8</v>
      </c>
      <c r="Q176">
        <v>12</v>
      </c>
      <c r="R176">
        <v>6</v>
      </c>
      <c r="S176">
        <v>2</v>
      </c>
      <c r="T176">
        <v>0</v>
      </c>
      <c r="U176">
        <v>2</v>
      </c>
      <c r="V176">
        <v>1</v>
      </c>
      <c r="W176">
        <v>0</v>
      </c>
      <c r="X176">
        <v>0</v>
      </c>
      <c r="Y176" t="s">
        <v>113</v>
      </c>
      <c r="Z176" t="s">
        <v>426</v>
      </c>
      <c r="AA176" t="s">
        <v>354</v>
      </c>
      <c r="AB176" t="s">
        <v>179</v>
      </c>
      <c r="AC176" t="s">
        <v>2528</v>
      </c>
      <c r="AD176">
        <v>0</v>
      </c>
      <c r="AE176">
        <v>53</v>
      </c>
      <c r="AF176">
        <v>0</v>
      </c>
      <c r="AG176">
        <v>67</v>
      </c>
      <c r="AH176" t="s">
        <v>181</v>
      </c>
      <c r="AI176">
        <v>18</v>
      </c>
      <c r="AJ176">
        <v>20</v>
      </c>
      <c r="AK176">
        <v>60.76</v>
      </c>
      <c r="AL176">
        <v>82.33</v>
      </c>
      <c r="AM176">
        <v>0</v>
      </c>
      <c r="AN176">
        <v>0</v>
      </c>
      <c r="AO176">
        <v>10.02</v>
      </c>
      <c r="AP176">
        <v>0</v>
      </c>
      <c r="AQ176">
        <v>57</v>
      </c>
      <c r="AS176">
        <v>7</v>
      </c>
      <c r="AT176">
        <v>0</v>
      </c>
      <c r="AU176">
        <v>1</v>
      </c>
      <c r="AV176">
        <v>85</v>
      </c>
      <c r="AW176">
        <v>97</v>
      </c>
      <c r="AZ176" t="b">
        <v>0</v>
      </c>
      <c r="BA176">
        <v>1870</v>
      </c>
      <c r="BB176">
        <v>1398</v>
      </c>
      <c r="BC176">
        <v>33</v>
      </c>
      <c r="BD176" t="s">
        <v>2529</v>
      </c>
      <c r="BE176">
        <v>94</v>
      </c>
      <c r="BF176">
        <v>0</v>
      </c>
      <c r="BG176">
        <v>73.5</v>
      </c>
      <c r="BH176">
        <v>1</v>
      </c>
      <c r="BI176">
        <v>8</v>
      </c>
      <c r="BJ176" s="1" t="s">
        <v>1442</v>
      </c>
      <c r="BK176">
        <v>7</v>
      </c>
      <c r="BL176">
        <v>7</v>
      </c>
      <c r="BM176">
        <v>5</v>
      </c>
      <c r="BN176">
        <v>5.2</v>
      </c>
      <c r="BO176" s="1" t="s">
        <v>126</v>
      </c>
      <c r="BP176" s="1" t="s">
        <v>161</v>
      </c>
      <c r="BQ176">
        <v>0</v>
      </c>
      <c r="BR176">
        <v>0</v>
      </c>
      <c r="BS176" s="1" t="s">
        <v>126</v>
      </c>
      <c r="BT176" s="1" t="s">
        <v>161</v>
      </c>
      <c r="BU176" s="1" t="s">
        <v>128</v>
      </c>
      <c r="BV176" s="1" t="s">
        <v>257</v>
      </c>
      <c r="BW176">
        <v>0</v>
      </c>
      <c r="BX176">
        <v>0</v>
      </c>
      <c r="BY176">
        <v>0</v>
      </c>
      <c r="BZ176">
        <v>0</v>
      </c>
      <c r="CA176">
        <v>0</v>
      </c>
      <c r="CB176" s="1" t="s">
        <v>2530</v>
      </c>
      <c r="CC176">
        <v>0</v>
      </c>
      <c r="CD176" s="1" t="s">
        <v>2531</v>
      </c>
      <c r="CE176">
        <v>10.02</v>
      </c>
      <c r="CF176" s="1" t="s">
        <v>2532</v>
      </c>
      <c r="CG176" s="1" t="s">
        <v>160</v>
      </c>
      <c r="CH176">
        <v>5.8</v>
      </c>
      <c r="CI176">
        <v>0</v>
      </c>
      <c r="CJ176">
        <v>0</v>
      </c>
      <c r="CK176" s="1" t="s">
        <v>128</v>
      </c>
      <c r="CL176" s="1" t="s">
        <v>169</v>
      </c>
      <c r="CM176" s="1" t="s">
        <v>1273</v>
      </c>
      <c r="CN176" s="1" t="s">
        <v>2533</v>
      </c>
      <c r="CO176">
        <v>99</v>
      </c>
      <c r="CP176" s="1" t="s">
        <v>2534</v>
      </c>
      <c r="CS176" s="1" t="s">
        <v>2069</v>
      </c>
      <c r="CT176" s="1" t="s">
        <v>518</v>
      </c>
      <c r="CU176" s="1" t="s">
        <v>2110</v>
      </c>
      <c r="CV176" s="1" t="s">
        <v>2535</v>
      </c>
      <c r="CW176">
        <v>80.400000000000006</v>
      </c>
      <c r="CX176">
        <v>71.3</v>
      </c>
      <c r="CY176">
        <v>77.8</v>
      </c>
      <c r="CZ176" s="1" t="s">
        <v>930</v>
      </c>
      <c r="DA176">
        <v>1</v>
      </c>
      <c r="DB176" t="s">
        <v>426</v>
      </c>
      <c r="DC176">
        <v>77</v>
      </c>
      <c r="DD176" s="1" t="s">
        <v>2536</v>
      </c>
      <c r="DE176" s="1" t="s">
        <v>2537</v>
      </c>
      <c r="DF176" t="e">
        <f>_xlfn.XLOOKUP(Table1[[#This Row],[Player ID]],Table2[feed_id],Table2[trade_status])</f>
        <v>#N/A</v>
      </c>
      <c r="DG176">
        <f>_xlfn.NUMBERVALUE(Table1[[#This Row],[predicted]])</f>
        <v>72.345852692092606</v>
      </c>
    </row>
    <row r="177" spans="1:111" hidden="1" x14ac:dyDescent="0.25">
      <c r="A177">
        <v>76884</v>
      </c>
      <c r="B177">
        <v>6707</v>
      </c>
      <c r="C177" t="s">
        <v>2526</v>
      </c>
      <c r="D177" t="s">
        <v>1058</v>
      </c>
      <c r="E177">
        <v>2018</v>
      </c>
      <c r="F177">
        <v>250298</v>
      </c>
      <c r="G177" t="s">
        <v>917</v>
      </c>
      <c r="H177" t="s">
        <v>2538</v>
      </c>
      <c r="I177" t="s">
        <v>317</v>
      </c>
      <c r="J177">
        <v>12</v>
      </c>
      <c r="K177">
        <v>59</v>
      </c>
      <c r="L177">
        <v>64</v>
      </c>
      <c r="M177">
        <v>77</v>
      </c>
      <c r="N177">
        <v>44</v>
      </c>
      <c r="O177">
        <v>65</v>
      </c>
      <c r="P177">
        <v>7</v>
      </c>
      <c r="Q177">
        <v>8</v>
      </c>
      <c r="R177">
        <v>1</v>
      </c>
      <c r="S177">
        <v>5</v>
      </c>
      <c r="T177">
        <v>2</v>
      </c>
      <c r="U177">
        <v>0</v>
      </c>
      <c r="V177">
        <v>1</v>
      </c>
      <c r="W177">
        <v>0</v>
      </c>
      <c r="X177">
        <v>0</v>
      </c>
      <c r="Y177" t="s">
        <v>113</v>
      </c>
      <c r="Z177" t="s">
        <v>525</v>
      </c>
      <c r="AA177" t="s">
        <v>2539</v>
      </c>
      <c r="AD177">
        <v>0</v>
      </c>
      <c r="AE177">
        <v>67</v>
      </c>
      <c r="AF177">
        <v>0</v>
      </c>
      <c r="AG177">
        <v>59</v>
      </c>
      <c r="AH177" t="s">
        <v>118</v>
      </c>
      <c r="AI177">
        <v>6</v>
      </c>
      <c r="AJ177">
        <v>18</v>
      </c>
      <c r="AK177">
        <v>77.260000000000005</v>
      </c>
      <c r="AL177">
        <v>81.11</v>
      </c>
      <c r="AM177">
        <v>0</v>
      </c>
      <c r="AN177">
        <v>0</v>
      </c>
      <c r="AO177">
        <v>3.56</v>
      </c>
      <c r="AP177">
        <v>0</v>
      </c>
      <c r="AQ177">
        <v>83</v>
      </c>
      <c r="AS177">
        <v>6</v>
      </c>
      <c r="AT177">
        <v>0</v>
      </c>
      <c r="AU177">
        <v>1</v>
      </c>
      <c r="AV177">
        <v>66</v>
      </c>
      <c r="AW177">
        <v>79</v>
      </c>
      <c r="AZ177" t="b">
        <v>0</v>
      </c>
      <c r="BA177">
        <v>1870</v>
      </c>
      <c r="BB177">
        <v>1398</v>
      </c>
      <c r="BC177">
        <v>33</v>
      </c>
      <c r="BD177" t="s">
        <v>2529</v>
      </c>
      <c r="BE177">
        <v>94</v>
      </c>
      <c r="BF177">
        <v>0</v>
      </c>
      <c r="BG177">
        <v>73.5</v>
      </c>
      <c r="BH177">
        <v>0</v>
      </c>
      <c r="BI177">
        <v>11</v>
      </c>
      <c r="BJ177" s="1" t="s">
        <v>1672</v>
      </c>
      <c r="BK177" s="1" t="s">
        <v>137</v>
      </c>
      <c r="BL177" s="1" t="s">
        <v>864</v>
      </c>
      <c r="BM177" s="1" t="s">
        <v>211</v>
      </c>
      <c r="BN177" s="1" t="s">
        <v>160</v>
      </c>
      <c r="BO177" s="1" t="s">
        <v>138</v>
      </c>
      <c r="BP177" s="1" t="s">
        <v>528</v>
      </c>
      <c r="BQ177">
        <v>1</v>
      </c>
      <c r="BR177" s="1" t="s">
        <v>126</v>
      </c>
      <c r="BS177" s="1" t="s">
        <v>129</v>
      </c>
      <c r="BT177">
        <v>0.6</v>
      </c>
      <c r="BU177" s="1" t="s">
        <v>126</v>
      </c>
      <c r="BV177">
        <v>1.2</v>
      </c>
      <c r="BW177">
        <v>0</v>
      </c>
      <c r="BX177" s="1" t="s">
        <v>213</v>
      </c>
      <c r="BY177" s="1" t="s">
        <v>129</v>
      </c>
      <c r="BZ177" s="1" t="s">
        <v>213</v>
      </c>
      <c r="CA177">
        <v>0</v>
      </c>
      <c r="CB177">
        <v>8.4000000000000005E-2</v>
      </c>
      <c r="CC177">
        <v>0</v>
      </c>
      <c r="CD177">
        <v>0.14799999999999999</v>
      </c>
      <c r="CE177">
        <v>3.56</v>
      </c>
      <c r="CF177" s="1" t="s">
        <v>2540</v>
      </c>
      <c r="CG177" s="1" t="s">
        <v>204</v>
      </c>
      <c r="CH177" s="1" t="s">
        <v>183</v>
      </c>
      <c r="CI177">
        <v>1</v>
      </c>
      <c r="CJ177" s="1" t="s">
        <v>255</v>
      </c>
      <c r="CK177" s="1" t="s">
        <v>169</v>
      </c>
      <c r="CL177">
        <v>2.4</v>
      </c>
      <c r="CM177" s="1" t="s">
        <v>754</v>
      </c>
      <c r="CN177">
        <v>75.8</v>
      </c>
      <c r="CO177">
        <v>81</v>
      </c>
      <c r="CP177" s="1" t="s">
        <v>239</v>
      </c>
      <c r="CS177" s="1" t="s">
        <v>2069</v>
      </c>
      <c r="CT177" s="1" t="s">
        <v>518</v>
      </c>
      <c r="CU177" s="1" t="s">
        <v>2110</v>
      </c>
      <c r="CV177" s="1" t="s">
        <v>2535</v>
      </c>
      <c r="CW177">
        <v>81.55</v>
      </c>
      <c r="CX177">
        <v>77.3</v>
      </c>
      <c r="CY177">
        <v>78</v>
      </c>
      <c r="CZ177" s="1" t="s">
        <v>787</v>
      </c>
      <c r="DA177">
        <v>1</v>
      </c>
      <c r="DB177" t="s">
        <v>525</v>
      </c>
      <c r="DC177">
        <v>64</v>
      </c>
      <c r="DD177" s="1" t="s">
        <v>2541</v>
      </c>
      <c r="DE177">
        <v>-13.862877959002301</v>
      </c>
      <c r="DF177" t="e">
        <f>_xlfn.XLOOKUP(Table1[[#This Row],[Player ID]],Table2[feed_id],Table2[trade_status])</f>
        <v>#N/A</v>
      </c>
      <c r="DG177">
        <f>_xlfn.NUMBERVALUE(Table1[[#This Row],[predicted]])</f>
        <v>77.862877959002304</v>
      </c>
    </row>
    <row r="178" spans="1:111" hidden="1" x14ac:dyDescent="0.25">
      <c r="A178">
        <v>76914</v>
      </c>
      <c r="B178">
        <v>6707</v>
      </c>
      <c r="C178" t="s">
        <v>2526</v>
      </c>
      <c r="D178" t="s">
        <v>1058</v>
      </c>
      <c r="E178">
        <v>2018</v>
      </c>
      <c r="F178">
        <v>260246</v>
      </c>
      <c r="G178" t="s">
        <v>2542</v>
      </c>
      <c r="H178" t="s">
        <v>2543</v>
      </c>
      <c r="I178" t="s">
        <v>112</v>
      </c>
      <c r="J178">
        <v>3</v>
      </c>
      <c r="K178">
        <v>41</v>
      </c>
      <c r="L178">
        <v>80</v>
      </c>
      <c r="M178">
        <v>35</v>
      </c>
      <c r="N178">
        <v>32</v>
      </c>
      <c r="O178">
        <v>43</v>
      </c>
      <c r="P178">
        <v>5</v>
      </c>
      <c r="Q178">
        <v>3</v>
      </c>
      <c r="R178">
        <v>3</v>
      </c>
      <c r="S178">
        <v>3</v>
      </c>
      <c r="T178">
        <v>0</v>
      </c>
      <c r="U178">
        <v>1</v>
      </c>
      <c r="V178">
        <v>1</v>
      </c>
      <c r="W178">
        <v>0</v>
      </c>
      <c r="X178">
        <v>1</v>
      </c>
      <c r="Y178" t="s">
        <v>113</v>
      </c>
      <c r="Z178" t="s">
        <v>179</v>
      </c>
      <c r="AA178" t="s">
        <v>2544</v>
      </c>
      <c r="AD178">
        <v>0</v>
      </c>
      <c r="AE178">
        <v>60</v>
      </c>
      <c r="AF178">
        <v>0</v>
      </c>
      <c r="AG178">
        <v>90</v>
      </c>
      <c r="AH178" t="s">
        <v>181</v>
      </c>
      <c r="AI178">
        <v>6</v>
      </c>
      <c r="AJ178">
        <v>0</v>
      </c>
      <c r="AK178">
        <v>58</v>
      </c>
      <c r="AL178">
        <v>70</v>
      </c>
      <c r="AM178">
        <v>0</v>
      </c>
      <c r="AN178">
        <v>0</v>
      </c>
      <c r="AO178">
        <v>0.14000000000000001</v>
      </c>
      <c r="AP178">
        <v>0</v>
      </c>
      <c r="AQ178">
        <v>60</v>
      </c>
      <c r="AS178">
        <v>5</v>
      </c>
      <c r="AT178">
        <v>1</v>
      </c>
      <c r="AU178">
        <v>1</v>
      </c>
      <c r="AV178">
        <v>87</v>
      </c>
      <c r="AW178">
        <v>95</v>
      </c>
      <c r="AZ178" t="b">
        <v>0</v>
      </c>
      <c r="BA178">
        <v>1398</v>
      </c>
      <c r="BB178">
        <v>1870</v>
      </c>
      <c r="BC178">
        <v>33</v>
      </c>
      <c r="BD178" t="s">
        <v>2545</v>
      </c>
      <c r="BE178">
        <v>94</v>
      </c>
      <c r="BF178">
        <v>0</v>
      </c>
      <c r="BG178">
        <v>73.5</v>
      </c>
      <c r="BH178">
        <v>1</v>
      </c>
      <c r="BI178" s="1" t="s">
        <v>138</v>
      </c>
      <c r="BJ178" s="1" t="s">
        <v>124</v>
      </c>
      <c r="BK178" s="1" t="s">
        <v>125</v>
      </c>
      <c r="BL178" s="1" t="s">
        <v>397</v>
      </c>
      <c r="BM178" s="1" t="s">
        <v>161</v>
      </c>
      <c r="BN178" s="1" t="s">
        <v>431</v>
      </c>
      <c r="BO178">
        <v>2</v>
      </c>
      <c r="BP178" s="1" t="s">
        <v>255</v>
      </c>
      <c r="BQ178">
        <v>0</v>
      </c>
      <c r="BR178">
        <v>6.6666666666666596E-2</v>
      </c>
      <c r="BS178" s="1" t="s">
        <v>128</v>
      </c>
      <c r="BT178">
        <v>0.8</v>
      </c>
      <c r="BU178" s="1" t="s">
        <v>128</v>
      </c>
      <c r="BV178">
        <v>0.4</v>
      </c>
      <c r="BW178">
        <v>0</v>
      </c>
      <c r="BX178">
        <v>0</v>
      </c>
      <c r="BY178" s="1" t="s">
        <v>129</v>
      </c>
      <c r="BZ178" s="1" t="s">
        <v>129</v>
      </c>
      <c r="CA178">
        <v>0</v>
      </c>
      <c r="CB178" s="1" t="s">
        <v>2546</v>
      </c>
      <c r="CC178">
        <v>0</v>
      </c>
      <c r="CD178" s="1" t="s">
        <v>2547</v>
      </c>
      <c r="CE178">
        <v>0.14000000000000001</v>
      </c>
      <c r="CF178" s="1" t="s">
        <v>2548</v>
      </c>
      <c r="CG178" s="1" t="s">
        <v>160</v>
      </c>
      <c r="CH178" s="1" t="s">
        <v>124</v>
      </c>
      <c r="CI178" s="1" t="s">
        <v>129</v>
      </c>
      <c r="CJ178" s="1" t="s">
        <v>184</v>
      </c>
      <c r="CK178">
        <v>1</v>
      </c>
      <c r="CL178" s="1" t="s">
        <v>127</v>
      </c>
      <c r="CM178" s="1" t="s">
        <v>516</v>
      </c>
      <c r="CN178" s="1" t="s">
        <v>1042</v>
      </c>
      <c r="CO178">
        <v>90</v>
      </c>
      <c r="CP178" s="1" t="s">
        <v>2549</v>
      </c>
      <c r="CS178" s="1" t="s">
        <v>2550</v>
      </c>
      <c r="CT178" s="1" t="s">
        <v>2551</v>
      </c>
      <c r="CU178">
        <v>1489</v>
      </c>
      <c r="CV178">
        <v>1537.4</v>
      </c>
      <c r="CW178">
        <v>67.55</v>
      </c>
      <c r="CX178">
        <v>66.900000000000006</v>
      </c>
      <c r="CY178">
        <v>63</v>
      </c>
      <c r="CZ178">
        <v>57</v>
      </c>
      <c r="DA178">
        <v>1</v>
      </c>
      <c r="DB178" t="s">
        <v>179</v>
      </c>
      <c r="DC178">
        <v>80</v>
      </c>
      <c r="DD178" s="1" t="s">
        <v>2552</v>
      </c>
      <c r="DE178" s="1" t="s">
        <v>2553</v>
      </c>
      <c r="DF178" t="e">
        <f>_xlfn.XLOOKUP(Table1[[#This Row],[Player ID]],Table2[feed_id],Table2[trade_status])</f>
        <v>#N/A</v>
      </c>
      <c r="DG178">
        <f>_xlfn.NUMBERVALUE(Table1[[#This Row],[predicted]])</f>
        <v>51.872107702412499</v>
      </c>
    </row>
    <row r="179" spans="1:111" hidden="1" x14ac:dyDescent="0.25">
      <c r="A179">
        <v>76974</v>
      </c>
      <c r="B179">
        <v>6709</v>
      </c>
      <c r="C179" t="s">
        <v>2554</v>
      </c>
      <c r="D179" t="s">
        <v>388</v>
      </c>
      <c r="E179">
        <v>2018</v>
      </c>
      <c r="F179">
        <v>240119</v>
      </c>
      <c r="G179" t="s">
        <v>2555</v>
      </c>
      <c r="H179" t="s">
        <v>2556</v>
      </c>
      <c r="I179" t="s">
        <v>582</v>
      </c>
      <c r="J179">
        <v>9</v>
      </c>
      <c r="K179">
        <v>54</v>
      </c>
      <c r="L179">
        <v>55</v>
      </c>
      <c r="M179">
        <v>72</v>
      </c>
      <c r="N179">
        <v>39</v>
      </c>
      <c r="O179">
        <v>54</v>
      </c>
      <c r="P179">
        <v>5</v>
      </c>
      <c r="Q179">
        <v>5</v>
      </c>
      <c r="R179">
        <v>3</v>
      </c>
      <c r="S179">
        <v>5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113</v>
      </c>
      <c r="Z179" t="s">
        <v>525</v>
      </c>
      <c r="AA179" t="s">
        <v>2557</v>
      </c>
      <c r="AD179">
        <v>0</v>
      </c>
      <c r="AE179">
        <v>38</v>
      </c>
      <c r="AF179">
        <v>0</v>
      </c>
      <c r="AG179">
        <v>64</v>
      </c>
      <c r="AH179" t="s">
        <v>155</v>
      </c>
      <c r="AI179">
        <v>2</v>
      </c>
      <c r="AJ179">
        <v>18</v>
      </c>
      <c r="AK179">
        <v>72.58</v>
      </c>
      <c r="AL179">
        <v>70.260000000000005</v>
      </c>
      <c r="AM179">
        <v>0</v>
      </c>
      <c r="AN179">
        <v>0</v>
      </c>
      <c r="AO179">
        <v>0.93</v>
      </c>
      <c r="AP179">
        <v>0</v>
      </c>
      <c r="AQ179">
        <v>72</v>
      </c>
      <c r="AS179">
        <v>7</v>
      </c>
      <c r="AT179">
        <v>3</v>
      </c>
      <c r="AU179">
        <v>0</v>
      </c>
      <c r="AV179">
        <v>60</v>
      </c>
      <c r="AW179">
        <v>86</v>
      </c>
      <c r="AZ179" t="b">
        <v>0</v>
      </c>
      <c r="BA179">
        <v>1618</v>
      </c>
      <c r="BB179">
        <v>1629</v>
      </c>
      <c r="BC179">
        <v>34</v>
      </c>
      <c r="BD179" t="s">
        <v>2558</v>
      </c>
      <c r="BE179" s="1" t="s">
        <v>2559</v>
      </c>
      <c r="BF179">
        <v>0</v>
      </c>
      <c r="BG179">
        <v>68</v>
      </c>
      <c r="BH179">
        <v>0</v>
      </c>
      <c r="BI179">
        <v>8</v>
      </c>
      <c r="BJ179" s="1" t="s">
        <v>1106</v>
      </c>
      <c r="BK179" s="1" t="s">
        <v>211</v>
      </c>
      <c r="BL179">
        <v>5</v>
      </c>
      <c r="BM179" s="1" t="s">
        <v>159</v>
      </c>
      <c r="BN179">
        <v>4.2</v>
      </c>
      <c r="BO179" s="1" t="s">
        <v>138</v>
      </c>
      <c r="BP179">
        <v>2.8</v>
      </c>
      <c r="BQ179">
        <v>0</v>
      </c>
      <c r="BR179">
        <v>0</v>
      </c>
      <c r="BS179" s="1" t="s">
        <v>129</v>
      </c>
      <c r="BT179" s="1" t="s">
        <v>130</v>
      </c>
      <c r="BU179">
        <v>0</v>
      </c>
      <c r="BV179" s="1" t="s">
        <v>399</v>
      </c>
      <c r="BW179">
        <v>1</v>
      </c>
      <c r="BX179" s="1" t="s">
        <v>298</v>
      </c>
      <c r="BY179" s="1" t="s">
        <v>126</v>
      </c>
      <c r="BZ179">
        <v>0.8</v>
      </c>
      <c r="CA179">
        <v>0</v>
      </c>
      <c r="CB179" s="1" t="s">
        <v>2560</v>
      </c>
      <c r="CC179">
        <v>0</v>
      </c>
      <c r="CD179" s="1" t="s">
        <v>2561</v>
      </c>
      <c r="CE179">
        <v>0.93</v>
      </c>
      <c r="CF179" s="1" t="s">
        <v>2562</v>
      </c>
      <c r="CG179" s="1" t="s">
        <v>204</v>
      </c>
      <c r="CH179">
        <v>5.4</v>
      </c>
      <c r="CI179" s="1" t="s">
        <v>159</v>
      </c>
      <c r="CJ179" s="1" t="s">
        <v>327</v>
      </c>
      <c r="CK179" s="1" t="s">
        <v>128</v>
      </c>
      <c r="CL179" s="1" t="s">
        <v>159</v>
      </c>
      <c r="CM179" s="1" t="s">
        <v>1969</v>
      </c>
      <c r="CN179">
        <v>62.2</v>
      </c>
      <c r="CO179">
        <v>88</v>
      </c>
      <c r="CP179" s="1" t="s">
        <v>1067</v>
      </c>
      <c r="CS179" s="1" t="s">
        <v>1276</v>
      </c>
      <c r="CT179">
        <v>1660.6</v>
      </c>
      <c r="CU179" s="1" t="s">
        <v>1136</v>
      </c>
      <c r="CV179" s="1" t="s">
        <v>2563</v>
      </c>
      <c r="CW179">
        <v>67.95</v>
      </c>
      <c r="CX179">
        <v>67.599999999999994</v>
      </c>
      <c r="CY179">
        <v>68.2</v>
      </c>
      <c r="CZ179" s="1" t="s">
        <v>593</v>
      </c>
      <c r="DA179">
        <v>1</v>
      </c>
      <c r="DB179" t="s">
        <v>525</v>
      </c>
      <c r="DC179">
        <v>55</v>
      </c>
      <c r="DD179" s="1" t="s">
        <v>2564</v>
      </c>
      <c r="DE179">
        <v>-9.6416379737412594</v>
      </c>
      <c r="DF179" t="e">
        <f>_xlfn.XLOOKUP(Table1[[#This Row],[Player ID]],Table2[feed_id],Table2[trade_status])</f>
        <v>#N/A</v>
      </c>
      <c r="DG179">
        <f>_xlfn.NUMBERVALUE(Table1[[#This Row],[predicted]])</f>
        <v>64.641637973741197</v>
      </c>
    </row>
    <row r="180" spans="1:111" hidden="1" x14ac:dyDescent="0.25">
      <c r="A180">
        <v>77213</v>
      </c>
      <c r="B180">
        <v>6905</v>
      </c>
      <c r="C180" t="s">
        <v>2565</v>
      </c>
      <c r="D180" t="s">
        <v>1893</v>
      </c>
      <c r="E180">
        <v>2019</v>
      </c>
      <c r="F180">
        <v>240072</v>
      </c>
      <c r="G180" t="s">
        <v>2566</v>
      </c>
      <c r="H180" t="s">
        <v>2567</v>
      </c>
      <c r="I180" t="s">
        <v>338</v>
      </c>
      <c r="J180">
        <v>4</v>
      </c>
      <c r="K180">
        <v>48</v>
      </c>
      <c r="L180">
        <v>55</v>
      </c>
      <c r="M180">
        <v>34</v>
      </c>
      <c r="N180">
        <v>39</v>
      </c>
      <c r="O180">
        <v>51</v>
      </c>
      <c r="P180">
        <v>7</v>
      </c>
      <c r="Q180">
        <v>4</v>
      </c>
      <c r="R180">
        <v>3</v>
      </c>
      <c r="S180">
        <v>2</v>
      </c>
      <c r="T180">
        <v>3</v>
      </c>
      <c r="U180">
        <v>2</v>
      </c>
      <c r="V180">
        <v>1</v>
      </c>
      <c r="W180">
        <v>0</v>
      </c>
      <c r="X180">
        <v>0</v>
      </c>
      <c r="Y180" t="s">
        <v>113</v>
      </c>
      <c r="Z180" t="s">
        <v>179</v>
      </c>
      <c r="AA180" t="s">
        <v>2568</v>
      </c>
      <c r="AD180">
        <v>389100</v>
      </c>
      <c r="AF180">
        <v>407600</v>
      </c>
      <c r="AH180" t="s">
        <v>181</v>
      </c>
      <c r="AI180">
        <v>39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464000</v>
      </c>
      <c r="AS180">
        <v>6</v>
      </c>
      <c r="AT180">
        <v>2</v>
      </c>
      <c r="AU180">
        <v>3</v>
      </c>
      <c r="AV180">
        <v>72</v>
      </c>
      <c r="AW180">
        <v>70</v>
      </c>
      <c r="AZ180" t="b">
        <v>0</v>
      </c>
      <c r="BA180">
        <v>1634</v>
      </c>
      <c r="BB180">
        <v>1614</v>
      </c>
      <c r="BC180">
        <v>2</v>
      </c>
      <c r="BD180" t="s">
        <v>2569</v>
      </c>
      <c r="BE180">
        <v>96</v>
      </c>
      <c r="BF180">
        <v>0</v>
      </c>
      <c r="BG180">
        <v>76</v>
      </c>
      <c r="BH180">
        <v>0</v>
      </c>
      <c r="BI180" s="1" t="s">
        <v>294</v>
      </c>
      <c r="BJ180" s="1" t="s">
        <v>977</v>
      </c>
      <c r="BK180" s="1" t="s">
        <v>204</v>
      </c>
      <c r="BL180" s="1" t="s">
        <v>498</v>
      </c>
      <c r="BM180" s="1" t="s">
        <v>449</v>
      </c>
      <c r="BN180">
        <v>6.8</v>
      </c>
      <c r="BO180" s="1" t="s">
        <v>128</v>
      </c>
      <c r="BP180" s="1" t="s">
        <v>298</v>
      </c>
      <c r="BQ180">
        <v>1</v>
      </c>
      <c r="BR180">
        <v>0.2</v>
      </c>
      <c r="BS180" s="1" t="s">
        <v>159</v>
      </c>
      <c r="BT180" s="1" t="s">
        <v>128</v>
      </c>
      <c r="BU180" s="1" t="s">
        <v>129</v>
      </c>
      <c r="BV180">
        <v>1</v>
      </c>
      <c r="BW180">
        <v>0</v>
      </c>
      <c r="BX180">
        <v>6.6666666666666596E-2</v>
      </c>
      <c r="BY180">
        <v>0</v>
      </c>
      <c r="BZ180">
        <v>0</v>
      </c>
      <c r="CA180">
        <v>0</v>
      </c>
      <c r="CB180" s="1" t="s">
        <v>2185</v>
      </c>
      <c r="CC180">
        <v>0</v>
      </c>
      <c r="CD180" s="1" t="s">
        <v>2570</v>
      </c>
      <c r="CE180" s="1" t="s">
        <v>2571</v>
      </c>
      <c r="CF180" s="1" t="s">
        <v>2572</v>
      </c>
      <c r="CG180" s="1" t="s">
        <v>137</v>
      </c>
      <c r="CH180">
        <v>5.6</v>
      </c>
      <c r="CI180" s="1" t="s">
        <v>128</v>
      </c>
      <c r="CJ180" s="1" t="s">
        <v>184</v>
      </c>
      <c r="CK180" s="1" t="s">
        <v>126</v>
      </c>
      <c r="CL180" s="1" t="s">
        <v>275</v>
      </c>
      <c r="CM180" s="1" t="s">
        <v>364</v>
      </c>
      <c r="CN180" s="1" t="s">
        <v>2385</v>
      </c>
      <c r="CO180">
        <v>77</v>
      </c>
      <c r="CP180" s="1" t="s">
        <v>2420</v>
      </c>
      <c r="CS180" s="1" t="s">
        <v>2573</v>
      </c>
      <c r="CT180">
        <v>1651.6</v>
      </c>
      <c r="CU180" s="1" t="s">
        <v>2574</v>
      </c>
      <c r="CV180" s="1" t="s">
        <v>2575</v>
      </c>
      <c r="CW180">
        <v>76.849999999999994</v>
      </c>
      <c r="CX180">
        <v>77.400000000000006</v>
      </c>
      <c r="CY180">
        <v>70.2</v>
      </c>
      <c r="CZ180" s="1" t="s">
        <v>516</v>
      </c>
      <c r="DA180">
        <v>1</v>
      </c>
      <c r="DB180" t="s">
        <v>179</v>
      </c>
      <c r="DC180">
        <v>55</v>
      </c>
      <c r="DD180">
        <v>64.227123267118401</v>
      </c>
      <c r="DE180">
        <v>-9.2271232671183991</v>
      </c>
      <c r="DF180" t="e">
        <f>_xlfn.XLOOKUP(Table1[[#This Row],[Player ID]],Table2[feed_id],Table2[trade_status])</f>
        <v>#N/A</v>
      </c>
      <c r="DG180">
        <f>_xlfn.NUMBERVALUE(Table1[[#This Row],[predicted]])</f>
        <v>64.227123267118401</v>
      </c>
    </row>
    <row r="181" spans="1:111" hidden="1" x14ac:dyDescent="0.25">
      <c r="A181">
        <v>77399</v>
      </c>
      <c r="B181">
        <v>6910</v>
      </c>
      <c r="C181" t="s">
        <v>2576</v>
      </c>
      <c r="D181" t="s">
        <v>422</v>
      </c>
      <c r="E181">
        <v>2019</v>
      </c>
      <c r="F181">
        <v>281024</v>
      </c>
      <c r="G181" t="s">
        <v>2577</v>
      </c>
      <c r="H181" t="s">
        <v>2578</v>
      </c>
      <c r="I181" t="s">
        <v>317</v>
      </c>
      <c r="J181">
        <v>8</v>
      </c>
      <c r="K181">
        <v>49</v>
      </c>
      <c r="L181">
        <v>55</v>
      </c>
      <c r="M181">
        <v>61</v>
      </c>
      <c r="N181">
        <v>43</v>
      </c>
      <c r="O181">
        <v>60</v>
      </c>
      <c r="P181">
        <v>8</v>
      </c>
      <c r="Q181">
        <v>8</v>
      </c>
      <c r="R181">
        <v>4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 t="s">
        <v>113</v>
      </c>
      <c r="Z181" t="s">
        <v>861</v>
      </c>
      <c r="AA181" t="s">
        <v>2579</v>
      </c>
      <c r="AD181">
        <v>412700</v>
      </c>
      <c r="AF181">
        <v>333900</v>
      </c>
      <c r="AH181" t="s">
        <v>155</v>
      </c>
      <c r="AI181">
        <v>16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482000</v>
      </c>
      <c r="AS181">
        <v>7</v>
      </c>
      <c r="AT181">
        <v>0</v>
      </c>
      <c r="AU181">
        <v>5</v>
      </c>
      <c r="AV181">
        <v>68</v>
      </c>
      <c r="AW181">
        <v>78</v>
      </c>
      <c r="AZ181" t="b">
        <v>0</v>
      </c>
      <c r="BA181">
        <v>2003</v>
      </c>
      <c r="BB181">
        <v>1255</v>
      </c>
      <c r="BC181">
        <v>3</v>
      </c>
      <c r="BD181" t="s">
        <v>2580</v>
      </c>
      <c r="BE181">
        <v>97</v>
      </c>
      <c r="BF181">
        <v>0</v>
      </c>
      <c r="BG181">
        <v>76</v>
      </c>
      <c r="BH181">
        <v>0</v>
      </c>
      <c r="BI181" s="1" t="s">
        <v>204</v>
      </c>
      <c r="BJ181">
        <v>7</v>
      </c>
      <c r="BK181" s="1" t="s">
        <v>204</v>
      </c>
      <c r="BL181">
        <v>8.4</v>
      </c>
      <c r="BM181" s="1" t="s">
        <v>159</v>
      </c>
      <c r="BN181">
        <v>4</v>
      </c>
      <c r="BO181" s="1" t="s">
        <v>161</v>
      </c>
      <c r="BP181">
        <v>3.4</v>
      </c>
      <c r="BQ181">
        <v>0</v>
      </c>
      <c r="BR181">
        <v>0</v>
      </c>
      <c r="BS181">
        <v>0</v>
      </c>
      <c r="BT181" s="1" t="s">
        <v>399</v>
      </c>
      <c r="BU181" s="1" t="s">
        <v>129</v>
      </c>
      <c r="BV181">
        <v>0.8</v>
      </c>
      <c r="BW181" s="1" t="s">
        <v>129</v>
      </c>
      <c r="BX181">
        <v>0.4</v>
      </c>
      <c r="BY181" s="1" t="s">
        <v>129</v>
      </c>
      <c r="BZ181" s="1" t="s">
        <v>238</v>
      </c>
      <c r="CA181">
        <v>6.3333333333333297E-2</v>
      </c>
      <c r="CB181" s="1" t="s">
        <v>2581</v>
      </c>
      <c r="CC181">
        <v>5.6666666666666601E-2</v>
      </c>
      <c r="CD181">
        <v>7.6666666666666605E-2</v>
      </c>
      <c r="CE181">
        <v>0.16</v>
      </c>
      <c r="CF181" s="1" t="s">
        <v>2582</v>
      </c>
      <c r="CG181" s="1" t="s">
        <v>211</v>
      </c>
      <c r="CH181" s="1" t="s">
        <v>160</v>
      </c>
      <c r="CI181" s="1" t="s">
        <v>129</v>
      </c>
      <c r="CJ181" s="1" t="s">
        <v>130</v>
      </c>
      <c r="CK181" s="1" t="s">
        <v>159</v>
      </c>
      <c r="CL181">
        <v>2</v>
      </c>
      <c r="CM181" s="1" t="s">
        <v>994</v>
      </c>
      <c r="CN181" s="1" t="s">
        <v>870</v>
      </c>
      <c r="CO181">
        <v>81</v>
      </c>
      <c r="CP181" s="1" t="s">
        <v>2408</v>
      </c>
      <c r="CS181">
        <v>1470</v>
      </c>
      <c r="CT181" s="1" t="s">
        <v>2583</v>
      </c>
      <c r="CU181" s="1" t="s">
        <v>2584</v>
      </c>
      <c r="CV181">
        <v>1703.8</v>
      </c>
      <c r="CW181">
        <v>61.3</v>
      </c>
      <c r="CX181">
        <v>59.4</v>
      </c>
      <c r="CY181">
        <v>58.6</v>
      </c>
      <c r="CZ181">
        <v>53</v>
      </c>
      <c r="DA181">
        <v>1</v>
      </c>
      <c r="DB181" t="s">
        <v>861</v>
      </c>
      <c r="DC181">
        <v>55</v>
      </c>
      <c r="DD181" s="1" t="s">
        <v>2585</v>
      </c>
      <c r="DE181">
        <v>-10.4669117225385</v>
      </c>
      <c r="DF181" t="e">
        <f>_xlfn.XLOOKUP(Table1[[#This Row],[Player ID]],Table2[feed_id],Table2[trade_status])</f>
        <v>#N/A</v>
      </c>
      <c r="DG181">
        <f>_xlfn.NUMBERVALUE(Table1[[#This Row],[predicted]])</f>
        <v>65.466911722538498</v>
      </c>
    </row>
    <row r="182" spans="1:111" hidden="1" x14ac:dyDescent="0.25">
      <c r="A182">
        <v>77532</v>
      </c>
      <c r="B182">
        <v>6913</v>
      </c>
      <c r="C182" t="s">
        <v>2586</v>
      </c>
      <c r="D182" t="s">
        <v>422</v>
      </c>
      <c r="E182">
        <v>2019</v>
      </c>
      <c r="F182">
        <v>280972</v>
      </c>
      <c r="G182" t="s">
        <v>1127</v>
      </c>
      <c r="H182" t="s">
        <v>2587</v>
      </c>
      <c r="I182" t="s">
        <v>425</v>
      </c>
      <c r="J182">
        <v>9</v>
      </c>
      <c r="K182">
        <v>67</v>
      </c>
      <c r="L182">
        <v>72</v>
      </c>
      <c r="M182">
        <v>88</v>
      </c>
      <c r="N182">
        <v>57</v>
      </c>
      <c r="O182">
        <v>78</v>
      </c>
      <c r="P182">
        <v>12</v>
      </c>
      <c r="Q182">
        <v>7</v>
      </c>
      <c r="R182">
        <v>5</v>
      </c>
      <c r="S182">
        <v>2</v>
      </c>
      <c r="T182">
        <v>0</v>
      </c>
      <c r="U182">
        <v>3</v>
      </c>
      <c r="V182">
        <v>3</v>
      </c>
      <c r="W182">
        <v>0</v>
      </c>
      <c r="X182">
        <v>0</v>
      </c>
      <c r="Y182" t="s">
        <v>113</v>
      </c>
      <c r="Z182" t="s">
        <v>114</v>
      </c>
      <c r="AA182" t="s">
        <v>2588</v>
      </c>
      <c r="AB182" t="s">
        <v>179</v>
      </c>
      <c r="AC182" t="s">
        <v>2589</v>
      </c>
      <c r="AD182">
        <v>401900</v>
      </c>
      <c r="AF182">
        <v>362200</v>
      </c>
      <c r="AH182" t="s">
        <v>155</v>
      </c>
      <c r="AI182">
        <v>23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460000</v>
      </c>
      <c r="AS182">
        <v>6</v>
      </c>
      <c r="AT182">
        <v>0</v>
      </c>
      <c r="AU182">
        <v>6</v>
      </c>
      <c r="AV182">
        <v>73</v>
      </c>
      <c r="AW182">
        <v>67</v>
      </c>
      <c r="AZ182" t="b">
        <v>1</v>
      </c>
      <c r="BA182">
        <v>1432</v>
      </c>
      <c r="BB182">
        <v>1861</v>
      </c>
      <c r="BC182">
        <v>3</v>
      </c>
      <c r="BD182" t="s">
        <v>2590</v>
      </c>
      <c r="BE182">
        <v>97</v>
      </c>
      <c r="BF182">
        <v>0</v>
      </c>
      <c r="BG182">
        <v>76</v>
      </c>
      <c r="BH182">
        <v>0</v>
      </c>
      <c r="BI182" s="1" t="s">
        <v>1008</v>
      </c>
      <c r="BJ182" s="1" t="s">
        <v>168</v>
      </c>
      <c r="BK182">
        <v>9</v>
      </c>
      <c r="BL182">
        <v>7.8</v>
      </c>
      <c r="BM182" s="1" t="s">
        <v>449</v>
      </c>
      <c r="BN182" s="1" t="s">
        <v>229</v>
      </c>
      <c r="BO182">
        <v>2</v>
      </c>
      <c r="BP182">
        <v>2.6</v>
      </c>
      <c r="BQ182">
        <v>0</v>
      </c>
      <c r="BR182">
        <v>6.6666666666666596E-2</v>
      </c>
      <c r="BS182">
        <v>1</v>
      </c>
      <c r="BT182" s="1" t="s">
        <v>238</v>
      </c>
      <c r="BU182" s="1" t="s">
        <v>161</v>
      </c>
      <c r="BV182" s="1" t="s">
        <v>127</v>
      </c>
      <c r="BW182">
        <v>0</v>
      </c>
      <c r="BX182" s="1" t="s">
        <v>130</v>
      </c>
      <c r="BY182">
        <v>0</v>
      </c>
      <c r="BZ182">
        <v>0.2</v>
      </c>
      <c r="CA182">
        <v>0</v>
      </c>
      <c r="CB182" s="1" t="s">
        <v>2591</v>
      </c>
      <c r="CC182">
        <v>0</v>
      </c>
      <c r="CD182">
        <v>0.72799999999999998</v>
      </c>
      <c r="CE182" s="1" t="s">
        <v>588</v>
      </c>
      <c r="CF182">
        <v>1.3580000000000001</v>
      </c>
      <c r="CG182">
        <v>7</v>
      </c>
      <c r="CH182">
        <v>5.2</v>
      </c>
      <c r="CI182" s="1" t="s">
        <v>129</v>
      </c>
      <c r="CJ182" s="1" t="s">
        <v>184</v>
      </c>
      <c r="CK182" s="1" t="s">
        <v>211</v>
      </c>
      <c r="CL182" s="1" t="s">
        <v>375</v>
      </c>
      <c r="CM182" s="1" t="s">
        <v>364</v>
      </c>
      <c r="CN182">
        <v>80</v>
      </c>
      <c r="CO182">
        <v>79</v>
      </c>
      <c r="CP182">
        <v>77</v>
      </c>
      <c r="CS182">
        <v>1722</v>
      </c>
      <c r="CT182" s="1" t="s">
        <v>2592</v>
      </c>
      <c r="CU182" s="1" t="s">
        <v>756</v>
      </c>
      <c r="CV182" s="1" t="s">
        <v>2593</v>
      </c>
      <c r="CW182">
        <v>69.45</v>
      </c>
      <c r="CX182">
        <v>70.599999999999994</v>
      </c>
      <c r="CY182">
        <v>72.599999999999994</v>
      </c>
      <c r="CZ182" s="1" t="s">
        <v>683</v>
      </c>
      <c r="DA182">
        <v>1</v>
      </c>
      <c r="DB182" t="s">
        <v>114</v>
      </c>
      <c r="DC182">
        <v>72</v>
      </c>
      <c r="DD182">
        <v>56.554117921061803</v>
      </c>
      <c r="DE182" s="1" t="s">
        <v>2594</v>
      </c>
      <c r="DF182" t="e">
        <f>_xlfn.XLOOKUP(Table1[[#This Row],[Player ID]],Table2[feed_id],Table2[trade_status])</f>
        <v>#N/A</v>
      </c>
      <c r="DG182">
        <f>_xlfn.NUMBERVALUE(Table1[[#This Row],[predicted]])</f>
        <v>56.554117921061803</v>
      </c>
    </row>
    <row r="183" spans="1:111" hidden="1" x14ac:dyDescent="0.25">
      <c r="A183">
        <v>77555</v>
      </c>
      <c r="B183">
        <v>6913</v>
      </c>
      <c r="C183" t="s">
        <v>2586</v>
      </c>
      <c r="D183" t="s">
        <v>422</v>
      </c>
      <c r="E183">
        <v>2019</v>
      </c>
      <c r="F183">
        <v>290821</v>
      </c>
      <c r="G183" t="s">
        <v>1450</v>
      </c>
      <c r="H183" t="s">
        <v>2595</v>
      </c>
      <c r="I183" t="s">
        <v>249</v>
      </c>
      <c r="J183">
        <v>14</v>
      </c>
      <c r="K183">
        <v>50</v>
      </c>
      <c r="L183">
        <v>32</v>
      </c>
      <c r="M183">
        <v>47</v>
      </c>
      <c r="N183">
        <v>39</v>
      </c>
      <c r="O183">
        <v>54</v>
      </c>
      <c r="P183">
        <v>5</v>
      </c>
      <c r="Q183">
        <v>4</v>
      </c>
      <c r="R183">
        <v>2</v>
      </c>
      <c r="S183">
        <v>5</v>
      </c>
      <c r="T183">
        <v>0</v>
      </c>
      <c r="U183">
        <v>1</v>
      </c>
      <c r="V183">
        <v>2</v>
      </c>
      <c r="W183">
        <v>1</v>
      </c>
      <c r="X183">
        <v>0</v>
      </c>
      <c r="Y183" t="s">
        <v>113</v>
      </c>
      <c r="Z183" t="s">
        <v>861</v>
      </c>
      <c r="AA183" t="s">
        <v>2596</v>
      </c>
      <c r="AD183">
        <v>152800</v>
      </c>
      <c r="AF183">
        <v>161900</v>
      </c>
      <c r="AH183" t="s">
        <v>155</v>
      </c>
      <c r="AI183">
        <v>32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378000</v>
      </c>
      <c r="AS183">
        <v>3</v>
      </c>
      <c r="AT183">
        <v>0</v>
      </c>
      <c r="AU183">
        <v>4</v>
      </c>
      <c r="AV183">
        <v>55</v>
      </c>
      <c r="AW183">
        <v>77</v>
      </c>
      <c r="AZ183" t="b">
        <v>0</v>
      </c>
      <c r="BA183">
        <v>1861</v>
      </c>
      <c r="BB183">
        <v>1432</v>
      </c>
      <c r="BC183">
        <v>3</v>
      </c>
      <c r="BD183" t="s">
        <v>2597</v>
      </c>
      <c r="BE183">
        <v>97</v>
      </c>
      <c r="BF183">
        <v>0</v>
      </c>
      <c r="BG183">
        <v>76</v>
      </c>
      <c r="BH183">
        <v>0</v>
      </c>
      <c r="BI183" s="1" t="s">
        <v>124</v>
      </c>
      <c r="BJ183" s="1" t="s">
        <v>158</v>
      </c>
      <c r="BK183" s="1" t="s">
        <v>138</v>
      </c>
      <c r="BL183">
        <v>4</v>
      </c>
      <c r="BM183" s="1" t="s">
        <v>169</v>
      </c>
      <c r="BN183" s="1" t="s">
        <v>205</v>
      </c>
      <c r="BO183">
        <v>2</v>
      </c>
      <c r="BP183" s="1" t="s">
        <v>159</v>
      </c>
      <c r="BQ183">
        <v>0</v>
      </c>
      <c r="BR183">
        <v>0</v>
      </c>
      <c r="BS183">
        <v>1</v>
      </c>
      <c r="BT183">
        <v>1.2</v>
      </c>
      <c r="BU183" s="1" t="s">
        <v>126</v>
      </c>
      <c r="BV183" s="1" t="s">
        <v>162</v>
      </c>
      <c r="BW183">
        <v>1</v>
      </c>
      <c r="BX183" s="1" t="s">
        <v>206</v>
      </c>
      <c r="BY183" s="1" t="s">
        <v>129</v>
      </c>
      <c r="BZ183">
        <v>1</v>
      </c>
      <c r="CA183" s="1" t="s">
        <v>480</v>
      </c>
      <c r="CB183" s="1" t="s">
        <v>2598</v>
      </c>
      <c r="CC183">
        <v>0.3</v>
      </c>
      <c r="CD183" s="1" t="s">
        <v>2406</v>
      </c>
      <c r="CE183">
        <v>0.54</v>
      </c>
      <c r="CF183" s="1" t="s">
        <v>2599</v>
      </c>
      <c r="CG183">
        <v>3</v>
      </c>
      <c r="CH183" s="1" t="s">
        <v>565</v>
      </c>
      <c r="CI183" s="1" t="s">
        <v>129</v>
      </c>
      <c r="CJ183" s="1" t="s">
        <v>213</v>
      </c>
      <c r="CK183" s="1" t="s">
        <v>169</v>
      </c>
      <c r="CL183" s="1" t="s">
        <v>322</v>
      </c>
      <c r="CM183" s="1" t="s">
        <v>572</v>
      </c>
      <c r="CN183">
        <v>69.599999999999994</v>
      </c>
      <c r="CO183">
        <v>77</v>
      </c>
      <c r="CP183" s="1" t="s">
        <v>2600</v>
      </c>
      <c r="CS183">
        <v>1657</v>
      </c>
      <c r="CT183" s="1" t="s">
        <v>2601</v>
      </c>
      <c r="CU183" s="1" t="s">
        <v>2315</v>
      </c>
      <c r="CV183" s="1" t="s">
        <v>2602</v>
      </c>
      <c r="CW183">
        <v>63.5</v>
      </c>
      <c r="CX183">
        <v>64.5</v>
      </c>
      <c r="CY183">
        <v>49.4</v>
      </c>
      <c r="CZ183" s="1" t="s">
        <v>420</v>
      </c>
      <c r="DA183">
        <v>1</v>
      </c>
      <c r="DB183" t="s">
        <v>861</v>
      </c>
      <c r="DC183">
        <v>32</v>
      </c>
      <c r="DD183" s="1" t="s">
        <v>2603</v>
      </c>
      <c r="DE183">
        <v>-32.514442178676603</v>
      </c>
      <c r="DF183" t="e">
        <f>_xlfn.XLOOKUP(Table1[[#This Row],[Player ID]],Table2[feed_id],Table2[trade_status])</f>
        <v>#N/A</v>
      </c>
      <c r="DG183">
        <f>_xlfn.NUMBERVALUE(Table1[[#This Row],[predicted]])</f>
        <v>64.514442178676603</v>
      </c>
    </row>
    <row r="184" spans="1:111" hidden="1" x14ac:dyDescent="0.25">
      <c r="A184">
        <v>77558</v>
      </c>
      <c r="B184">
        <v>6913</v>
      </c>
      <c r="C184" t="s">
        <v>2586</v>
      </c>
      <c r="D184" t="s">
        <v>422</v>
      </c>
      <c r="E184">
        <v>2019</v>
      </c>
      <c r="F184">
        <v>990424</v>
      </c>
      <c r="G184" t="s">
        <v>2604</v>
      </c>
      <c r="H184" t="s">
        <v>2605</v>
      </c>
      <c r="I184" t="s">
        <v>249</v>
      </c>
      <c r="J184">
        <v>4</v>
      </c>
      <c r="K184">
        <v>45</v>
      </c>
      <c r="L184">
        <v>45</v>
      </c>
      <c r="M184">
        <v>32</v>
      </c>
      <c r="N184">
        <v>36</v>
      </c>
      <c r="O184">
        <v>54</v>
      </c>
      <c r="P184">
        <v>7</v>
      </c>
      <c r="Q184">
        <v>6</v>
      </c>
      <c r="R184">
        <v>2</v>
      </c>
      <c r="S184">
        <v>3</v>
      </c>
      <c r="T184">
        <v>0</v>
      </c>
      <c r="U184">
        <v>0</v>
      </c>
      <c r="V184">
        <v>2</v>
      </c>
      <c r="W184">
        <v>0</v>
      </c>
      <c r="X184">
        <v>0</v>
      </c>
      <c r="Y184" t="s">
        <v>113</v>
      </c>
      <c r="Z184" t="s">
        <v>778</v>
      </c>
      <c r="AA184" t="s">
        <v>2606</v>
      </c>
      <c r="AB184" t="s">
        <v>226</v>
      </c>
      <c r="AC184" t="s">
        <v>2607</v>
      </c>
      <c r="AD184">
        <v>332800</v>
      </c>
      <c r="AF184">
        <v>245100</v>
      </c>
      <c r="AH184" t="s">
        <v>155</v>
      </c>
      <c r="AI184">
        <v>21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394000</v>
      </c>
      <c r="AS184">
        <v>5</v>
      </c>
      <c r="AT184">
        <v>0</v>
      </c>
      <c r="AU184">
        <v>5</v>
      </c>
      <c r="AV184">
        <v>61</v>
      </c>
      <c r="AW184">
        <v>64</v>
      </c>
      <c r="AZ184" t="b">
        <v>1</v>
      </c>
      <c r="BA184">
        <v>1861</v>
      </c>
      <c r="BB184">
        <v>1432</v>
      </c>
      <c r="BC184">
        <v>3</v>
      </c>
      <c r="BD184" t="s">
        <v>2597</v>
      </c>
      <c r="BE184">
        <v>97</v>
      </c>
      <c r="BF184">
        <v>0</v>
      </c>
      <c r="BG184">
        <v>76</v>
      </c>
      <c r="BH184">
        <v>0</v>
      </c>
      <c r="BI184" s="1" t="s">
        <v>183</v>
      </c>
      <c r="BJ184" s="1" t="s">
        <v>430</v>
      </c>
      <c r="BK184" s="1" t="s">
        <v>211</v>
      </c>
      <c r="BL184">
        <v>4</v>
      </c>
      <c r="BM184" s="1" t="s">
        <v>159</v>
      </c>
      <c r="BN184">
        <v>3</v>
      </c>
      <c r="BO184" s="1" t="s">
        <v>138</v>
      </c>
      <c r="BP184" s="1" t="s">
        <v>640</v>
      </c>
      <c r="BQ184">
        <v>0</v>
      </c>
      <c r="BR184">
        <v>0</v>
      </c>
      <c r="BS184" s="1" t="s">
        <v>129</v>
      </c>
      <c r="BT184" s="1" t="s">
        <v>238</v>
      </c>
      <c r="BU184" s="1" t="s">
        <v>126</v>
      </c>
      <c r="BV184" s="1" t="s">
        <v>130</v>
      </c>
      <c r="BW184">
        <v>0</v>
      </c>
      <c r="BX184" s="1" t="s">
        <v>129</v>
      </c>
      <c r="BY184" s="1" t="s">
        <v>129</v>
      </c>
      <c r="BZ184" s="1" t="s">
        <v>231</v>
      </c>
      <c r="CA184" s="1" t="s">
        <v>2608</v>
      </c>
      <c r="CB184" s="1" t="s">
        <v>2609</v>
      </c>
      <c r="CC184">
        <v>4.87</v>
      </c>
      <c r="CD184" s="1" t="s">
        <v>2610</v>
      </c>
      <c r="CE184" s="1" t="s">
        <v>2611</v>
      </c>
      <c r="CF184" s="1" t="s">
        <v>2612</v>
      </c>
      <c r="CG184" s="1" t="s">
        <v>449</v>
      </c>
      <c r="CH184">
        <v>4.2</v>
      </c>
      <c r="CI184">
        <v>1</v>
      </c>
      <c r="CJ184">
        <v>1.2</v>
      </c>
      <c r="CK184" s="1" t="s">
        <v>125</v>
      </c>
      <c r="CL184">
        <v>2.4</v>
      </c>
      <c r="CM184" s="1" t="s">
        <v>706</v>
      </c>
      <c r="CN184">
        <v>60</v>
      </c>
      <c r="CO184" s="1" t="s">
        <v>2147</v>
      </c>
      <c r="CP184" s="1" t="s">
        <v>1243</v>
      </c>
      <c r="CS184" s="1" t="s">
        <v>2058</v>
      </c>
      <c r="CT184" s="1" t="s">
        <v>2613</v>
      </c>
      <c r="CU184">
        <v>1761</v>
      </c>
      <c r="CV184" s="1" t="s">
        <v>2614</v>
      </c>
      <c r="CW184">
        <v>49.25</v>
      </c>
      <c r="CX184">
        <v>42.9</v>
      </c>
      <c r="CY184">
        <v>45.4</v>
      </c>
      <c r="CZ184" s="1" t="s">
        <v>1245</v>
      </c>
      <c r="DA184">
        <v>1</v>
      </c>
      <c r="DB184" t="s">
        <v>778</v>
      </c>
      <c r="DC184">
        <v>45</v>
      </c>
      <c r="DD184" s="1" t="s">
        <v>2615</v>
      </c>
      <c r="DE184">
        <v>-21.202931458694401</v>
      </c>
      <c r="DF184" t="e">
        <f>_xlfn.XLOOKUP(Table1[[#This Row],[Player ID]],Table2[feed_id],Table2[trade_status])</f>
        <v>#N/A</v>
      </c>
      <c r="DG184">
        <f>_xlfn.NUMBERVALUE(Table1[[#This Row],[predicted]])</f>
        <v>66.202931458694394</v>
      </c>
    </row>
    <row r="185" spans="1:111" hidden="1" x14ac:dyDescent="0.25">
      <c r="A185">
        <v>77830</v>
      </c>
      <c r="B185">
        <v>6920</v>
      </c>
      <c r="C185" t="s">
        <v>2616</v>
      </c>
      <c r="D185" t="s">
        <v>1155</v>
      </c>
      <c r="E185">
        <v>2019</v>
      </c>
      <c r="F185">
        <v>296209</v>
      </c>
      <c r="G185" t="s">
        <v>2617</v>
      </c>
      <c r="H185" t="s">
        <v>2618</v>
      </c>
      <c r="I185" t="s">
        <v>291</v>
      </c>
      <c r="J185">
        <v>11</v>
      </c>
      <c r="K185">
        <v>56</v>
      </c>
      <c r="L185">
        <v>58</v>
      </c>
      <c r="M185">
        <v>71</v>
      </c>
      <c r="N185">
        <v>48</v>
      </c>
      <c r="O185">
        <v>63</v>
      </c>
      <c r="P185">
        <v>6</v>
      </c>
      <c r="Q185">
        <v>6</v>
      </c>
      <c r="R185">
        <v>5</v>
      </c>
      <c r="S185">
        <v>2</v>
      </c>
      <c r="T185">
        <v>0</v>
      </c>
      <c r="U185">
        <v>0</v>
      </c>
      <c r="V185">
        <v>1</v>
      </c>
      <c r="W185">
        <v>1</v>
      </c>
      <c r="X185">
        <v>0</v>
      </c>
      <c r="Y185" t="s">
        <v>113</v>
      </c>
      <c r="Z185" t="s">
        <v>226</v>
      </c>
      <c r="AA185" t="s">
        <v>2619</v>
      </c>
      <c r="AH185" t="s">
        <v>181</v>
      </c>
      <c r="AI185">
        <v>16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S185">
        <v>3</v>
      </c>
      <c r="AT185">
        <v>1</v>
      </c>
      <c r="AU185">
        <v>1</v>
      </c>
      <c r="AV185">
        <v>66</v>
      </c>
      <c r="AW185">
        <v>71</v>
      </c>
      <c r="AZ185" t="b">
        <v>0</v>
      </c>
      <c r="BA185">
        <v>1764</v>
      </c>
      <c r="BB185">
        <v>1537</v>
      </c>
      <c r="BC185">
        <v>4</v>
      </c>
      <c r="BD185" t="s">
        <v>2620</v>
      </c>
      <c r="BE185">
        <v>101</v>
      </c>
      <c r="BF185">
        <v>0</v>
      </c>
      <c r="BG185">
        <v>74</v>
      </c>
      <c r="BH185">
        <v>0</v>
      </c>
      <c r="BI185">
        <v>6</v>
      </c>
      <c r="BJ185" s="1" t="s">
        <v>276</v>
      </c>
      <c r="BK185" s="1" t="s">
        <v>125</v>
      </c>
      <c r="BL185">
        <v>5</v>
      </c>
      <c r="BM185">
        <v>3</v>
      </c>
      <c r="BN185" s="1" t="s">
        <v>898</v>
      </c>
      <c r="BO185">
        <v>3</v>
      </c>
      <c r="BP185">
        <v>2.6</v>
      </c>
      <c r="BQ185">
        <v>0</v>
      </c>
      <c r="BR185">
        <v>0</v>
      </c>
      <c r="BS185">
        <v>0</v>
      </c>
      <c r="BT185" s="1" t="s">
        <v>184</v>
      </c>
      <c r="BU185" s="1" t="s">
        <v>129</v>
      </c>
      <c r="BV185" s="1" t="s">
        <v>238</v>
      </c>
      <c r="BW185" s="1" t="s">
        <v>129</v>
      </c>
      <c r="BX185">
        <v>0.2</v>
      </c>
      <c r="BY185">
        <v>0</v>
      </c>
      <c r="BZ185" s="1" t="s">
        <v>213</v>
      </c>
      <c r="CA185">
        <v>6.3333333333333297E-2</v>
      </c>
      <c r="CB185">
        <v>0.89200000000000002</v>
      </c>
      <c r="CC185">
        <v>8.3333333333333301E-2</v>
      </c>
      <c r="CD185" s="1" t="s">
        <v>2621</v>
      </c>
      <c r="CE185">
        <v>6.9999999999999896E-2</v>
      </c>
      <c r="CF185" s="1" t="s">
        <v>2622</v>
      </c>
      <c r="CG185" s="1" t="s">
        <v>169</v>
      </c>
      <c r="CH185" s="1" t="s">
        <v>990</v>
      </c>
      <c r="CI185" s="1" t="s">
        <v>128</v>
      </c>
      <c r="CJ185">
        <v>0.4</v>
      </c>
      <c r="CK185" s="1" t="s">
        <v>126</v>
      </c>
      <c r="CL185" s="1" t="s">
        <v>237</v>
      </c>
      <c r="CM185" s="1" t="s">
        <v>350</v>
      </c>
      <c r="CN185" s="1" t="s">
        <v>2147</v>
      </c>
      <c r="CO185" s="1" t="s">
        <v>483</v>
      </c>
      <c r="CP185">
        <v>83.2</v>
      </c>
      <c r="CS185" s="1" t="s">
        <v>2623</v>
      </c>
      <c r="CT185" s="1" t="s">
        <v>2624</v>
      </c>
      <c r="CU185" s="1" t="s">
        <v>2625</v>
      </c>
      <c r="CV185" s="1" t="s">
        <v>2626</v>
      </c>
      <c r="CW185">
        <v>66.900000000000006</v>
      </c>
      <c r="CX185">
        <v>62.1</v>
      </c>
      <c r="CY185">
        <v>56.4</v>
      </c>
      <c r="CZ185" s="1" t="s">
        <v>1926</v>
      </c>
      <c r="DA185">
        <v>1</v>
      </c>
      <c r="DB185" t="s">
        <v>226</v>
      </c>
      <c r="DC185">
        <v>58</v>
      </c>
      <c r="DD185" s="1" t="s">
        <v>2627</v>
      </c>
      <c r="DE185">
        <v>-28.150117957541202</v>
      </c>
      <c r="DF185" t="e">
        <f>_xlfn.XLOOKUP(Table1[[#This Row],[Player ID]],Table2[feed_id],Table2[trade_status])</f>
        <v>#N/A</v>
      </c>
      <c r="DG185">
        <f>_xlfn.NUMBERVALUE(Table1[[#This Row],[predicted]])</f>
        <v>86.150117957541198</v>
      </c>
    </row>
    <row r="186" spans="1:111" hidden="1" x14ac:dyDescent="0.25">
      <c r="A186">
        <v>77964</v>
      </c>
      <c r="B186">
        <v>6923</v>
      </c>
      <c r="C186" t="s">
        <v>2628</v>
      </c>
      <c r="D186" t="s">
        <v>1155</v>
      </c>
      <c r="E186">
        <v>2019</v>
      </c>
      <c r="F186">
        <v>280863</v>
      </c>
      <c r="G186" t="s">
        <v>1332</v>
      </c>
      <c r="H186" t="s">
        <v>2629</v>
      </c>
      <c r="I186" t="s">
        <v>201</v>
      </c>
      <c r="J186">
        <v>4</v>
      </c>
      <c r="K186">
        <v>43</v>
      </c>
      <c r="L186">
        <v>31</v>
      </c>
      <c r="M186">
        <v>58</v>
      </c>
      <c r="N186">
        <v>34</v>
      </c>
      <c r="O186">
        <v>45</v>
      </c>
      <c r="P186">
        <v>7</v>
      </c>
      <c r="Q186">
        <v>2</v>
      </c>
      <c r="R186">
        <v>4</v>
      </c>
      <c r="S186">
        <v>2</v>
      </c>
      <c r="T186">
        <v>0</v>
      </c>
      <c r="U186">
        <v>1</v>
      </c>
      <c r="V186">
        <v>1</v>
      </c>
      <c r="W186">
        <v>0</v>
      </c>
      <c r="X186">
        <v>0</v>
      </c>
      <c r="Y186" t="s">
        <v>113</v>
      </c>
      <c r="Z186" t="s">
        <v>525</v>
      </c>
      <c r="AA186" t="s">
        <v>2630</v>
      </c>
      <c r="AH186" t="s">
        <v>118</v>
      </c>
      <c r="AI186">
        <v>4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S186">
        <v>3</v>
      </c>
      <c r="AT186">
        <v>0</v>
      </c>
      <c r="AU186">
        <v>2</v>
      </c>
      <c r="AV186">
        <v>66</v>
      </c>
      <c r="AW186">
        <v>72</v>
      </c>
      <c r="AZ186" t="b">
        <v>0</v>
      </c>
      <c r="BA186">
        <v>1520</v>
      </c>
      <c r="BB186">
        <v>1733</v>
      </c>
      <c r="BC186">
        <v>4</v>
      </c>
      <c r="BD186" t="s">
        <v>2631</v>
      </c>
      <c r="BE186">
        <v>101</v>
      </c>
      <c r="BF186">
        <v>0</v>
      </c>
      <c r="BG186">
        <v>74</v>
      </c>
      <c r="BH186">
        <v>0</v>
      </c>
      <c r="BI186">
        <v>9</v>
      </c>
      <c r="BJ186" s="1" t="s">
        <v>1008</v>
      </c>
      <c r="BK186" s="1" t="s">
        <v>159</v>
      </c>
      <c r="BL186" s="1" t="s">
        <v>729</v>
      </c>
      <c r="BM186" s="1" t="s">
        <v>397</v>
      </c>
      <c r="BN186" s="1" t="s">
        <v>205</v>
      </c>
      <c r="BO186">
        <v>2</v>
      </c>
      <c r="BP186" s="1" t="s">
        <v>373</v>
      </c>
      <c r="BQ186">
        <v>0</v>
      </c>
      <c r="BR186">
        <v>0</v>
      </c>
      <c r="BS186" s="1" t="s">
        <v>129</v>
      </c>
      <c r="BT186">
        <v>1</v>
      </c>
      <c r="BU186">
        <v>1</v>
      </c>
      <c r="BV186">
        <v>0.6</v>
      </c>
      <c r="BW186" s="1" t="s">
        <v>129</v>
      </c>
      <c r="BX186" s="1" t="s">
        <v>127</v>
      </c>
      <c r="BY186">
        <v>0</v>
      </c>
      <c r="BZ186">
        <v>0.4</v>
      </c>
      <c r="CA186">
        <v>0.03</v>
      </c>
      <c r="CB186" s="1" t="s">
        <v>2632</v>
      </c>
      <c r="CC186" s="1" t="s">
        <v>2633</v>
      </c>
      <c r="CD186" s="1" t="s">
        <v>2634</v>
      </c>
      <c r="CE186" s="1" t="s">
        <v>2635</v>
      </c>
      <c r="CF186">
        <v>9.9333333333333301E-2</v>
      </c>
      <c r="CG186" s="1" t="s">
        <v>159</v>
      </c>
      <c r="CH186" s="1" t="s">
        <v>397</v>
      </c>
      <c r="CI186" s="1" t="s">
        <v>128</v>
      </c>
      <c r="CJ186" s="1" t="s">
        <v>170</v>
      </c>
      <c r="CK186" s="1" t="s">
        <v>169</v>
      </c>
      <c r="CL186">
        <v>2.4</v>
      </c>
      <c r="CM186">
        <v>72</v>
      </c>
      <c r="CN186" s="1" t="s">
        <v>1616</v>
      </c>
      <c r="CO186" s="1" t="s">
        <v>930</v>
      </c>
      <c r="CP186" s="1" t="s">
        <v>240</v>
      </c>
      <c r="CS186" s="1" t="s">
        <v>2636</v>
      </c>
      <c r="CT186" s="1" t="s">
        <v>2637</v>
      </c>
      <c r="CU186" s="1" t="s">
        <v>2638</v>
      </c>
      <c r="CV186" s="1" t="s">
        <v>2639</v>
      </c>
      <c r="CW186">
        <v>72.95</v>
      </c>
      <c r="CX186">
        <v>67.599999999999994</v>
      </c>
      <c r="CY186">
        <v>49.4</v>
      </c>
      <c r="CZ186">
        <v>42</v>
      </c>
      <c r="DA186">
        <v>1</v>
      </c>
      <c r="DB186" t="s">
        <v>525</v>
      </c>
      <c r="DC186">
        <v>31</v>
      </c>
      <c r="DD186" s="1" t="s">
        <v>2640</v>
      </c>
      <c r="DE186">
        <v>-35.872507680683803</v>
      </c>
      <c r="DF186" t="e">
        <f>_xlfn.XLOOKUP(Table1[[#This Row],[Player ID]],Table2[feed_id],Table2[trade_status])</f>
        <v>#N/A</v>
      </c>
      <c r="DG186">
        <f>_xlfn.NUMBERVALUE(Table1[[#This Row],[predicted]])</f>
        <v>66.872507680683796</v>
      </c>
    </row>
    <row r="187" spans="1:111" hidden="1" x14ac:dyDescent="0.25">
      <c r="A187">
        <v>78501</v>
      </c>
      <c r="B187">
        <v>6935</v>
      </c>
      <c r="C187" t="s">
        <v>2641</v>
      </c>
      <c r="D187" t="s">
        <v>1183</v>
      </c>
      <c r="E187">
        <v>2019</v>
      </c>
      <c r="F187">
        <v>261230</v>
      </c>
      <c r="G187" t="s">
        <v>1002</v>
      </c>
      <c r="H187" t="s">
        <v>2642</v>
      </c>
      <c r="I187" t="s">
        <v>249</v>
      </c>
      <c r="J187">
        <v>20</v>
      </c>
      <c r="K187">
        <v>58</v>
      </c>
      <c r="L187">
        <v>38</v>
      </c>
      <c r="M187">
        <v>58</v>
      </c>
      <c r="N187">
        <v>48</v>
      </c>
      <c r="O187">
        <v>65</v>
      </c>
      <c r="P187">
        <v>4</v>
      </c>
      <c r="Q187">
        <v>4</v>
      </c>
      <c r="R187">
        <v>0</v>
      </c>
      <c r="S187">
        <v>6</v>
      </c>
      <c r="T187">
        <v>23</v>
      </c>
      <c r="U187">
        <v>0</v>
      </c>
      <c r="V187">
        <v>3</v>
      </c>
      <c r="W187">
        <v>0</v>
      </c>
      <c r="X187">
        <v>0</v>
      </c>
      <c r="Y187" t="s">
        <v>113</v>
      </c>
      <c r="Z187" t="s">
        <v>602</v>
      </c>
      <c r="AA187" t="s">
        <v>2643</v>
      </c>
      <c r="AH187" t="s">
        <v>274</v>
      </c>
      <c r="AI187">
        <v>27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S187">
        <v>5</v>
      </c>
      <c r="AT187">
        <v>0</v>
      </c>
      <c r="AU187">
        <v>7</v>
      </c>
      <c r="AV187">
        <v>12</v>
      </c>
      <c r="AW187">
        <v>84</v>
      </c>
      <c r="AZ187" t="b">
        <v>0</v>
      </c>
      <c r="BA187">
        <v>1563</v>
      </c>
      <c r="BB187">
        <v>1705</v>
      </c>
      <c r="BC187">
        <v>5</v>
      </c>
      <c r="BD187" t="s">
        <v>2644</v>
      </c>
      <c r="BE187">
        <v>98</v>
      </c>
      <c r="BF187">
        <v>0</v>
      </c>
      <c r="BG187">
        <v>74</v>
      </c>
      <c r="BH187">
        <v>0</v>
      </c>
      <c r="BI187" s="1" t="s">
        <v>125</v>
      </c>
      <c r="BJ187">
        <v>4.4000000000000004</v>
      </c>
      <c r="BK187">
        <v>4</v>
      </c>
      <c r="BL187" s="1" t="s">
        <v>587</v>
      </c>
      <c r="BM187" s="1" t="s">
        <v>161</v>
      </c>
      <c r="BN187">
        <v>1.8</v>
      </c>
      <c r="BO187" s="1" t="s">
        <v>449</v>
      </c>
      <c r="BP187" s="1" t="s">
        <v>565</v>
      </c>
      <c r="BQ187">
        <v>30</v>
      </c>
      <c r="BR187" s="1" t="s">
        <v>2645</v>
      </c>
      <c r="BS187">
        <v>1</v>
      </c>
      <c r="BT187">
        <v>1.2</v>
      </c>
      <c r="BU187" s="1" t="s">
        <v>159</v>
      </c>
      <c r="BV187" s="1" t="s">
        <v>206</v>
      </c>
      <c r="BW187">
        <v>0</v>
      </c>
      <c r="BX187">
        <v>6.6666666666666596E-2</v>
      </c>
      <c r="BY187">
        <v>0</v>
      </c>
      <c r="BZ187" s="1" t="s">
        <v>213</v>
      </c>
      <c r="CA187">
        <v>0</v>
      </c>
      <c r="CB187" s="1" t="s">
        <v>2646</v>
      </c>
      <c r="CC187">
        <v>0</v>
      </c>
      <c r="CD187">
        <v>1.26</v>
      </c>
      <c r="CE187" s="1" t="s">
        <v>1430</v>
      </c>
      <c r="CF187">
        <v>1.962</v>
      </c>
      <c r="CG187" s="1" t="s">
        <v>449</v>
      </c>
      <c r="CH187" s="1" t="s">
        <v>205</v>
      </c>
      <c r="CI187" s="1" t="s">
        <v>126</v>
      </c>
      <c r="CJ187" s="1" t="s">
        <v>170</v>
      </c>
      <c r="CK187">
        <v>4</v>
      </c>
      <c r="CL187" s="1" t="s">
        <v>431</v>
      </c>
      <c r="CM187">
        <v>50</v>
      </c>
      <c r="CN187" s="1" t="s">
        <v>2647</v>
      </c>
      <c r="CO187" s="1" t="s">
        <v>2177</v>
      </c>
      <c r="CP187">
        <v>85.2</v>
      </c>
      <c r="CS187">
        <v>1488</v>
      </c>
      <c r="CT187" s="1" t="s">
        <v>2648</v>
      </c>
      <c r="CU187">
        <v>1770</v>
      </c>
      <c r="CV187">
        <v>1748.6</v>
      </c>
      <c r="CW187">
        <v>66.400000000000006</v>
      </c>
      <c r="CX187">
        <v>69.3</v>
      </c>
      <c r="CY187">
        <v>74.8</v>
      </c>
      <c r="CZ187">
        <v>61</v>
      </c>
      <c r="DA187">
        <v>1</v>
      </c>
      <c r="DB187" t="s">
        <v>602</v>
      </c>
      <c r="DC187">
        <v>38</v>
      </c>
      <c r="DD187" s="1" t="s">
        <v>2649</v>
      </c>
      <c r="DE187">
        <v>-39.542806894721103</v>
      </c>
      <c r="DF187" t="e">
        <f>_xlfn.XLOOKUP(Table1[[#This Row],[Player ID]],Table2[feed_id],Table2[trade_status])</f>
        <v>#N/A</v>
      </c>
      <c r="DG187">
        <f>_xlfn.NUMBERVALUE(Table1[[#This Row],[predicted]])</f>
        <v>77.542806894721096</v>
      </c>
    </row>
    <row r="188" spans="1:111" hidden="1" x14ac:dyDescent="0.25">
      <c r="A188">
        <v>79118</v>
      </c>
      <c r="B188">
        <v>6950</v>
      </c>
      <c r="C188" t="s">
        <v>2650</v>
      </c>
      <c r="D188" t="s">
        <v>443</v>
      </c>
      <c r="E188">
        <v>2019</v>
      </c>
      <c r="F188">
        <v>291828</v>
      </c>
      <c r="G188" t="s">
        <v>2130</v>
      </c>
      <c r="H188" t="s">
        <v>2651</v>
      </c>
      <c r="I188" t="s">
        <v>152</v>
      </c>
      <c r="J188">
        <v>12</v>
      </c>
      <c r="K188">
        <v>74</v>
      </c>
      <c r="L188">
        <v>57</v>
      </c>
      <c r="M188">
        <v>88</v>
      </c>
      <c r="N188">
        <v>65</v>
      </c>
      <c r="O188">
        <v>75</v>
      </c>
      <c r="P188">
        <v>5</v>
      </c>
      <c r="Q188">
        <v>5</v>
      </c>
      <c r="R188">
        <v>5</v>
      </c>
      <c r="S188">
        <v>2</v>
      </c>
      <c r="T188">
        <v>24</v>
      </c>
      <c r="U188">
        <v>2</v>
      </c>
      <c r="V188">
        <v>0</v>
      </c>
      <c r="W188">
        <v>0</v>
      </c>
      <c r="X188">
        <v>0</v>
      </c>
      <c r="Y188" t="s">
        <v>113</v>
      </c>
      <c r="Z188" t="s">
        <v>542</v>
      </c>
      <c r="AA188" t="s">
        <v>2652</v>
      </c>
      <c r="AB188" t="s">
        <v>602</v>
      </c>
      <c r="AC188" t="s">
        <v>2391</v>
      </c>
      <c r="AH188" t="s">
        <v>274</v>
      </c>
      <c r="AI188">
        <v>18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S188">
        <v>6</v>
      </c>
      <c r="AT188">
        <v>3</v>
      </c>
      <c r="AU188">
        <v>1</v>
      </c>
      <c r="AV188">
        <v>80</v>
      </c>
      <c r="AW188">
        <v>84</v>
      </c>
      <c r="AZ188" t="b">
        <v>0</v>
      </c>
      <c r="BA188">
        <v>1686</v>
      </c>
      <c r="BB188">
        <v>1575</v>
      </c>
      <c r="BC188">
        <v>7</v>
      </c>
      <c r="BD188" t="s">
        <v>2653</v>
      </c>
      <c r="BE188" s="1" t="s">
        <v>320</v>
      </c>
      <c r="BF188">
        <v>0</v>
      </c>
      <c r="BG188">
        <v>75</v>
      </c>
      <c r="BH188">
        <v>0</v>
      </c>
      <c r="BI188" s="1" t="s">
        <v>160</v>
      </c>
      <c r="BJ188" s="1" t="s">
        <v>170</v>
      </c>
      <c r="BK188" s="1" t="s">
        <v>211</v>
      </c>
      <c r="BL188" s="1" t="s">
        <v>398</v>
      </c>
      <c r="BM188" s="1" t="s">
        <v>169</v>
      </c>
      <c r="BN188">
        <v>1.8</v>
      </c>
      <c r="BO188" s="1" t="s">
        <v>161</v>
      </c>
      <c r="BP188" s="1" t="s">
        <v>640</v>
      </c>
      <c r="BQ188" s="1" t="s">
        <v>2392</v>
      </c>
      <c r="BR188" s="1" t="s">
        <v>2654</v>
      </c>
      <c r="BS188">
        <v>1</v>
      </c>
      <c r="BT188" s="1" t="s">
        <v>327</v>
      </c>
      <c r="BU188" s="1" t="s">
        <v>128</v>
      </c>
      <c r="BV188" s="1" t="s">
        <v>298</v>
      </c>
      <c r="BW188">
        <v>0</v>
      </c>
      <c r="BX188" s="1" t="s">
        <v>213</v>
      </c>
      <c r="BY188" s="1" t="s">
        <v>129</v>
      </c>
      <c r="BZ188">
        <v>0.2</v>
      </c>
      <c r="CA188">
        <v>7.6666666666666605E-2</v>
      </c>
      <c r="CB188" s="1" t="s">
        <v>2655</v>
      </c>
      <c r="CC188" s="1" t="s">
        <v>2008</v>
      </c>
      <c r="CD188" s="1" t="s">
        <v>2656</v>
      </c>
      <c r="CE188">
        <v>8.66666666666666E-2</v>
      </c>
      <c r="CF188">
        <v>4.7720000000000002</v>
      </c>
      <c r="CG188" s="1" t="s">
        <v>211</v>
      </c>
      <c r="CH188" s="1" t="s">
        <v>1092</v>
      </c>
      <c r="CI188" s="1" t="s">
        <v>169</v>
      </c>
      <c r="CJ188">
        <v>2.6</v>
      </c>
      <c r="CK188" s="1" t="s">
        <v>161</v>
      </c>
      <c r="CL188">
        <v>2.2000000000000002</v>
      </c>
      <c r="CM188" s="1" t="s">
        <v>558</v>
      </c>
      <c r="CN188" s="1" t="s">
        <v>1521</v>
      </c>
      <c r="CO188">
        <v>86</v>
      </c>
      <c r="CP188" s="1" t="s">
        <v>2335</v>
      </c>
      <c r="CS188">
        <v>1562</v>
      </c>
      <c r="CT188" s="1" t="s">
        <v>2657</v>
      </c>
      <c r="CU188" s="1" t="s">
        <v>2658</v>
      </c>
      <c r="CV188" s="1" t="s">
        <v>2659</v>
      </c>
      <c r="CW188">
        <v>75.45</v>
      </c>
      <c r="CX188">
        <v>80</v>
      </c>
      <c r="CY188">
        <v>61.2</v>
      </c>
      <c r="CZ188" s="1" t="s">
        <v>759</v>
      </c>
      <c r="DA188">
        <v>1</v>
      </c>
      <c r="DB188" t="s">
        <v>542</v>
      </c>
      <c r="DC188">
        <v>57</v>
      </c>
      <c r="DD188">
        <v>64.047108689162499</v>
      </c>
      <c r="DE188">
        <v>-7.0471086891624903</v>
      </c>
      <c r="DF188" t="e">
        <f>_xlfn.XLOOKUP(Table1[[#This Row],[Player ID]],Table2[feed_id],Table2[trade_status])</f>
        <v>#N/A</v>
      </c>
      <c r="DG188">
        <f>_xlfn.NUMBERVALUE(Table1[[#This Row],[predicted]])</f>
        <v>64.047108689162499</v>
      </c>
    </row>
    <row r="189" spans="1:111" hidden="1" x14ac:dyDescent="0.25">
      <c r="A189">
        <v>79982</v>
      </c>
      <c r="B189">
        <v>6970</v>
      </c>
      <c r="C189" t="s">
        <v>2660</v>
      </c>
      <c r="D189" t="s">
        <v>460</v>
      </c>
      <c r="E189">
        <v>2019</v>
      </c>
      <c r="F189">
        <v>280864</v>
      </c>
      <c r="G189" t="s">
        <v>958</v>
      </c>
      <c r="H189" t="s">
        <v>2161</v>
      </c>
      <c r="I189" t="s">
        <v>813</v>
      </c>
      <c r="J189">
        <v>9</v>
      </c>
      <c r="K189">
        <v>62</v>
      </c>
      <c r="L189">
        <v>63</v>
      </c>
      <c r="M189">
        <v>77</v>
      </c>
      <c r="N189">
        <v>51</v>
      </c>
      <c r="O189">
        <v>69</v>
      </c>
      <c r="P189">
        <v>7</v>
      </c>
      <c r="Q189">
        <v>10</v>
      </c>
      <c r="R189">
        <v>4</v>
      </c>
      <c r="S189">
        <v>2</v>
      </c>
      <c r="T189">
        <v>0</v>
      </c>
      <c r="U189">
        <v>1</v>
      </c>
      <c r="V189">
        <v>0</v>
      </c>
      <c r="W189">
        <v>0</v>
      </c>
      <c r="X189">
        <v>0</v>
      </c>
      <c r="Y189" t="s">
        <v>113</v>
      </c>
      <c r="Z189" t="s">
        <v>226</v>
      </c>
      <c r="AA189" t="s">
        <v>2661</v>
      </c>
      <c r="AH189" t="s">
        <v>181</v>
      </c>
      <c r="AI189">
        <v>19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S189">
        <v>3</v>
      </c>
      <c r="AT189">
        <v>0</v>
      </c>
      <c r="AU189">
        <v>1</v>
      </c>
      <c r="AV189">
        <v>88</v>
      </c>
      <c r="AW189">
        <v>77</v>
      </c>
      <c r="AZ189" t="b">
        <v>0</v>
      </c>
      <c r="BA189">
        <v>1693</v>
      </c>
      <c r="BB189">
        <v>1596</v>
      </c>
      <c r="BC189">
        <v>9</v>
      </c>
      <c r="BD189" t="s">
        <v>2662</v>
      </c>
      <c r="BE189" s="1" t="s">
        <v>2257</v>
      </c>
      <c r="BF189">
        <v>0</v>
      </c>
      <c r="BG189">
        <v>75</v>
      </c>
      <c r="BH189">
        <v>0</v>
      </c>
      <c r="BI189">
        <v>8</v>
      </c>
      <c r="BJ189">
        <v>10.199999999999999</v>
      </c>
      <c r="BK189" s="1" t="s">
        <v>276</v>
      </c>
      <c r="BL189">
        <v>9.1999999999999993</v>
      </c>
      <c r="BM189">
        <v>4</v>
      </c>
      <c r="BN189">
        <v>5.2</v>
      </c>
      <c r="BO189">
        <v>1</v>
      </c>
      <c r="BP189" s="1" t="s">
        <v>298</v>
      </c>
      <c r="BQ189">
        <v>0</v>
      </c>
      <c r="BR189">
        <v>0</v>
      </c>
      <c r="BS189" s="1" t="s">
        <v>126</v>
      </c>
      <c r="BT189" s="1" t="s">
        <v>298</v>
      </c>
      <c r="BU189">
        <v>1</v>
      </c>
      <c r="BV189">
        <v>0.4</v>
      </c>
      <c r="BW189">
        <v>0</v>
      </c>
      <c r="BX189" s="1" t="s">
        <v>213</v>
      </c>
      <c r="BY189" s="1" t="s">
        <v>129</v>
      </c>
      <c r="BZ189">
        <v>6.6666666666666596E-2</v>
      </c>
      <c r="CA189">
        <v>0</v>
      </c>
      <c r="CB189" s="1" t="s">
        <v>2561</v>
      </c>
      <c r="CC189">
        <v>0</v>
      </c>
      <c r="CD189" s="1" t="s">
        <v>2663</v>
      </c>
      <c r="CE189">
        <v>0</v>
      </c>
      <c r="CF189" s="1" t="s">
        <v>2664</v>
      </c>
      <c r="CG189" s="1" t="s">
        <v>160</v>
      </c>
      <c r="CH189" s="1" t="s">
        <v>205</v>
      </c>
      <c r="CI189" s="1" t="s">
        <v>129</v>
      </c>
      <c r="CJ189" s="1" t="s">
        <v>238</v>
      </c>
      <c r="CK189" s="1" t="s">
        <v>159</v>
      </c>
      <c r="CL189" s="1" t="s">
        <v>275</v>
      </c>
      <c r="CM189">
        <v>81</v>
      </c>
      <c r="CN189" s="1" t="s">
        <v>1258</v>
      </c>
      <c r="CO189" s="1" t="s">
        <v>755</v>
      </c>
      <c r="CP189" s="1" t="s">
        <v>190</v>
      </c>
      <c r="CS189">
        <v>1680</v>
      </c>
      <c r="CT189" s="1" t="s">
        <v>1290</v>
      </c>
      <c r="CU189" s="1" t="s">
        <v>2665</v>
      </c>
      <c r="CV189">
        <v>1661.4</v>
      </c>
      <c r="CW189">
        <v>64.75</v>
      </c>
      <c r="CX189">
        <v>66.900000000000006</v>
      </c>
      <c r="CY189">
        <v>70.400000000000006</v>
      </c>
      <c r="CZ189" s="1" t="s">
        <v>1166</v>
      </c>
      <c r="DA189">
        <v>1</v>
      </c>
      <c r="DB189" t="s">
        <v>226</v>
      </c>
      <c r="DC189">
        <v>63</v>
      </c>
      <c r="DD189" s="1" t="s">
        <v>2666</v>
      </c>
      <c r="DE189">
        <v>-26.302025462381099</v>
      </c>
      <c r="DF189" t="e">
        <f>_xlfn.XLOOKUP(Table1[[#This Row],[Player ID]],Table2[feed_id],Table2[trade_status])</f>
        <v>#N/A</v>
      </c>
      <c r="DG189">
        <f>_xlfn.NUMBERVALUE(Table1[[#This Row],[predicted]])</f>
        <v>89.302025462381096</v>
      </c>
    </row>
    <row r="190" spans="1:111" hidden="1" x14ac:dyDescent="0.25">
      <c r="A190">
        <v>80118</v>
      </c>
      <c r="B190">
        <v>6973</v>
      </c>
      <c r="C190" t="s">
        <v>2667</v>
      </c>
      <c r="D190" t="s">
        <v>475</v>
      </c>
      <c r="E190">
        <v>2019</v>
      </c>
      <c r="F190">
        <v>998414</v>
      </c>
      <c r="G190" t="s">
        <v>289</v>
      </c>
      <c r="H190" t="s">
        <v>2668</v>
      </c>
      <c r="I190" t="s">
        <v>582</v>
      </c>
      <c r="J190">
        <v>1</v>
      </c>
      <c r="K190">
        <v>9</v>
      </c>
      <c r="L190">
        <v>9</v>
      </c>
      <c r="M190">
        <v>13</v>
      </c>
      <c r="N190">
        <v>7</v>
      </c>
      <c r="O190">
        <v>12</v>
      </c>
      <c r="P190">
        <v>0</v>
      </c>
      <c r="Q190">
        <v>2</v>
      </c>
      <c r="R190">
        <v>0</v>
      </c>
      <c r="S190">
        <v>2</v>
      </c>
      <c r="T190">
        <v>0</v>
      </c>
      <c r="U190">
        <v>0</v>
      </c>
      <c r="V190">
        <v>1</v>
      </c>
      <c r="W190">
        <v>0</v>
      </c>
      <c r="X190">
        <v>0</v>
      </c>
      <c r="Y190" t="s">
        <v>113</v>
      </c>
      <c r="Z190" t="s">
        <v>114</v>
      </c>
      <c r="AA190" t="s">
        <v>2669</v>
      </c>
      <c r="AB190" t="s">
        <v>525</v>
      </c>
      <c r="AC190" t="s">
        <v>2670</v>
      </c>
      <c r="AH190" t="s">
        <v>118</v>
      </c>
      <c r="AI190">
        <v>18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S190">
        <v>1</v>
      </c>
      <c r="AT190">
        <v>0</v>
      </c>
      <c r="AU190">
        <v>1</v>
      </c>
      <c r="AV190">
        <v>50</v>
      </c>
      <c r="AW190">
        <v>27</v>
      </c>
      <c r="AZ190" t="b">
        <v>1</v>
      </c>
      <c r="BA190">
        <v>1560</v>
      </c>
      <c r="BB190">
        <v>1701</v>
      </c>
      <c r="BC190">
        <v>10</v>
      </c>
      <c r="BD190" t="s">
        <v>2671</v>
      </c>
      <c r="BE190" s="1" t="s">
        <v>2257</v>
      </c>
      <c r="BF190">
        <v>0</v>
      </c>
      <c r="BG190">
        <v>73</v>
      </c>
      <c r="BH190">
        <v>0</v>
      </c>
      <c r="BI190" s="1" t="s">
        <v>211</v>
      </c>
      <c r="BJ190" s="1" t="s">
        <v>205</v>
      </c>
      <c r="BK190" s="1" t="s">
        <v>211</v>
      </c>
      <c r="BL190" s="1" t="s">
        <v>565</v>
      </c>
      <c r="BM190">
        <v>3</v>
      </c>
      <c r="BN190">
        <v>2.8</v>
      </c>
      <c r="BO190" s="1" t="s">
        <v>169</v>
      </c>
      <c r="BP190" s="1" t="s">
        <v>169</v>
      </c>
      <c r="BQ190">
        <v>0</v>
      </c>
      <c r="BR190">
        <v>0</v>
      </c>
      <c r="BS190" s="1" t="s">
        <v>129</v>
      </c>
      <c r="BT190" s="1" t="s">
        <v>128</v>
      </c>
      <c r="BU190" s="1" t="s">
        <v>128</v>
      </c>
      <c r="BV190" s="1" t="s">
        <v>130</v>
      </c>
      <c r="BW190" s="1" t="s">
        <v>129</v>
      </c>
      <c r="BX190" s="1" t="s">
        <v>231</v>
      </c>
      <c r="BY190" s="1" t="s">
        <v>129</v>
      </c>
      <c r="BZ190">
        <v>0.4</v>
      </c>
      <c r="CA190">
        <v>0</v>
      </c>
      <c r="CB190">
        <v>0.54600000000000004</v>
      </c>
      <c r="CC190">
        <v>0</v>
      </c>
      <c r="CD190">
        <v>0.52800000000000002</v>
      </c>
      <c r="CE190">
        <v>0</v>
      </c>
      <c r="CF190" s="1" t="s">
        <v>2672</v>
      </c>
      <c r="CG190" s="1" t="s">
        <v>138</v>
      </c>
      <c r="CH190" s="1" t="s">
        <v>449</v>
      </c>
      <c r="CI190">
        <v>0</v>
      </c>
      <c r="CJ190">
        <v>0.8</v>
      </c>
      <c r="CK190" s="1" t="s">
        <v>126</v>
      </c>
      <c r="CL190">
        <v>1.6</v>
      </c>
      <c r="CM190" s="1" t="s">
        <v>1838</v>
      </c>
      <c r="CN190" s="1" t="s">
        <v>2673</v>
      </c>
      <c r="CO190">
        <v>58</v>
      </c>
      <c r="CP190" s="1" t="s">
        <v>2674</v>
      </c>
      <c r="CS190">
        <v>1737</v>
      </c>
      <c r="CT190" s="1" t="s">
        <v>2675</v>
      </c>
      <c r="CU190" s="1" t="s">
        <v>2624</v>
      </c>
      <c r="CV190">
        <v>1606.4</v>
      </c>
      <c r="CW190">
        <v>49.25</v>
      </c>
      <c r="CX190">
        <v>54</v>
      </c>
      <c r="CY190">
        <v>43.4</v>
      </c>
      <c r="CZ190">
        <v>42</v>
      </c>
      <c r="DA190">
        <v>1</v>
      </c>
      <c r="DB190" t="s">
        <v>114</v>
      </c>
      <c r="DC190">
        <v>9</v>
      </c>
      <c r="DD190" s="1" t="s">
        <v>2676</v>
      </c>
      <c r="DE190">
        <v>-26.574957712846999</v>
      </c>
      <c r="DF190" t="e">
        <f>_xlfn.XLOOKUP(Table1[[#This Row],[Player ID]],Table2[feed_id],Table2[trade_status])</f>
        <v>#N/A</v>
      </c>
      <c r="DG190">
        <f>_xlfn.NUMBERVALUE(Table1[[#This Row],[predicted]])</f>
        <v>35.574957712847002</v>
      </c>
    </row>
    <row r="191" spans="1:111" hidden="1" x14ac:dyDescent="0.25">
      <c r="A191">
        <v>80160</v>
      </c>
      <c r="B191">
        <v>6974</v>
      </c>
      <c r="C191" t="s">
        <v>2677</v>
      </c>
      <c r="D191" t="s">
        <v>475</v>
      </c>
      <c r="E191">
        <v>2019</v>
      </c>
      <c r="F191">
        <v>295444</v>
      </c>
      <c r="G191" t="s">
        <v>776</v>
      </c>
      <c r="H191" t="s">
        <v>2678</v>
      </c>
      <c r="I191" t="s">
        <v>112</v>
      </c>
      <c r="J191">
        <v>3</v>
      </c>
      <c r="K191">
        <v>41</v>
      </c>
      <c r="L191">
        <v>42</v>
      </c>
      <c r="M191">
        <v>52</v>
      </c>
      <c r="N191">
        <v>33</v>
      </c>
      <c r="O191">
        <v>45</v>
      </c>
      <c r="P191">
        <v>6</v>
      </c>
      <c r="Q191">
        <v>5</v>
      </c>
      <c r="R191">
        <v>3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113</v>
      </c>
      <c r="Z191" t="s">
        <v>114</v>
      </c>
      <c r="AA191" t="s">
        <v>2679</v>
      </c>
      <c r="AB191" t="s">
        <v>226</v>
      </c>
      <c r="AC191" t="s">
        <v>2680</v>
      </c>
      <c r="AH191" t="s">
        <v>181</v>
      </c>
      <c r="AI191">
        <v>8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S191">
        <v>4</v>
      </c>
      <c r="AT191">
        <v>0</v>
      </c>
      <c r="AU191">
        <v>2</v>
      </c>
      <c r="AV191">
        <v>81</v>
      </c>
      <c r="AW191">
        <v>41</v>
      </c>
      <c r="AZ191" t="b">
        <v>1</v>
      </c>
      <c r="BA191">
        <v>1494</v>
      </c>
      <c r="BB191">
        <v>1776</v>
      </c>
      <c r="BC191">
        <v>10</v>
      </c>
      <c r="BD191" t="s">
        <v>2681</v>
      </c>
      <c r="BE191" s="1" t="s">
        <v>2257</v>
      </c>
      <c r="BF191">
        <v>0</v>
      </c>
      <c r="BG191">
        <v>73</v>
      </c>
      <c r="BH191">
        <v>0</v>
      </c>
      <c r="BI191">
        <v>8</v>
      </c>
      <c r="BJ191">
        <v>8.4</v>
      </c>
      <c r="BK191" s="1" t="s">
        <v>977</v>
      </c>
      <c r="BL191">
        <v>9.8000000000000007</v>
      </c>
      <c r="BM191" s="1" t="s">
        <v>160</v>
      </c>
      <c r="BN191">
        <v>5.8</v>
      </c>
      <c r="BO191" s="1" t="s">
        <v>126</v>
      </c>
      <c r="BP191" s="1" t="s">
        <v>275</v>
      </c>
      <c r="BQ191">
        <v>0</v>
      </c>
      <c r="BR191">
        <v>0</v>
      </c>
      <c r="BS191">
        <v>0</v>
      </c>
      <c r="BT191">
        <v>0.6</v>
      </c>
      <c r="BU191" s="1" t="s">
        <v>129</v>
      </c>
      <c r="BV191" s="1" t="s">
        <v>399</v>
      </c>
      <c r="BW191">
        <v>0</v>
      </c>
      <c r="BX191">
        <v>0</v>
      </c>
      <c r="BY191" s="1" t="s">
        <v>129</v>
      </c>
      <c r="BZ191">
        <v>6.6666666666666596E-2</v>
      </c>
      <c r="CA191">
        <v>0</v>
      </c>
      <c r="CB191">
        <v>3.2666666666666601E-2</v>
      </c>
      <c r="CC191">
        <v>0</v>
      </c>
      <c r="CD191" s="1" t="s">
        <v>2682</v>
      </c>
      <c r="CE191">
        <v>0</v>
      </c>
      <c r="CF191" s="1" t="s">
        <v>2683</v>
      </c>
      <c r="CG191">
        <v>8</v>
      </c>
      <c r="CH191" s="1" t="s">
        <v>168</v>
      </c>
      <c r="CI191" s="1" t="s">
        <v>128</v>
      </c>
      <c r="CJ191" s="1" t="s">
        <v>184</v>
      </c>
      <c r="CK191" s="1" t="s">
        <v>126</v>
      </c>
      <c r="CL191" s="1" t="s">
        <v>275</v>
      </c>
      <c r="CM191">
        <v>84</v>
      </c>
      <c r="CN191">
        <v>82.4</v>
      </c>
      <c r="CO191" s="1" t="s">
        <v>1080</v>
      </c>
      <c r="CP191" s="1" t="s">
        <v>2335</v>
      </c>
      <c r="CS191">
        <v>1755</v>
      </c>
      <c r="CT191">
        <v>1738.6</v>
      </c>
      <c r="CU191" s="1" t="s">
        <v>2684</v>
      </c>
      <c r="CV191" s="1" t="s">
        <v>2685</v>
      </c>
      <c r="CW191">
        <v>82.5</v>
      </c>
      <c r="CX191">
        <v>84</v>
      </c>
      <c r="CY191">
        <v>77.599999999999994</v>
      </c>
      <c r="CZ191" s="1" t="s">
        <v>263</v>
      </c>
      <c r="DA191">
        <v>1</v>
      </c>
      <c r="DB191" t="s">
        <v>114</v>
      </c>
      <c r="DC191">
        <v>42</v>
      </c>
      <c r="DD191" s="1" t="s">
        <v>2686</v>
      </c>
      <c r="DE191">
        <v>-19.270904531299799</v>
      </c>
      <c r="DF191" t="e">
        <f>_xlfn.XLOOKUP(Table1[[#This Row],[Player ID]],Table2[feed_id],Table2[trade_status])</f>
        <v>#N/A</v>
      </c>
      <c r="DG191">
        <f>_xlfn.NUMBERVALUE(Table1[[#This Row],[predicted]])</f>
        <v>61.270904531299799</v>
      </c>
    </row>
    <row r="192" spans="1:111" hidden="1" x14ac:dyDescent="0.25">
      <c r="A192">
        <v>80266</v>
      </c>
      <c r="B192">
        <v>6976</v>
      </c>
      <c r="C192" t="s">
        <v>2687</v>
      </c>
      <c r="D192" t="s">
        <v>475</v>
      </c>
      <c r="E192">
        <v>2019</v>
      </c>
      <c r="F192">
        <v>291814</v>
      </c>
      <c r="G192" t="s">
        <v>2688</v>
      </c>
      <c r="H192" t="s">
        <v>2689</v>
      </c>
      <c r="I192" t="s">
        <v>712</v>
      </c>
      <c r="J192">
        <v>3</v>
      </c>
      <c r="K192">
        <v>36</v>
      </c>
      <c r="L192">
        <v>35</v>
      </c>
      <c r="M192">
        <v>27</v>
      </c>
      <c r="N192">
        <v>29</v>
      </c>
      <c r="O192">
        <v>39</v>
      </c>
      <c r="P192">
        <v>5</v>
      </c>
      <c r="Q192">
        <v>4</v>
      </c>
      <c r="R192">
        <v>2</v>
      </c>
      <c r="S192">
        <v>2</v>
      </c>
      <c r="T192">
        <v>0</v>
      </c>
      <c r="U192">
        <v>2</v>
      </c>
      <c r="V192">
        <v>1</v>
      </c>
      <c r="W192">
        <v>0</v>
      </c>
      <c r="X192">
        <v>0</v>
      </c>
      <c r="Y192" t="s">
        <v>113</v>
      </c>
      <c r="Z192" t="s">
        <v>2690</v>
      </c>
      <c r="AA192" t="s">
        <v>2691</v>
      </c>
      <c r="AH192" t="s">
        <v>181</v>
      </c>
      <c r="AI192">
        <v>18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S192">
        <v>3</v>
      </c>
      <c r="AT192">
        <v>0</v>
      </c>
      <c r="AU192">
        <v>2</v>
      </c>
      <c r="AV192">
        <v>77</v>
      </c>
      <c r="AW192">
        <v>97</v>
      </c>
      <c r="AZ192" t="b">
        <v>0</v>
      </c>
      <c r="BA192">
        <v>1745</v>
      </c>
      <c r="BB192">
        <v>1532</v>
      </c>
      <c r="BC192">
        <v>10</v>
      </c>
      <c r="BD192" t="s">
        <v>2692</v>
      </c>
      <c r="BE192" s="1" t="s">
        <v>2257</v>
      </c>
      <c r="BF192">
        <v>0</v>
      </c>
      <c r="BG192">
        <v>73</v>
      </c>
      <c r="BH192">
        <v>0</v>
      </c>
      <c r="BI192" s="1" t="s">
        <v>449</v>
      </c>
      <c r="BJ192" s="1" t="s">
        <v>1092</v>
      </c>
      <c r="BK192" s="1" t="s">
        <v>138</v>
      </c>
      <c r="BL192" s="1" t="s">
        <v>125</v>
      </c>
      <c r="BM192" s="1" t="s">
        <v>159</v>
      </c>
      <c r="BN192">
        <v>2.8</v>
      </c>
      <c r="BO192">
        <v>1</v>
      </c>
      <c r="BP192" s="1" t="s">
        <v>257</v>
      </c>
      <c r="BQ192">
        <v>0</v>
      </c>
      <c r="BR192">
        <v>6.6666666666666596E-2</v>
      </c>
      <c r="BS192">
        <v>1</v>
      </c>
      <c r="BT192" s="1" t="s">
        <v>399</v>
      </c>
      <c r="BU192" s="1" t="s">
        <v>128</v>
      </c>
      <c r="BV192">
        <v>0.4</v>
      </c>
      <c r="BW192">
        <v>0</v>
      </c>
      <c r="BX192">
        <v>0</v>
      </c>
      <c r="BY192">
        <v>0</v>
      </c>
      <c r="BZ192">
        <v>0</v>
      </c>
      <c r="CA192">
        <v>8.3333333333332996E-2</v>
      </c>
      <c r="CB192" s="1" t="s">
        <v>2693</v>
      </c>
      <c r="CC192">
        <v>5.3333333333333302E-2</v>
      </c>
      <c r="CD192" s="1" t="s">
        <v>2694</v>
      </c>
      <c r="CE192" s="1" t="s">
        <v>2695</v>
      </c>
      <c r="CF192">
        <v>0.51400000000000001</v>
      </c>
      <c r="CG192" s="1" t="s">
        <v>159</v>
      </c>
      <c r="CH192" s="1" t="s">
        <v>140</v>
      </c>
      <c r="CI192" s="1" t="s">
        <v>129</v>
      </c>
      <c r="CJ192">
        <v>6.6666666666666596E-2</v>
      </c>
      <c r="CK192">
        <v>2</v>
      </c>
      <c r="CL192">
        <v>1.2</v>
      </c>
      <c r="CM192">
        <v>72</v>
      </c>
      <c r="CN192" s="1" t="s">
        <v>2696</v>
      </c>
      <c r="CO192" s="1" t="s">
        <v>554</v>
      </c>
      <c r="CP192" s="1" t="s">
        <v>2697</v>
      </c>
      <c r="CS192" s="1" t="s">
        <v>2698</v>
      </c>
      <c r="CT192">
        <v>1633.8</v>
      </c>
      <c r="CU192">
        <v>1672</v>
      </c>
      <c r="CV192" s="1" t="s">
        <v>471</v>
      </c>
      <c r="CW192">
        <v>50.35</v>
      </c>
      <c r="CX192">
        <v>49.7</v>
      </c>
      <c r="CY192">
        <v>41.6</v>
      </c>
      <c r="CZ192" s="1" t="s">
        <v>2127</v>
      </c>
      <c r="DA192">
        <v>1</v>
      </c>
      <c r="DB192" t="s">
        <v>2690</v>
      </c>
      <c r="DC192">
        <v>35</v>
      </c>
      <c r="DD192" s="1" t="s">
        <v>2699</v>
      </c>
      <c r="DE192">
        <v>-24.9276856056787</v>
      </c>
      <c r="DF192" t="e">
        <f>_xlfn.XLOOKUP(Table1[[#This Row],[Player ID]],Table2[feed_id],Table2[trade_status])</f>
        <v>#N/A</v>
      </c>
      <c r="DG192">
        <f>_xlfn.NUMBERVALUE(Table1[[#This Row],[predicted]])</f>
        <v>59.927685605678697</v>
      </c>
    </row>
    <row r="193" spans="1:111" hidden="1" x14ac:dyDescent="0.25">
      <c r="A193">
        <v>80517</v>
      </c>
      <c r="B193">
        <v>6982</v>
      </c>
      <c r="C193" t="s">
        <v>2700</v>
      </c>
      <c r="D193" t="s">
        <v>491</v>
      </c>
      <c r="E193">
        <v>2019</v>
      </c>
      <c r="F193">
        <v>230232</v>
      </c>
      <c r="G193" t="s">
        <v>289</v>
      </c>
      <c r="H193" t="s">
        <v>2701</v>
      </c>
      <c r="I193" t="s">
        <v>112</v>
      </c>
      <c r="J193">
        <v>17</v>
      </c>
      <c r="K193">
        <v>67</v>
      </c>
      <c r="L193">
        <v>64</v>
      </c>
      <c r="M193">
        <v>57</v>
      </c>
      <c r="N193">
        <v>57</v>
      </c>
      <c r="O193">
        <v>69</v>
      </c>
      <c r="P193">
        <v>6</v>
      </c>
      <c r="Q193">
        <v>5</v>
      </c>
      <c r="R193">
        <v>4</v>
      </c>
      <c r="S193">
        <v>2</v>
      </c>
      <c r="T193">
        <v>0</v>
      </c>
      <c r="U193">
        <v>1</v>
      </c>
      <c r="V193">
        <v>0</v>
      </c>
      <c r="W193">
        <v>3</v>
      </c>
      <c r="X193">
        <v>0</v>
      </c>
      <c r="Y193" t="s">
        <v>113</v>
      </c>
      <c r="Z193" t="s">
        <v>114</v>
      </c>
      <c r="AA193" t="s">
        <v>2702</v>
      </c>
      <c r="AB193" t="s">
        <v>525</v>
      </c>
      <c r="AC193" t="s">
        <v>2703</v>
      </c>
      <c r="AH193" t="s">
        <v>118</v>
      </c>
      <c r="AI193">
        <v>3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S193">
        <v>4</v>
      </c>
      <c r="AT193">
        <v>0</v>
      </c>
      <c r="AU193">
        <v>1</v>
      </c>
      <c r="AV193">
        <v>90</v>
      </c>
      <c r="AW193">
        <v>37</v>
      </c>
      <c r="AZ193" t="b">
        <v>1</v>
      </c>
      <c r="BA193">
        <v>1559</v>
      </c>
      <c r="BB193">
        <v>1719</v>
      </c>
      <c r="BC193">
        <v>11</v>
      </c>
      <c r="BD193" t="s">
        <v>2704</v>
      </c>
      <c r="BE193">
        <v>98</v>
      </c>
      <c r="BF193">
        <v>0</v>
      </c>
      <c r="BG193">
        <v>73</v>
      </c>
      <c r="BH193">
        <v>0</v>
      </c>
      <c r="BI193">
        <v>6</v>
      </c>
      <c r="BJ193" s="1" t="s">
        <v>879</v>
      </c>
      <c r="BK193" s="1" t="s">
        <v>160</v>
      </c>
      <c r="BL193" s="1" t="s">
        <v>303</v>
      </c>
      <c r="BM193" s="1" t="s">
        <v>138</v>
      </c>
      <c r="BN193" s="1" t="s">
        <v>230</v>
      </c>
      <c r="BO193" s="1" t="s">
        <v>126</v>
      </c>
      <c r="BP193" s="1" t="s">
        <v>255</v>
      </c>
      <c r="BQ193">
        <v>0</v>
      </c>
      <c r="BR193">
        <v>0</v>
      </c>
      <c r="BS193" s="1" t="s">
        <v>128</v>
      </c>
      <c r="BT193" s="1" t="s">
        <v>128</v>
      </c>
      <c r="BU193" s="1" t="s">
        <v>128</v>
      </c>
      <c r="BV193" s="1" t="s">
        <v>184</v>
      </c>
      <c r="BW193">
        <v>1</v>
      </c>
      <c r="BX193">
        <v>1</v>
      </c>
      <c r="BY193" s="1" t="s">
        <v>129</v>
      </c>
      <c r="BZ193" s="1" t="s">
        <v>128</v>
      </c>
      <c r="CA193">
        <v>0</v>
      </c>
      <c r="CB193" s="1" t="s">
        <v>2705</v>
      </c>
      <c r="CC193">
        <v>0</v>
      </c>
      <c r="CD193" s="1" t="s">
        <v>2706</v>
      </c>
      <c r="CE193" s="1" t="s">
        <v>1540</v>
      </c>
      <c r="CF193">
        <v>3.94</v>
      </c>
      <c r="CG193" s="1" t="s">
        <v>125</v>
      </c>
      <c r="CH193">
        <v>6</v>
      </c>
      <c r="CI193" s="1" t="s">
        <v>129</v>
      </c>
      <c r="CJ193">
        <v>2.6</v>
      </c>
      <c r="CK193">
        <v>2</v>
      </c>
      <c r="CL193">
        <v>2</v>
      </c>
      <c r="CM193">
        <v>78</v>
      </c>
      <c r="CN193" s="1" t="s">
        <v>969</v>
      </c>
      <c r="CO193">
        <v>51</v>
      </c>
      <c r="CP193">
        <v>69.2</v>
      </c>
      <c r="CS193" s="1" t="s">
        <v>2707</v>
      </c>
      <c r="CT193" s="1" t="s">
        <v>2708</v>
      </c>
      <c r="CU193">
        <v>1530</v>
      </c>
      <c r="CV193" s="1" t="s">
        <v>2709</v>
      </c>
      <c r="CW193">
        <v>82.2</v>
      </c>
      <c r="CX193">
        <v>73.599999999999994</v>
      </c>
      <c r="CY193">
        <v>62.4</v>
      </c>
      <c r="CZ193" s="1" t="s">
        <v>2710</v>
      </c>
      <c r="DA193">
        <v>1</v>
      </c>
      <c r="DB193" t="s">
        <v>114</v>
      </c>
      <c r="DC193">
        <v>64</v>
      </c>
      <c r="DD193" s="1" t="s">
        <v>2711</v>
      </c>
      <c r="DE193" s="1" t="s">
        <v>2712</v>
      </c>
      <c r="DF193" t="e">
        <f>_xlfn.XLOOKUP(Table1[[#This Row],[Player ID]],Table2[feed_id],Table2[trade_status])</f>
        <v>#N/A</v>
      </c>
      <c r="DG193">
        <f>_xlfn.NUMBERVALUE(Table1[[#This Row],[predicted]])</f>
        <v>55.585715905227801</v>
      </c>
    </row>
    <row r="194" spans="1:111" hidden="1" x14ac:dyDescent="0.25">
      <c r="A194">
        <v>80931</v>
      </c>
      <c r="B194">
        <v>6992</v>
      </c>
      <c r="C194" t="s">
        <v>2713</v>
      </c>
      <c r="D194" t="s">
        <v>539</v>
      </c>
      <c r="E194">
        <v>2019</v>
      </c>
      <c r="F194">
        <v>271001</v>
      </c>
      <c r="G194" t="s">
        <v>2714</v>
      </c>
      <c r="H194" t="s">
        <v>1647</v>
      </c>
      <c r="I194" t="s">
        <v>112</v>
      </c>
      <c r="J194">
        <v>9</v>
      </c>
      <c r="K194">
        <v>54</v>
      </c>
      <c r="L194">
        <v>34</v>
      </c>
      <c r="M194">
        <v>69</v>
      </c>
      <c r="N194">
        <v>43</v>
      </c>
      <c r="O194">
        <v>57</v>
      </c>
      <c r="P194">
        <v>11</v>
      </c>
      <c r="Q194">
        <v>3</v>
      </c>
      <c r="R194">
        <v>2</v>
      </c>
      <c r="S194">
        <v>1</v>
      </c>
      <c r="T194">
        <v>0</v>
      </c>
      <c r="U194">
        <v>2</v>
      </c>
      <c r="V194">
        <v>1</v>
      </c>
      <c r="W194">
        <v>1</v>
      </c>
      <c r="X194">
        <v>0</v>
      </c>
      <c r="Y194" t="s">
        <v>113</v>
      </c>
      <c r="Z194" t="s">
        <v>2715</v>
      </c>
      <c r="AA194" t="s">
        <v>2716</v>
      </c>
      <c r="AB194" t="s">
        <v>877</v>
      </c>
      <c r="AC194" t="s">
        <v>2717</v>
      </c>
      <c r="AH194" t="s">
        <v>118</v>
      </c>
      <c r="AI194">
        <v>11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S194">
        <v>3</v>
      </c>
      <c r="AT194">
        <v>4</v>
      </c>
      <c r="AU194">
        <v>5</v>
      </c>
      <c r="AV194">
        <v>64</v>
      </c>
      <c r="AW194">
        <v>72</v>
      </c>
      <c r="AZ194" t="b">
        <v>0</v>
      </c>
      <c r="BA194">
        <v>1623</v>
      </c>
      <c r="BB194">
        <v>1665</v>
      </c>
      <c r="BC194">
        <v>12</v>
      </c>
      <c r="BD194" t="s">
        <v>2718</v>
      </c>
      <c r="BE194">
        <v>98</v>
      </c>
      <c r="BF194">
        <v>0</v>
      </c>
      <c r="BG194">
        <v>72</v>
      </c>
      <c r="BH194">
        <v>0</v>
      </c>
      <c r="BI194" s="1" t="s">
        <v>622</v>
      </c>
      <c r="BJ194" s="1" t="s">
        <v>622</v>
      </c>
      <c r="BK194" s="1" t="s">
        <v>253</v>
      </c>
      <c r="BL194" s="1" t="s">
        <v>121</v>
      </c>
      <c r="BM194" s="1" t="s">
        <v>125</v>
      </c>
      <c r="BN194" s="1" t="s">
        <v>211</v>
      </c>
      <c r="BO194" s="1" t="s">
        <v>161</v>
      </c>
      <c r="BP194" s="1" t="s">
        <v>322</v>
      </c>
      <c r="BQ194">
        <v>0</v>
      </c>
      <c r="BR194">
        <v>0</v>
      </c>
      <c r="BS194" s="1" t="s">
        <v>161</v>
      </c>
      <c r="BT194">
        <v>1.6</v>
      </c>
      <c r="BU194">
        <v>1</v>
      </c>
      <c r="BV194" s="1" t="s">
        <v>128</v>
      </c>
      <c r="BW194" s="1" t="s">
        <v>129</v>
      </c>
      <c r="BX194" s="1" t="s">
        <v>128</v>
      </c>
      <c r="BY194" s="1" t="s">
        <v>126</v>
      </c>
      <c r="BZ194">
        <v>0.6</v>
      </c>
      <c r="CA194">
        <v>0</v>
      </c>
      <c r="CB194" s="1" t="s">
        <v>2719</v>
      </c>
      <c r="CC194">
        <v>0</v>
      </c>
      <c r="CD194">
        <v>0.82799999999999996</v>
      </c>
      <c r="CE194">
        <v>0</v>
      </c>
      <c r="CF194" s="1" t="s">
        <v>2720</v>
      </c>
      <c r="CG194">
        <v>7</v>
      </c>
      <c r="CH194">
        <v>10.199999999999999</v>
      </c>
      <c r="CI194">
        <v>6</v>
      </c>
      <c r="CJ194" s="1" t="s">
        <v>449</v>
      </c>
      <c r="CK194" s="1" t="s">
        <v>138</v>
      </c>
      <c r="CL194" s="1" t="s">
        <v>321</v>
      </c>
      <c r="CM194" s="1" t="s">
        <v>141</v>
      </c>
      <c r="CN194">
        <v>69.400000000000006</v>
      </c>
      <c r="CO194" s="1" t="s">
        <v>755</v>
      </c>
      <c r="CP194" s="1" t="s">
        <v>142</v>
      </c>
      <c r="CS194">
        <v>1720</v>
      </c>
      <c r="CT194" s="1" t="s">
        <v>1404</v>
      </c>
      <c r="CU194" s="1" t="s">
        <v>2721</v>
      </c>
      <c r="CV194" s="1" t="s">
        <v>2722</v>
      </c>
      <c r="CW194">
        <v>96.8</v>
      </c>
      <c r="CX194">
        <v>85.7</v>
      </c>
      <c r="CY194">
        <v>68</v>
      </c>
      <c r="CZ194">
        <v>71</v>
      </c>
      <c r="DA194">
        <v>1</v>
      </c>
      <c r="DB194" t="s">
        <v>2715</v>
      </c>
      <c r="DC194">
        <v>34</v>
      </c>
      <c r="DD194" s="1" t="s">
        <v>2723</v>
      </c>
      <c r="DE194">
        <v>-53.419632132182798</v>
      </c>
      <c r="DF194" t="e">
        <f>_xlfn.XLOOKUP(Table1[[#This Row],[Player ID]],Table2[feed_id],Table2[trade_status])</f>
        <v>#N/A</v>
      </c>
      <c r="DG194">
        <f>_xlfn.NUMBERVALUE(Table1[[#This Row],[predicted]])</f>
        <v>87.419632132182798</v>
      </c>
    </row>
    <row r="195" spans="1:111" hidden="1" x14ac:dyDescent="0.25">
      <c r="A195">
        <v>81470</v>
      </c>
      <c r="B195">
        <v>7004</v>
      </c>
      <c r="C195" t="s">
        <v>2724</v>
      </c>
      <c r="D195" t="s">
        <v>579</v>
      </c>
      <c r="E195">
        <v>2019</v>
      </c>
      <c r="F195">
        <v>294650</v>
      </c>
      <c r="G195" t="s">
        <v>1318</v>
      </c>
      <c r="H195" t="s">
        <v>1538</v>
      </c>
      <c r="I195" t="s">
        <v>582</v>
      </c>
      <c r="J195">
        <v>3</v>
      </c>
      <c r="K195">
        <v>32</v>
      </c>
      <c r="L195">
        <v>49</v>
      </c>
      <c r="M195">
        <v>16</v>
      </c>
      <c r="N195">
        <v>26</v>
      </c>
      <c r="O195">
        <v>36</v>
      </c>
      <c r="P195">
        <v>6</v>
      </c>
      <c r="Q195">
        <v>4</v>
      </c>
      <c r="R195">
        <v>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113</v>
      </c>
      <c r="Z195" t="s">
        <v>525</v>
      </c>
      <c r="AA195" t="s">
        <v>2725</v>
      </c>
      <c r="AH195" t="s">
        <v>181</v>
      </c>
      <c r="AI195">
        <v>45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S195">
        <v>5</v>
      </c>
      <c r="AT195">
        <v>2</v>
      </c>
      <c r="AU195">
        <v>1</v>
      </c>
      <c r="AV195">
        <v>70</v>
      </c>
      <c r="AW195">
        <v>84</v>
      </c>
      <c r="AZ195" t="b">
        <v>0</v>
      </c>
      <c r="BA195">
        <v>1893</v>
      </c>
      <c r="BB195">
        <v>1366</v>
      </c>
      <c r="BC195">
        <v>13</v>
      </c>
      <c r="BD195" t="s">
        <v>2726</v>
      </c>
      <c r="BE195">
        <v>98</v>
      </c>
      <c r="BF195">
        <v>0</v>
      </c>
      <c r="BG195">
        <v>73</v>
      </c>
      <c r="BH195">
        <v>0</v>
      </c>
      <c r="BI195" s="1" t="s">
        <v>204</v>
      </c>
      <c r="BJ195">
        <v>13.2</v>
      </c>
      <c r="BK195" s="1" t="s">
        <v>124</v>
      </c>
      <c r="BL195" s="1" t="s">
        <v>374</v>
      </c>
      <c r="BM195">
        <v>4</v>
      </c>
      <c r="BN195">
        <v>6.4</v>
      </c>
      <c r="BO195">
        <v>1</v>
      </c>
      <c r="BP195" s="1" t="s">
        <v>214</v>
      </c>
      <c r="BQ195">
        <v>0</v>
      </c>
      <c r="BR195">
        <v>0</v>
      </c>
      <c r="BS195" s="1" t="s">
        <v>129</v>
      </c>
      <c r="BT195" s="1" t="s">
        <v>231</v>
      </c>
      <c r="BU195" s="1" t="s">
        <v>128</v>
      </c>
      <c r="BV195" s="1" t="s">
        <v>128</v>
      </c>
      <c r="BW195" s="1" t="s">
        <v>129</v>
      </c>
      <c r="BX195">
        <v>0.2</v>
      </c>
      <c r="BY195" s="1" t="s">
        <v>128</v>
      </c>
      <c r="BZ195" s="1" t="s">
        <v>213</v>
      </c>
      <c r="CA195">
        <v>0</v>
      </c>
      <c r="CB195" s="1" t="s">
        <v>2727</v>
      </c>
      <c r="CC195">
        <v>0</v>
      </c>
      <c r="CD195" s="1" t="s">
        <v>2728</v>
      </c>
      <c r="CE195">
        <v>0</v>
      </c>
      <c r="CF195" s="1" t="s">
        <v>2729</v>
      </c>
      <c r="CG195" s="1" t="s">
        <v>125</v>
      </c>
      <c r="CH195" s="1" t="s">
        <v>125</v>
      </c>
      <c r="CI195" s="1" t="s">
        <v>128</v>
      </c>
      <c r="CJ195" s="1" t="s">
        <v>128</v>
      </c>
      <c r="CK195" s="1" t="s">
        <v>126</v>
      </c>
      <c r="CL195">
        <v>1.6</v>
      </c>
      <c r="CM195">
        <v>75</v>
      </c>
      <c r="CN195" s="1" t="s">
        <v>2730</v>
      </c>
      <c r="CO195" s="1" t="s">
        <v>406</v>
      </c>
      <c r="CP195" s="1" t="s">
        <v>1867</v>
      </c>
      <c r="CS195">
        <v>1544</v>
      </c>
      <c r="CT195">
        <v>1630.4</v>
      </c>
      <c r="CU195" s="1" t="s">
        <v>2731</v>
      </c>
      <c r="CV195" s="1" t="s">
        <v>2732</v>
      </c>
      <c r="CW195">
        <v>71.05</v>
      </c>
      <c r="CX195">
        <v>62.9</v>
      </c>
      <c r="CY195">
        <v>45.4</v>
      </c>
      <c r="CZ195">
        <v>46</v>
      </c>
      <c r="DA195">
        <v>1</v>
      </c>
      <c r="DB195" t="s">
        <v>525</v>
      </c>
      <c r="DC195">
        <v>49</v>
      </c>
      <c r="DD195" s="1" t="s">
        <v>2733</v>
      </c>
      <c r="DE195">
        <v>-14.747056821071601</v>
      </c>
      <c r="DF195" t="e">
        <f>_xlfn.XLOOKUP(Table1[[#This Row],[Player ID]],Table2[feed_id],Table2[trade_status])</f>
        <v>#N/A</v>
      </c>
      <c r="DG195">
        <f>_xlfn.NUMBERVALUE(Table1[[#This Row],[predicted]])</f>
        <v>63.747056821071602</v>
      </c>
    </row>
    <row r="196" spans="1:111" hidden="1" x14ac:dyDescent="0.25">
      <c r="A196">
        <v>81509</v>
      </c>
      <c r="B196">
        <v>7005</v>
      </c>
      <c r="C196" t="s">
        <v>2734</v>
      </c>
      <c r="D196" t="s">
        <v>579</v>
      </c>
      <c r="E196">
        <v>2019</v>
      </c>
      <c r="F196">
        <v>270653</v>
      </c>
      <c r="G196" t="s">
        <v>2735</v>
      </c>
      <c r="H196" t="s">
        <v>2605</v>
      </c>
      <c r="I196" t="s">
        <v>291</v>
      </c>
      <c r="J196">
        <v>14</v>
      </c>
      <c r="K196">
        <v>52</v>
      </c>
      <c r="L196">
        <v>45</v>
      </c>
      <c r="M196">
        <v>49</v>
      </c>
      <c r="N196">
        <v>39</v>
      </c>
      <c r="O196">
        <v>53</v>
      </c>
      <c r="P196">
        <v>5</v>
      </c>
      <c r="Q196">
        <v>3</v>
      </c>
      <c r="R196">
        <v>2</v>
      </c>
      <c r="S196">
        <v>5</v>
      </c>
      <c r="T196">
        <v>0</v>
      </c>
      <c r="U196">
        <v>0</v>
      </c>
      <c r="V196">
        <v>1</v>
      </c>
      <c r="W196">
        <v>1</v>
      </c>
      <c r="X196">
        <v>2</v>
      </c>
      <c r="Y196" t="s">
        <v>113</v>
      </c>
      <c r="Z196" t="s">
        <v>861</v>
      </c>
      <c r="AA196" t="s">
        <v>2736</v>
      </c>
      <c r="AH196" t="s">
        <v>155</v>
      </c>
      <c r="AI196">
        <v>36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S196">
        <v>3</v>
      </c>
      <c r="AT196">
        <v>1</v>
      </c>
      <c r="AU196">
        <v>2</v>
      </c>
      <c r="AV196">
        <v>62</v>
      </c>
      <c r="AW196">
        <v>92</v>
      </c>
      <c r="AZ196" t="b">
        <v>0</v>
      </c>
      <c r="BA196">
        <v>1746</v>
      </c>
      <c r="BB196">
        <v>1549</v>
      </c>
      <c r="BC196">
        <v>13</v>
      </c>
      <c r="BD196" t="s">
        <v>2737</v>
      </c>
      <c r="BE196">
        <v>98</v>
      </c>
      <c r="BF196">
        <v>0</v>
      </c>
      <c r="BG196">
        <v>73</v>
      </c>
      <c r="BH196">
        <v>0</v>
      </c>
      <c r="BI196">
        <v>6</v>
      </c>
      <c r="BJ196">
        <v>6.6</v>
      </c>
      <c r="BK196">
        <v>2</v>
      </c>
      <c r="BL196" s="1" t="s">
        <v>211</v>
      </c>
      <c r="BM196">
        <v>3</v>
      </c>
      <c r="BN196">
        <v>2.4</v>
      </c>
      <c r="BO196" s="1" t="s">
        <v>138</v>
      </c>
      <c r="BP196">
        <v>3</v>
      </c>
      <c r="BQ196">
        <v>0</v>
      </c>
      <c r="BR196">
        <v>0</v>
      </c>
      <c r="BS196">
        <v>0</v>
      </c>
      <c r="BT196" s="1" t="s">
        <v>129</v>
      </c>
      <c r="BU196" s="1" t="s">
        <v>129</v>
      </c>
      <c r="BV196">
        <v>0.8</v>
      </c>
      <c r="BW196" s="1" t="s">
        <v>161</v>
      </c>
      <c r="BX196" s="1" t="s">
        <v>257</v>
      </c>
      <c r="BY196" s="1" t="s">
        <v>161</v>
      </c>
      <c r="BZ196" s="1" t="s">
        <v>127</v>
      </c>
      <c r="CA196">
        <v>0</v>
      </c>
      <c r="CB196">
        <v>3.2000000000000001E-2</v>
      </c>
      <c r="CC196">
        <v>0</v>
      </c>
      <c r="CD196">
        <v>0.13</v>
      </c>
      <c r="CE196">
        <v>0</v>
      </c>
      <c r="CF196" s="1" t="s">
        <v>1467</v>
      </c>
      <c r="CG196">
        <v>3</v>
      </c>
      <c r="CH196" s="1" t="s">
        <v>781</v>
      </c>
      <c r="CI196" s="1" t="s">
        <v>129</v>
      </c>
      <c r="CJ196">
        <v>0.8</v>
      </c>
      <c r="CK196" s="1" t="s">
        <v>126</v>
      </c>
      <c r="CL196">
        <v>2</v>
      </c>
      <c r="CM196" s="1" t="s">
        <v>195</v>
      </c>
      <c r="CN196" s="1" t="s">
        <v>1459</v>
      </c>
      <c r="CO196" s="1" t="s">
        <v>2738</v>
      </c>
      <c r="CP196" s="1" t="s">
        <v>1951</v>
      </c>
      <c r="CS196" s="1" t="s">
        <v>2739</v>
      </c>
      <c r="CT196" s="1" t="s">
        <v>2740</v>
      </c>
      <c r="CU196" s="1" t="s">
        <v>2741</v>
      </c>
      <c r="CV196">
        <v>1630.6</v>
      </c>
      <c r="CW196">
        <v>63.8</v>
      </c>
      <c r="CX196">
        <v>57.9</v>
      </c>
      <c r="CY196">
        <v>52.6</v>
      </c>
      <c r="CZ196" s="1" t="s">
        <v>2742</v>
      </c>
      <c r="DA196">
        <v>1</v>
      </c>
      <c r="DB196" t="s">
        <v>861</v>
      </c>
      <c r="DC196">
        <v>45</v>
      </c>
      <c r="DD196" s="1" t="s">
        <v>2743</v>
      </c>
      <c r="DE196">
        <v>-18.822735310730501</v>
      </c>
      <c r="DF196" t="e">
        <f>_xlfn.XLOOKUP(Table1[[#This Row],[Player ID]],Table2[feed_id],Table2[trade_status])</f>
        <v>#N/A</v>
      </c>
      <c r="DG196">
        <f>_xlfn.NUMBERVALUE(Table1[[#This Row],[predicted]])</f>
        <v>63.822735310730501</v>
      </c>
    </row>
    <row r="197" spans="1:111" hidden="1" x14ac:dyDescent="0.25">
      <c r="A197">
        <v>81915</v>
      </c>
      <c r="B197">
        <v>7015</v>
      </c>
      <c r="C197" t="s">
        <v>2744</v>
      </c>
      <c r="D197" t="s">
        <v>1377</v>
      </c>
      <c r="E197">
        <v>2019</v>
      </c>
      <c r="F197">
        <v>250340</v>
      </c>
      <c r="G197" t="s">
        <v>409</v>
      </c>
      <c r="H197" t="s">
        <v>2745</v>
      </c>
      <c r="I197" t="s">
        <v>152</v>
      </c>
      <c r="J197">
        <v>13</v>
      </c>
      <c r="K197">
        <v>64</v>
      </c>
      <c r="L197">
        <v>54</v>
      </c>
      <c r="M197">
        <v>84</v>
      </c>
      <c r="N197">
        <v>49</v>
      </c>
      <c r="O197">
        <v>69</v>
      </c>
      <c r="P197">
        <v>9</v>
      </c>
      <c r="Q197">
        <v>7</v>
      </c>
      <c r="R197">
        <v>3</v>
      </c>
      <c r="S197">
        <v>4</v>
      </c>
      <c r="T197">
        <v>0</v>
      </c>
      <c r="U197">
        <v>1</v>
      </c>
      <c r="V197">
        <v>1</v>
      </c>
      <c r="W197">
        <v>0</v>
      </c>
      <c r="X197">
        <v>0</v>
      </c>
      <c r="Y197" t="s">
        <v>113</v>
      </c>
      <c r="Z197" t="s">
        <v>226</v>
      </c>
      <c r="AA197" t="s">
        <v>2746</v>
      </c>
      <c r="AH197" t="s">
        <v>118</v>
      </c>
      <c r="AI197">
        <v>20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S197">
        <v>4</v>
      </c>
      <c r="AT197">
        <v>0</v>
      </c>
      <c r="AU197">
        <v>6</v>
      </c>
      <c r="AV197">
        <v>56</v>
      </c>
      <c r="AW197">
        <v>82</v>
      </c>
      <c r="AZ197" t="b">
        <v>0</v>
      </c>
      <c r="BA197">
        <v>1690</v>
      </c>
      <c r="BB197">
        <v>1570</v>
      </c>
      <c r="BC197">
        <v>15</v>
      </c>
      <c r="BD197" t="s">
        <v>2747</v>
      </c>
      <c r="BE197">
        <v>101</v>
      </c>
      <c r="BF197">
        <v>0</v>
      </c>
      <c r="BG197">
        <v>72</v>
      </c>
      <c r="BH197">
        <v>0</v>
      </c>
      <c r="BI197" s="1" t="s">
        <v>545</v>
      </c>
      <c r="BJ197" s="1" t="s">
        <v>962</v>
      </c>
      <c r="BK197">
        <v>6</v>
      </c>
      <c r="BL197" s="1" t="s">
        <v>158</v>
      </c>
      <c r="BM197" s="1" t="s">
        <v>160</v>
      </c>
      <c r="BN197" s="1" t="s">
        <v>436</v>
      </c>
      <c r="BO197" s="1" t="s">
        <v>169</v>
      </c>
      <c r="BP197">
        <v>3</v>
      </c>
      <c r="BQ197">
        <v>0</v>
      </c>
      <c r="BR197">
        <v>0</v>
      </c>
      <c r="BS197" s="1" t="s">
        <v>129</v>
      </c>
      <c r="BT197" s="1" t="s">
        <v>298</v>
      </c>
      <c r="BU197" s="1" t="s">
        <v>129</v>
      </c>
      <c r="BV197">
        <v>1.2</v>
      </c>
      <c r="BW197">
        <v>0</v>
      </c>
      <c r="BX197" s="1" t="s">
        <v>238</v>
      </c>
      <c r="BY197">
        <v>0</v>
      </c>
      <c r="BZ197" s="1" t="s">
        <v>128</v>
      </c>
      <c r="CA197">
        <v>0</v>
      </c>
      <c r="CB197" s="1" t="s">
        <v>2748</v>
      </c>
      <c r="CC197">
        <v>0</v>
      </c>
      <c r="CD197" s="1" t="s">
        <v>2749</v>
      </c>
      <c r="CE197" s="1" t="s">
        <v>2750</v>
      </c>
      <c r="CF197" s="1" t="s">
        <v>2751</v>
      </c>
      <c r="CG197" s="1" t="s">
        <v>160</v>
      </c>
      <c r="CH197" s="1" t="s">
        <v>680</v>
      </c>
      <c r="CI197" s="1" t="s">
        <v>129</v>
      </c>
      <c r="CJ197" s="1" t="s">
        <v>206</v>
      </c>
      <c r="CK197" s="1" t="s">
        <v>138</v>
      </c>
      <c r="CL197">
        <v>3.2</v>
      </c>
      <c r="CM197" s="1" t="s">
        <v>417</v>
      </c>
      <c r="CN197">
        <v>70.2</v>
      </c>
      <c r="CO197" s="1" t="s">
        <v>930</v>
      </c>
      <c r="CP197" s="1" t="s">
        <v>216</v>
      </c>
      <c r="CS197" s="1" t="s">
        <v>1015</v>
      </c>
      <c r="CT197" s="1" t="s">
        <v>2752</v>
      </c>
      <c r="CU197">
        <v>1670</v>
      </c>
      <c r="CV197" s="1" t="s">
        <v>488</v>
      </c>
      <c r="CW197">
        <v>77.7</v>
      </c>
      <c r="CX197">
        <v>88.7</v>
      </c>
      <c r="CY197">
        <v>71</v>
      </c>
      <c r="CZ197" s="1" t="s">
        <v>1857</v>
      </c>
      <c r="DA197">
        <v>1</v>
      </c>
      <c r="DB197" t="s">
        <v>226</v>
      </c>
      <c r="DC197">
        <v>54</v>
      </c>
      <c r="DD197" s="1" t="s">
        <v>2753</v>
      </c>
      <c r="DE197">
        <v>-43.926656575063198</v>
      </c>
      <c r="DF197" t="e">
        <f>_xlfn.XLOOKUP(Table1[[#This Row],[Player ID]],Table2[feed_id],Table2[trade_status])</f>
        <v>#N/A</v>
      </c>
      <c r="DG197">
        <f>_xlfn.NUMBERVALUE(Table1[[#This Row],[predicted]])</f>
        <v>97.926656575063205</v>
      </c>
    </row>
    <row r="198" spans="1:111" hidden="1" x14ac:dyDescent="0.25">
      <c r="A198">
        <v>82567</v>
      </c>
      <c r="B198">
        <v>7030</v>
      </c>
      <c r="C198" t="s">
        <v>2754</v>
      </c>
      <c r="D198" t="s">
        <v>616</v>
      </c>
      <c r="E198">
        <v>2019</v>
      </c>
      <c r="F198">
        <v>998106</v>
      </c>
      <c r="G198" t="s">
        <v>2755</v>
      </c>
      <c r="H198" t="s">
        <v>2756</v>
      </c>
      <c r="I198" t="s">
        <v>510</v>
      </c>
      <c r="J198">
        <v>0</v>
      </c>
      <c r="K198">
        <v>20</v>
      </c>
      <c r="L198">
        <v>18</v>
      </c>
      <c r="M198">
        <v>27</v>
      </c>
      <c r="N198">
        <v>14</v>
      </c>
      <c r="O198">
        <v>19</v>
      </c>
      <c r="P198">
        <v>4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 t="s">
        <v>113</v>
      </c>
      <c r="Z198" t="s">
        <v>494</v>
      </c>
      <c r="AA198" t="s">
        <v>2757</v>
      </c>
      <c r="AB198" t="s">
        <v>525</v>
      </c>
      <c r="AC198" t="s">
        <v>2758</v>
      </c>
      <c r="AH198" t="s">
        <v>118</v>
      </c>
      <c r="AI198">
        <v>7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S198">
        <v>0</v>
      </c>
      <c r="AT198">
        <v>0</v>
      </c>
      <c r="AU198">
        <v>0</v>
      </c>
      <c r="AV198">
        <v>50</v>
      </c>
      <c r="AW198">
        <v>36</v>
      </c>
      <c r="AZ198" t="b">
        <v>1</v>
      </c>
      <c r="BA198">
        <v>1821</v>
      </c>
      <c r="BB198">
        <v>1439</v>
      </c>
      <c r="BC198">
        <v>17</v>
      </c>
      <c r="BD198" t="s">
        <v>2759</v>
      </c>
      <c r="BE198">
        <v>99</v>
      </c>
      <c r="BF198">
        <v>0</v>
      </c>
      <c r="BG198">
        <v>74</v>
      </c>
      <c r="BH198">
        <v>0</v>
      </c>
      <c r="BI198" s="1" t="s">
        <v>137</v>
      </c>
      <c r="BJ198" s="1" t="s">
        <v>2358</v>
      </c>
      <c r="BK198">
        <v>1</v>
      </c>
      <c r="BL198" s="1" t="s">
        <v>431</v>
      </c>
      <c r="BM198" s="1" t="s">
        <v>125</v>
      </c>
      <c r="BN198">
        <v>3.6</v>
      </c>
      <c r="BO198" s="1" t="s">
        <v>126</v>
      </c>
      <c r="BP198" s="1" t="s">
        <v>275</v>
      </c>
      <c r="BQ198">
        <v>0</v>
      </c>
      <c r="BR198">
        <v>0</v>
      </c>
      <c r="BS198" s="1" t="s">
        <v>128</v>
      </c>
      <c r="BT198" s="1" t="s">
        <v>238</v>
      </c>
      <c r="BU198">
        <v>0</v>
      </c>
      <c r="BV198" s="1" t="s">
        <v>213</v>
      </c>
      <c r="BW198" s="1" t="s">
        <v>129</v>
      </c>
      <c r="BX198" s="1" t="s">
        <v>128</v>
      </c>
      <c r="BY198" s="1" t="s">
        <v>128</v>
      </c>
      <c r="BZ198">
        <v>0.4</v>
      </c>
      <c r="CA198">
        <v>0</v>
      </c>
      <c r="CB198">
        <v>0.25600000000000001</v>
      </c>
      <c r="CC198">
        <v>0</v>
      </c>
      <c r="CD198">
        <v>0.186</v>
      </c>
      <c r="CE198">
        <v>0</v>
      </c>
      <c r="CF198" s="1" t="s">
        <v>2760</v>
      </c>
      <c r="CG198" s="1" t="s">
        <v>126</v>
      </c>
      <c r="CH198" s="1" t="s">
        <v>990</v>
      </c>
      <c r="CI198">
        <v>0</v>
      </c>
      <c r="CJ198">
        <v>1.2</v>
      </c>
      <c r="CK198" s="1" t="s">
        <v>128</v>
      </c>
      <c r="CL198" s="1" t="s">
        <v>298</v>
      </c>
      <c r="CM198">
        <v>62</v>
      </c>
      <c r="CN198" s="1" t="s">
        <v>2761</v>
      </c>
      <c r="CO198" s="1" t="s">
        <v>883</v>
      </c>
      <c r="CP198" s="1" t="s">
        <v>2762</v>
      </c>
      <c r="CS198" s="1" t="s">
        <v>194</v>
      </c>
      <c r="CT198" s="1" t="s">
        <v>2763</v>
      </c>
      <c r="CU198">
        <v>1684</v>
      </c>
      <c r="CV198" s="1" t="s">
        <v>2764</v>
      </c>
      <c r="CW198">
        <v>53.35</v>
      </c>
      <c r="CX198">
        <v>49.7</v>
      </c>
      <c r="CY198">
        <v>56.2</v>
      </c>
      <c r="CZ198" s="1" t="s">
        <v>2765</v>
      </c>
      <c r="DA198">
        <v>1</v>
      </c>
      <c r="DB198" t="s">
        <v>494</v>
      </c>
      <c r="DC198">
        <v>18</v>
      </c>
      <c r="DD198" s="1" t="s">
        <v>2766</v>
      </c>
      <c r="DE198">
        <v>-48.515459666631102</v>
      </c>
      <c r="DF198" t="e">
        <f>_xlfn.XLOOKUP(Table1[[#This Row],[Player ID]],Table2[feed_id],Table2[trade_status])</f>
        <v>#N/A</v>
      </c>
      <c r="DG198">
        <f>_xlfn.NUMBERVALUE(Table1[[#This Row],[predicted]])</f>
        <v>66.515459666631102</v>
      </c>
    </row>
    <row r="199" spans="1:111" hidden="1" x14ac:dyDescent="0.25">
      <c r="A199">
        <v>83857</v>
      </c>
      <c r="B199">
        <v>7060</v>
      </c>
      <c r="C199" t="s">
        <v>2767</v>
      </c>
      <c r="D199" t="s">
        <v>709</v>
      </c>
      <c r="E199">
        <v>2019</v>
      </c>
      <c r="F199">
        <v>250712</v>
      </c>
      <c r="G199" t="s">
        <v>2768</v>
      </c>
      <c r="H199" t="s">
        <v>1212</v>
      </c>
      <c r="I199" t="s">
        <v>712</v>
      </c>
      <c r="J199">
        <v>2</v>
      </c>
      <c r="K199">
        <v>22</v>
      </c>
      <c r="L199">
        <v>39</v>
      </c>
      <c r="M199">
        <v>27</v>
      </c>
      <c r="N199">
        <v>19</v>
      </c>
      <c r="O199">
        <v>24</v>
      </c>
      <c r="P199">
        <v>3</v>
      </c>
      <c r="Q199">
        <v>3</v>
      </c>
      <c r="R199">
        <v>2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 t="s">
        <v>113</v>
      </c>
      <c r="Z199" t="s">
        <v>1920</v>
      </c>
      <c r="AA199" t="s">
        <v>2769</v>
      </c>
      <c r="AB199" t="s">
        <v>226</v>
      </c>
      <c r="AC199" t="s">
        <v>1607</v>
      </c>
      <c r="AH199" t="s">
        <v>181</v>
      </c>
      <c r="AI199">
        <v>38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S199">
        <v>3</v>
      </c>
      <c r="AT199">
        <v>1</v>
      </c>
      <c r="AU199">
        <v>0</v>
      </c>
      <c r="AV199">
        <v>100</v>
      </c>
      <c r="AW199">
        <v>50</v>
      </c>
      <c r="AZ199" t="b">
        <v>1</v>
      </c>
      <c r="BA199">
        <v>1404</v>
      </c>
      <c r="BB199">
        <v>1854</v>
      </c>
      <c r="BC199">
        <v>20</v>
      </c>
      <c r="BD199" t="s">
        <v>2770</v>
      </c>
      <c r="BE199">
        <v>98</v>
      </c>
      <c r="BF199">
        <v>0</v>
      </c>
      <c r="BG199">
        <v>72</v>
      </c>
      <c r="BH199">
        <v>0</v>
      </c>
      <c r="BI199" s="1" t="s">
        <v>138</v>
      </c>
      <c r="BJ199" s="1" t="s">
        <v>990</v>
      </c>
      <c r="BK199" s="1" t="s">
        <v>160</v>
      </c>
      <c r="BL199" s="1" t="s">
        <v>204</v>
      </c>
      <c r="BM199">
        <v>3</v>
      </c>
      <c r="BN199">
        <v>3.4</v>
      </c>
      <c r="BO199" s="1" t="s">
        <v>126</v>
      </c>
      <c r="BP199">
        <v>2</v>
      </c>
      <c r="BQ199">
        <v>0</v>
      </c>
      <c r="BR199">
        <v>0</v>
      </c>
      <c r="BS199" s="1" t="s">
        <v>128</v>
      </c>
      <c r="BT199">
        <v>0.8</v>
      </c>
      <c r="BU199">
        <v>1</v>
      </c>
      <c r="BV199">
        <v>0.6</v>
      </c>
      <c r="BW199">
        <v>0</v>
      </c>
      <c r="BX199">
        <v>0</v>
      </c>
      <c r="BY199">
        <v>0</v>
      </c>
      <c r="BZ199">
        <v>6.6666666666666596E-2</v>
      </c>
      <c r="CA199" s="1" t="s">
        <v>2771</v>
      </c>
      <c r="CB199">
        <v>0.17</v>
      </c>
      <c r="CC199" s="1" t="s">
        <v>2772</v>
      </c>
      <c r="CD199" s="1" t="s">
        <v>500</v>
      </c>
      <c r="CE199">
        <v>0.25</v>
      </c>
      <c r="CF199" s="1" t="s">
        <v>2773</v>
      </c>
      <c r="CG199" s="1" t="s">
        <v>159</v>
      </c>
      <c r="CH199" s="1" t="s">
        <v>160</v>
      </c>
      <c r="CI199" s="1" t="s">
        <v>129</v>
      </c>
      <c r="CJ199">
        <v>0.2</v>
      </c>
      <c r="CK199" s="1" t="s">
        <v>161</v>
      </c>
      <c r="CL199" s="1" t="s">
        <v>257</v>
      </c>
      <c r="CM199" s="1" t="s">
        <v>1028</v>
      </c>
      <c r="CN199" s="1" t="s">
        <v>2774</v>
      </c>
      <c r="CO199" s="1" t="s">
        <v>364</v>
      </c>
      <c r="CP199" s="1" t="s">
        <v>2775</v>
      </c>
      <c r="CS199" s="1" t="s">
        <v>2776</v>
      </c>
      <c r="CT199" s="1" t="s">
        <v>2777</v>
      </c>
      <c r="CU199" s="1" t="s">
        <v>2778</v>
      </c>
      <c r="CV199" s="1" t="s">
        <v>1631</v>
      </c>
      <c r="CW199">
        <v>53.5</v>
      </c>
      <c r="CX199">
        <v>55.5</v>
      </c>
      <c r="CY199">
        <v>49</v>
      </c>
      <c r="CZ199">
        <v>42</v>
      </c>
      <c r="DA199">
        <v>1</v>
      </c>
      <c r="DB199" t="s">
        <v>1920</v>
      </c>
      <c r="DC199">
        <v>39</v>
      </c>
      <c r="DD199" s="1" t="s">
        <v>2779</v>
      </c>
      <c r="DE199">
        <v>-7.4143438636842403</v>
      </c>
      <c r="DF199" t="e">
        <f>_xlfn.XLOOKUP(Table1[[#This Row],[Player ID]],Table2[feed_id],Table2[trade_status])</f>
        <v>#N/A</v>
      </c>
      <c r="DG199">
        <f>_xlfn.NUMBERVALUE(Table1[[#This Row],[predicted]])</f>
        <v>46.414343863684202</v>
      </c>
    </row>
    <row r="200" spans="1:111" hidden="1" x14ac:dyDescent="0.25">
      <c r="A200">
        <v>83910</v>
      </c>
      <c r="B200">
        <v>7061</v>
      </c>
      <c r="C200" t="s">
        <v>2780</v>
      </c>
      <c r="D200" t="s">
        <v>709</v>
      </c>
      <c r="E200">
        <v>2019</v>
      </c>
      <c r="F200">
        <v>993798</v>
      </c>
      <c r="G200" t="s">
        <v>617</v>
      </c>
      <c r="H200" t="s">
        <v>2781</v>
      </c>
      <c r="I200" t="s">
        <v>1061</v>
      </c>
      <c r="J200">
        <v>15</v>
      </c>
      <c r="K200">
        <v>74</v>
      </c>
      <c r="L200">
        <v>81</v>
      </c>
      <c r="M200">
        <v>47</v>
      </c>
      <c r="N200">
        <v>60</v>
      </c>
      <c r="O200">
        <v>81</v>
      </c>
      <c r="P200">
        <v>12</v>
      </c>
      <c r="Q200">
        <v>6</v>
      </c>
      <c r="R200">
        <v>5</v>
      </c>
      <c r="S200">
        <v>2</v>
      </c>
      <c r="T200">
        <v>0</v>
      </c>
      <c r="U200">
        <v>0</v>
      </c>
      <c r="V200">
        <v>1</v>
      </c>
      <c r="W200">
        <v>1</v>
      </c>
      <c r="X200">
        <v>0</v>
      </c>
      <c r="Y200" t="s">
        <v>113</v>
      </c>
      <c r="Z200" t="s">
        <v>861</v>
      </c>
      <c r="AA200" t="s">
        <v>1005</v>
      </c>
      <c r="AH200" t="s">
        <v>155</v>
      </c>
      <c r="AI200">
        <v>34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S200">
        <v>6</v>
      </c>
      <c r="AT200">
        <v>2</v>
      </c>
      <c r="AU200">
        <v>1</v>
      </c>
      <c r="AV200">
        <v>83</v>
      </c>
      <c r="AW200">
        <v>85</v>
      </c>
      <c r="AZ200" t="b">
        <v>0</v>
      </c>
      <c r="BA200">
        <v>1507</v>
      </c>
      <c r="BB200">
        <v>1759</v>
      </c>
      <c r="BC200">
        <v>20</v>
      </c>
      <c r="BD200" t="s">
        <v>2782</v>
      </c>
      <c r="BE200">
        <v>98</v>
      </c>
      <c r="BF200">
        <v>0</v>
      </c>
      <c r="BG200">
        <v>72</v>
      </c>
      <c r="BH200">
        <v>1</v>
      </c>
      <c r="BI200">
        <v>11</v>
      </c>
      <c r="BJ200" s="1" t="s">
        <v>183</v>
      </c>
      <c r="BK200" s="1" t="s">
        <v>160</v>
      </c>
      <c r="BL200">
        <v>5.4</v>
      </c>
      <c r="BM200">
        <v>5</v>
      </c>
      <c r="BN200">
        <v>3.2</v>
      </c>
      <c r="BO200" s="1" t="s">
        <v>161</v>
      </c>
      <c r="BP200">
        <v>2.2000000000000002</v>
      </c>
      <c r="BQ200">
        <v>0</v>
      </c>
      <c r="BR200">
        <v>0</v>
      </c>
      <c r="BS200">
        <v>1</v>
      </c>
      <c r="BT200" s="1" t="s">
        <v>238</v>
      </c>
      <c r="BU200" s="1" t="s">
        <v>161</v>
      </c>
      <c r="BV200" s="1" t="s">
        <v>130</v>
      </c>
      <c r="BW200" s="1" t="s">
        <v>129</v>
      </c>
      <c r="BX200">
        <v>0.8</v>
      </c>
      <c r="BY200" s="1" t="s">
        <v>128</v>
      </c>
      <c r="BZ200">
        <v>0.6</v>
      </c>
      <c r="CA200">
        <v>0</v>
      </c>
      <c r="CB200" s="1" t="s">
        <v>2031</v>
      </c>
      <c r="CC200">
        <v>0</v>
      </c>
      <c r="CD200" s="1" t="s">
        <v>2109</v>
      </c>
      <c r="CE200">
        <v>0</v>
      </c>
      <c r="CF200" s="1" t="s">
        <v>2783</v>
      </c>
      <c r="CG200" s="1" t="s">
        <v>211</v>
      </c>
      <c r="CH200">
        <v>4.5999999999999996</v>
      </c>
      <c r="CI200" s="1" t="s">
        <v>161</v>
      </c>
      <c r="CJ200" s="1" t="s">
        <v>127</v>
      </c>
      <c r="CK200" s="1" t="s">
        <v>169</v>
      </c>
      <c r="CL200" s="1" t="s">
        <v>275</v>
      </c>
      <c r="CM200" s="1" t="s">
        <v>1053</v>
      </c>
      <c r="CN200" s="1" t="s">
        <v>1288</v>
      </c>
      <c r="CO200" s="1" t="s">
        <v>683</v>
      </c>
      <c r="CP200">
        <v>78.2</v>
      </c>
      <c r="CS200" s="1" t="s">
        <v>2376</v>
      </c>
      <c r="CT200" s="1" t="s">
        <v>2784</v>
      </c>
      <c r="CU200" s="1" t="s">
        <v>2785</v>
      </c>
      <c r="CV200" s="1" t="s">
        <v>2786</v>
      </c>
      <c r="CW200">
        <v>49.6</v>
      </c>
      <c r="CX200">
        <v>57.2</v>
      </c>
      <c r="CY200">
        <v>58.2</v>
      </c>
      <c r="CZ200" s="1" t="s">
        <v>1459</v>
      </c>
      <c r="DA200">
        <v>1</v>
      </c>
      <c r="DB200" t="s">
        <v>861</v>
      </c>
      <c r="DC200">
        <v>81</v>
      </c>
      <c r="DD200" s="1" t="s">
        <v>2787</v>
      </c>
      <c r="DE200" s="1" t="s">
        <v>2788</v>
      </c>
      <c r="DF200" t="e">
        <f>_xlfn.XLOOKUP(Table1[[#This Row],[Player ID]],Table2[feed_id],Table2[trade_status])</f>
        <v>#N/A</v>
      </c>
      <c r="DG200">
        <f>_xlfn.NUMBERVALUE(Table1[[#This Row],[predicted]])</f>
        <v>60.010625683343697</v>
      </c>
    </row>
    <row r="201" spans="1:111" hidden="1" x14ac:dyDescent="0.25">
      <c r="A201">
        <v>83942</v>
      </c>
      <c r="B201">
        <v>7062</v>
      </c>
      <c r="C201" t="s">
        <v>2789</v>
      </c>
      <c r="D201" t="s">
        <v>709</v>
      </c>
      <c r="E201">
        <v>2019</v>
      </c>
      <c r="F201">
        <v>991953</v>
      </c>
      <c r="G201" t="s">
        <v>1072</v>
      </c>
      <c r="H201" t="s">
        <v>581</v>
      </c>
      <c r="I201" t="s">
        <v>524</v>
      </c>
      <c r="J201">
        <v>3</v>
      </c>
      <c r="K201">
        <v>37</v>
      </c>
      <c r="L201">
        <v>49</v>
      </c>
      <c r="M201">
        <v>44</v>
      </c>
      <c r="N201">
        <v>32</v>
      </c>
      <c r="O201">
        <v>45</v>
      </c>
      <c r="P201">
        <v>3</v>
      </c>
      <c r="Q201">
        <v>9</v>
      </c>
      <c r="R201">
        <v>2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113</v>
      </c>
      <c r="Z201" t="s">
        <v>226</v>
      </c>
      <c r="AA201" t="s">
        <v>2790</v>
      </c>
      <c r="AH201" t="s">
        <v>181</v>
      </c>
      <c r="AI201">
        <v>17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S201">
        <v>5</v>
      </c>
      <c r="AT201">
        <v>0</v>
      </c>
      <c r="AU201">
        <v>0</v>
      </c>
      <c r="AV201">
        <v>83</v>
      </c>
      <c r="AW201">
        <v>85</v>
      </c>
      <c r="AZ201" t="b">
        <v>0</v>
      </c>
      <c r="BA201">
        <v>1633</v>
      </c>
      <c r="BB201">
        <v>1637</v>
      </c>
      <c r="BC201">
        <v>20</v>
      </c>
      <c r="BD201" t="s">
        <v>2791</v>
      </c>
      <c r="BE201">
        <v>98</v>
      </c>
      <c r="BF201">
        <v>0</v>
      </c>
      <c r="BG201">
        <v>72</v>
      </c>
      <c r="BH201">
        <v>0</v>
      </c>
      <c r="BI201">
        <v>8</v>
      </c>
      <c r="BJ201" s="1" t="s">
        <v>818</v>
      </c>
      <c r="BK201" s="1" t="s">
        <v>977</v>
      </c>
      <c r="BL201" s="1" t="s">
        <v>624</v>
      </c>
      <c r="BM201" s="1" t="s">
        <v>159</v>
      </c>
      <c r="BN201" s="1" t="s">
        <v>140</v>
      </c>
      <c r="BO201" s="1" t="s">
        <v>159</v>
      </c>
      <c r="BP201" s="1" t="s">
        <v>170</v>
      </c>
      <c r="BQ201">
        <v>0</v>
      </c>
      <c r="BR201">
        <v>0</v>
      </c>
      <c r="BS201">
        <v>0</v>
      </c>
      <c r="BT201">
        <v>0.2</v>
      </c>
      <c r="BU201">
        <v>0</v>
      </c>
      <c r="BV201" s="1" t="s">
        <v>213</v>
      </c>
      <c r="BW201">
        <v>0</v>
      </c>
      <c r="BX201">
        <v>0.2</v>
      </c>
      <c r="BY201">
        <v>0</v>
      </c>
      <c r="BZ201">
        <v>0.2</v>
      </c>
      <c r="CA201">
        <v>0</v>
      </c>
      <c r="CB201" s="1" t="s">
        <v>2792</v>
      </c>
      <c r="CC201">
        <v>0</v>
      </c>
      <c r="CD201" s="1" t="s">
        <v>2793</v>
      </c>
      <c r="CE201">
        <v>0</v>
      </c>
      <c r="CF201" s="1" t="s">
        <v>2794</v>
      </c>
      <c r="CG201">
        <v>6</v>
      </c>
      <c r="CH201" s="1" t="s">
        <v>752</v>
      </c>
      <c r="CI201" s="1" t="s">
        <v>126</v>
      </c>
      <c r="CJ201">
        <v>0.8</v>
      </c>
      <c r="CK201" s="1" t="s">
        <v>161</v>
      </c>
      <c r="CL201">
        <v>1.6</v>
      </c>
      <c r="CM201">
        <v>73</v>
      </c>
      <c r="CN201">
        <v>73</v>
      </c>
      <c r="CO201">
        <v>83</v>
      </c>
      <c r="CP201">
        <v>74</v>
      </c>
      <c r="CS201" s="1" t="s">
        <v>2795</v>
      </c>
      <c r="CT201" s="1" t="s">
        <v>1809</v>
      </c>
      <c r="CU201" s="1" t="s">
        <v>2796</v>
      </c>
      <c r="CV201" s="1" t="s">
        <v>1475</v>
      </c>
      <c r="CW201">
        <v>57.45</v>
      </c>
      <c r="CX201">
        <v>56.1</v>
      </c>
      <c r="CY201">
        <v>60.6</v>
      </c>
      <c r="CZ201">
        <v>64</v>
      </c>
      <c r="DA201">
        <v>1</v>
      </c>
      <c r="DB201" t="s">
        <v>226</v>
      </c>
      <c r="DC201">
        <v>49</v>
      </c>
      <c r="DD201" s="1" t="s">
        <v>2797</v>
      </c>
      <c r="DE201">
        <v>-38.177235289417801</v>
      </c>
      <c r="DF201" t="e">
        <f>_xlfn.XLOOKUP(Table1[[#This Row],[Player ID]],Table2[feed_id],Table2[trade_status])</f>
        <v>#N/A</v>
      </c>
      <c r="DG201">
        <f>_xlfn.NUMBERVALUE(Table1[[#This Row],[predicted]])</f>
        <v>87.177235289417794</v>
      </c>
    </row>
    <row r="202" spans="1:111" hidden="1" x14ac:dyDescent="0.25">
      <c r="A202">
        <v>83943</v>
      </c>
      <c r="B202">
        <v>7062</v>
      </c>
      <c r="C202" t="s">
        <v>2789</v>
      </c>
      <c r="D202" t="s">
        <v>709</v>
      </c>
      <c r="E202">
        <v>2019</v>
      </c>
      <c r="F202">
        <v>291964</v>
      </c>
      <c r="G202" t="s">
        <v>1127</v>
      </c>
      <c r="H202" t="s">
        <v>2798</v>
      </c>
      <c r="I202" t="s">
        <v>524</v>
      </c>
      <c r="J202">
        <v>7</v>
      </c>
      <c r="K202">
        <v>36</v>
      </c>
      <c r="L202">
        <v>62</v>
      </c>
      <c r="M202">
        <v>48</v>
      </c>
      <c r="N202">
        <v>25</v>
      </c>
      <c r="O202">
        <v>36</v>
      </c>
      <c r="P202">
        <v>3</v>
      </c>
      <c r="Q202">
        <v>4</v>
      </c>
      <c r="R202">
        <v>1</v>
      </c>
      <c r="S202">
        <v>4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113</v>
      </c>
      <c r="Z202" t="s">
        <v>179</v>
      </c>
      <c r="AA202" t="s">
        <v>2799</v>
      </c>
      <c r="AH202" t="s">
        <v>181</v>
      </c>
      <c r="AI202">
        <v>20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S202">
        <v>3</v>
      </c>
      <c r="AT202">
        <v>0</v>
      </c>
      <c r="AU202">
        <v>0</v>
      </c>
      <c r="AV202">
        <v>100</v>
      </c>
      <c r="AW202">
        <v>92</v>
      </c>
      <c r="AZ202" t="b">
        <v>0</v>
      </c>
      <c r="BA202">
        <v>1633</v>
      </c>
      <c r="BB202">
        <v>1637</v>
      </c>
      <c r="BC202">
        <v>20</v>
      </c>
      <c r="BD202" t="s">
        <v>2791</v>
      </c>
      <c r="BE202">
        <v>98</v>
      </c>
      <c r="BF202">
        <v>0</v>
      </c>
      <c r="BG202">
        <v>72</v>
      </c>
      <c r="BH202">
        <v>0</v>
      </c>
      <c r="BI202" s="1" t="s">
        <v>211</v>
      </c>
      <c r="BJ202">
        <v>6</v>
      </c>
      <c r="BK202" s="1" t="s">
        <v>169</v>
      </c>
      <c r="BL202" s="1" t="s">
        <v>237</v>
      </c>
      <c r="BM202">
        <v>3</v>
      </c>
      <c r="BN202">
        <v>3.6</v>
      </c>
      <c r="BO202" s="1" t="s">
        <v>169</v>
      </c>
      <c r="BP202" s="1" t="s">
        <v>327</v>
      </c>
      <c r="BQ202">
        <v>0</v>
      </c>
      <c r="BR202">
        <v>0</v>
      </c>
      <c r="BS202" s="1" t="s">
        <v>129</v>
      </c>
      <c r="BT202" s="1" t="s">
        <v>238</v>
      </c>
      <c r="BU202" s="1" t="s">
        <v>129</v>
      </c>
      <c r="BV202" s="1" t="s">
        <v>130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 s="1" t="s">
        <v>159</v>
      </c>
      <c r="CH202" s="1" t="s">
        <v>125</v>
      </c>
      <c r="CI202">
        <v>0</v>
      </c>
      <c r="CJ202">
        <v>0.2</v>
      </c>
      <c r="CK202" s="1" t="s">
        <v>129</v>
      </c>
      <c r="CL202" s="1" t="s">
        <v>298</v>
      </c>
      <c r="CM202">
        <v>96</v>
      </c>
      <c r="CN202" s="1" t="s">
        <v>1554</v>
      </c>
      <c r="CO202" s="1" t="s">
        <v>1665</v>
      </c>
      <c r="CP202">
        <v>89.6</v>
      </c>
      <c r="CS202" s="1" t="s">
        <v>2800</v>
      </c>
      <c r="CT202" s="1" t="s">
        <v>2801</v>
      </c>
      <c r="CU202">
        <v>1810</v>
      </c>
      <c r="CV202">
        <v>1780</v>
      </c>
      <c r="CW202">
        <v>51</v>
      </c>
      <c r="CX202">
        <v>52.4</v>
      </c>
      <c r="CY202">
        <v>50.6</v>
      </c>
      <c r="CZ202" s="1" t="s">
        <v>1926</v>
      </c>
      <c r="DA202">
        <v>1</v>
      </c>
      <c r="DB202" t="s">
        <v>179</v>
      </c>
      <c r="DC202">
        <v>62</v>
      </c>
      <c r="DD202" s="1" t="s">
        <v>2802</v>
      </c>
      <c r="DE202" s="1" t="s">
        <v>2803</v>
      </c>
      <c r="DF202" t="e">
        <f>_xlfn.XLOOKUP(Table1[[#This Row],[Player ID]],Table2[feed_id],Table2[trade_status])</f>
        <v>#N/A</v>
      </c>
      <c r="DG202">
        <f>_xlfn.NUMBERVALUE(Table1[[#This Row],[predicted]])</f>
        <v>42.682982994636198</v>
      </c>
    </row>
    <row r="203" spans="1:111" hidden="1" x14ac:dyDescent="0.25">
      <c r="A203">
        <v>84121</v>
      </c>
      <c r="B203">
        <v>7066</v>
      </c>
      <c r="C203" t="s">
        <v>2804</v>
      </c>
      <c r="D203" t="s">
        <v>762</v>
      </c>
      <c r="E203">
        <v>2019</v>
      </c>
      <c r="F203">
        <v>270928</v>
      </c>
      <c r="G203" t="s">
        <v>1394</v>
      </c>
      <c r="H203" t="s">
        <v>2805</v>
      </c>
      <c r="I203" t="s">
        <v>1061</v>
      </c>
      <c r="J203">
        <v>25</v>
      </c>
      <c r="K203">
        <v>74</v>
      </c>
      <c r="L203">
        <v>62</v>
      </c>
      <c r="M203">
        <v>73</v>
      </c>
      <c r="N203">
        <v>55</v>
      </c>
      <c r="O203">
        <v>79</v>
      </c>
      <c r="P203">
        <v>7</v>
      </c>
      <c r="Q203">
        <v>8</v>
      </c>
      <c r="R203">
        <v>2</v>
      </c>
      <c r="S203">
        <v>9</v>
      </c>
      <c r="T203">
        <v>0</v>
      </c>
      <c r="U203">
        <v>3</v>
      </c>
      <c r="V203">
        <v>3</v>
      </c>
      <c r="W203">
        <v>0</v>
      </c>
      <c r="X203">
        <v>1</v>
      </c>
      <c r="Y203" t="s">
        <v>113</v>
      </c>
      <c r="Z203" t="s">
        <v>525</v>
      </c>
      <c r="AA203" t="s">
        <v>2806</v>
      </c>
      <c r="AH203" t="s">
        <v>118</v>
      </c>
      <c r="AI203">
        <v>16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S203">
        <v>9</v>
      </c>
      <c r="AT203">
        <v>3</v>
      </c>
      <c r="AU203">
        <v>6</v>
      </c>
      <c r="AV203">
        <v>53</v>
      </c>
      <c r="AW203">
        <v>90</v>
      </c>
      <c r="AZ203" t="b">
        <v>0</v>
      </c>
      <c r="BA203">
        <v>1738</v>
      </c>
      <c r="BB203">
        <v>1527</v>
      </c>
      <c r="BC203">
        <v>21</v>
      </c>
      <c r="BD203" t="s">
        <v>2807</v>
      </c>
      <c r="BE203">
        <v>96</v>
      </c>
      <c r="BF203">
        <v>0</v>
      </c>
      <c r="BG203">
        <v>74</v>
      </c>
      <c r="BH203">
        <v>0</v>
      </c>
      <c r="BI203" s="1" t="s">
        <v>137</v>
      </c>
      <c r="BJ203" s="1" t="s">
        <v>204</v>
      </c>
      <c r="BK203" s="1" t="s">
        <v>977</v>
      </c>
      <c r="BL203" s="1" t="s">
        <v>157</v>
      </c>
      <c r="BM203" s="1" t="s">
        <v>211</v>
      </c>
      <c r="BN203" s="1" t="s">
        <v>138</v>
      </c>
      <c r="BO203" s="1" t="s">
        <v>160</v>
      </c>
      <c r="BP203" s="1" t="s">
        <v>963</v>
      </c>
      <c r="BQ203">
        <v>0</v>
      </c>
      <c r="BR203">
        <v>0</v>
      </c>
      <c r="BS203" s="1" t="s">
        <v>126</v>
      </c>
      <c r="BT203" s="1" t="s">
        <v>126</v>
      </c>
      <c r="BU203" s="1" t="s">
        <v>161</v>
      </c>
      <c r="BV203" s="1" t="s">
        <v>162</v>
      </c>
      <c r="BW203" s="1" t="s">
        <v>129</v>
      </c>
      <c r="BX203" s="1" t="s">
        <v>184</v>
      </c>
      <c r="BY203" s="1" t="s">
        <v>129</v>
      </c>
      <c r="BZ203" s="1" t="s">
        <v>213</v>
      </c>
      <c r="CA203">
        <v>0</v>
      </c>
      <c r="CB203" s="1" t="s">
        <v>2808</v>
      </c>
      <c r="CC203">
        <v>0</v>
      </c>
      <c r="CD203" s="1" t="s">
        <v>2809</v>
      </c>
      <c r="CE203">
        <v>0.13</v>
      </c>
      <c r="CF203" s="1" t="s">
        <v>2810</v>
      </c>
      <c r="CG203" s="1" t="s">
        <v>397</v>
      </c>
      <c r="CH203" s="1" t="s">
        <v>260</v>
      </c>
      <c r="CI203" s="1" t="s">
        <v>159</v>
      </c>
      <c r="CJ203" s="1" t="s">
        <v>275</v>
      </c>
      <c r="CK203" s="1" t="s">
        <v>138</v>
      </c>
      <c r="CL203" s="1" t="s">
        <v>373</v>
      </c>
      <c r="CM203">
        <v>68</v>
      </c>
      <c r="CN203" s="1" t="s">
        <v>483</v>
      </c>
      <c r="CO203" s="1" t="s">
        <v>406</v>
      </c>
      <c r="CP203">
        <v>79.2</v>
      </c>
      <c r="CS203">
        <v>1570</v>
      </c>
      <c r="CT203" s="1" t="s">
        <v>192</v>
      </c>
      <c r="CU203" s="1" t="s">
        <v>346</v>
      </c>
      <c r="CV203">
        <v>1575.2</v>
      </c>
      <c r="CW203">
        <v>80.2</v>
      </c>
      <c r="CX203">
        <v>68.2</v>
      </c>
      <c r="CY203">
        <v>70.599999999999994</v>
      </c>
      <c r="CZ203" s="1" t="s">
        <v>572</v>
      </c>
      <c r="DA203">
        <v>1</v>
      </c>
      <c r="DB203" t="s">
        <v>525</v>
      </c>
      <c r="DC203">
        <v>62</v>
      </c>
      <c r="DD203" s="1" t="s">
        <v>2811</v>
      </c>
      <c r="DE203">
        <v>-16.250345184954899</v>
      </c>
      <c r="DF203" t="e">
        <f>_xlfn.XLOOKUP(Table1[[#This Row],[Player ID]],Table2[feed_id],Table2[trade_status])</f>
        <v>#N/A</v>
      </c>
      <c r="DG203">
        <f>_xlfn.NUMBERVALUE(Table1[[#This Row],[predicted]])</f>
        <v>78.250345184954895</v>
      </c>
    </row>
    <row r="204" spans="1:111" hidden="1" x14ac:dyDescent="0.25">
      <c r="A204">
        <v>84515</v>
      </c>
      <c r="B204">
        <v>7075</v>
      </c>
      <c r="C204" t="s">
        <v>2812</v>
      </c>
      <c r="D204" t="s">
        <v>810</v>
      </c>
      <c r="E204">
        <v>2019</v>
      </c>
      <c r="F204">
        <v>290671</v>
      </c>
      <c r="G204" t="s">
        <v>2813</v>
      </c>
      <c r="H204" t="s">
        <v>2814</v>
      </c>
      <c r="I204" t="s">
        <v>524</v>
      </c>
      <c r="J204">
        <v>4</v>
      </c>
      <c r="K204">
        <v>44</v>
      </c>
      <c r="L204">
        <v>55</v>
      </c>
      <c r="M204">
        <v>38</v>
      </c>
      <c r="N204">
        <v>37</v>
      </c>
      <c r="O204">
        <v>52</v>
      </c>
      <c r="P204">
        <v>5</v>
      </c>
      <c r="Q204">
        <v>6</v>
      </c>
      <c r="R204">
        <v>3</v>
      </c>
      <c r="S204">
        <v>3</v>
      </c>
      <c r="T204">
        <v>0</v>
      </c>
      <c r="U204">
        <v>1</v>
      </c>
      <c r="V204">
        <v>2</v>
      </c>
      <c r="W204">
        <v>0</v>
      </c>
      <c r="X204">
        <v>1</v>
      </c>
      <c r="Y204" t="s">
        <v>113</v>
      </c>
      <c r="Z204" t="s">
        <v>114</v>
      </c>
      <c r="AA204" t="s">
        <v>2815</v>
      </c>
      <c r="AB204" t="s">
        <v>877</v>
      </c>
      <c r="AC204" t="s">
        <v>2816</v>
      </c>
      <c r="AH204" t="s">
        <v>118</v>
      </c>
      <c r="AI204">
        <v>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S204">
        <v>8</v>
      </c>
      <c r="AT204">
        <v>2</v>
      </c>
      <c r="AU204">
        <v>4</v>
      </c>
      <c r="AV204">
        <v>63</v>
      </c>
      <c r="AW204">
        <v>49</v>
      </c>
      <c r="AZ204" t="b">
        <v>1</v>
      </c>
      <c r="BA204">
        <v>1955</v>
      </c>
      <c r="BB204">
        <v>1314</v>
      </c>
      <c r="BC204">
        <v>22</v>
      </c>
      <c r="BD204" t="s">
        <v>2817</v>
      </c>
      <c r="BE204">
        <v>99</v>
      </c>
      <c r="BF204">
        <v>0</v>
      </c>
      <c r="BG204">
        <v>74</v>
      </c>
      <c r="BH204">
        <v>0</v>
      </c>
      <c r="BI204" s="1" t="s">
        <v>1829</v>
      </c>
      <c r="BJ204">
        <v>13.8</v>
      </c>
      <c r="BK204">
        <v>6</v>
      </c>
      <c r="BL204" s="1" t="s">
        <v>1079</v>
      </c>
      <c r="BM204" s="1" t="s">
        <v>125</v>
      </c>
      <c r="BN204">
        <v>4</v>
      </c>
      <c r="BO204" s="1" t="s">
        <v>124</v>
      </c>
      <c r="BP204">
        <v>4</v>
      </c>
      <c r="BQ204">
        <v>0</v>
      </c>
      <c r="BR204">
        <v>0</v>
      </c>
      <c r="BS204" s="1" t="s">
        <v>159</v>
      </c>
      <c r="BT204" s="1" t="s">
        <v>214</v>
      </c>
      <c r="BU204" s="1" t="s">
        <v>161</v>
      </c>
      <c r="BV204" s="1" t="s">
        <v>257</v>
      </c>
      <c r="BW204">
        <v>0</v>
      </c>
      <c r="BX204" s="1" t="s">
        <v>129</v>
      </c>
      <c r="BY204" s="1" t="s">
        <v>128</v>
      </c>
      <c r="BZ204" s="1" t="s">
        <v>238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9</v>
      </c>
      <c r="CH204" s="1" t="s">
        <v>1008</v>
      </c>
      <c r="CI204" s="1" t="s">
        <v>211</v>
      </c>
      <c r="CJ204" s="1" t="s">
        <v>752</v>
      </c>
      <c r="CK204" s="1" t="s">
        <v>211</v>
      </c>
      <c r="CL204">
        <v>3.4</v>
      </c>
      <c r="CM204" s="1" t="s">
        <v>609</v>
      </c>
      <c r="CN204" s="1" t="s">
        <v>2818</v>
      </c>
      <c r="CO204">
        <v>66</v>
      </c>
      <c r="CP204" s="1" t="s">
        <v>1289</v>
      </c>
      <c r="CS204" s="1" t="s">
        <v>2819</v>
      </c>
      <c r="CT204" s="1" t="s">
        <v>2820</v>
      </c>
      <c r="CU204" s="1" t="s">
        <v>2821</v>
      </c>
      <c r="CV204">
        <v>1799.6</v>
      </c>
      <c r="CW204">
        <v>83.7</v>
      </c>
      <c r="CX204">
        <v>89.8</v>
      </c>
      <c r="CY204">
        <v>82.2</v>
      </c>
      <c r="CZ204" s="1" t="s">
        <v>930</v>
      </c>
      <c r="DA204">
        <v>1</v>
      </c>
      <c r="DB204" t="s">
        <v>114</v>
      </c>
      <c r="DC204">
        <v>55</v>
      </c>
      <c r="DD204" s="1" t="s">
        <v>2822</v>
      </c>
      <c r="DE204">
        <v>-8.9866486464270796</v>
      </c>
      <c r="DF204" t="e">
        <f>_xlfn.XLOOKUP(Table1[[#This Row],[Player ID]],Table2[feed_id],Table2[trade_status])</f>
        <v>#N/A</v>
      </c>
      <c r="DG204">
        <f>_xlfn.NUMBERVALUE(Table1[[#This Row],[predicted]])</f>
        <v>63.986648646427</v>
      </c>
    </row>
    <row r="205" spans="1:111" hidden="1" x14ac:dyDescent="0.25">
      <c r="A205">
        <v>84536</v>
      </c>
      <c r="B205">
        <v>7076</v>
      </c>
      <c r="C205" t="s">
        <v>2823</v>
      </c>
      <c r="D205" t="s">
        <v>810</v>
      </c>
      <c r="E205">
        <v>2019</v>
      </c>
      <c r="F205">
        <v>261314</v>
      </c>
      <c r="G205" t="s">
        <v>409</v>
      </c>
      <c r="H205" t="s">
        <v>2824</v>
      </c>
      <c r="I205" t="s">
        <v>619</v>
      </c>
      <c r="J205">
        <v>9</v>
      </c>
      <c r="K205">
        <v>54</v>
      </c>
      <c r="L205">
        <v>50</v>
      </c>
      <c r="M205">
        <v>71</v>
      </c>
      <c r="N205">
        <v>40</v>
      </c>
      <c r="O205">
        <v>54</v>
      </c>
      <c r="P205">
        <v>6</v>
      </c>
      <c r="Q205">
        <v>5</v>
      </c>
      <c r="R205">
        <v>3</v>
      </c>
      <c r="S205">
        <v>4</v>
      </c>
      <c r="T205">
        <v>0</v>
      </c>
      <c r="U205">
        <v>1</v>
      </c>
      <c r="V205">
        <v>0</v>
      </c>
      <c r="W205">
        <v>0</v>
      </c>
      <c r="X205">
        <v>0</v>
      </c>
      <c r="Y205" t="s">
        <v>113</v>
      </c>
      <c r="Z205" t="s">
        <v>525</v>
      </c>
      <c r="AA205" t="s">
        <v>2825</v>
      </c>
      <c r="AH205" t="s">
        <v>118</v>
      </c>
      <c r="AI205">
        <v>23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S205">
        <v>4</v>
      </c>
      <c r="AT205">
        <v>4</v>
      </c>
      <c r="AU205">
        <v>1</v>
      </c>
      <c r="AV205">
        <v>81</v>
      </c>
      <c r="AW205">
        <v>66</v>
      </c>
      <c r="AZ205" t="b">
        <v>0</v>
      </c>
      <c r="BA205">
        <v>1939</v>
      </c>
      <c r="BB205">
        <v>1310</v>
      </c>
      <c r="BC205">
        <v>22</v>
      </c>
      <c r="BD205" t="s">
        <v>2826</v>
      </c>
      <c r="BE205">
        <v>99</v>
      </c>
      <c r="BF205">
        <v>0</v>
      </c>
      <c r="BG205">
        <v>74</v>
      </c>
      <c r="BH205">
        <v>0</v>
      </c>
      <c r="BI205" s="1" t="s">
        <v>397</v>
      </c>
      <c r="BJ205" s="1" t="s">
        <v>879</v>
      </c>
      <c r="BK205" s="1" t="s">
        <v>183</v>
      </c>
      <c r="BL205" s="1" t="s">
        <v>1239</v>
      </c>
      <c r="BM205">
        <v>2</v>
      </c>
      <c r="BN205">
        <v>2.8</v>
      </c>
      <c r="BO205" s="1" t="s">
        <v>138</v>
      </c>
      <c r="BP205" s="1" t="s">
        <v>125</v>
      </c>
      <c r="BQ205">
        <v>0</v>
      </c>
      <c r="BR205">
        <v>0</v>
      </c>
      <c r="BS205" s="1" t="s">
        <v>129</v>
      </c>
      <c r="BT205">
        <v>0.6</v>
      </c>
      <c r="BU205" s="1" t="s">
        <v>128</v>
      </c>
      <c r="BV205" s="1" t="s">
        <v>130</v>
      </c>
      <c r="BW205">
        <v>0</v>
      </c>
      <c r="BX205">
        <v>0.6</v>
      </c>
      <c r="BY205" s="1" t="s">
        <v>129</v>
      </c>
      <c r="BZ205">
        <v>0.4</v>
      </c>
      <c r="CA205">
        <v>0</v>
      </c>
      <c r="CB205">
        <v>5.46666666666666E-2</v>
      </c>
      <c r="CC205">
        <v>0</v>
      </c>
      <c r="CD205" s="1" t="s">
        <v>2472</v>
      </c>
      <c r="CE205">
        <v>0</v>
      </c>
      <c r="CF205" s="1" t="s">
        <v>2827</v>
      </c>
      <c r="CG205" s="1" t="s">
        <v>183</v>
      </c>
      <c r="CH205" s="1" t="s">
        <v>295</v>
      </c>
      <c r="CI205" s="1" t="s">
        <v>211</v>
      </c>
      <c r="CJ205" s="1" t="s">
        <v>436</v>
      </c>
      <c r="CK205" s="1" t="s">
        <v>161</v>
      </c>
      <c r="CL205" s="1" t="s">
        <v>255</v>
      </c>
      <c r="CM205">
        <v>67</v>
      </c>
      <c r="CN205" s="1" t="s">
        <v>2828</v>
      </c>
      <c r="CO205">
        <v>70</v>
      </c>
      <c r="CP205" s="1" t="s">
        <v>2829</v>
      </c>
      <c r="CS205" s="1" t="s">
        <v>1313</v>
      </c>
      <c r="CT205" s="1" t="s">
        <v>2830</v>
      </c>
      <c r="CU205" s="1" t="s">
        <v>2831</v>
      </c>
      <c r="CV205" s="1" t="s">
        <v>2832</v>
      </c>
      <c r="CW205">
        <v>70.2</v>
      </c>
      <c r="CX205">
        <v>62.2</v>
      </c>
      <c r="CY205">
        <v>55</v>
      </c>
      <c r="CZ205">
        <v>53</v>
      </c>
      <c r="DA205">
        <v>1</v>
      </c>
      <c r="DB205" t="s">
        <v>525</v>
      </c>
      <c r="DC205">
        <v>50</v>
      </c>
      <c r="DD205" s="1" t="s">
        <v>2833</v>
      </c>
      <c r="DE205">
        <v>-17.0029003874069</v>
      </c>
      <c r="DF205" t="e">
        <f>_xlfn.XLOOKUP(Table1[[#This Row],[Player ID]],Table2[feed_id],Table2[trade_status])</f>
        <v>#N/A</v>
      </c>
      <c r="DG205">
        <f>_xlfn.NUMBERVALUE(Table1[[#This Row],[predicted]])</f>
        <v>67.002900387406896</v>
      </c>
    </row>
    <row r="206" spans="1:111" hidden="1" x14ac:dyDescent="0.25">
      <c r="A206">
        <v>84537</v>
      </c>
      <c r="B206">
        <v>7076</v>
      </c>
      <c r="C206" t="s">
        <v>2823</v>
      </c>
      <c r="D206" t="s">
        <v>810</v>
      </c>
      <c r="E206">
        <v>2019</v>
      </c>
      <c r="F206">
        <v>294798</v>
      </c>
      <c r="G206" t="s">
        <v>2555</v>
      </c>
      <c r="H206" t="s">
        <v>2834</v>
      </c>
      <c r="I206" t="s">
        <v>619</v>
      </c>
      <c r="J206">
        <v>11</v>
      </c>
      <c r="K206">
        <v>54</v>
      </c>
      <c r="L206">
        <v>53</v>
      </c>
      <c r="M206">
        <v>66</v>
      </c>
      <c r="N206">
        <v>49</v>
      </c>
      <c r="O206">
        <v>60</v>
      </c>
      <c r="P206">
        <v>5</v>
      </c>
      <c r="Q206">
        <v>5</v>
      </c>
      <c r="R206">
        <v>5</v>
      </c>
      <c r="S206">
        <v>1</v>
      </c>
      <c r="T206">
        <v>0</v>
      </c>
      <c r="U206">
        <v>1</v>
      </c>
      <c r="V206">
        <v>1</v>
      </c>
      <c r="W206">
        <v>2</v>
      </c>
      <c r="X206">
        <v>0</v>
      </c>
      <c r="Y206" t="s">
        <v>113</v>
      </c>
      <c r="Z206" t="s">
        <v>2835</v>
      </c>
      <c r="AA206" t="s">
        <v>2836</v>
      </c>
      <c r="AB206" t="s">
        <v>861</v>
      </c>
      <c r="AC206" t="s">
        <v>2670</v>
      </c>
      <c r="AH206" t="s">
        <v>181</v>
      </c>
      <c r="AI206">
        <v>12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S206">
        <v>4</v>
      </c>
      <c r="AT206">
        <v>0</v>
      </c>
      <c r="AU206">
        <v>2</v>
      </c>
      <c r="AV206">
        <v>90</v>
      </c>
      <c r="AW206">
        <v>95</v>
      </c>
      <c r="AZ206" t="b">
        <v>0</v>
      </c>
      <c r="BA206">
        <v>1939</v>
      </c>
      <c r="BB206">
        <v>1310</v>
      </c>
      <c r="BC206">
        <v>22</v>
      </c>
      <c r="BD206" t="s">
        <v>2826</v>
      </c>
      <c r="BE206">
        <v>99</v>
      </c>
      <c r="BF206">
        <v>0</v>
      </c>
      <c r="BG206">
        <v>74</v>
      </c>
      <c r="BH206">
        <v>0</v>
      </c>
      <c r="BI206">
        <v>6</v>
      </c>
      <c r="BJ206" s="1" t="s">
        <v>680</v>
      </c>
      <c r="BK206">
        <v>5</v>
      </c>
      <c r="BL206" s="1" t="s">
        <v>230</v>
      </c>
      <c r="BM206">
        <v>4</v>
      </c>
      <c r="BN206">
        <v>3.8</v>
      </c>
      <c r="BO206" s="1" t="s">
        <v>159</v>
      </c>
      <c r="BP206">
        <v>3</v>
      </c>
      <c r="BQ206">
        <v>0</v>
      </c>
      <c r="BR206">
        <v>0</v>
      </c>
      <c r="BS206" s="1" t="s">
        <v>128</v>
      </c>
      <c r="BT206">
        <v>0.8</v>
      </c>
      <c r="BU206" s="1" t="s">
        <v>129</v>
      </c>
      <c r="BV206">
        <v>1.2</v>
      </c>
      <c r="BW206" s="1" t="s">
        <v>126</v>
      </c>
      <c r="BX206" s="1" t="s">
        <v>206</v>
      </c>
      <c r="BY206" s="1" t="s">
        <v>129</v>
      </c>
      <c r="BZ206">
        <v>0.6</v>
      </c>
      <c r="CA206">
        <v>0</v>
      </c>
      <c r="CB206">
        <v>0.05</v>
      </c>
      <c r="CC206">
        <v>0</v>
      </c>
      <c r="CD206">
        <v>7.8E-2</v>
      </c>
      <c r="CE206">
        <v>0</v>
      </c>
      <c r="CF206" s="1" t="s">
        <v>845</v>
      </c>
      <c r="CG206" s="1" t="s">
        <v>160</v>
      </c>
      <c r="CH206" s="1" t="s">
        <v>256</v>
      </c>
      <c r="CI206" s="1" t="s">
        <v>128</v>
      </c>
      <c r="CJ206" s="1" t="s">
        <v>129</v>
      </c>
      <c r="CK206">
        <v>1</v>
      </c>
      <c r="CL206">
        <v>2</v>
      </c>
      <c r="CM206" s="1" t="s">
        <v>483</v>
      </c>
      <c r="CN206">
        <v>75.400000000000006</v>
      </c>
      <c r="CO206">
        <v>92</v>
      </c>
      <c r="CP206" s="1" t="s">
        <v>1372</v>
      </c>
      <c r="CS206" s="1" t="s">
        <v>2837</v>
      </c>
      <c r="CT206">
        <v>1668.6</v>
      </c>
      <c r="CU206" s="1" t="s">
        <v>2838</v>
      </c>
      <c r="CV206" s="1" t="s">
        <v>2839</v>
      </c>
      <c r="CW206">
        <v>58.55</v>
      </c>
      <c r="CX206">
        <v>55.6</v>
      </c>
      <c r="CY206">
        <v>60</v>
      </c>
      <c r="CZ206" s="1" t="s">
        <v>1459</v>
      </c>
      <c r="DA206">
        <v>1</v>
      </c>
      <c r="DB206" t="s">
        <v>2835</v>
      </c>
      <c r="DC206">
        <v>53</v>
      </c>
      <c r="DD206" s="1" t="s">
        <v>2840</v>
      </c>
      <c r="DE206">
        <v>-6.7012067682875402</v>
      </c>
      <c r="DF206" t="e">
        <f>_xlfn.XLOOKUP(Table1[[#This Row],[Player ID]],Table2[feed_id],Table2[trade_status])</f>
        <v>#N/A</v>
      </c>
      <c r="DG206">
        <f>_xlfn.NUMBERVALUE(Table1[[#This Row],[predicted]])</f>
        <v>59.701206768287499</v>
      </c>
    </row>
    <row r="207" spans="1:111" hidden="1" x14ac:dyDescent="0.25">
      <c r="A207">
        <v>84730</v>
      </c>
      <c r="B207">
        <v>7080</v>
      </c>
      <c r="C207" t="s">
        <v>2841</v>
      </c>
      <c r="D207" t="s">
        <v>810</v>
      </c>
      <c r="E207">
        <v>2019</v>
      </c>
      <c r="F207">
        <v>270296</v>
      </c>
      <c r="G207" t="s">
        <v>2842</v>
      </c>
      <c r="H207" t="s">
        <v>2843</v>
      </c>
      <c r="I207" t="s">
        <v>510</v>
      </c>
      <c r="J207">
        <v>9</v>
      </c>
      <c r="K207">
        <v>68</v>
      </c>
      <c r="L207">
        <v>73</v>
      </c>
      <c r="M207">
        <v>48</v>
      </c>
      <c r="N207">
        <v>54</v>
      </c>
      <c r="O207">
        <v>72</v>
      </c>
      <c r="P207">
        <v>10</v>
      </c>
      <c r="Q207">
        <v>6</v>
      </c>
      <c r="R207">
        <v>4</v>
      </c>
      <c r="S207">
        <v>3</v>
      </c>
      <c r="T207">
        <v>3</v>
      </c>
      <c r="U207">
        <v>2</v>
      </c>
      <c r="V207">
        <v>1</v>
      </c>
      <c r="W207">
        <v>0</v>
      </c>
      <c r="X207">
        <v>0</v>
      </c>
      <c r="Y207" t="s">
        <v>113</v>
      </c>
      <c r="Z207" t="s">
        <v>1074</v>
      </c>
      <c r="AA207" t="s">
        <v>2844</v>
      </c>
      <c r="AH207" t="s">
        <v>181</v>
      </c>
      <c r="AI207">
        <v>22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S207">
        <v>6</v>
      </c>
      <c r="AT207">
        <v>1</v>
      </c>
      <c r="AU207">
        <v>1</v>
      </c>
      <c r="AV207">
        <v>75</v>
      </c>
      <c r="AW207">
        <v>84</v>
      </c>
      <c r="AZ207" t="b">
        <v>0</v>
      </c>
      <c r="BA207">
        <v>1653</v>
      </c>
      <c r="BB207">
        <v>1597</v>
      </c>
      <c r="BC207">
        <v>22</v>
      </c>
      <c r="BD207" t="s">
        <v>2845</v>
      </c>
      <c r="BE207">
        <v>99</v>
      </c>
      <c r="BF207">
        <v>0</v>
      </c>
      <c r="BG207">
        <v>74</v>
      </c>
      <c r="BH207">
        <v>0</v>
      </c>
      <c r="BI207">
        <v>9</v>
      </c>
      <c r="BJ207">
        <v>8.4</v>
      </c>
      <c r="BK207" s="1" t="s">
        <v>124</v>
      </c>
      <c r="BL207">
        <v>6</v>
      </c>
      <c r="BM207">
        <v>5</v>
      </c>
      <c r="BN207" s="1" t="s">
        <v>1092</v>
      </c>
      <c r="BO207" s="1" t="s">
        <v>159</v>
      </c>
      <c r="BP207" s="1" t="s">
        <v>161</v>
      </c>
      <c r="BQ207">
        <v>2</v>
      </c>
      <c r="BR207" s="1" t="s">
        <v>128</v>
      </c>
      <c r="BS207">
        <v>2</v>
      </c>
      <c r="BT207">
        <v>1</v>
      </c>
      <c r="BU207" s="1" t="s">
        <v>129</v>
      </c>
      <c r="BV207">
        <v>0.8</v>
      </c>
      <c r="BW207">
        <v>0</v>
      </c>
      <c r="BX207">
        <v>0.2</v>
      </c>
      <c r="BY207">
        <v>0</v>
      </c>
      <c r="BZ207">
        <v>0</v>
      </c>
      <c r="CA207">
        <v>0</v>
      </c>
      <c r="CB207" s="1" t="s">
        <v>2846</v>
      </c>
      <c r="CC207">
        <v>0</v>
      </c>
      <c r="CD207" s="1" t="s">
        <v>2847</v>
      </c>
      <c r="CE207">
        <v>0</v>
      </c>
      <c r="CF207" s="1" t="s">
        <v>2848</v>
      </c>
      <c r="CG207" s="1" t="s">
        <v>124</v>
      </c>
      <c r="CH207" s="1" t="s">
        <v>565</v>
      </c>
      <c r="CI207" s="1" t="s">
        <v>128</v>
      </c>
      <c r="CJ207" s="1" t="s">
        <v>213</v>
      </c>
      <c r="CK207" s="1" t="s">
        <v>128</v>
      </c>
      <c r="CL207" s="1" t="s">
        <v>206</v>
      </c>
      <c r="CM207" s="1" t="s">
        <v>1110</v>
      </c>
      <c r="CN207" s="1" t="s">
        <v>2533</v>
      </c>
      <c r="CO207">
        <v>79</v>
      </c>
      <c r="CP207" s="1" t="s">
        <v>2849</v>
      </c>
      <c r="CS207" s="1" t="s">
        <v>2231</v>
      </c>
      <c r="CT207" s="1" t="s">
        <v>2850</v>
      </c>
      <c r="CU207" s="1" t="s">
        <v>2851</v>
      </c>
      <c r="CV207" s="1" t="s">
        <v>486</v>
      </c>
      <c r="CW207">
        <v>63.05</v>
      </c>
      <c r="CX207">
        <v>69.099999999999994</v>
      </c>
      <c r="CY207">
        <v>73.599999999999994</v>
      </c>
      <c r="CZ207" s="1" t="s">
        <v>822</v>
      </c>
      <c r="DA207">
        <v>1</v>
      </c>
      <c r="DB207" t="s">
        <v>1074</v>
      </c>
      <c r="DC207">
        <v>73</v>
      </c>
      <c r="DD207" s="1" t="s">
        <v>2852</v>
      </c>
      <c r="DE207" s="1" t="s">
        <v>2853</v>
      </c>
      <c r="DF207" t="e">
        <f>_xlfn.XLOOKUP(Table1[[#This Row],[Player ID]],Table2[feed_id],Table2[trade_status])</f>
        <v>#N/A</v>
      </c>
      <c r="DG207">
        <f>_xlfn.NUMBERVALUE(Table1[[#This Row],[predicted]])</f>
        <v>70.127764319032195</v>
      </c>
    </row>
    <row r="208" spans="1:111" hidden="1" x14ac:dyDescent="0.25">
      <c r="A208">
        <v>84959</v>
      </c>
      <c r="B208">
        <v>7086</v>
      </c>
      <c r="C208" t="s">
        <v>2854</v>
      </c>
      <c r="D208" t="s">
        <v>109</v>
      </c>
      <c r="E208">
        <v>2019</v>
      </c>
      <c r="F208">
        <v>220096</v>
      </c>
      <c r="G208" t="s">
        <v>2456</v>
      </c>
      <c r="H208" t="s">
        <v>2855</v>
      </c>
      <c r="I208" t="s">
        <v>178</v>
      </c>
      <c r="J208">
        <v>26</v>
      </c>
      <c r="K208">
        <v>90</v>
      </c>
      <c r="L208">
        <v>106</v>
      </c>
      <c r="M208">
        <v>101</v>
      </c>
      <c r="N208">
        <v>82</v>
      </c>
      <c r="O208">
        <v>100</v>
      </c>
      <c r="P208">
        <v>4</v>
      </c>
      <c r="Q208">
        <v>12</v>
      </c>
      <c r="R208">
        <v>3</v>
      </c>
      <c r="S208">
        <v>2</v>
      </c>
      <c r="T208">
        <v>36</v>
      </c>
      <c r="U208">
        <v>0</v>
      </c>
      <c r="V208">
        <v>0</v>
      </c>
      <c r="W208">
        <v>0</v>
      </c>
      <c r="X208">
        <v>1</v>
      </c>
      <c r="Y208" t="s">
        <v>113</v>
      </c>
      <c r="Z208" t="s">
        <v>602</v>
      </c>
      <c r="AA208" t="s">
        <v>2856</v>
      </c>
      <c r="AH208" t="s">
        <v>274</v>
      </c>
      <c r="AI208">
        <v>31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S208">
        <v>10</v>
      </c>
      <c r="AT208">
        <v>7</v>
      </c>
      <c r="AU208">
        <v>2</v>
      </c>
      <c r="AV208">
        <v>68</v>
      </c>
      <c r="AW208">
        <v>82</v>
      </c>
      <c r="AZ208" t="b">
        <v>0</v>
      </c>
      <c r="BA208">
        <v>1579</v>
      </c>
      <c r="BB208">
        <v>1707</v>
      </c>
      <c r="BC208">
        <v>23</v>
      </c>
      <c r="BD208" t="s">
        <v>2857</v>
      </c>
      <c r="BE208">
        <v>101</v>
      </c>
      <c r="BF208">
        <v>1</v>
      </c>
      <c r="BG208">
        <v>74</v>
      </c>
      <c r="BH208">
        <v>1</v>
      </c>
      <c r="BI208" s="1" t="s">
        <v>125</v>
      </c>
      <c r="BJ208" s="1" t="s">
        <v>766</v>
      </c>
      <c r="BK208" s="1" t="s">
        <v>157</v>
      </c>
      <c r="BL208" s="1" t="s">
        <v>498</v>
      </c>
      <c r="BM208" s="1" t="s">
        <v>169</v>
      </c>
      <c r="BN208">
        <v>2.2000000000000002</v>
      </c>
      <c r="BO208">
        <v>3</v>
      </c>
      <c r="BP208">
        <v>1.6</v>
      </c>
      <c r="BQ208" s="1" t="s">
        <v>2858</v>
      </c>
      <c r="BR208" s="1" t="s">
        <v>2859</v>
      </c>
      <c r="BS208" s="1" t="s">
        <v>128</v>
      </c>
      <c r="BT208" s="1" t="s">
        <v>257</v>
      </c>
      <c r="BU208">
        <v>1</v>
      </c>
      <c r="BV208">
        <v>1.2</v>
      </c>
      <c r="BW208">
        <v>0</v>
      </c>
      <c r="BX208" s="1" t="s">
        <v>129</v>
      </c>
      <c r="BY208" s="1" t="s">
        <v>129</v>
      </c>
      <c r="BZ208" s="1" t="s">
        <v>213</v>
      </c>
      <c r="CA208">
        <v>0</v>
      </c>
      <c r="CB208" s="1" t="s">
        <v>2860</v>
      </c>
      <c r="CC208">
        <v>0</v>
      </c>
      <c r="CD208" s="1" t="s">
        <v>2861</v>
      </c>
      <c r="CE208">
        <v>0</v>
      </c>
      <c r="CF208" s="1" t="s">
        <v>2862</v>
      </c>
      <c r="CG208" s="1" t="s">
        <v>294</v>
      </c>
      <c r="CH208" s="1" t="s">
        <v>498</v>
      </c>
      <c r="CI208">
        <v>5</v>
      </c>
      <c r="CJ208" s="1" t="s">
        <v>138</v>
      </c>
      <c r="CK208" s="1" t="s">
        <v>169</v>
      </c>
      <c r="CL208" s="1" t="s">
        <v>322</v>
      </c>
      <c r="CM208">
        <v>60</v>
      </c>
      <c r="CN208" s="1" t="s">
        <v>2863</v>
      </c>
      <c r="CO208">
        <v>82</v>
      </c>
      <c r="CP208">
        <v>79.599999999999994</v>
      </c>
      <c r="CS208" s="1" t="s">
        <v>2864</v>
      </c>
      <c r="CT208" s="1" t="s">
        <v>2865</v>
      </c>
      <c r="CU208" s="1" t="s">
        <v>790</v>
      </c>
      <c r="CV208">
        <v>1663.2</v>
      </c>
      <c r="CW208">
        <v>90.1</v>
      </c>
      <c r="CX208">
        <v>91.4</v>
      </c>
      <c r="CY208">
        <v>95.2</v>
      </c>
      <c r="CZ208" s="1" t="s">
        <v>995</v>
      </c>
      <c r="DA208">
        <v>1</v>
      </c>
      <c r="DB208" t="s">
        <v>602</v>
      </c>
      <c r="DC208">
        <v>106</v>
      </c>
      <c r="DD208" s="1" t="s">
        <v>2866</v>
      </c>
      <c r="DE208" s="1" t="s">
        <v>2867</v>
      </c>
      <c r="DF208" t="e">
        <f>_xlfn.XLOOKUP(Table1[[#This Row],[Player ID]],Table2[feed_id],Table2[trade_status])</f>
        <v>#N/A</v>
      </c>
      <c r="DG208">
        <f>_xlfn.NUMBERVALUE(Table1[[#This Row],[predicted]])</f>
        <v>95.599723655993003</v>
      </c>
    </row>
    <row r="209" spans="1:111" hidden="1" x14ac:dyDescent="0.25">
      <c r="A209">
        <v>84970</v>
      </c>
      <c r="B209">
        <v>7086</v>
      </c>
      <c r="C209" t="s">
        <v>2854</v>
      </c>
      <c r="D209" t="s">
        <v>109</v>
      </c>
      <c r="E209">
        <v>2019</v>
      </c>
      <c r="F209">
        <v>260069</v>
      </c>
      <c r="G209" t="s">
        <v>2868</v>
      </c>
      <c r="H209" t="s">
        <v>2869</v>
      </c>
      <c r="I209" t="s">
        <v>178</v>
      </c>
      <c r="J209">
        <v>9</v>
      </c>
      <c r="K209">
        <v>62</v>
      </c>
      <c r="L209">
        <v>58</v>
      </c>
      <c r="M209">
        <v>82</v>
      </c>
      <c r="N209">
        <v>44</v>
      </c>
      <c r="O209">
        <v>61</v>
      </c>
      <c r="P209">
        <v>8</v>
      </c>
      <c r="Q209">
        <v>5</v>
      </c>
      <c r="R209">
        <v>2</v>
      </c>
      <c r="S209">
        <v>5</v>
      </c>
      <c r="T209">
        <v>0</v>
      </c>
      <c r="U209">
        <v>1</v>
      </c>
      <c r="V209">
        <v>0</v>
      </c>
      <c r="W209">
        <v>0</v>
      </c>
      <c r="X209">
        <v>1</v>
      </c>
      <c r="Y209" t="s">
        <v>113</v>
      </c>
      <c r="Z209" t="s">
        <v>861</v>
      </c>
      <c r="AA209" t="s">
        <v>2870</v>
      </c>
      <c r="AH209" t="s">
        <v>155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S209">
        <v>5</v>
      </c>
      <c r="AT209">
        <v>2</v>
      </c>
      <c r="AU209">
        <v>1</v>
      </c>
      <c r="AV209">
        <v>61</v>
      </c>
      <c r="AW209">
        <v>72</v>
      </c>
      <c r="AZ209" t="b">
        <v>0</v>
      </c>
      <c r="BA209">
        <v>1579</v>
      </c>
      <c r="BB209">
        <v>1707</v>
      </c>
      <c r="BC209">
        <v>23</v>
      </c>
      <c r="BD209" t="s">
        <v>2857</v>
      </c>
      <c r="BE209">
        <v>101</v>
      </c>
      <c r="BF209">
        <v>0</v>
      </c>
      <c r="BG209">
        <v>74</v>
      </c>
      <c r="BH209">
        <v>0</v>
      </c>
      <c r="BI209" s="1" t="s">
        <v>183</v>
      </c>
      <c r="BJ209">
        <v>7.2</v>
      </c>
      <c r="BK209" s="1" t="s">
        <v>138</v>
      </c>
      <c r="BL209" s="1" t="s">
        <v>138</v>
      </c>
      <c r="BM209" s="1" t="s">
        <v>169</v>
      </c>
      <c r="BN209" s="1" t="s">
        <v>640</v>
      </c>
      <c r="BO209">
        <v>2</v>
      </c>
      <c r="BP209">
        <v>2.2000000000000002</v>
      </c>
      <c r="BQ209">
        <v>0</v>
      </c>
      <c r="BR209">
        <v>0</v>
      </c>
      <c r="BS209" s="1" t="s">
        <v>128</v>
      </c>
      <c r="BT209" s="1" t="s">
        <v>238</v>
      </c>
      <c r="BU209" s="1" t="s">
        <v>129</v>
      </c>
      <c r="BV209" s="1" t="s">
        <v>127</v>
      </c>
      <c r="BW209" s="1" t="s">
        <v>129</v>
      </c>
      <c r="BX209" s="1" t="s">
        <v>298</v>
      </c>
      <c r="BY209">
        <v>1</v>
      </c>
      <c r="BZ209">
        <v>1</v>
      </c>
      <c r="CA209">
        <v>0</v>
      </c>
      <c r="CB209" s="1" t="s">
        <v>2632</v>
      </c>
      <c r="CC209">
        <v>0</v>
      </c>
      <c r="CD209" s="1" t="s">
        <v>1382</v>
      </c>
      <c r="CE209">
        <v>0</v>
      </c>
      <c r="CF209" s="1" t="s">
        <v>2871</v>
      </c>
      <c r="CG209">
        <v>4</v>
      </c>
      <c r="CH209">
        <v>3.2</v>
      </c>
      <c r="CI209" s="1" t="s">
        <v>128</v>
      </c>
      <c r="CJ209" s="1" t="s">
        <v>130</v>
      </c>
      <c r="CK209" s="1" t="s">
        <v>126</v>
      </c>
      <c r="CL209">
        <v>2.6</v>
      </c>
      <c r="CM209" s="1" t="s">
        <v>418</v>
      </c>
      <c r="CN209" s="1" t="s">
        <v>2872</v>
      </c>
      <c r="CO209">
        <v>73</v>
      </c>
      <c r="CP209" s="1" t="s">
        <v>2873</v>
      </c>
      <c r="CS209">
        <v>1612</v>
      </c>
      <c r="CT209">
        <v>1581.6</v>
      </c>
      <c r="CU209">
        <v>1669</v>
      </c>
      <c r="CV209" s="1" t="s">
        <v>2874</v>
      </c>
      <c r="CW209">
        <v>49.75</v>
      </c>
      <c r="CX209">
        <v>49.2</v>
      </c>
      <c r="CY209">
        <v>47</v>
      </c>
      <c r="CZ209" s="1" t="s">
        <v>944</v>
      </c>
      <c r="DA209">
        <v>1</v>
      </c>
      <c r="DB209" t="s">
        <v>861</v>
      </c>
      <c r="DC209">
        <v>58</v>
      </c>
      <c r="DD209" s="1" t="s">
        <v>2875</v>
      </c>
      <c r="DE209">
        <v>-0.13019505672154699</v>
      </c>
      <c r="DF209" t="e">
        <f>_xlfn.XLOOKUP(Table1[[#This Row],[Player ID]],Table2[feed_id],Table2[trade_status])</f>
        <v>#N/A</v>
      </c>
      <c r="DG209">
        <f>_xlfn.NUMBERVALUE(Table1[[#This Row],[predicted]])</f>
        <v>58.130195056721497</v>
      </c>
    </row>
    <row r="210" spans="1:111" hidden="1" x14ac:dyDescent="0.25">
      <c r="A210">
        <v>84986</v>
      </c>
      <c r="B210">
        <v>7086</v>
      </c>
      <c r="C210" t="s">
        <v>2854</v>
      </c>
      <c r="D210" t="s">
        <v>109</v>
      </c>
      <c r="E210">
        <v>2019</v>
      </c>
      <c r="F210">
        <v>290251</v>
      </c>
      <c r="G210" t="s">
        <v>1139</v>
      </c>
      <c r="H210" t="s">
        <v>200</v>
      </c>
      <c r="I210" t="s">
        <v>619</v>
      </c>
      <c r="J210">
        <v>15</v>
      </c>
      <c r="K210">
        <v>69</v>
      </c>
      <c r="L210">
        <v>72</v>
      </c>
      <c r="M210">
        <v>69</v>
      </c>
      <c r="N210">
        <v>59</v>
      </c>
      <c r="O210">
        <v>80</v>
      </c>
      <c r="P210">
        <v>4</v>
      </c>
      <c r="Q210">
        <v>10</v>
      </c>
      <c r="R210">
        <v>2</v>
      </c>
      <c r="S210">
        <v>5</v>
      </c>
      <c r="T210">
        <v>16</v>
      </c>
      <c r="U210">
        <v>0</v>
      </c>
      <c r="V210">
        <v>2</v>
      </c>
      <c r="W210">
        <v>0</v>
      </c>
      <c r="X210">
        <v>1</v>
      </c>
      <c r="Y210" t="s">
        <v>113</v>
      </c>
      <c r="Z210" t="s">
        <v>602</v>
      </c>
      <c r="AA210" t="s">
        <v>2876</v>
      </c>
      <c r="AH210" t="s">
        <v>274</v>
      </c>
      <c r="AI210">
        <v>20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S210">
        <v>7</v>
      </c>
      <c r="AT210">
        <v>2</v>
      </c>
      <c r="AU210">
        <v>3</v>
      </c>
      <c r="AV210">
        <v>71</v>
      </c>
      <c r="AW210">
        <v>89</v>
      </c>
      <c r="AZ210" t="b">
        <v>0</v>
      </c>
      <c r="BA210">
        <v>1707</v>
      </c>
      <c r="BB210">
        <v>1579</v>
      </c>
      <c r="BC210">
        <v>23</v>
      </c>
      <c r="BD210" t="s">
        <v>2877</v>
      </c>
      <c r="BE210">
        <v>101</v>
      </c>
      <c r="BF210">
        <v>0</v>
      </c>
      <c r="BG210">
        <v>74</v>
      </c>
      <c r="BH210">
        <v>0</v>
      </c>
      <c r="BI210" s="1" t="s">
        <v>211</v>
      </c>
      <c r="BJ210" s="1" t="s">
        <v>138</v>
      </c>
      <c r="BK210" s="1" t="s">
        <v>204</v>
      </c>
      <c r="BL210" s="1" t="s">
        <v>253</v>
      </c>
      <c r="BM210" s="1" t="s">
        <v>169</v>
      </c>
      <c r="BN210">
        <v>3.2</v>
      </c>
      <c r="BO210">
        <v>3</v>
      </c>
      <c r="BP210" s="1" t="s">
        <v>322</v>
      </c>
      <c r="BQ210" s="1" t="s">
        <v>2878</v>
      </c>
      <c r="BR210" s="1" t="s">
        <v>2879</v>
      </c>
      <c r="BS210" s="1" t="s">
        <v>128</v>
      </c>
      <c r="BT210" s="1" t="s">
        <v>238</v>
      </c>
      <c r="BU210" s="1" t="s">
        <v>161</v>
      </c>
      <c r="BV210" s="1" t="s">
        <v>304</v>
      </c>
      <c r="BW210">
        <v>0</v>
      </c>
      <c r="BX210">
        <v>0</v>
      </c>
      <c r="BY210" s="1" t="s">
        <v>128</v>
      </c>
      <c r="BZ210" s="1" t="s">
        <v>231</v>
      </c>
      <c r="CA210">
        <v>0</v>
      </c>
      <c r="CB210" s="1" t="s">
        <v>625</v>
      </c>
      <c r="CC210">
        <v>0</v>
      </c>
      <c r="CD210">
        <v>0.23</v>
      </c>
      <c r="CE210">
        <v>0</v>
      </c>
      <c r="CF210" s="1" t="s">
        <v>2880</v>
      </c>
      <c r="CG210" s="1" t="s">
        <v>449</v>
      </c>
      <c r="CH210">
        <v>4.8</v>
      </c>
      <c r="CI210" s="1" t="s">
        <v>169</v>
      </c>
      <c r="CJ210" s="1" t="s">
        <v>214</v>
      </c>
      <c r="CK210">
        <v>3</v>
      </c>
      <c r="CL210" s="1" t="s">
        <v>169</v>
      </c>
      <c r="CM210" s="1" t="s">
        <v>883</v>
      </c>
      <c r="CN210">
        <v>74.2</v>
      </c>
      <c r="CO210" s="1" t="s">
        <v>1491</v>
      </c>
      <c r="CP210" s="1" t="s">
        <v>365</v>
      </c>
      <c r="CS210">
        <v>1439</v>
      </c>
      <c r="CT210" s="1" t="s">
        <v>2881</v>
      </c>
      <c r="CU210" s="1" t="s">
        <v>2821</v>
      </c>
      <c r="CV210" s="1" t="s">
        <v>2882</v>
      </c>
      <c r="CW210">
        <v>58.25</v>
      </c>
      <c r="CX210">
        <v>62.3</v>
      </c>
      <c r="CY210">
        <v>72</v>
      </c>
      <c r="CZ210">
        <v>62</v>
      </c>
      <c r="DA210">
        <v>1</v>
      </c>
      <c r="DB210" t="s">
        <v>602</v>
      </c>
      <c r="DC210">
        <v>72</v>
      </c>
      <c r="DD210" s="1" t="s">
        <v>2883</v>
      </c>
      <c r="DE210">
        <v>-1.91136324581894</v>
      </c>
      <c r="DF210" t="e">
        <f>_xlfn.XLOOKUP(Table1[[#This Row],[Player ID]],Table2[feed_id],Table2[trade_status])</f>
        <v>#N/A</v>
      </c>
      <c r="DG210">
        <f>_xlfn.NUMBERVALUE(Table1[[#This Row],[predicted]])</f>
        <v>73.911363245818904</v>
      </c>
    </row>
    <row r="211" spans="1:111" hidden="1" x14ac:dyDescent="0.25">
      <c r="A211">
        <v>85049</v>
      </c>
      <c r="B211">
        <v>7088</v>
      </c>
      <c r="C211" t="s">
        <v>2884</v>
      </c>
      <c r="D211" t="s">
        <v>109</v>
      </c>
      <c r="E211">
        <v>2019</v>
      </c>
      <c r="F211">
        <v>270340</v>
      </c>
      <c r="G211" t="s">
        <v>1140</v>
      </c>
      <c r="H211" t="s">
        <v>2885</v>
      </c>
      <c r="I211" t="s">
        <v>1089</v>
      </c>
      <c r="J211">
        <v>38</v>
      </c>
      <c r="K211">
        <v>72</v>
      </c>
      <c r="L211">
        <v>94</v>
      </c>
      <c r="M211">
        <v>76</v>
      </c>
      <c r="N211">
        <v>70</v>
      </c>
      <c r="O211">
        <v>77</v>
      </c>
      <c r="P211">
        <v>0</v>
      </c>
      <c r="Q211">
        <v>5</v>
      </c>
      <c r="R211">
        <v>0</v>
      </c>
      <c r="S211">
        <v>2</v>
      </c>
      <c r="T211">
        <v>56</v>
      </c>
      <c r="U211">
        <v>1</v>
      </c>
      <c r="V211">
        <v>1</v>
      </c>
      <c r="W211">
        <v>0</v>
      </c>
      <c r="X211">
        <v>0</v>
      </c>
      <c r="Y211" t="s">
        <v>113</v>
      </c>
      <c r="Z211" t="s">
        <v>542</v>
      </c>
      <c r="AA211" t="s">
        <v>2886</v>
      </c>
      <c r="AB211" t="s">
        <v>602</v>
      </c>
      <c r="AC211" t="s">
        <v>2887</v>
      </c>
      <c r="AH211" t="s">
        <v>274</v>
      </c>
      <c r="AI211">
        <v>26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S211">
        <v>6</v>
      </c>
      <c r="AT211">
        <v>3</v>
      </c>
      <c r="AU211">
        <v>3</v>
      </c>
      <c r="AV211">
        <v>80</v>
      </c>
      <c r="AW211">
        <v>83</v>
      </c>
      <c r="AZ211" t="b">
        <v>0</v>
      </c>
      <c r="BA211">
        <v>1702</v>
      </c>
      <c r="BB211">
        <v>1556</v>
      </c>
      <c r="BC211">
        <v>23</v>
      </c>
      <c r="BD211" t="s">
        <v>2888</v>
      </c>
      <c r="BE211">
        <v>101</v>
      </c>
      <c r="BF211">
        <v>0</v>
      </c>
      <c r="BG211">
        <v>74</v>
      </c>
      <c r="BH211">
        <v>1</v>
      </c>
      <c r="BI211" s="1" t="s">
        <v>159</v>
      </c>
      <c r="BJ211" s="1" t="s">
        <v>373</v>
      </c>
      <c r="BK211" s="1" t="s">
        <v>211</v>
      </c>
      <c r="BL211" s="1" t="s">
        <v>416</v>
      </c>
      <c r="BM211" s="1" t="s">
        <v>159</v>
      </c>
      <c r="BN211" s="1" t="s">
        <v>257</v>
      </c>
      <c r="BO211" s="1" t="s">
        <v>169</v>
      </c>
      <c r="BP211">
        <v>2.8</v>
      </c>
      <c r="BQ211" s="1" t="s">
        <v>536</v>
      </c>
      <c r="BR211">
        <v>32.200000000000003</v>
      </c>
      <c r="BS211">
        <v>1</v>
      </c>
      <c r="BT211">
        <v>1.2</v>
      </c>
      <c r="BU211">
        <v>1</v>
      </c>
      <c r="BV211" s="1" t="s">
        <v>399</v>
      </c>
      <c r="BW211">
        <v>0</v>
      </c>
      <c r="BX211">
        <v>6.6666666666666596E-2</v>
      </c>
      <c r="BY211">
        <v>0</v>
      </c>
      <c r="BZ211">
        <v>6.6666666666666596E-2</v>
      </c>
      <c r="CA211">
        <v>0</v>
      </c>
      <c r="CB211" s="1" t="s">
        <v>2889</v>
      </c>
      <c r="CC211">
        <v>0</v>
      </c>
      <c r="CD211" s="1" t="s">
        <v>2890</v>
      </c>
      <c r="CE211">
        <v>0</v>
      </c>
      <c r="CF211" s="1" t="s">
        <v>2891</v>
      </c>
      <c r="CG211" s="1" t="s">
        <v>138</v>
      </c>
      <c r="CH211" s="1" t="s">
        <v>1092</v>
      </c>
      <c r="CI211" s="1" t="s">
        <v>161</v>
      </c>
      <c r="CJ211" s="1" t="s">
        <v>169</v>
      </c>
      <c r="CK211" s="1" t="s">
        <v>159</v>
      </c>
      <c r="CL211" s="1" t="s">
        <v>304</v>
      </c>
      <c r="CM211" s="1" t="s">
        <v>930</v>
      </c>
      <c r="CN211" s="1" t="s">
        <v>1840</v>
      </c>
      <c r="CO211">
        <v>84</v>
      </c>
      <c r="CP211" s="1" t="s">
        <v>1532</v>
      </c>
      <c r="CS211" s="1" t="s">
        <v>2892</v>
      </c>
      <c r="CT211">
        <v>1663.4</v>
      </c>
      <c r="CU211" s="1" t="s">
        <v>2110</v>
      </c>
      <c r="CV211" s="1" t="s">
        <v>2893</v>
      </c>
      <c r="CW211">
        <v>83.4</v>
      </c>
      <c r="CX211">
        <v>78.7</v>
      </c>
      <c r="CY211">
        <v>73.400000000000006</v>
      </c>
      <c r="CZ211">
        <v>77</v>
      </c>
      <c r="DA211">
        <v>1</v>
      </c>
      <c r="DB211" t="s">
        <v>542</v>
      </c>
      <c r="DC211">
        <v>94</v>
      </c>
      <c r="DD211" s="1" t="s">
        <v>2894</v>
      </c>
      <c r="DE211" s="1" t="s">
        <v>2895</v>
      </c>
      <c r="DF211" t="e">
        <f>_xlfn.XLOOKUP(Table1[[#This Row],[Player ID]],Table2[feed_id],Table2[trade_status])</f>
        <v>#N/A</v>
      </c>
      <c r="DG211">
        <f>_xlfn.NUMBERVALUE(Table1[[#This Row],[predicted]])</f>
        <v>67.030299817322899</v>
      </c>
    </row>
    <row r="212" spans="1:111" hidden="1" x14ac:dyDescent="0.25">
      <c r="A212">
        <v>85086</v>
      </c>
      <c r="B212">
        <v>7089</v>
      </c>
      <c r="C212" t="s">
        <v>2896</v>
      </c>
      <c r="D212" t="s">
        <v>109</v>
      </c>
      <c r="E212">
        <v>2019</v>
      </c>
      <c r="F212">
        <v>240357</v>
      </c>
      <c r="G212" t="s">
        <v>2017</v>
      </c>
      <c r="H212" t="s">
        <v>2897</v>
      </c>
      <c r="I212" t="s">
        <v>391</v>
      </c>
      <c r="J212">
        <v>29</v>
      </c>
      <c r="K212">
        <v>100</v>
      </c>
      <c r="L212">
        <v>103</v>
      </c>
      <c r="M212">
        <v>120</v>
      </c>
      <c r="N212">
        <v>87</v>
      </c>
      <c r="O212">
        <v>103</v>
      </c>
      <c r="P212">
        <v>11</v>
      </c>
      <c r="Q212">
        <v>3</v>
      </c>
      <c r="R212">
        <v>5</v>
      </c>
      <c r="S212">
        <v>2</v>
      </c>
      <c r="T212">
        <v>3</v>
      </c>
      <c r="U212">
        <v>1</v>
      </c>
      <c r="V212">
        <v>1</v>
      </c>
      <c r="W212">
        <v>6</v>
      </c>
      <c r="X212">
        <v>1</v>
      </c>
      <c r="Y212" t="s">
        <v>113</v>
      </c>
      <c r="Z212" t="s">
        <v>1757</v>
      </c>
      <c r="AA212" t="s">
        <v>2898</v>
      </c>
      <c r="AB212" t="s">
        <v>656</v>
      </c>
      <c r="AC212" t="s">
        <v>2899</v>
      </c>
      <c r="AH212" t="s">
        <v>155</v>
      </c>
      <c r="AI212">
        <v>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S212">
        <v>8</v>
      </c>
      <c r="AT212">
        <v>1</v>
      </c>
      <c r="AU212">
        <v>4</v>
      </c>
      <c r="AV212">
        <v>50</v>
      </c>
      <c r="AW212">
        <v>81</v>
      </c>
      <c r="AZ212" t="b">
        <v>1</v>
      </c>
      <c r="BA212">
        <v>1517</v>
      </c>
      <c r="BB212">
        <v>1755</v>
      </c>
      <c r="BC212">
        <v>23</v>
      </c>
      <c r="BD212" t="s">
        <v>2900</v>
      </c>
      <c r="BE212">
        <v>101</v>
      </c>
      <c r="BF212">
        <v>1</v>
      </c>
      <c r="BG212">
        <v>74</v>
      </c>
      <c r="BH212">
        <v>1</v>
      </c>
      <c r="BI212" s="1" t="s">
        <v>253</v>
      </c>
      <c r="BJ212" s="1" t="s">
        <v>1066</v>
      </c>
      <c r="BK212">
        <v>3</v>
      </c>
      <c r="BL212" s="1" t="s">
        <v>374</v>
      </c>
      <c r="BM212" s="1" t="s">
        <v>159</v>
      </c>
      <c r="BN212">
        <v>3.6</v>
      </c>
      <c r="BO212">
        <v>3</v>
      </c>
      <c r="BP212" s="1" t="s">
        <v>169</v>
      </c>
      <c r="BQ212" s="1" t="s">
        <v>161</v>
      </c>
      <c r="BR212" s="1" t="s">
        <v>189</v>
      </c>
      <c r="BS212">
        <v>1</v>
      </c>
      <c r="BT212" s="1" t="s">
        <v>128</v>
      </c>
      <c r="BU212">
        <v>1</v>
      </c>
      <c r="BV212" s="1" t="s">
        <v>128</v>
      </c>
      <c r="BW212" s="1" t="s">
        <v>169</v>
      </c>
      <c r="BX212">
        <v>1.6</v>
      </c>
      <c r="BY212" s="1" t="s">
        <v>128</v>
      </c>
      <c r="BZ212" s="1" t="s">
        <v>298</v>
      </c>
      <c r="CA212">
        <v>0</v>
      </c>
      <c r="CB212" s="1" t="s">
        <v>2901</v>
      </c>
      <c r="CC212">
        <v>0</v>
      </c>
      <c r="CD212" s="1" t="s">
        <v>2902</v>
      </c>
      <c r="CE212">
        <v>0</v>
      </c>
      <c r="CF212" s="1" t="s">
        <v>2572</v>
      </c>
      <c r="CG212" s="1" t="s">
        <v>449</v>
      </c>
      <c r="CH212" s="1" t="s">
        <v>398</v>
      </c>
      <c r="CI212" s="1" t="s">
        <v>129</v>
      </c>
      <c r="CJ212" s="1" t="s">
        <v>304</v>
      </c>
      <c r="CK212" s="1" t="s">
        <v>169</v>
      </c>
      <c r="CL212" s="1" t="s">
        <v>159</v>
      </c>
      <c r="CM212">
        <v>63</v>
      </c>
      <c r="CN212">
        <v>67</v>
      </c>
      <c r="CO212" s="1" t="s">
        <v>930</v>
      </c>
      <c r="CP212" s="1" t="s">
        <v>2600</v>
      </c>
      <c r="CS212" s="1" t="s">
        <v>2903</v>
      </c>
      <c r="CT212">
        <v>1631</v>
      </c>
      <c r="CU212" s="1" t="s">
        <v>2904</v>
      </c>
      <c r="CV212" s="1" t="s">
        <v>2905</v>
      </c>
      <c r="CW212">
        <v>80.7</v>
      </c>
      <c r="CX212">
        <v>73.900000000000006</v>
      </c>
      <c r="CY212">
        <v>76</v>
      </c>
      <c r="CZ212">
        <v>74</v>
      </c>
      <c r="DA212">
        <v>1</v>
      </c>
      <c r="DB212" t="s">
        <v>1757</v>
      </c>
      <c r="DC212">
        <v>103</v>
      </c>
      <c r="DD212" s="1" t="s">
        <v>2906</v>
      </c>
      <c r="DE212" s="1" t="s">
        <v>2907</v>
      </c>
      <c r="DF212" t="e">
        <f>_xlfn.XLOOKUP(Table1[[#This Row],[Player ID]],Table2[feed_id],Table2[trade_status])</f>
        <v>#N/A</v>
      </c>
      <c r="DG212">
        <f>_xlfn.NUMBERVALUE(Table1[[#This Row],[predicted]])</f>
        <v>77.217977387719699</v>
      </c>
    </row>
    <row r="213" spans="1:111" hidden="1" x14ac:dyDescent="0.25">
      <c r="A213">
        <v>85124</v>
      </c>
      <c r="B213">
        <v>7089</v>
      </c>
      <c r="C213" t="s">
        <v>2896</v>
      </c>
      <c r="D213" t="s">
        <v>109</v>
      </c>
      <c r="E213">
        <v>2019</v>
      </c>
      <c r="F213">
        <v>293255</v>
      </c>
      <c r="G213" t="s">
        <v>2908</v>
      </c>
      <c r="H213" t="s">
        <v>2909</v>
      </c>
      <c r="I213" t="s">
        <v>524</v>
      </c>
      <c r="J213">
        <v>8</v>
      </c>
      <c r="K213">
        <v>38</v>
      </c>
      <c r="L213">
        <v>41</v>
      </c>
      <c r="M213">
        <v>30</v>
      </c>
      <c r="N213">
        <v>31</v>
      </c>
      <c r="O213">
        <v>45</v>
      </c>
      <c r="P213">
        <v>5</v>
      </c>
      <c r="Q213">
        <v>4</v>
      </c>
      <c r="R213">
        <v>1</v>
      </c>
      <c r="S213">
        <v>3</v>
      </c>
      <c r="T213">
        <v>0</v>
      </c>
      <c r="U213">
        <v>0</v>
      </c>
      <c r="V213">
        <v>2</v>
      </c>
      <c r="W213">
        <v>1</v>
      </c>
      <c r="X213">
        <v>0</v>
      </c>
      <c r="Y213" t="s">
        <v>113</v>
      </c>
      <c r="Z213" t="s">
        <v>1563</v>
      </c>
      <c r="AA213" t="s">
        <v>2910</v>
      </c>
      <c r="AH213" t="s">
        <v>118</v>
      </c>
      <c r="AI213">
        <v>33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S213">
        <v>5</v>
      </c>
      <c r="AT213">
        <v>2</v>
      </c>
      <c r="AU213">
        <v>3</v>
      </c>
      <c r="AV213">
        <v>88</v>
      </c>
      <c r="AW213">
        <v>80</v>
      </c>
      <c r="AZ213" t="b">
        <v>0</v>
      </c>
      <c r="BA213">
        <v>1755</v>
      </c>
      <c r="BB213">
        <v>1517</v>
      </c>
      <c r="BC213">
        <v>23</v>
      </c>
      <c r="BD213" t="s">
        <v>2911</v>
      </c>
      <c r="BE213">
        <v>101</v>
      </c>
      <c r="BF213">
        <v>0</v>
      </c>
      <c r="BG213">
        <v>74</v>
      </c>
      <c r="BH213">
        <v>0</v>
      </c>
      <c r="BI213" s="1" t="s">
        <v>211</v>
      </c>
      <c r="BJ213" s="1" t="s">
        <v>1066</v>
      </c>
      <c r="BK213" s="1" t="s">
        <v>125</v>
      </c>
      <c r="BL213">
        <v>7.8</v>
      </c>
      <c r="BM213" s="1" t="s">
        <v>169</v>
      </c>
      <c r="BN213">
        <v>2.2000000000000002</v>
      </c>
      <c r="BO213" s="1" t="s">
        <v>159</v>
      </c>
      <c r="BP213" s="1" t="s">
        <v>125</v>
      </c>
      <c r="BQ213">
        <v>0</v>
      </c>
      <c r="BR213">
        <v>0</v>
      </c>
      <c r="BS213">
        <v>0</v>
      </c>
      <c r="BT213" s="1" t="s">
        <v>127</v>
      </c>
      <c r="BU213" s="1" t="s">
        <v>128</v>
      </c>
      <c r="BV213">
        <v>0.6</v>
      </c>
      <c r="BW213" s="1" t="s">
        <v>128</v>
      </c>
      <c r="BX213" s="1" t="s">
        <v>231</v>
      </c>
      <c r="BY213" s="1" t="s">
        <v>128</v>
      </c>
      <c r="BZ213" s="1" t="s">
        <v>184</v>
      </c>
      <c r="CA213">
        <v>0</v>
      </c>
      <c r="CB213">
        <v>4.2519999999999998</v>
      </c>
      <c r="CC213">
        <v>0</v>
      </c>
      <c r="CD213" s="1" t="s">
        <v>2912</v>
      </c>
      <c r="CE213">
        <v>0</v>
      </c>
      <c r="CF213" s="1" t="s">
        <v>2913</v>
      </c>
      <c r="CG213">
        <v>3</v>
      </c>
      <c r="CH213" s="1" t="s">
        <v>680</v>
      </c>
      <c r="CI213">
        <v>1</v>
      </c>
      <c r="CJ213" s="1" t="s">
        <v>528</v>
      </c>
      <c r="CK213" s="1" t="s">
        <v>126</v>
      </c>
      <c r="CL213" s="1" t="s">
        <v>214</v>
      </c>
      <c r="CM213">
        <v>69</v>
      </c>
      <c r="CN213" s="1" t="s">
        <v>2914</v>
      </c>
      <c r="CO213" s="1" t="s">
        <v>241</v>
      </c>
      <c r="CP213" s="1" t="s">
        <v>1471</v>
      </c>
      <c r="CS213">
        <v>1455</v>
      </c>
      <c r="CT213" s="1" t="s">
        <v>2915</v>
      </c>
      <c r="CU213" s="1" t="s">
        <v>2916</v>
      </c>
      <c r="CV213" s="1" t="s">
        <v>2917</v>
      </c>
      <c r="CW213">
        <v>64.849999999999994</v>
      </c>
      <c r="CX213">
        <v>54</v>
      </c>
      <c r="CY213">
        <v>45.2</v>
      </c>
      <c r="CZ213">
        <v>38</v>
      </c>
      <c r="DA213">
        <v>1</v>
      </c>
      <c r="DB213" t="s">
        <v>1563</v>
      </c>
      <c r="DC213">
        <v>41</v>
      </c>
      <c r="DD213" s="1" t="s">
        <v>2918</v>
      </c>
      <c r="DE213">
        <v>-31.059433128245001</v>
      </c>
      <c r="DF213" t="e">
        <f>_xlfn.XLOOKUP(Table1[[#This Row],[Player ID]],Table2[feed_id],Table2[trade_status])</f>
        <v>#N/A</v>
      </c>
      <c r="DG213">
        <f>_xlfn.NUMBERVALUE(Table1[[#This Row],[predicted]])</f>
        <v>72.059433128245004</v>
      </c>
    </row>
    <row r="214" spans="1:111" hidden="1" x14ac:dyDescent="0.25">
      <c r="A214">
        <v>85187</v>
      </c>
      <c r="B214">
        <v>7091</v>
      </c>
      <c r="C214" t="s">
        <v>2919</v>
      </c>
      <c r="D214" t="s">
        <v>198</v>
      </c>
      <c r="E214">
        <v>2019</v>
      </c>
      <c r="F214">
        <v>240226</v>
      </c>
      <c r="G214" t="s">
        <v>2920</v>
      </c>
      <c r="H214" t="s">
        <v>1127</v>
      </c>
      <c r="I214" t="s">
        <v>338</v>
      </c>
      <c r="J214">
        <v>10</v>
      </c>
      <c r="K214">
        <v>47</v>
      </c>
      <c r="L214">
        <v>46</v>
      </c>
      <c r="M214">
        <v>58</v>
      </c>
      <c r="N214">
        <v>38</v>
      </c>
      <c r="O214">
        <v>51</v>
      </c>
      <c r="P214">
        <v>5</v>
      </c>
      <c r="Q214">
        <v>6</v>
      </c>
      <c r="R214">
        <v>2</v>
      </c>
      <c r="S214">
        <v>2</v>
      </c>
      <c r="T214">
        <v>0</v>
      </c>
      <c r="U214">
        <v>0</v>
      </c>
      <c r="V214">
        <v>0</v>
      </c>
      <c r="W214">
        <v>1</v>
      </c>
      <c r="X214">
        <v>0</v>
      </c>
      <c r="Y214" t="s">
        <v>113</v>
      </c>
      <c r="Z214" t="s">
        <v>525</v>
      </c>
      <c r="AA214" t="s">
        <v>2921</v>
      </c>
      <c r="AD214">
        <v>0</v>
      </c>
      <c r="AF214">
        <v>0</v>
      </c>
      <c r="AH214" t="s">
        <v>118</v>
      </c>
      <c r="AI214">
        <v>15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S214">
        <v>5</v>
      </c>
      <c r="AT214">
        <v>0</v>
      </c>
      <c r="AU214">
        <v>3</v>
      </c>
      <c r="AV214">
        <v>81</v>
      </c>
      <c r="AW214">
        <v>77</v>
      </c>
      <c r="AZ214" t="b">
        <v>0</v>
      </c>
      <c r="BA214">
        <v>1503</v>
      </c>
      <c r="BB214">
        <v>1771</v>
      </c>
      <c r="BC214">
        <v>24</v>
      </c>
      <c r="BD214" t="s">
        <v>2922</v>
      </c>
      <c r="BE214">
        <v>98</v>
      </c>
      <c r="BF214">
        <v>0</v>
      </c>
      <c r="BG214">
        <v>72</v>
      </c>
      <c r="BH214">
        <v>0</v>
      </c>
      <c r="BI214">
        <v>6</v>
      </c>
      <c r="BJ214" s="1" t="s">
        <v>1079</v>
      </c>
      <c r="BK214">
        <v>5</v>
      </c>
      <c r="BL214" s="1" t="s">
        <v>321</v>
      </c>
      <c r="BM214" s="1" t="s">
        <v>161</v>
      </c>
      <c r="BN214" s="1" t="s">
        <v>566</v>
      </c>
      <c r="BO214">
        <v>3</v>
      </c>
      <c r="BP214" s="1" t="s">
        <v>766</v>
      </c>
      <c r="BQ214">
        <v>0</v>
      </c>
      <c r="BR214">
        <v>0</v>
      </c>
      <c r="BS214">
        <v>1</v>
      </c>
      <c r="BT214">
        <v>0.6</v>
      </c>
      <c r="BU214">
        <v>0</v>
      </c>
      <c r="BV214" s="1" t="s">
        <v>231</v>
      </c>
      <c r="BW214" s="1" t="s">
        <v>129</v>
      </c>
      <c r="BX214" s="1" t="s">
        <v>231</v>
      </c>
      <c r="BY214">
        <v>0</v>
      </c>
      <c r="BZ214">
        <v>0.4</v>
      </c>
      <c r="CA214">
        <v>0</v>
      </c>
      <c r="CB214">
        <v>0.25600000000000001</v>
      </c>
      <c r="CC214">
        <v>0</v>
      </c>
      <c r="CD214" s="1" t="s">
        <v>2923</v>
      </c>
      <c r="CE214">
        <v>0</v>
      </c>
      <c r="CF214">
        <v>0.76200000000000001</v>
      </c>
      <c r="CG214" s="1" t="s">
        <v>160</v>
      </c>
      <c r="CH214" s="1" t="s">
        <v>256</v>
      </c>
      <c r="CI214" s="1" t="s">
        <v>126</v>
      </c>
      <c r="CJ214">
        <v>1</v>
      </c>
      <c r="CK214" s="1" t="s">
        <v>126</v>
      </c>
      <c r="CL214" s="1" t="s">
        <v>375</v>
      </c>
      <c r="CM214" s="1" t="s">
        <v>930</v>
      </c>
      <c r="CN214">
        <v>61.8</v>
      </c>
      <c r="CO214">
        <v>77</v>
      </c>
      <c r="CP214" s="1" t="s">
        <v>2924</v>
      </c>
      <c r="CS214" s="1" t="s">
        <v>2925</v>
      </c>
      <c r="CT214" s="1" t="s">
        <v>2926</v>
      </c>
      <c r="CU214" s="1" t="s">
        <v>455</v>
      </c>
      <c r="CV214" s="1" t="s">
        <v>2927</v>
      </c>
      <c r="CW214">
        <v>50.85</v>
      </c>
      <c r="CX214">
        <v>52.6</v>
      </c>
      <c r="CY214">
        <v>45.2</v>
      </c>
      <c r="CZ214">
        <v>49</v>
      </c>
      <c r="DA214">
        <v>1</v>
      </c>
      <c r="DB214" t="s">
        <v>525</v>
      </c>
      <c r="DC214">
        <v>46</v>
      </c>
      <c r="DD214" s="1" t="s">
        <v>2928</v>
      </c>
      <c r="DE214">
        <v>-8.1008475229321704</v>
      </c>
      <c r="DF214" t="e">
        <f>_xlfn.XLOOKUP(Table1[[#This Row],[Player ID]],Table2[feed_id],Table2[trade_status])</f>
        <v>#N/A</v>
      </c>
      <c r="DG214">
        <f>_xlfn.NUMBERVALUE(Table1[[#This Row],[predicted]])</f>
        <v>54.100847522932099</v>
      </c>
    </row>
    <row r="215" spans="1:111" hidden="1" x14ac:dyDescent="0.25">
      <c r="A215">
        <v>85188</v>
      </c>
      <c r="B215">
        <v>7091</v>
      </c>
      <c r="C215" t="s">
        <v>2919</v>
      </c>
      <c r="D215" t="s">
        <v>198</v>
      </c>
      <c r="E215">
        <v>2019</v>
      </c>
      <c r="F215">
        <v>230253</v>
      </c>
      <c r="G215" t="s">
        <v>1548</v>
      </c>
      <c r="H215" t="s">
        <v>2929</v>
      </c>
      <c r="I215" t="s">
        <v>338</v>
      </c>
      <c r="J215">
        <v>10</v>
      </c>
      <c r="K215">
        <v>45</v>
      </c>
      <c r="L215">
        <v>51</v>
      </c>
      <c r="M215">
        <v>56</v>
      </c>
      <c r="N215">
        <v>43</v>
      </c>
      <c r="O215">
        <v>57</v>
      </c>
      <c r="P215">
        <v>4</v>
      </c>
      <c r="Q215">
        <v>7</v>
      </c>
      <c r="R215">
        <v>5</v>
      </c>
      <c r="S215">
        <v>1</v>
      </c>
      <c r="T215">
        <v>0</v>
      </c>
      <c r="U215">
        <v>0</v>
      </c>
      <c r="V215">
        <v>2</v>
      </c>
      <c r="W215">
        <v>1</v>
      </c>
      <c r="X215">
        <v>0</v>
      </c>
      <c r="Y215" t="s">
        <v>113</v>
      </c>
      <c r="Z215" t="s">
        <v>226</v>
      </c>
      <c r="AA215" t="s">
        <v>2930</v>
      </c>
      <c r="AD215">
        <v>0</v>
      </c>
      <c r="AF215">
        <v>0</v>
      </c>
      <c r="AH215" t="s">
        <v>181</v>
      </c>
      <c r="AI215">
        <v>3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S215">
        <v>2</v>
      </c>
      <c r="AT215">
        <v>0</v>
      </c>
      <c r="AU215">
        <v>4</v>
      </c>
      <c r="AV215">
        <v>72</v>
      </c>
      <c r="AW215">
        <v>78</v>
      </c>
      <c r="AZ215" t="b">
        <v>0</v>
      </c>
      <c r="BA215">
        <v>1503</v>
      </c>
      <c r="BB215">
        <v>1771</v>
      </c>
      <c r="BC215">
        <v>24</v>
      </c>
      <c r="BD215" t="s">
        <v>2922</v>
      </c>
      <c r="BE215">
        <v>98</v>
      </c>
      <c r="BF215">
        <v>0</v>
      </c>
      <c r="BG215">
        <v>72</v>
      </c>
      <c r="BH215">
        <v>0</v>
      </c>
      <c r="BI215">
        <v>5</v>
      </c>
      <c r="BJ215">
        <v>11</v>
      </c>
      <c r="BK215" s="1" t="s">
        <v>253</v>
      </c>
      <c r="BL215" s="1" t="s">
        <v>358</v>
      </c>
      <c r="BM215" s="1" t="s">
        <v>160</v>
      </c>
      <c r="BN215">
        <v>4.8</v>
      </c>
      <c r="BO215" s="1" t="s">
        <v>161</v>
      </c>
      <c r="BP215" s="1" t="s">
        <v>375</v>
      </c>
      <c r="BQ215">
        <v>0</v>
      </c>
      <c r="BR215">
        <v>0</v>
      </c>
      <c r="BS215" s="1" t="s">
        <v>128</v>
      </c>
      <c r="BT215" s="1" t="s">
        <v>128</v>
      </c>
      <c r="BU215" s="1" t="s">
        <v>128</v>
      </c>
      <c r="BV215" s="1" t="s">
        <v>129</v>
      </c>
      <c r="BW215" s="1" t="s">
        <v>129</v>
      </c>
      <c r="BX215" s="1" t="s">
        <v>213</v>
      </c>
      <c r="BY215">
        <v>0</v>
      </c>
      <c r="BZ215">
        <v>0</v>
      </c>
      <c r="CA215">
        <v>0</v>
      </c>
      <c r="CB215" s="1" t="s">
        <v>2931</v>
      </c>
      <c r="CC215">
        <v>0</v>
      </c>
      <c r="CD215" s="1" t="s">
        <v>467</v>
      </c>
      <c r="CE215">
        <v>0</v>
      </c>
      <c r="CF215" s="1" t="s">
        <v>2932</v>
      </c>
      <c r="CG215" s="1" t="s">
        <v>159</v>
      </c>
      <c r="CH215" s="1" t="s">
        <v>230</v>
      </c>
      <c r="CI215" s="1" t="s">
        <v>129</v>
      </c>
      <c r="CJ215" s="1" t="s">
        <v>298</v>
      </c>
      <c r="CK215" s="1" t="s">
        <v>126</v>
      </c>
      <c r="CL215" s="1" t="s">
        <v>257</v>
      </c>
      <c r="CM215" s="1" t="s">
        <v>1491</v>
      </c>
      <c r="CN215">
        <v>83.4</v>
      </c>
      <c r="CO215" s="1" t="s">
        <v>1242</v>
      </c>
      <c r="CP215">
        <v>78.400000000000006</v>
      </c>
      <c r="CS215" s="1" t="s">
        <v>2462</v>
      </c>
      <c r="CT215">
        <v>1680.6</v>
      </c>
      <c r="CU215" s="1" t="s">
        <v>2933</v>
      </c>
      <c r="CV215" s="1" t="s">
        <v>2934</v>
      </c>
      <c r="CW215">
        <v>85.55</v>
      </c>
      <c r="CX215">
        <v>78.3</v>
      </c>
      <c r="CY215">
        <v>70.2</v>
      </c>
      <c r="CZ215" s="1" t="s">
        <v>1291</v>
      </c>
      <c r="DA215">
        <v>1</v>
      </c>
      <c r="DB215" t="s">
        <v>226</v>
      </c>
      <c r="DC215">
        <v>51</v>
      </c>
      <c r="DD215" s="1" t="s">
        <v>2935</v>
      </c>
      <c r="DE215">
        <v>-45.8233295329876</v>
      </c>
      <c r="DF215" t="e">
        <f>_xlfn.XLOOKUP(Table1[[#This Row],[Player ID]],Table2[feed_id],Table2[trade_status])</f>
        <v>#N/A</v>
      </c>
      <c r="DG215">
        <f>_xlfn.NUMBERVALUE(Table1[[#This Row],[predicted]])</f>
        <v>96.8233295329876</v>
      </c>
    </row>
    <row r="216" spans="1:111" hidden="1" x14ac:dyDescent="0.25">
      <c r="A216">
        <v>85190</v>
      </c>
      <c r="B216">
        <v>7091</v>
      </c>
      <c r="C216" t="s">
        <v>2919</v>
      </c>
      <c r="D216" t="s">
        <v>198</v>
      </c>
      <c r="E216">
        <v>2019</v>
      </c>
      <c r="F216">
        <v>291307</v>
      </c>
      <c r="G216" t="s">
        <v>289</v>
      </c>
      <c r="H216" t="s">
        <v>1223</v>
      </c>
      <c r="I216" t="s">
        <v>338</v>
      </c>
      <c r="J216">
        <v>2</v>
      </c>
      <c r="K216">
        <v>34</v>
      </c>
      <c r="L216">
        <v>12</v>
      </c>
      <c r="M216">
        <v>45</v>
      </c>
      <c r="N216">
        <v>26</v>
      </c>
      <c r="O216">
        <v>34</v>
      </c>
      <c r="P216">
        <v>6</v>
      </c>
      <c r="Q216">
        <v>1</v>
      </c>
      <c r="R216">
        <v>3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 t="s">
        <v>113</v>
      </c>
      <c r="Z216" t="s">
        <v>778</v>
      </c>
      <c r="AA216" t="s">
        <v>2936</v>
      </c>
      <c r="AB216" t="s">
        <v>861</v>
      </c>
      <c r="AC216" t="s">
        <v>2937</v>
      </c>
      <c r="AD216">
        <v>0</v>
      </c>
      <c r="AF216">
        <v>0</v>
      </c>
      <c r="AH216" t="s">
        <v>155</v>
      </c>
      <c r="AI216">
        <v>2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S216">
        <v>1</v>
      </c>
      <c r="AT216">
        <v>0</v>
      </c>
      <c r="AU216">
        <v>2</v>
      </c>
      <c r="AV216">
        <v>28</v>
      </c>
      <c r="AW216">
        <v>67</v>
      </c>
      <c r="AZ216" t="b">
        <v>1</v>
      </c>
      <c r="BA216">
        <v>1503</v>
      </c>
      <c r="BB216">
        <v>1771</v>
      </c>
      <c r="BC216">
        <v>24</v>
      </c>
      <c r="BD216" t="s">
        <v>2922</v>
      </c>
      <c r="BE216">
        <v>98</v>
      </c>
      <c r="BF216">
        <v>0</v>
      </c>
      <c r="BG216">
        <v>72</v>
      </c>
      <c r="BH216">
        <v>0</v>
      </c>
      <c r="BI216" s="1" t="s">
        <v>253</v>
      </c>
      <c r="BJ216" s="1" t="s">
        <v>397</v>
      </c>
      <c r="BK216" s="1" t="s">
        <v>161</v>
      </c>
      <c r="BL216" s="1" t="s">
        <v>237</v>
      </c>
      <c r="BM216" s="1" t="s">
        <v>160</v>
      </c>
      <c r="BN216">
        <v>3.6</v>
      </c>
      <c r="BO216">
        <v>2</v>
      </c>
      <c r="BP216" s="1" t="s">
        <v>126</v>
      </c>
      <c r="BQ216">
        <v>0</v>
      </c>
      <c r="BR216">
        <v>0</v>
      </c>
      <c r="BS216" s="1" t="s">
        <v>128</v>
      </c>
      <c r="BT216">
        <v>0.8</v>
      </c>
      <c r="BU216" s="1" t="s">
        <v>128</v>
      </c>
      <c r="BV216">
        <v>0.6</v>
      </c>
      <c r="BW216" s="1" t="s">
        <v>126</v>
      </c>
      <c r="BX216" s="1" t="s">
        <v>257</v>
      </c>
      <c r="BY216" s="1" t="s">
        <v>161</v>
      </c>
      <c r="BZ216" s="1" t="s">
        <v>162</v>
      </c>
      <c r="CA216">
        <v>0</v>
      </c>
      <c r="CB216">
        <v>3.8666666666666599E-2</v>
      </c>
      <c r="CC216">
        <v>0</v>
      </c>
      <c r="CD216" s="1" t="s">
        <v>2938</v>
      </c>
      <c r="CE216">
        <v>0</v>
      </c>
      <c r="CF216" s="1" t="s">
        <v>2939</v>
      </c>
      <c r="CG216" s="1" t="s">
        <v>169</v>
      </c>
      <c r="CH216">
        <v>3.8</v>
      </c>
      <c r="CI216">
        <v>0</v>
      </c>
      <c r="CJ216" s="1" t="s">
        <v>184</v>
      </c>
      <c r="CK216">
        <v>2</v>
      </c>
      <c r="CL216" s="1" t="s">
        <v>161</v>
      </c>
      <c r="CM216">
        <v>36</v>
      </c>
      <c r="CN216">
        <v>64.599999999999994</v>
      </c>
      <c r="CO216" s="1" t="s">
        <v>263</v>
      </c>
      <c r="CP216">
        <v>76.8</v>
      </c>
      <c r="CS216" s="1" t="s">
        <v>2732</v>
      </c>
      <c r="CT216" s="1" t="s">
        <v>633</v>
      </c>
      <c r="CU216" s="1" t="s">
        <v>2940</v>
      </c>
      <c r="CV216" s="1" t="s">
        <v>2941</v>
      </c>
      <c r="CW216">
        <v>58.75</v>
      </c>
      <c r="CX216">
        <v>51.4</v>
      </c>
      <c r="CY216">
        <v>47.8</v>
      </c>
      <c r="CZ216" s="1" t="s">
        <v>2942</v>
      </c>
      <c r="DA216">
        <v>1</v>
      </c>
      <c r="DB216" t="s">
        <v>778</v>
      </c>
      <c r="DC216">
        <v>12</v>
      </c>
      <c r="DD216" s="1" t="s">
        <v>2943</v>
      </c>
      <c r="DE216">
        <v>-57.3072325607951</v>
      </c>
      <c r="DF216" t="e">
        <f>_xlfn.XLOOKUP(Table1[[#This Row],[Player ID]],Table2[feed_id],Table2[trade_status])</f>
        <v>#N/A</v>
      </c>
      <c r="DG216">
        <f>_xlfn.NUMBERVALUE(Table1[[#This Row],[predicted]])</f>
        <v>69.3072325607951</v>
      </c>
    </row>
    <row r="217" spans="1:111" hidden="1" x14ac:dyDescent="0.25">
      <c r="A217">
        <v>85208</v>
      </c>
      <c r="B217">
        <v>7091</v>
      </c>
      <c r="C217" t="s">
        <v>2919</v>
      </c>
      <c r="D217" t="s">
        <v>198</v>
      </c>
      <c r="E217">
        <v>2019</v>
      </c>
      <c r="F217">
        <v>260278</v>
      </c>
      <c r="G217" t="s">
        <v>958</v>
      </c>
      <c r="H217" t="s">
        <v>2944</v>
      </c>
      <c r="I217" t="s">
        <v>152</v>
      </c>
      <c r="J217">
        <v>3</v>
      </c>
      <c r="K217">
        <v>39</v>
      </c>
      <c r="L217">
        <v>46</v>
      </c>
      <c r="M217">
        <v>29</v>
      </c>
      <c r="N217">
        <v>35</v>
      </c>
      <c r="O217">
        <v>42</v>
      </c>
      <c r="P217">
        <v>4</v>
      </c>
      <c r="Q217">
        <v>5</v>
      </c>
      <c r="R217">
        <v>2</v>
      </c>
      <c r="S217">
        <v>0</v>
      </c>
      <c r="T217">
        <v>8</v>
      </c>
      <c r="U217">
        <v>2</v>
      </c>
      <c r="V217">
        <v>0</v>
      </c>
      <c r="W217">
        <v>0</v>
      </c>
      <c r="X217">
        <v>1</v>
      </c>
      <c r="Y217" t="s">
        <v>113</v>
      </c>
      <c r="Z217" t="s">
        <v>656</v>
      </c>
      <c r="AA217" t="s">
        <v>2945</v>
      </c>
      <c r="AD217">
        <v>0</v>
      </c>
      <c r="AF217">
        <v>0</v>
      </c>
      <c r="AH217" t="s">
        <v>181</v>
      </c>
      <c r="AI217">
        <v>47</v>
      </c>
      <c r="AJ217">
        <v>17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S217">
        <v>6</v>
      </c>
      <c r="AT217">
        <v>1</v>
      </c>
      <c r="AU217">
        <v>0</v>
      </c>
      <c r="AV217">
        <v>77</v>
      </c>
      <c r="AW217">
        <v>82</v>
      </c>
      <c r="AZ217" t="b">
        <v>0</v>
      </c>
      <c r="BA217">
        <v>1771</v>
      </c>
      <c r="BB217">
        <v>1503</v>
      </c>
      <c r="BC217">
        <v>24</v>
      </c>
      <c r="BD217" t="s">
        <v>2946</v>
      </c>
      <c r="BE217">
        <v>98</v>
      </c>
      <c r="BF217">
        <v>0</v>
      </c>
      <c r="BG217">
        <v>72</v>
      </c>
      <c r="BH217">
        <v>0</v>
      </c>
      <c r="BI217" s="1" t="s">
        <v>160</v>
      </c>
      <c r="BJ217" s="1" t="s">
        <v>416</v>
      </c>
      <c r="BK217" s="1" t="s">
        <v>449</v>
      </c>
      <c r="BL217" s="1" t="s">
        <v>230</v>
      </c>
      <c r="BM217">
        <v>2</v>
      </c>
      <c r="BN217">
        <v>3</v>
      </c>
      <c r="BO217" s="1" t="s">
        <v>128</v>
      </c>
      <c r="BP217" s="1" t="s">
        <v>327</v>
      </c>
      <c r="BQ217" s="1" t="s">
        <v>169</v>
      </c>
      <c r="BR217" s="1" t="s">
        <v>375</v>
      </c>
      <c r="BS217" s="1" t="s">
        <v>161</v>
      </c>
      <c r="BT217" s="1" t="s">
        <v>257</v>
      </c>
      <c r="BU217" s="1" t="s">
        <v>128</v>
      </c>
      <c r="BV217" s="1" t="s">
        <v>127</v>
      </c>
      <c r="BW217">
        <v>0</v>
      </c>
      <c r="BX217">
        <v>6.6666666666666596E-2</v>
      </c>
      <c r="BY217" s="1" t="s">
        <v>129</v>
      </c>
      <c r="BZ217">
        <v>6.6666666666666596E-2</v>
      </c>
      <c r="CA217">
        <v>0</v>
      </c>
      <c r="CB217" s="1" t="s">
        <v>2156</v>
      </c>
      <c r="CC217">
        <v>0</v>
      </c>
      <c r="CD217" s="1" t="s">
        <v>2947</v>
      </c>
      <c r="CE217" s="1" t="s">
        <v>1284</v>
      </c>
      <c r="CF217" s="1" t="s">
        <v>2948</v>
      </c>
      <c r="CG217">
        <v>6</v>
      </c>
      <c r="CH217" s="1" t="s">
        <v>205</v>
      </c>
      <c r="CI217" s="1" t="s">
        <v>129</v>
      </c>
      <c r="CJ217">
        <v>0.2</v>
      </c>
      <c r="CK217">
        <v>1</v>
      </c>
      <c r="CL217">
        <v>2.4</v>
      </c>
      <c r="CM217" s="1" t="s">
        <v>1258</v>
      </c>
      <c r="CN217" s="1" t="s">
        <v>2949</v>
      </c>
      <c r="CO217">
        <v>93</v>
      </c>
      <c r="CP217">
        <v>94.2</v>
      </c>
      <c r="CS217">
        <v>1467</v>
      </c>
      <c r="CT217" s="1" t="s">
        <v>2950</v>
      </c>
      <c r="CU217" s="1" t="s">
        <v>2951</v>
      </c>
      <c r="CV217" s="1" t="s">
        <v>2952</v>
      </c>
      <c r="CW217">
        <v>52.4</v>
      </c>
      <c r="CX217">
        <v>53.1</v>
      </c>
      <c r="CY217">
        <v>56.4</v>
      </c>
      <c r="CZ217" s="1" t="s">
        <v>2953</v>
      </c>
      <c r="DA217">
        <v>1</v>
      </c>
      <c r="DB217" t="s">
        <v>656</v>
      </c>
      <c r="DC217">
        <v>46</v>
      </c>
      <c r="DD217" s="1" t="s">
        <v>2954</v>
      </c>
      <c r="DE217">
        <v>-12.500039745513501</v>
      </c>
      <c r="DF217" t="e">
        <f>_xlfn.XLOOKUP(Table1[[#This Row],[Player ID]],Table2[feed_id],Table2[trade_status])</f>
        <v>#N/A</v>
      </c>
      <c r="DG217">
        <f>_xlfn.NUMBERVALUE(Table1[[#This Row],[predicted]])</f>
        <v>58.500039745513497</v>
      </c>
    </row>
    <row r="218" spans="1:111" hidden="1" x14ac:dyDescent="0.25">
      <c r="A218">
        <v>85210</v>
      </c>
      <c r="B218">
        <v>7091</v>
      </c>
      <c r="C218" t="s">
        <v>2919</v>
      </c>
      <c r="D218" t="s">
        <v>198</v>
      </c>
      <c r="E218">
        <v>2019</v>
      </c>
      <c r="F218">
        <v>260310</v>
      </c>
      <c r="G218" t="s">
        <v>508</v>
      </c>
      <c r="H218" t="s">
        <v>2955</v>
      </c>
      <c r="I218" t="s">
        <v>152</v>
      </c>
      <c r="J218">
        <v>3</v>
      </c>
      <c r="K218">
        <v>33</v>
      </c>
      <c r="L218">
        <v>63</v>
      </c>
      <c r="M218">
        <v>24</v>
      </c>
      <c r="N218">
        <v>26</v>
      </c>
      <c r="O218">
        <v>36</v>
      </c>
      <c r="P218">
        <v>5</v>
      </c>
      <c r="Q218">
        <v>3</v>
      </c>
      <c r="R218">
        <v>2</v>
      </c>
      <c r="S218">
        <v>2</v>
      </c>
      <c r="T218">
        <v>0</v>
      </c>
      <c r="U218">
        <v>1</v>
      </c>
      <c r="V218">
        <v>1</v>
      </c>
      <c r="W218">
        <v>0</v>
      </c>
      <c r="X218">
        <v>0</v>
      </c>
      <c r="Y218" t="s">
        <v>113</v>
      </c>
      <c r="Z218" t="s">
        <v>179</v>
      </c>
      <c r="AA218" t="s">
        <v>2956</v>
      </c>
      <c r="AD218">
        <v>0</v>
      </c>
      <c r="AF218">
        <v>0</v>
      </c>
      <c r="AH218" t="s">
        <v>181</v>
      </c>
      <c r="AI218">
        <v>22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S218">
        <v>3</v>
      </c>
      <c r="AT218">
        <v>1</v>
      </c>
      <c r="AU218">
        <v>1</v>
      </c>
      <c r="AV218">
        <v>100</v>
      </c>
      <c r="AW218">
        <v>91</v>
      </c>
      <c r="AZ218" t="b">
        <v>0</v>
      </c>
      <c r="BA218">
        <v>1771</v>
      </c>
      <c r="BB218">
        <v>1503</v>
      </c>
      <c r="BC218">
        <v>24</v>
      </c>
      <c r="BD218" t="s">
        <v>2946</v>
      </c>
      <c r="BE218">
        <v>98</v>
      </c>
      <c r="BF218">
        <v>0</v>
      </c>
      <c r="BG218">
        <v>72</v>
      </c>
      <c r="BH218">
        <v>0</v>
      </c>
      <c r="BI218" s="1" t="s">
        <v>160</v>
      </c>
      <c r="BJ218" s="1" t="s">
        <v>211</v>
      </c>
      <c r="BK218" s="1" t="s">
        <v>138</v>
      </c>
      <c r="BL218" s="1" t="s">
        <v>990</v>
      </c>
      <c r="BM218">
        <v>3</v>
      </c>
      <c r="BN218" s="1" t="s">
        <v>528</v>
      </c>
      <c r="BO218" s="1" t="s">
        <v>126</v>
      </c>
      <c r="BP218" s="1" t="s">
        <v>304</v>
      </c>
      <c r="BQ218">
        <v>0</v>
      </c>
      <c r="BR218">
        <v>0</v>
      </c>
      <c r="BS218" s="1" t="s">
        <v>128</v>
      </c>
      <c r="BT218" s="1" t="s">
        <v>130</v>
      </c>
      <c r="BU218" s="1" t="s">
        <v>129</v>
      </c>
      <c r="BV218" s="1" t="s">
        <v>231</v>
      </c>
      <c r="BW218">
        <v>0</v>
      </c>
      <c r="BX218">
        <v>0</v>
      </c>
      <c r="BY218">
        <v>0</v>
      </c>
      <c r="BZ218">
        <v>0</v>
      </c>
      <c r="CA218">
        <v>0</v>
      </c>
      <c r="CB218" s="1" t="s">
        <v>2957</v>
      </c>
      <c r="CC218">
        <v>0</v>
      </c>
      <c r="CD218">
        <v>0.32800000000000001</v>
      </c>
      <c r="CE218">
        <v>0</v>
      </c>
      <c r="CF218">
        <v>1.76</v>
      </c>
      <c r="CG218">
        <v>3</v>
      </c>
      <c r="CH218" s="1" t="s">
        <v>640</v>
      </c>
      <c r="CI218">
        <v>1</v>
      </c>
      <c r="CJ218" s="1" t="s">
        <v>231</v>
      </c>
      <c r="CK218" s="1" t="s">
        <v>129</v>
      </c>
      <c r="CL218" s="1" t="s">
        <v>162</v>
      </c>
      <c r="CM218" s="1" t="s">
        <v>554</v>
      </c>
      <c r="CN218">
        <v>86.2</v>
      </c>
      <c r="CO218" s="1" t="s">
        <v>941</v>
      </c>
      <c r="CP218" s="1" t="s">
        <v>1081</v>
      </c>
      <c r="CS218" s="1" t="s">
        <v>2958</v>
      </c>
      <c r="CT218" s="1" t="s">
        <v>2959</v>
      </c>
      <c r="CU218">
        <v>1671</v>
      </c>
      <c r="CV218" s="1" t="s">
        <v>1244</v>
      </c>
      <c r="CW218">
        <v>51.65</v>
      </c>
      <c r="CX218">
        <v>53.7</v>
      </c>
      <c r="CY218">
        <v>51.2</v>
      </c>
      <c r="CZ218">
        <v>53</v>
      </c>
      <c r="DA218">
        <v>1</v>
      </c>
      <c r="DB218" t="s">
        <v>179</v>
      </c>
      <c r="DC218">
        <v>63</v>
      </c>
      <c r="DD218" s="1" t="s">
        <v>2960</v>
      </c>
      <c r="DE218" s="1" t="s">
        <v>2961</v>
      </c>
      <c r="DF218" t="e">
        <f>_xlfn.XLOOKUP(Table1[[#This Row],[Player ID]],Table2[feed_id],Table2[trade_status])</f>
        <v>#N/A</v>
      </c>
      <c r="DG218">
        <f>_xlfn.NUMBERVALUE(Table1[[#This Row],[predicted]])</f>
        <v>44.071209008323997</v>
      </c>
    </row>
    <row r="219" spans="1:111" hidden="1" x14ac:dyDescent="0.25">
      <c r="A219">
        <v>85226</v>
      </c>
      <c r="B219">
        <v>7092</v>
      </c>
      <c r="C219" t="s">
        <v>2962</v>
      </c>
      <c r="D219" t="s">
        <v>198</v>
      </c>
      <c r="E219">
        <v>2019</v>
      </c>
      <c r="F219">
        <v>281395</v>
      </c>
      <c r="G219" t="s">
        <v>2963</v>
      </c>
      <c r="H219" t="s">
        <v>1395</v>
      </c>
      <c r="I219" t="s">
        <v>813</v>
      </c>
      <c r="J219">
        <v>5</v>
      </c>
      <c r="K219">
        <v>55</v>
      </c>
      <c r="L219">
        <v>57</v>
      </c>
      <c r="M219">
        <v>71</v>
      </c>
      <c r="N219">
        <v>45</v>
      </c>
      <c r="O219">
        <v>63</v>
      </c>
      <c r="P219">
        <v>6</v>
      </c>
      <c r="Q219">
        <v>8</v>
      </c>
      <c r="R219">
        <v>4</v>
      </c>
      <c r="S219">
        <v>3</v>
      </c>
      <c r="T219">
        <v>0</v>
      </c>
      <c r="U219">
        <v>0</v>
      </c>
      <c r="V219">
        <v>1</v>
      </c>
      <c r="W219">
        <v>0</v>
      </c>
      <c r="X219">
        <v>0</v>
      </c>
      <c r="Y219" t="s">
        <v>113</v>
      </c>
      <c r="Z219" t="s">
        <v>179</v>
      </c>
      <c r="AA219" t="s">
        <v>2964</v>
      </c>
      <c r="AD219">
        <v>0</v>
      </c>
      <c r="AF219">
        <v>0</v>
      </c>
      <c r="AH219" t="s">
        <v>181</v>
      </c>
      <c r="AI219">
        <v>16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S219">
        <v>3</v>
      </c>
      <c r="AT219">
        <v>0</v>
      </c>
      <c r="AU219">
        <v>3</v>
      </c>
      <c r="AV219">
        <v>85</v>
      </c>
      <c r="AW219">
        <v>86</v>
      </c>
      <c r="AZ219" t="b">
        <v>0</v>
      </c>
      <c r="BA219">
        <v>1607</v>
      </c>
      <c r="BB219">
        <v>1653</v>
      </c>
      <c r="BC219">
        <v>24</v>
      </c>
      <c r="BD219" t="s">
        <v>2965</v>
      </c>
      <c r="BE219">
        <v>98</v>
      </c>
      <c r="BF219">
        <v>0</v>
      </c>
      <c r="BG219">
        <v>72</v>
      </c>
      <c r="BH219">
        <v>0</v>
      </c>
      <c r="BI219">
        <v>11</v>
      </c>
      <c r="BJ219" s="1" t="s">
        <v>1008</v>
      </c>
      <c r="BK219">
        <v>7</v>
      </c>
      <c r="BL219" s="1" t="s">
        <v>229</v>
      </c>
      <c r="BM219" s="1" t="s">
        <v>124</v>
      </c>
      <c r="BN219">
        <v>4.5999999999999996</v>
      </c>
      <c r="BO219" s="1" t="s">
        <v>161</v>
      </c>
      <c r="BP219" s="1" t="s">
        <v>566</v>
      </c>
      <c r="BQ219">
        <v>0</v>
      </c>
      <c r="BR219">
        <v>0</v>
      </c>
      <c r="BS219" s="1" t="s">
        <v>129</v>
      </c>
      <c r="BT219">
        <v>0.4</v>
      </c>
      <c r="BU219" s="1" t="s">
        <v>128</v>
      </c>
      <c r="BV219">
        <v>1.2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 s="1" t="s">
        <v>124</v>
      </c>
      <c r="CH219" s="1" t="s">
        <v>781</v>
      </c>
      <c r="CI219" s="1" t="s">
        <v>129</v>
      </c>
      <c r="CJ219">
        <v>6.6666666666666596E-2</v>
      </c>
      <c r="CK219">
        <v>2</v>
      </c>
      <c r="CL219" s="1" t="s">
        <v>214</v>
      </c>
      <c r="CM219">
        <v>76</v>
      </c>
      <c r="CN219" s="1" t="s">
        <v>1258</v>
      </c>
      <c r="CO219" s="1" t="s">
        <v>516</v>
      </c>
      <c r="CP219">
        <v>88.2</v>
      </c>
      <c r="CS219" s="1" t="s">
        <v>2966</v>
      </c>
      <c r="CT219">
        <v>1657.4</v>
      </c>
      <c r="CU219" s="1" t="s">
        <v>2967</v>
      </c>
      <c r="CV219" s="1" t="s">
        <v>2968</v>
      </c>
      <c r="CW219">
        <v>71.2</v>
      </c>
      <c r="CX219">
        <v>69.099999999999994</v>
      </c>
      <c r="CY219">
        <v>71.599999999999994</v>
      </c>
      <c r="CZ219" s="1" t="s">
        <v>239</v>
      </c>
      <c r="DA219">
        <v>1</v>
      </c>
      <c r="DB219" t="s">
        <v>179</v>
      </c>
      <c r="DC219">
        <v>57</v>
      </c>
      <c r="DD219" s="1" t="s">
        <v>2969</v>
      </c>
      <c r="DE219">
        <v>-5.1653911786211699</v>
      </c>
      <c r="DF219" t="e">
        <f>_xlfn.XLOOKUP(Table1[[#This Row],[Player ID]],Table2[feed_id],Table2[trade_status])</f>
        <v>#N/A</v>
      </c>
      <c r="DG219">
        <f>_xlfn.NUMBERVALUE(Table1[[#This Row],[predicted]])</f>
        <v>62.1653911786211</v>
      </c>
    </row>
    <row r="220" spans="1:111" hidden="1" x14ac:dyDescent="0.25">
      <c r="A220">
        <v>85227</v>
      </c>
      <c r="B220">
        <v>7092</v>
      </c>
      <c r="C220" t="s">
        <v>2962</v>
      </c>
      <c r="D220" t="s">
        <v>198</v>
      </c>
      <c r="E220">
        <v>2019</v>
      </c>
      <c r="F220">
        <v>294556</v>
      </c>
      <c r="G220" t="s">
        <v>508</v>
      </c>
      <c r="H220" t="s">
        <v>2970</v>
      </c>
      <c r="I220" t="s">
        <v>813</v>
      </c>
      <c r="J220">
        <v>8</v>
      </c>
      <c r="K220">
        <v>55</v>
      </c>
      <c r="L220">
        <v>62</v>
      </c>
      <c r="M220">
        <v>66</v>
      </c>
      <c r="N220">
        <v>46</v>
      </c>
      <c r="O220">
        <v>64</v>
      </c>
      <c r="P220">
        <v>5</v>
      </c>
      <c r="Q220">
        <v>12</v>
      </c>
      <c r="R220">
        <v>2</v>
      </c>
      <c r="S220">
        <v>2</v>
      </c>
      <c r="T220">
        <v>0</v>
      </c>
      <c r="U220">
        <v>1</v>
      </c>
      <c r="V220">
        <v>0</v>
      </c>
      <c r="W220">
        <v>0</v>
      </c>
      <c r="X220">
        <v>1</v>
      </c>
      <c r="Y220" t="s">
        <v>113</v>
      </c>
      <c r="Z220" t="s">
        <v>525</v>
      </c>
      <c r="AA220" t="s">
        <v>2971</v>
      </c>
      <c r="AD220">
        <v>0</v>
      </c>
      <c r="AF220">
        <v>0</v>
      </c>
      <c r="AH220" t="s">
        <v>118</v>
      </c>
      <c r="AI220">
        <v>8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S220">
        <v>7</v>
      </c>
      <c r="AT220">
        <v>2</v>
      </c>
      <c r="AU220">
        <v>2</v>
      </c>
      <c r="AV220">
        <v>82</v>
      </c>
      <c r="AW220">
        <v>70</v>
      </c>
      <c r="AZ220" t="b">
        <v>0</v>
      </c>
      <c r="BA220">
        <v>1607</v>
      </c>
      <c r="BB220">
        <v>1653</v>
      </c>
      <c r="BC220">
        <v>24</v>
      </c>
      <c r="BD220" t="s">
        <v>2965</v>
      </c>
      <c r="BE220">
        <v>98</v>
      </c>
      <c r="BF220">
        <v>0</v>
      </c>
      <c r="BG220">
        <v>72</v>
      </c>
      <c r="BH220">
        <v>0</v>
      </c>
      <c r="BI220" s="1" t="s">
        <v>397</v>
      </c>
      <c r="BJ220">
        <v>6.4</v>
      </c>
      <c r="BK220">
        <v>10</v>
      </c>
      <c r="BL220" s="1" t="s">
        <v>254</v>
      </c>
      <c r="BM220" s="1" t="s">
        <v>125</v>
      </c>
      <c r="BN220" s="1" t="s">
        <v>255</v>
      </c>
      <c r="BO220">
        <v>1</v>
      </c>
      <c r="BP220" s="1" t="s">
        <v>170</v>
      </c>
      <c r="BQ220">
        <v>0</v>
      </c>
      <c r="BR220">
        <v>0</v>
      </c>
      <c r="BS220" s="1" t="s">
        <v>129</v>
      </c>
      <c r="BT220" s="1" t="s">
        <v>231</v>
      </c>
      <c r="BU220">
        <v>0</v>
      </c>
      <c r="BV220" s="1" t="s">
        <v>184</v>
      </c>
      <c r="BW220">
        <v>0</v>
      </c>
      <c r="BX220" s="1" t="s">
        <v>231</v>
      </c>
      <c r="BY220" s="1" t="s">
        <v>128</v>
      </c>
      <c r="BZ220" s="1" t="s">
        <v>129</v>
      </c>
      <c r="CA220">
        <v>0</v>
      </c>
      <c r="CB220">
        <v>4.7333333333333297E-2</v>
      </c>
      <c r="CC220">
        <v>0</v>
      </c>
      <c r="CD220">
        <v>6.7333333333333301E-2</v>
      </c>
      <c r="CE220">
        <v>0</v>
      </c>
      <c r="CF220">
        <v>3.9333333333333297E-2</v>
      </c>
      <c r="CG220">
        <v>6</v>
      </c>
      <c r="CH220">
        <v>5.8</v>
      </c>
      <c r="CI220">
        <v>1</v>
      </c>
      <c r="CJ220">
        <v>0.6</v>
      </c>
      <c r="CK220" s="1" t="s">
        <v>126</v>
      </c>
      <c r="CL220">
        <v>1.6</v>
      </c>
      <c r="CM220" s="1" t="s">
        <v>1258</v>
      </c>
      <c r="CN220" s="1" t="s">
        <v>1053</v>
      </c>
      <c r="CO220" s="1" t="s">
        <v>1406</v>
      </c>
      <c r="CP220" s="1" t="s">
        <v>2949</v>
      </c>
      <c r="CS220">
        <v>1774</v>
      </c>
      <c r="CT220" s="1" t="s">
        <v>520</v>
      </c>
      <c r="CU220">
        <v>1493</v>
      </c>
      <c r="CV220" s="1" t="s">
        <v>2972</v>
      </c>
      <c r="CW220">
        <v>55.3</v>
      </c>
      <c r="CX220">
        <v>61.9</v>
      </c>
      <c r="CY220">
        <v>60.2</v>
      </c>
      <c r="CZ220">
        <v>59</v>
      </c>
      <c r="DA220">
        <v>1</v>
      </c>
      <c r="DB220" t="s">
        <v>525</v>
      </c>
      <c r="DC220">
        <v>62</v>
      </c>
      <c r="DD220" s="1" t="s">
        <v>2973</v>
      </c>
      <c r="DE220" s="1" t="s">
        <v>2974</v>
      </c>
      <c r="DF220" t="e">
        <f>_xlfn.XLOOKUP(Table1[[#This Row],[Player ID]],Table2[feed_id],Table2[trade_status])</f>
        <v>#N/A</v>
      </c>
      <c r="DG220">
        <f>_xlfn.NUMBERVALUE(Table1[[#This Row],[predicted]])</f>
        <v>58.335172548400898</v>
      </c>
    </row>
    <row r="221" spans="1:111" hidden="1" x14ac:dyDescent="0.25">
      <c r="A221">
        <v>85239</v>
      </c>
      <c r="B221">
        <v>7092</v>
      </c>
      <c r="C221" t="s">
        <v>2962</v>
      </c>
      <c r="D221" t="s">
        <v>198</v>
      </c>
      <c r="E221">
        <v>2019</v>
      </c>
      <c r="F221">
        <v>250089</v>
      </c>
      <c r="G221" t="s">
        <v>2755</v>
      </c>
      <c r="H221" t="s">
        <v>2975</v>
      </c>
      <c r="I221" t="s">
        <v>291</v>
      </c>
      <c r="J221">
        <v>10</v>
      </c>
      <c r="K221">
        <v>87</v>
      </c>
      <c r="L221">
        <v>85</v>
      </c>
      <c r="M221">
        <v>44</v>
      </c>
      <c r="N221">
        <v>66</v>
      </c>
      <c r="O221">
        <v>91</v>
      </c>
      <c r="P221">
        <v>17</v>
      </c>
      <c r="Q221">
        <v>7</v>
      </c>
      <c r="R221">
        <v>4</v>
      </c>
      <c r="S221">
        <v>2</v>
      </c>
      <c r="T221">
        <v>0</v>
      </c>
      <c r="U221">
        <v>1</v>
      </c>
      <c r="V221">
        <v>0</v>
      </c>
      <c r="W221">
        <v>0</v>
      </c>
      <c r="X221">
        <v>1</v>
      </c>
      <c r="Y221" t="s">
        <v>113</v>
      </c>
      <c r="Z221" t="s">
        <v>525</v>
      </c>
      <c r="AA221" t="s">
        <v>2976</v>
      </c>
      <c r="AD221">
        <v>0</v>
      </c>
      <c r="AF221">
        <v>0</v>
      </c>
      <c r="AH221" t="s">
        <v>118</v>
      </c>
      <c r="AI221">
        <v>6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S221">
        <v>3</v>
      </c>
      <c r="AT221">
        <v>3</v>
      </c>
      <c r="AU221">
        <v>1</v>
      </c>
      <c r="AV221">
        <v>75</v>
      </c>
      <c r="AW221">
        <v>82</v>
      </c>
      <c r="AZ221" t="b">
        <v>0</v>
      </c>
      <c r="BA221">
        <v>1653</v>
      </c>
      <c r="BB221">
        <v>1607</v>
      </c>
      <c r="BC221">
        <v>24</v>
      </c>
      <c r="BD221" t="s">
        <v>2977</v>
      </c>
      <c r="BE221">
        <v>98</v>
      </c>
      <c r="BF221">
        <v>0</v>
      </c>
      <c r="BG221">
        <v>72</v>
      </c>
      <c r="BH221">
        <v>1</v>
      </c>
      <c r="BI221">
        <v>14</v>
      </c>
      <c r="BJ221">
        <v>9.8000000000000007</v>
      </c>
      <c r="BK221">
        <v>6</v>
      </c>
      <c r="BL221" s="1" t="s">
        <v>430</v>
      </c>
      <c r="BM221" s="1" t="s">
        <v>211</v>
      </c>
      <c r="BN221" s="1" t="s">
        <v>766</v>
      </c>
      <c r="BO221">
        <v>3</v>
      </c>
      <c r="BP221" s="1" t="s">
        <v>161</v>
      </c>
      <c r="BQ221">
        <v>0</v>
      </c>
      <c r="BR221">
        <v>0</v>
      </c>
      <c r="BS221" s="1" t="s">
        <v>128</v>
      </c>
      <c r="BT221">
        <v>0.8</v>
      </c>
      <c r="BU221">
        <v>0</v>
      </c>
      <c r="BV221" s="1" t="s">
        <v>128</v>
      </c>
      <c r="BW221">
        <v>0</v>
      </c>
      <c r="BX221">
        <v>0.4</v>
      </c>
      <c r="BY221" s="1" t="s">
        <v>129</v>
      </c>
      <c r="BZ221">
        <v>0.2</v>
      </c>
      <c r="CA221">
        <v>0</v>
      </c>
      <c r="CB221">
        <v>0</v>
      </c>
      <c r="CC221">
        <v>0</v>
      </c>
      <c r="CD221">
        <v>0</v>
      </c>
      <c r="CE221">
        <v>0</v>
      </c>
      <c r="CF221" s="1" t="s">
        <v>2978</v>
      </c>
      <c r="CG221">
        <v>3</v>
      </c>
      <c r="CH221" s="1" t="s">
        <v>565</v>
      </c>
      <c r="CI221" s="1" t="s">
        <v>161</v>
      </c>
      <c r="CJ221">
        <v>1.4</v>
      </c>
      <c r="CK221" s="1" t="s">
        <v>126</v>
      </c>
      <c r="CL221" s="1" t="s">
        <v>375</v>
      </c>
      <c r="CM221" s="1" t="s">
        <v>930</v>
      </c>
      <c r="CN221" s="1" t="s">
        <v>261</v>
      </c>
      <c r="CO221">
        <v>87</v>
      </c>
      <c r="CP221">
        <v>84.4</v>
      </c>
      <c r="CS221" s="1" t="s">
        <v>1769</v>
      </c>
      <c r="CT221" s="1" t="s">
        <v>2979</v>
      </c>
      <c r="CU221">
        <v>1671</v>
      </c>
      <c r="CV221" s="1" t="s">
        <v>2135</v>
      </c>
      <c r="CW221">
        <v>71.2</v>
      </c>
      <c r="CX221">
        <v>68.599999999999994</v>
      </c>
      <c r="CY221">
        <v>75.8</v>
      </c>
      <c r="CZ221">
        <v>83</v>
      </c>
      <c r="DA221">
        <v>1</v>
      </c>
      <c r="DB221" t="s">
        <v>525</v>
      </c>
      <c r="DC221">
        <v>85</v>
      </c>
      <c r="DD221" s="1" t="s">
        <v>2980</v>
      </c>
      <c r="DE221" s="1" t="s">
        <v>2981</v>
      </c>
      <c r="DF221" t="e">
        <f>_xlfn.XLOOKUP(Table1[[#This Row],[Player ID]],Table2[feed_id],Table2[trade_status])</f>
        <v>#N/A</v>
      </c>
      <c r="DG221">
        <f>_xlfn.NUMBERVALUE(Table1[[#This Row],[predicted]])</f>
        <v>73.926651696639794</v>
      </c>
    </row>
    <row r="222" spans="1:111" hidden="1" x14ac:dyDescent="0.25">
      <c r="A222">
        <v>85243</v>
      </c>
      <c r="B222">
        <v>7092</v>
      </c>
      <c r="C222" t="s">
        <v>2962</v>
      </c>
      <c r="D222" t="s">
        <v>198</v>
      </c>
      <c r="E222">
        <v>2019</v>
      </c>
      <c r="F222">
        <v>297139</v>
      </c>
      <c r="G222" t="s">
        <v>2130</v>
      </c>
      <c r="H222" t="s">
        <v>2982</v>
      </c>
      <c r="I222" t="s">
        <v>291</v>
      </c>
      <c r="J222">
        <v>9</v>
      </c>
      <c r="K222">
        <v>70</v>
      </c>
      <c r="L222">
        <v>89</v>
      </c>
      <c r="M222">
        <v>48</v>
      </c>
      <c r="N222">
        <v>54</v>
      </c>
      <c r="O222">
        <v>78</v>
      </c>
      <c r="P222">
        <v>10</v>
      </c>
      <c r="Q222">
        <v>11</v>
      </c>
      <c r="R222">
        <v>2</v>
      </c>
      <c r="S222">
        <v>3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113</v>
      </c>
      <c r="Z222" t="s">
        <v>525</v>
      </c>
      <c r="AA222" t="s">
        <v>2983</v>
      </c>
      <c r="AD222">
        <v>0</v>
      </c>
      <c r="AF222">
        <v>0</v>
      </c>
      <c r="AH222" t="s">
        <v>118</v>
      </c>
      <c r="AI222">
        <v>15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S222">
        <v>4</v>
      </c>
      <c r="AT222">
        <v>0</v>
      </c>
      <c r="AU222">
        <v>0</v>
      </c>
      <c r="AV222">
        <v>95</v>
      </c>
      <c r="AW222">
        <v>71</v>
      </c>
      <c r="AZ222" t="b">
        <v>0</v>
      </c>
      <c r="BA222">
        <v>1653</v>
      </c>
      <c r="BB222">
        <v>1607</v>
      </c>
      <c r="BC222">
        <v>24</v>
      </c>
      <c r="BD222" t="s">
        <v>2977</v>
      </c>
      <c r="BE222">
        <v>98</v>
      </c>
      <c r="BF222">
        <v>0</v>
      </c>
      <c r="BG222">
        <v>72</v>
      </c>
      <c r="BH222">
        <v>1</v>
      </c>
      <c r="BI222" s="1" t="s">
        <v>545</v>
      </c>
      <c r="BJ222" s="1" t="s">
        <v>303</v>
      </c>
      <c r="BK222" s="1" t="s">
        <v>545</v>
      </c>
      <c r="BL222" s="1" t="s">
        <v>498</v>
      </c>
      <c r="BM222">
        <v>4</v>
      </c>
      <c r="BN222" s="1" t="s">
        <v>125</v>
      </c>
      <c r="BO222" s="1" t="s">
        <v>169</v>
      </c>
      <c r="BP222">
        <v>3.2</v>
      </c>
      <c r="BQ222">
        <v>0</v>
      </c>
      <c r="BR222">
        <v>0</v>
      </c>
      <c r="BS222">
        <v>0</v>
      </c>
      <c r="BT222">
        <v>0.6</v>
      </c>
      <c r="BU222" s="1" t="s">
        <v>129</v>
      </c>
      <c r="BV222" s="1" t="s">
        <v>129</v>
      </c>
      <c r="BW222">
        <v>0</v>
      </c>
      <c r="BX222">
        <v>0.2</v>
      </c>
      <c r="BY222">
        <v>0</v>
      </c>
      <c r="BZ222">
        <v>0.2</v>
      </c>
      <c r="CA222">
        <v>0</v>
      </c>
      <c r="CB222" s="1" t="s">
        <v>2984</v>
      </c>
      <c r="CC222">
        <v>0</v>
      </c>
      <c r="CD222" s="1" t="s">
        <v>2931</v>
      </c>
      <c r="CE222">
        <v>0</v>
      </c>
      <c r="CF222">
        <v>3.9333333333333297E-2</v>
      </c>
      <c r="CG222">
        <v>3</v>
      </c>
      <c r="CH222" s="1" t="s">
        <v>139</v>
      </c>
      <c r="CI222" s="1" t="s">
        <v>128</v>
      </c>
      <c r="CJ222" s="1" t="s">
        <v>298</v>
      </c>
      <c r="CK222" s="1" t="s">
        <v>128</v>
      </c>
      <c r="CL222" s="1" t="s">
        <v>304</v>
      </c>
      <c r="CM222">
        <v>94</v>
      </c>
      <c r="CN222">
        <v>74</v>
      </c>
      <c r="CO222" s="1" t="s">
        <v>754</v>
      </c>
      <c r="CP222" s="1" t="s">
        <v>241</v>
      </c>
      <c r="CS222">
        <v>1627</v>
      </c>
      <c r="CT222">
        <v>1606.6</v>
      </c>
      <c r="CU222">
        <v>1642</v>
      </c>
      <c r="CV222" s="1" t="s">
        <v>2985</v>
      </c>
      <c r="CW222">
        <v>71.849999999999994</v>
      </c>
      <c r="CX222">
        <v>73.7</v>
      </c>
      <c r="CY222">
        <v>71.8</v>
      </c>
      <c r="CZ222" s="1" t="s">
        <v>417</v>
      </c>
      <c r="DA222">
        <v>1</v>
      </c>
      <c r="DB222" t="s">
        <v>525</v>
      </c>
      <c r="DC222">
        <v>89</v>
      </c>
      <c r="DD222" s="1" t="s">
        <v>2986</v>
      </c>
      <c r="DE222" s="1" t="s">
        <v>2987</v>
      </c>
      <c r="DF222" t="e">
        <f>_xlfn.XLOOKUP(Table1[[#This Row],[Player ID]],Table2[feed_id],Table2[trade_status])</f>
        <v>#N/A</v>
      </c>
      <c r="DG222">
        <f>_xlfn.NUMBERVALUE(Table1[[#This Row],[predicted]])</f>
        <v>70.228634051099505</v>
      </c>
    </row>
    <row r="223" spans="1:111" hidden="1" x14ac:dyDescent="0.25">
      <c r="A223">
        <v>85251</v>
      </c>
      <c r="B223">
        <v>7092</v>
      </c>
      <c r="C223" t="s">
        <v>2962</v>
      </c>
      <c r="D223" t="s">
        <v>198</v>
      </c>
      <c r="E223">
        <v>2019</v>
      </c>
      <c r="F223">
        <v>296343</v>
      </c>
      <c r="G223" t="s">
        <v>933</v>
      </c>
      <c r="H223" t="s">
        <v>2988</v>
      </c>
      <c r="I223" t="s">
        <v>291</v>
      </c>
      <c r="J223">
        <v>7</v>
      </c>
      <c r="K223">
        <v>48</v>
      </c>
      <c r="L223">
        <v>55</v>
      </c>
      <c r="M223">
        <v>29</v>
      </c>
      <c r="N223">
        <v>40</v>
      </c>
      <c r="O223">
        <v>57</v>
      </c>
      <c r="P223">
        <v>8</v>
      </c>
      <c r="Q223">
        <v>7</v>
      </c>
      <c r="R223">
        <v>3</v>
      </c>
      <c r="S223">
        <v>1</v>
      </c>
      <c r="T223">
        <v>0</v>
      </c>
      <c r="U223">
        <v>0</v>
      </c>
      <c r="V223">
        <v>1</v>
      </c>
      <c r="W223">
        <v>0</v>
      </c>
      <c r="X223">
        <v>0</v>
      </c>
      <c r="Y223" t="s">
        <v>113</v>
      </c>
      <c r="Z223" t="s">
        <v>525</v>
      </c>
      <c r="AA223" t="s">
        <v>2989</v>
      </c>
      <c r="AD223">
        <v>0</v>
      </c>
      <c r="AF223">
        <v>0</v>
      </c>
      <c r="AH223" t="s">
        <v>155</v>
      </c>
      <c r="AI223">
        <v>24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S223">
        <v>5</v>
      </c>
      <c r="AT223">
        <v>2</v>
      </c>
      <c r="AU223">
        <v>2</v>
      </c>
      <c r="AV223">
        <v>73</v>
      </c>
      <c r="AW223">
        <v>70</v>
      </c>
      <c r="AZ223" t="b">
        <v>0</v>
      </c>
      <c r="BA223">
        <v>1653</v>
      </c>
      <c r="BB223">
        <v>1607</v>
      </c>
      <c r="BC223">
        <v>24</v>
      </c>
      <c r="BD223" t="s">
        <v>2977</v>
      </c>
      <c r="BE223">
        <v>98</v>
      </c>
      <c r="BF223">
        <v>0</v>
      </c>
      <c r="BG223">
        <v>72</v>
      </c>
      <c r="BH223">
        <v>0</v>
      </c>
      <c r="BI223" s="1" t="s">
        <v>137</v>
      </c>
      <c r="BJ223" s="1" t="s">
        <v>1041</v>
      </c>
      <c r="BK223">
        <v>7</v>
      </c>
      <c r="BL223">
        <v>8.1999999999999993</v>
      </c>
      <c r="BM223" s="1" t="s">
        <v>211</v>
      </c>
      <c r="BN223">
        <v>3.4</v>
      </c>
      <c r="BO223" s="1" t="s">
        <v>126</v>
      </c>
      <c r="BP223">
        <v>3.6</v>
      </c>
      <c r="BQ223">
        <v>0</v>
      </c>
      <c r="BR223">
        <v>0</v>
      </c>
      <c r="BS223" s="1" t="s">
        <v>128</v>
      </c>
      <c r="BT223" s="1" t="s">
        <v>128</v>
      </c>
      <c r="BU223" s="1" t="s">
        <v>129</v>
      </c>
      <c r="BV223" s="1" t="s">
        <v>231</v>
      </c>
      <c r="BW223">
        <v>0</v>
      </c>
      <c r="BX223">
        <v>6.6666666666666596E-2</v>
      </c>
      <c r="BY223">
        <v>0</v>
      </c>
      <c r="BZ223" s="1" t="s">
        <v>129</v>
      </c>
      <c r="CA223">
        <v>0</v>
      </c>
      <c r="CB223" s="1" t="s">
        <v>2990</v>
      </c>
      <c r="CC223">
        <v>0</v>
      </c>
      <c r="CD223" s="1" t="s">
        <v>2991</v>
      </c>
      <c r="CE223">
        <v>0</v>
      </c>
      <c r="CF223" s="1" t="s">
        <v>2992</v>
      </c>
      <c r="CG223" s="1" t="s">
        <v>204</v>
      </c>
      <c r="CH223">
        <v>6.4</v>
      </c>
      <c r="CI223" s="1" t="s">
        <v>126</v>
      </c>
      <c r="CJ223" s="1" t="s">
        <v>126</v>
      </c>
      <c r="CK223">
        <v>1</v>
      </c>
      <c r="CL223" s="1" t="s">
        <v>375</v>
      </c>
      <c r="CM223">
        <v>77</v>
      </c>
      <c r="CN223" s="1" t="s">
        <v>1805</v>
      </c>
      <c r="CO223" s="1" t="s">
        <v>261</v>
      </c>
      <c r="CP223" s="1" t="s">
        <v>1417</v>
      </c>
      <c r="CS223" s="1" t="s">
        <v>1769</v>
      </c>
      <c r="CT223" s="1" t="s">
        <v>1031</v>
      </c>
      <c r="CU223">
        <v>1671</v>
      </c>
      <c r="CV223">
        <v>1618.4</v>
      </c>
      <c r="CW223">
        <v>56.7</v>
      </c>
      <c r="CX223">
        <v>62.2</v>
      </c>
      <c r="CY223">
        <v>62.8</v>
      </c>
      <c r="CZ223" s="1" t="s">
        <v>171</v>
      </c>
      <c r="DA223">
        <v>1</v>
      </c>
      <c r="DB223" t="s">
        <v>525</v>
      </c>
      <c r="DC223">
        <v>55</v>
      </c>
      <c r="DD223" s="1" t="s">
        <v>2993</v>
      </c>
      <c r="DE223">
        <v>-5.5771438428821396</v>
      </c>
      <c r="DF223" t="e">
        <f>_xlfn.XLOOKUP(Table1[[#This Row],[Player ID]],Table2[feed_id],Table2[trade_status])</f>
        <v>#N/A</v>
      </c>
      <c r="DG223">
        <f>_xlfn.NUMBERVALUE(Table1[[#This Row],[predicted]])</f>
        <v>60.577143842882101</v>
      </c>
    </row>
    <row r="224" spans="1:111" hidden="1" x14ac:dyDescent="0.25">
      <c r="A224">
        <v>85281</v>
      </c>
      <c r="B224">
        <v>7093</v>
      </c>
      <c r="C224" t="s">
        <v>2994</v>
      </c>
      <c r="D224" t="s">
        <v>198</v>
      </c>
      <c r="E224">
        <v>2019</v>
      </c>
      <c r="F224">
        <v>261299</v>
      </c>
      <c r="G224" t="s">
        <v>1002</v>
      </c>
      <c r="H224" t="s">
        <v>2995</v>
      </c>
      <c r="I224" t="s">
        <v>249</v>
      </c>
      <c r="J224">
        <v>16</v>
      </c>
      <c r="K224">
        <v>79</v>
      </c>
      <c r="L224">
        <v>82</v>
      </c>
      <c r="M224">
        <v>54</v>
      </c>
      <c r="N224">
        <v>65</v>
      </c>
      <c r="O224">
        <v>76</v>
      </c>
      <c r="P224">
        <v>10</v>
      </c>
      <c r="Q224">
        <v>1</v>
      </c>
      <c r="R224">
        <v>1</v>
      </c>
      <c r="S224">
        <v>2</v>
      </c>
      <c r="T224">
        <v>34</v>
      </c>
      <c r="U224">
        <v>2</v>
      </c>
      <c r="V224">
        <v>0</v>
      </c>
      <c r="W224">
        <v>0</v>
      </c>
      <c r="X224">
        <v>0</v>
      </c>
      <c r="Y224" t="s">
        <v>113</v>
      </c>
      <c r="Z224" t="s">
        <v>602</v>
      </c>
      <c r="AA224" t="s">
        <v>603</v>
      </c>
      <c r="AD224">
        <v>0</v>
      </c>
      <c r="AF224">
        <v>0</v>
      </c>
      <c r="AH224" t="s">
        <v>274</v>
      </c>
      <c r="AI224">
        <v>8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S224">
        <v>7</v>
      </c>
      <c r="AT224">
        <v>7</v>
      </c>
      <c r="AU224">
        <v>0</v>
      </c>
      <c r="AV224">
        <v>36</v>
      </c>
      <c r="AW224">
        <v>84</v>
      </c>
      <c r="AZ224" t="b">
        <v>0</v>
      </c>
      <c r="BA224">
        <v>1886</v>
      </c>
      <c r="BB224">
        <v>1393</v>
      </c>
      <c r="BC224">
        <v>24</v>
      </c>
      <c r="BD224" t="s">
        <v>2996</v>
      </c>
      <c r="BE224">
        <v>98</v>
      </c>
      <c r="BF224">
        <v>0</v>
      </c>
      <c r="BG224">
        <v>72</v>
      </c>
      <c r="BH224">
        <v>1</v>
      </c>
      <c r="BI224">
        <v>11</v>
      </c>
      <c r="BJ224" s="1" t="s">
        <v>1239</v>
      </c>
      <c r="BK224" s="1" t="s">
        <v>159</v>
      </c>
      <c r="BL224">
        <v>4.5999999999999996</v>
      </c>
      <c r="BM224">
        <v>2</v>
      </c>
      <c r="BN224" s="1" t="s">
        <v>566</v>
      </c>
      <c r="BO224" s="1" t="s">
        <v>161</v>
      </c>
      <c r="BP224" s="1" t="s">
        <v>170</v>
      </c>
      <c r="BQ224" s="1" t="s">
        <v>922</v>
      </c>
      <c r="BR224" s="1" t="s">
        <v>2997</v>
      </c>
      <c r="BS224">
        <v>2</v>
      </c>
      <c r="BT224">
        <v>1.6</v>
      </c>
      <c r="BU224" s="1" t="s">
        <v>129</v>
      </c>
      <c r="BV224" s="1" t="s">
        <v>238</v>
      </c>
      <c r="BW224" s="1" t="s">
        <v>129</v>
      </c>
      <c r="BX224" s="1" t="s">
        <v>129</v>
      </c>
      <c r="BY224">
        <v>1</v>
      </c>
      <c r="BZ224" s="1" t="s">
        <v>129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 s="1" t="s">
        <v>137</v>
      </c>
      <c r="CH224" s="1" t="s">
        <v>2358</v>
      </c>
      <c r="CI224" s="1" t="s">
        <v>397</v>
      </c>
      <c r="CJ224" s="1" t="s">
        <v>963</v>
      </c>
      <c r="CK224" s="1" t="s">
        <v>126</v>
      </c>
      <c r="CL224">
        <v>1.6</v>
      </c>
      <c r="CM224" s="1" t="s">
        <v>2998</v>
      </c>
      <c r="CN224">
        <v>60.4</v>
      </c>
      <c r="CO224" s="1" t="s">
        <v>239</v>
      </c>
      <c r="CP224" s="1" t="s">
        <v>1301</v>
      </c>
      <c r="CS224" s="1" t="s">
        <v>2999</v>
      </c>
      <c r="CT224">
        <v>1574.2</v>
      </c>
      <c r="CU224" s="1" t="s">
        <v>191</v>
      </c>
      <c r="CV224" s="1" t="s">
        <v>3000</v>
      </c>
      <c r="CW224">
        <v>96.35</v>
      </c>
      <c r="CX224">
        <v>101.1</v>
      </c>
      <c r="CY224">
        <v>93</v>
      </c>
      <c r="CZ224" s="1" t="s">
        <v>995</v>
      </c>
      <c r="DA224">
        <v>1</v>
      </c>
      <c r="DB224" t="s">
        <v>602</v>
      </c>
      <c r="DC224">
        <v>82</v>
      </c>
      <c r="DD224" s="1" t="s">
        <v>3001</v>
      </c>
      <c r="DE224">
        <v>-16.889609463176701</v>
      </c>
      <c r="DF224" t="e">
        <f>_xlfn.XLOOKUP(Table1[[#This Row],[Player ID]],Table2[feed_id],Table2[trade_status])</f>
        <v>#N/A</v>
      </c>
      <c r="DG224">
        <f>_xlfn.NUMBERVALUE(Table1[[#This Row],[predicted]])</f>
        <v>98.889609463176697</v>
      </c>
    </row>
    <row r="225" spans="1:111" hidden="1" x14ac:dyDescent="0.25">
      <c r="A225">
        <v>85282</v>
      </c>
      <c r="B225">
        <v>7093</v>
      </c>
      <c r="C225" t="s">
        <v>2994</v>
      </c>
      <c r="D225" t="s">
        <v>198</v>
      </c>
      <c r="E225">
        <v>2019</v>
      </c>
      <c r="F225">
        <v>240359</v>
      </c>
      <c r="G225" t="s">
        <v>2768</v>
      </c>
      <c r="H225" t="s">
        <v>2222</v>
      </c>
      <c r="I225" t="s">
        <v>249</v>
      </c>
      <c r="J225">
        <v>22</v>
      </c>
      <c r="K225">
        <v>77</v>
      </c>
      <c r="L225">
        <v>91</v>
      </c>
      <c r="M225">
        <v>67</v>
      </c>
      <c r="N225">
        <v>55</v>
      </c>
      <c r="O225">
        <v>78</v>
      </c>
      <c r="P225">
        <v>10</v>
      </c>
      <c r="Q225">
        <v>4</v>
      </c>
      <c r="R225">
        <v>4</v>
      </c>
      <c r="S225">
        <v>8</v>
      </c>
      <c r="T225">
        <v>0</v>
      </c>
      <c r="U225">
        <v>1</v>
      </c>
      <c r="V225">
        <v>2</v>
      </c>
      <c r="W225">
        <v>0</v>
      </c>
      <c r="X225">
        <v>0</v>
      </c>
      <c r="Y225" t="s">
        <v>113</v>
      </c>
      <c r="Z225" t="s">
        <v>226</v>
      </c>
      <c r="AA225" t="s">
        <v>3002</v>
      </c>
      <c r="AD225">
        <v>0</v>
      </c>
      <c r="AF225">
        <v>0</v>
      </c>
      <c r="AH225" t="s">
        <v>118</v>
      </c>
      <c r="AI225">
        <v>39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S225">
        <v>5</v>
      </c>
      <c r="AT225">
        <v>0</v>
      </c>
      <c r="AU225">
        <v>2</v>
      </c>
      <c r="AV225">
        <v>85</v>
      </c>
      <c r="AW225">
        <v>79</v>
      </c>
      <c r="AZ225" t="b">
        <v>0</v>
      </c>
      <c r="BA225">
        <v>1886</v>
      </c>
      <c r="BB225">
        <v>1393</v>
      </c>
      <c r="BC225">
        <v>24</v>
      </c>
      <c r="BD225" t="s">
        <v>2996</v>
      </c>
      <c r="BE225">
        <v>98</v>
      </c>
      <c r="BF225">
        <v>0</v>
      </c>
      <c r="BG225">
        <v>72</v>
      </c>
      <c r="BH225">
        <v>1</v>
      </c>
      <c r="BI225" s="1" t="s">
        <v>622</v>
      </c>
      <c r="BJ225" s="1" t="s">
        <v>122</v>
      </c>
      <c r="BK225">
        <v>7</v>
      </c>
      <c r="BL225" s="1" t="s">
        <v>898</v>
      </c>
      <c r="BM225">
        <v>4</v>
      </c>
      <c r="BN225" s="1" t="s">
        <v>416</v>
      </c>
      <c r="BO225">
        <v>6</v>
      </c>
      <c r="BP225" s="1" t="s">
        <v>640</v>
      </c>
      <c r="BQ225">
        <v>0</v>
      </c>
      <c r="BR225">
        <v>0</v>
      </c>
      <c r="BS225" s="1" t="s">
        <v>126</v>
      </c>
      <c r="BT225" s="1" t="s">
        <v>399</v>
      </c>
      <c r="BU225">
        <v>1</v>
      </c>
      <c r="BV225" s="1" t="s">
        <v>128</v>
      </c>
      <c r="BW225">
        <v>0</v>
      </c>
      <c r="BX225" s="1" t="s">
        <v>213</v>
      </c>
      <c r="BY225" s="1" t="s">
        <v>129</v>
      </c>
      <c r="BZ225">
        <v>0.2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8</v>
      </c>
      <c r="CH225" s="1" t="s">
        <v>205</v>
      </c>
      <c r="CI225" s="1" t="s">
        <v>126</v>
      </c>
      <c r="CJ225">
        <v>0.6</v>
      </c>
      <c r="CK225" s="1" t="s">
        <v>126</v>
      </c>
      <c r="CL225" s="1" t="s">
        <v>304</v>
      </c>
      <c r="CM225">
        <v>80</v>
      </c>
      <c r="CN225" s="1" t="s">
        <v>1840</v>
      </c>
      <c r="CO225">
        <v>79</v>
      </c>
      <c r="CP225" s="1" t="s">
        <v>3003</v>
      </c>
      <c r="CS225" s="1" t="s">
        <v>2999</v>
      </c>
      <c r="CT225">
        <v>1572.2</v>
      </c>
      <c r="CU225" s="1" t="s">
        <v>191</v>
      </c>
      <c r="CV225">
        <v>1702.2</v>
      </c>
      <c r="CW225">
        <v>82.45</v>
      </c>
      <c r="CX225">
        <v>88</v>
      </c>
      <c r="CY225">
        <v>102.2</v>
      </c>
      <c r="CZ225" s="1" t="s">
        <v>3004</v>
      </c>
      <c r="DA225">
        <v>1</v>
      </c>
      <c r="DB225" t="s">
        <v>226</v>
      </c>
      <c r="DC225">
        <v>91</v>
      </c>
      <c r="DD225" s="1" t="s">
        <v>3005</v>
      </c>
      <c r="DE225">
        <v>-13.652591747262599</v>
      </c>
      <c r="DF225" t="e">
        <f>_xlfn.XLOOKUP(Table1[[#This Row],[Player ID]],Table2[feed_id],Table2[trade_status])</f>
        <v>#N/A</v>
      </c>
      <c r="DG225">
        <f>_xlfn.NUMBERVALUE(Table1[[#This Row],[predicted]])</f>
        <v>104.65259174726199</v>
      </c>
    </row>
    <row r="226" spans="1:111" hidden="1" x14ac:dyDescent="0.25">
      <c r="A226">
        <v>85311</v>
      </c>
      <c r="B226">
        <v>7094</v>
      </c>
      <c r="C226" t="s">
        <v>3006</v>
      </c>
      <c r="D226" t="s">
        <v>198</v>
      </c>
      <c r="E226">
        <v>2019</v>
      </c>
      <c r="F226">
        <v>290546</v>
      </c>
      <c r="G226" t="s">
        <v>2456</v>
      </c>
      <c r="H226" t="s">
        <v>3007</v>
      </c>
      <c r="I226" t="s">
        <v>524</v>
      </c>
      <c r="J226">
        <v>10</v>
      </c>
      <c r="K226">
        <v>54</v>
      </c>
      <c r="L226">
        <v>60</v>
      </c>
      <c r="M226">
        <v>69</v>
      </c>
      <c r="N226">
        <v>41</v>
      </c>
      <c r="O226">
        <v>54</v>
      </c>
      <c r="P226">
        <v>7</v>
      </c>
      <c r="Q226">
        <v>4</v>
      </c>
      <c r="R226">
        <v>2</v>
      </c>
      <c r="S226">
        <v>3</v>
      </c>
      <c r="T226">
        <v>0</v>
      </c>
      <c r="U226">
        <v>1</v>
      </c>
      <c r="V226">
        <v>0</v>
      </c>
      <c r="W226">
        <v>1</v>
      </c>
      <c r="X226">
        <v>0</v>
      </c>
      <c r="Y226" t="s">
        <v>113</v>
      </c>
      <c r="Z226" t="s">
        <v>525</v>
      </c>
      <c r="AA226" t="s">
        <v>3008</v>
      </c>
      <c r="AD226">
        <v>0</v>
      </c>
      <c r="AF226">
        <v>0</v>
      </c>
      <c r="AH226" t="s">
        <v>155</v>
      </c>
      <c r="AI226">
        <v>15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S226">
        <v>5</v>
      </c>
      <c r="AT226">
        <v>1</v>
      </c>
      <c r="AU226">
        <v>3</v>
      </c>
      <c r="AV226">
        <v>54</v>
      </c>
      <c r="AW226">
        <v>77</v>
      </c>
      <c r="AZ226" t="b">
        <v>0</v>
      </c>
      <c r="BA226">
        <v>1796</v>
      </c>
      <c r="BB226">
        <v>1459</v>
      </c>
      <c r="BC226">
        <v>24</v>
      </c>
      <c r="BD226" t="s">
        <v>3009</v>
      </c>
      <c r="BE226">
        <v>98</v>
      </c>
      <c r="BF226">
        <v>0</v>
      </c>
      <c r="BG226">
        <v>72</v>
      </c>
      <c r="BH226">
        <v>0</v>
      </c>
      <c r="BI226" s="1" t="s">
        <v>397</v>
      </c>
      <c r="BJ226" s="1" t="s">
        <v>1239</v>
      </c>
      <c r="BK226">
        <v>5</v>
      </c>
      <c r="BL226" s="1" t="s">
        <v>565</v>
      </c>
      <c r="BM226" s="1" t="s">
        <v>159</v>
      </c>
      <c r="BN226">
        <v>3</v>
      </c>
      <c r="BO226" s="1" t="s">
        <v>159</v>
      </c>
      <c r="BP226" s="1" t="s">
        <v>321</v>
      </c>
      <c r="BQ226">
        <v>0</v>
      </c>
      <c r="BR226">
        <v>0</v>
      </c>
      <c r="BS226" s="1" t="s">
        <v>128</v>
      </c>
      <c r="BT226" s="1" t="s">
        <v>127</v>
      </c>
      <c r="BU226" s="1" t="s">
        <v>129</v>
      </c>
      <c r="BV226" s="1" t="s">
        <v>257</v>
      </c>
      <c r="BW226" s="1" t="s">
        <v>129</v>
      </c>
      <c r="BX226" s="1" t="s">
        <v>399</v>
      </c>
      <c r="BY226" s="1" t="s">
        <v>128</v>
      </c>
      <c r="BZ226">
        <v>0.6</v>
      </c>
      <c r="CA226">
        <v>0</v>
      </c>
      <c r="CB226" s="1" t="s">
        <v>3010</v>
      </c>
      <c r="CC226">
        <v>0</v>
      </c>
      <c r="CD226" s="1" t="s">
        <v>3011</v>
      </c>
      <c r="CE226" s="1" t="s">
        <v>3012</v>
      </c>
      <c r="CF226" s="1" t="s">
        <v>3013</v>
      </c>
      <c r="CG226" s="1" t="s">
        <v>138</v>
      </c>
      <c r="CH226" s="1" t="s">
        <v>211</v>
      </c>
      <c r="CI226" s="1" t="s">
        <v>129</v>
      </c>
      <c r="CJ226" s="1" t="s">
        <v>128</v>
      </c>
      <c r="CK226" s="1" t="s">
        <v>169</v>
      </c>
      <c r="CL226" s="1" t="s">
        <v>140</v>
      </c>
      <c r="CM226" s="1" t="s">
        <v>772</v>
      </c>
      <c r="CN226" s="1" t="s">
        <v>2464</v>
      </c>
      <c r="CO226" s="1" t="s">
        <v>305</v>
      </c>
      <c r="CP226" s="1" t="s">
        <v>2533</v>
      </c>
      <c r="CS226" s="1" t="s">
        <v>3014</v>
      </c>
      <c r="CT226">
        <v>1430</v>
      </c>
      <c r="CU226">
        <v>1860</v>
      </c>
      <c r="CV226">
        <v>1843.6</v>
      </c>
      <c r="CW226">
        <v>56.5</v>
      </c>
      <c r="CX226">
        <v>58.1</v>
      </c>
      <c r="CY226">
        <v>45.8</v>
      </c>
      <c r="CZ226" s="1" t="s">
        <v>1245</v>
      </c>
      <c r="DA226">
        <v>1</v>
      </c>
      <c r="DB226" t="s">
        <v>525</v>
      </c>
      <c r="DC226">
        <v>60</v>
      </c>
      <c r="DD226" s="1" t="s">
        <v>3015</v>
      </c>
      <c r="DE226" s="1" t="s">
        <v>3016</v>
      </c>
      <c r="DF226" t="e">
        <f>_xlfn.XLOOKUP(Table1[[#This Row],[Player ID]],Table2[feed_id],Table2[trade_status])</f>
        <v>#N/A</v>
      </c>
      <c r="DG226">
        <f>_xlfn.NUMBERVALUE(Table1[[#This Row],[predicted]])</f>
        <v>58.336035434515203</v>
      </c>
    </row>
    <row r="227" spans="1:111" hidden="1" x14ac:dyDescent="0.25">
      <c r="A227">
        <v>85313</v>
      </c>
      <c r="B227">
        <v>7094</v>
      </c>
      <c r="C227" t="s">
        <v>3006</v>
      </c>
      <c r="D227" t="s">
        <v>198</v>
      </c>
      <c r="E227">
        <v>2019</v>
      </c>
      <c r="F227">
        <v>295942</v>
      </c>
      <c r="G227" t="s">
        <v>2755</v>
      </c>
      <c r="H227" t="s">
        <v>3017</v>
      </c>
      <c r="I227" t="s">
        <v>524</v>
      </c>
      <c r="J227">
        <v>3</v>
      </c>
      <c r="K227">
        <v>41</v>
      </c>
      <c r="L227">
        <v>46</v>
      </c>
      <c r="M227">
        <v>54</v>
      </c>
      <c r="N227">
        <v>30</v>
      </c>
      <c r="O227">
        <v>39</v>
      </c>
      <c r="P227">
        <v>7</v>
      </c>
      <c r="Q227">
        <v>2</v>
      </c>
      <c r="R227">
        <v>2</v>
      </c>
      <c r="S227">
        <v>2</v>
      </c>
      <c r="T227">
        <v>0</v>
      </c>
      <c r="U227">
        <v>2</v>
      </c>
      <c r="V227">
        <v>0</v>
      </c>
      <c r="W227">
        <v>0</v>
      </c>
      <c r="X227">
        <v>0</v>
      </c>
      <c r="Y227" t="s">
        <v>113</v>
      </c>
      <c r="Z227" t="s">
        <v>525</v>
      </c>
      <c r="AA227" t="s">
        <v>3018</v>
      </c>
      <c r="AD227">
        <v>0</v>
      </c>
      <c r="AF227">
        <v>0</v>
      </c>
      <c r="AH227" t="s">
        <v>155</v>
      </c>
      <c r="AI227">
        <v>31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S227">
        <v>4</v>
      </c>
      <c r="AT227">
        <v>4</v>
      </c>
      <c r="AU227">
        <v>1</v>
      </c>
      <c r="AV227">
        <v>66</v>
      </c>
      <c r="AW227">
        <v>85</v>
      </c>
      <c r="AZ227" t="b">
        <v>0</v>
      </c>
      <c r="BA227">
        <v>1796</v>
      </c>
      <c r="BB227">
        <v>1459</v>
      </c>
      <c r="BC227">
        <v>24</v>
      </c>
      <c r="BD227" t="s">
        <v>3009</v>
      </c>
      <c r="BE227">
        <v>98</v>
      </c>
      <c r="BF227">
        <v>0</v>
      </c>
      <c r="BG227">
        <v>72</v>
      </c>
      <c r="BH227">
        <v>0</v>
      </c>
      <c r="BI227" s="1" t="s">
        <v>137</v>
      </c>
      <c r="BJ227" s="1" t="s">
        <v>295</v>
      </c>
      <c r="BK227" s="1" t="s">
        <v>169</v>
      </c>
      <c r="BL227" s="1" t="s">
        <v>587</v>
      </c>
      <c r="BM227" s="1" t="s">
        <v>138</v>
      </c>
      <c r="BN227" s="1" t="s">
        <v>431</v>
      </c>
      <c r="BO227" s="1" t="s">
        <v>159</v>
      </c>
      <c r="BP227" s="1" t="s">
        <v>255</v>
      </c>
      <c r="BQ227">
        <v>0</v>
      </c>
      <c r="BR227">
        <v>0</v>
      </c>
      <c r="BS227" s="1" t="s">
        <v>161</v>
      </c>
      <c r="BT227" s="1" t="s">
        <v>399</v>
      </c>
      <c r="BU227" s="1" t="s">
        <v>129</v>
      </c>
      <c r="BV227" s="1" t="s">
        <v>129</v>
      </c>
      <c r="BW227" s="1" t="s">
        <v>129</v>
      </c>
      <c r="BX227" s="1" t="s">
        <v>213</v>
      </c>
      <c r="BY227">
        <v>0</v>
      </c>
      <c r="BZ227">
        <v>0.2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3.6666666666666597E-2</v>
      </c>
      <c r="CG227" s="1" t="s">
        <v>160</v>
      </c>
      <c r="CH227">
        <v>5.4</v>
      </c>
      <c r="CI227" s="1" t="s">
        <v>126</v>
      </c>
      <c r="CJ227" s="1" t="s">
        <v>128</v>
      </c>
      <c r="CK227">
        <v>2</v>
      </c>
      <c r="CL227" s="1" t="s">
        <v>375</v>
      </c>
      <c r="CM227">
        <v>69</v>
      </c>
      <c r="CN227">
        <v>72.599999999999994</v>
      </c>
      <c r="CO227" s="1" t="s">
        <v>261</v>
      </c>
      <c r="CP227" s="1" t="s">
        <v>1110</v>
      </c>
      <c r="CS227" s="1" t="s">
        <v>1938</v>
      </c>
      <c r="CT227">
        <v>1503.6</v>
      </c>
      <c r="CU227">
        <v>1767</v>
      </c>
      <c r="CV227" s="1" t="s">
        <v>3019</v>
      </c>
      <c r="CW227">
        <v>59.55</v>
      </c>
      <c r="CX227">
        <v>58.3</v>
      </c>
      <c r="CY227">
        <v>62</v>
      </c>
      <c r="CZ227" s="1" t="s">
        <v>759</v>
      </c>
      <c r="DA227">
        <v>1</v>
      </c>
      <c r="DB227" t="s">
        <v>525</v>
      </c>
      <c r="DC227">
        <v>46</v>
      </c>
      <c r="DD227" s="1" t="s">
        <v>3020</v>
      </c>
      <c r="DE227">
        <v>-14.1637450803718</v>
      </c>
      <c r="DF227" t="e">
        <f>_xlfn.XLOOKUP(Table1[[#This Row],[Player ID]],Table2[feed_id],Table2[trade_status])</f>
        <v>#N/A</v>
      </c>
      <c r="DG227">
        <f>_xlfn.NUMBERVALUE(Table1[[#This Row],[predicted]])</f>
        <v>60.163745080371797</v>
      </c>
    </row>
    <row r="228" spans="1:111" hidden="1" x14ac:dyDescent="0.25">
      <c r="A228">
        <v>85317</v>
      </c>
      <c r="B228">
        <v>7094</v>
      </c>
      <c r="C228" t="s">
        <v>3006</v>
      </c>
      <c r="D228" t="s">
        <v>198</v>
      </c>
      <c r="E228">
        <v>2019</v>
      </c>
      <c r="F228">
        <v>240712</v>
      </c>
      <c r="G228" t="s">
        <v>461</v>
      </c>
      <c r="H228" t="s">
        <v>3021</v>
      </c>
      <c r="I228" t="s">
        <v>524</v>
      </c>
      <c r="J228">
        <v>7</v>
      </c>
      <c r="K228">
        <v>35</v>
      </c>
      <c r="L228">
        <v>30</v>
      </c>
      <c r="M228">
        <v>47</v>
      </c>
      <c r="N228">
        <v>24</v>
      </c>
      <c r="O228">
        <v>33</v>
      </c>
      <c r="P228">
        <v>3</v>
      </c>
      <c r="Q228">
        <v>3</v>
      </c>
      <c r="R228">
        <v>1</v>
      </c>
      <c r="S228">
        <v>4</v>
      </c>
      <c r="T228">
        <v>0</v>
      </c>
      <c r="U228">
        <v>1</v>
      </c>
      <c r="V228">
        <v>0</v>
      </c>
      <c r="W228">
        <v>0</v>
      </c>
      <c r="X228">
        <v>0</v>
      </c>
      <c r="Y228" t="s">
        <v>113</v>
      </c>
      <c r="Z228" t="s">
        <v>525</v>
      </c>
      <c r="AA228" t="s">
        <v>3022</v>
      </c>
      <c r="AD228">
        <v>0</v>
      </c>
      <c r="AF228">
        <v>0</v>
      </c>
      <c r="AH228" t="s">
        <v>118</v>
      </c>
      <c r="AI228">
        <v>35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S228">
        <v>5</v>
      </c>
      <c r="AT228">
        <v>3</v>
      </c>
      <c r="AU228">
        <v>1</v>
      </c>
      <c r="AV228">
        <v>66</v>
      </c>
      <c r="AW228">
        <v>74</v>
      </c>
      <c r="AZ228" t="b">
        <v>0</v>
      </c>
      <c r="BA228">
        <v>1796</v>
      </c>
      <c r="BB228">
        <v>1459</v>
      </c>
      <c r="BC228">
        <v>24</v>
      </c>
      <c r="BD228" t="s">
        <v>3009</v>
      </c>
      <c r="BE228">
        <v>98</v>
      </c>
      <c r="BF228">
        <v>0</v>
      </c>
      <c r="BG228">
        <v>72</v>
      </c>
      <c r="BH228">
        <v>0</v>
      </c>
      <c r="BI228" s="1" t="s">
        <v>211</v>
      </c>
      <c r="BJ228" s="1" t="s">
        <v>260</v>
      </c>
      <c r="BK228" s="1" t="s">
        <v>125</v>
      </c>
      <c r="BL228">
        <v>4.2</v>
      </c>
      <c r="BM228" s="1" t="s">
        <v>159</v>
      </c>
      <c r="BN228">
        <v>2.6</v>
      </c>
      <c r="BO228" s="1" t="s">
        <v>169</v>
      </c>
      <c r="BP228" s="1" t="s">
        <v>255</v>
      </c>
      <c r="BQ228">
        <v>0</v>
      </c>
      <c r="BR228">
        <v>0</v>
      </c>
      <c r="BS228" s="1" t="s">
        <v>128</v>
      </c>
      <c r="BT228" s="1" t="s">
        <v>128</v>
      </c>
      <c r="BU228">
        <v>1</v>
      </c>
      <c r="BV228">
        <v>0.4</v>
      </c>
      <c r="BW228" s="1" t="s">
        <v>129</v>
      </c>
      <c r="BX228">
        <v>0.2</v>
      </c>
      <c r="BY228" s="1" t="s">
        <v>129</v>
      </c>
      <c r="BZ228">
        <v>0.2</v>
      </c>
      <c r="CA228">
        <v>0</v>
      </c>
      <c r="CB228">
        <v>0.53600000000000003</v>
      </c>
      <c r="CC228">
        <v>0</v>
      </c>
      <c r="CD228" s="1" t="s">
        <v>2364</v>
      </c>
      <c r="CE228">
        <v>0</v>
      </c>
      <c r="CF228" s="1" t="s">
        <v>209</v>
      </c>
      <c r="CG228" s="1" t="s">
        <v>211</v>
      </c>
      <c r="CH228" s="1" t="s">
        <v>211</v>
      </c>
      <c r="CI228" s="1" t="s">
        <v>161</v>
      </c>
      <c r="CJ228" s="1" t="s">
        <v>128</v>
      </c>
      <c r="CK228" s="1" t="s">
        <v>161</v>
      </c>
      <c r="CL228" s="1" t="s">
        <v>126</v>
      </c>
      <c r="CM228">
        <v>66</v>
      </c>
      <c r="CN228" s="1" t="s">
        <v>2500</v>
      </c>
      <c r="CO228">
        <v>75</v>
      </c>
      <c r="CP228" s="1" t="s">
        <v>1490</v>
      </c>
      <c r="CS228">
        <v>1430</v>
      </c>
      <c r="CT228" s="1" t="s">
        <v>3023</v>
      </c>
      <c r="CU228" s="1" t="s">
        <v>2328</v>
      </c>
      <c r="CV228" s="1" t="s">
        <v>3024</v>
      </c>
      <c r="CW228">
        <v>51</v>
      </c>
      <c r="CX228">
        <v>50.9</v>
      </c>
      <c r="CY228">
        <v>44.4</v>
      </c>
      <c r="CZ228" s="1" t="s">
        <v>3025</v>
      </c>
      <c r="DA228">
        <v>1</v>
      </c>
      <c r="DB228" t="s">
        <v>525</v>
      </c>
      <c r="DC228">
        <v>30</v>
      </c>
      <c r="DD228" s="1" t="s">
        <v>3026</v>
      </c>
      <c r="DE228">
        <v>-21.76990459172</v>
      </c>
      <c r="DF228" t="e">
        <f>_xlfn.XLOOKUP(Table1[[#This Row],[Player ID]],Table2[feed_id],Table2[trade_status])</f>
        <v>#N/A</v>
      </c>
      <c r="DG228">
        <f>_xlfn.NUMBERVALUE(Table1[[#This Row],[predicted]])</f>
        <v>51.76990459172</v>
      </c>
    </row>
    <row r="229" spans="1:111" hidden="1" x14ac:dyDescent="0.25">
      <c r="A229">
        <v>85414</v>
      </c>
      <c r="B229">
        <v>7096</v>
      </c>
      <c r="C229" t="s">
        <v>3027</v>
      </c>
      <c r="D229" t="s">
        <v>198</v>
      </c>
      <c r="E229">
        <v>2019</v>
      </c>
      <c r="F229">
        <v>240370</v>
      </c>
      <c r="G229" t="s">
        <v>3028</v>
      </c>
      <c r="H229" t="s">
        <v>3029</v>
      </c>
      <c r="I229" t="s">
        <v>510</v>
      </c>
      <c r="J229">
        <v>10</v>
      </c>
      <c r="K229">
        <v>75</v>
      </c>
      <c r="L229">
        <v>54</v>
      </c>
      <c r="M229">
        <v>52</v>
      </c>
      <c r="N229">
        <v>58</v>
      </c>
      <c r="O229">
        <v>81</v>
      </c>
      <c r="P229">
        <v>11</v>
      </c>
      <c r="Q229">
        <v>9</v>
      </c>
      <c r="R229">
        <v>4</v>
      </c>
      <c r="S229">
        <v>3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113</v>
      </c>
      <c r="Z229" t="s">
        <v>525</v>
      </c>
      <c r="AA229" t="s">
        <v>3030</v>
      </c>
      <c r="AD229">
        <v>0</v>
      </c>
      <c r="AF229">
        <v>0</v>
      </c>
      <c r="AH229" t="s">
        <v>118</v>
      </c>
      <c r="AI229">
        <v>26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S229">
        <v>3</v>
      </c>
      <c r="AT229">
        <v>0</v>
      </c>
      <c r="AU229">
        <v>1</v>
      </c>
      <c r="AV229">
        <v>70</v>
      </c>
      <c r="AW229">
        <v>84</v>
      </c>
      <c r="AZ229" t="b">
        <v>0</v>
      </c>
      <c r="BA229">
        <v>1752</v>
      </c>
      <c r="BB229">
        <v>1519</v>
      </c>
      <c r="BC229">
        <v>24</v>
      </c>
      <c r="BD229" t="s">
        <v>3031</v>
      </c>
      <c r="BE229">
        <v>98</v>
      </c>
      <c r="BF229">
        <v>0</v>
      </c>
      <c r="BG229">
        <v>72</v>
      </c>
      <c r="BH229">
        <v>0</v>
      </c>
      <c r="BI229" s="1" t="s">
        <v>1008</v>
      </c>
      <c r="BJ229" s="1" t="s">
        <v>1761</v>
      </c>
      <c r="BK229">
        <v>6</v>
      </c>
      <c r="BL229" s="1" t="s">
        <v>964</v>
      </c>
      <c r="BM229" s="1" t="s">
        <v>211</v>
      </c>
      <c r="BN229" s="1" t="s">
        <v>766</v>
      </c>
      <c r="BO229" s="1" t="s">
        <v>169</v>
      </c>
      <c r="BP229" s="1" t="s">
        <v>159</v>
      </c>
      <c r="BQ229">
        <v>0</v>
      </c>
      <c r="BR229">
        <v>0</v>
      </c>
      <c r="BS229" s="1" t="s">
        <v>128</v>
      </c>
      <c r="BT229">
        <v>0.6</v>
      </c>
      <c r="BU229">
        <v>0</v>
      </c>
      <c r="BV229" s="1" t="s">
        <v>399</v>
      </c>
      <c r="BW229" s="1" t="s">
        <v>129</v>
      </c>
      <c r="BX229" s="1" t="s">
        <v>184</v>
      </c>
      <c r="BY229">
        <v>0</v>
      </c>
      <c r="BZ229" s="1" t="s">
        <v>129</v>
      </c>
      <c r="CA229">
        <v>0</v>
      </c>
      <c r="CB229">
        <v>4.7333333333333297E-2</v>
      </c>
      <c r="CC229">
        <v>0</v>
      </c>
      <c r="CD229">
        <v>7.5999999999999998E-2</v>
      </c>
      <c r="CE229">
        <v>0</v>
      </c>
      <c r="CF229" s="1" t="s">
        <v>3032</v>
      </c>
      <c r="CG229">
        <v>4</v>
      </c>
      <c r="CH229" s="1" t="s">
        <v>260</v>
      </c>
      <c r="CI229" s="1" t="s">
        <v>129</v>
      </c>
      <c r="CJ229">
        <v>2.2000000000000002</v>
      </c>
      <c r="CK229" s="1" t="s">
        <v>169</v>
      </c>
      <c r="CL229" s="1" t="s">
        <v>373</v>
      </c>
      <c r="CM229">
        <v>69</v>
      </c>
      <c r="CN229" s="1" t="s">
        <v>3033</v>
      </c>
      <c r="CO229">
        <v>84</v>
      </c>
      <c r="CP229" s="1" t="s">
        <v>3034</v>
      </c>
      <c r="CS229" s="1" t="s">
        <v>3035</v>
      </c>
      <c r="CT229" s="1" t="s">
        <v>3036</v>
      </c>
      <c r="CU229" s="1" t="s">
        <v>440</v>
      </c>
      <c r="CV229" s="1" t="s">
        <v>3037</v>
      </c>
      <c r="CW229">
        <v>65.45</v>
      </c>
      <c r="CX229">
        <v>56.7</v>
      </c>
      <c r="CY229">
        <v>59.2</v>
      </c>
      <c r="CZ229">
        <v>57</v>
      </c>
      <c r="DA229">
        <v>1</v>
      </c>
      <c r="DB229" t="s">
        <v>525</v>
      </c>
      <c r="DC229">
        <v>54</v>
      </c>
      <c r="DD229" s="1" t="s">
        <v>3038</v>
      </c>
      <c r="DE229">
        <v>-13.504551418944899</v>
      </c>
      <c r="DF229" t="e">
        <f>_xlfn.XLOOKUP(Table1[[#This Row],[Player ID]],Table2[feed_id],Table2[trade_status])</f>
        <v>#N/A</v>
      </c>
      <c r="DG229">
        <f>_xlfn.NUMBERVALUE(Table1[[#This Row],[predicted]])</f>
        <v>67.504551418944899</v>
      </c>
    </row>
    <row r="230" spans="1:111" hidden="1" x14ac:dyDescent="0.25">
      <c r="A230">
        <v>85487</v>
      </c>
      <c r="B230">
        <v>7098</v>
      </c>
      <c r="C230" t="s">
        <v>3039</v>
      </c>
      <c r="D230" t="s">
        <v>198</v>
      </c>
      <c r="E230">
        <v>2019</v>
      </c>
      <c r="F230">
        <v>271078</v>
      </c>
      <c r="G230" t="s">
        <v>1002</v>
      </c>
      <c r="H230" t="s">
        <v>3040</v>
      </c>
      <c r="I230" t="s">
        <v>425</v>
      </c>
      <c r="J230">
        <v>5</v>
      </c>
      <c r="K230">
        <v>53</v>
      </c>
      <c r="L230">
        <v>57</v>
      </c>
      <c r="M230">
        <v>70</v>
      </c>
      <c r="N230">
        <v>42</v>
      </c>
      <c r="O230">
        <v>57</v>
      </c>
      <c r="P230">
        <v>9</v>
      </c>
      <c r="Q230">
        <v>4</v>
      </c>
      <c r="R230">
        <v>4</v>
      </c>
      <c r="S230">
        <v>2</v>
      </c>
      <c r="T230">
        <v>0</v>
      </c>
      <c r="U230">
        <v>1</v>
      </c>
      <c r="V230">
        <v>1</v>
      </c>
      <c r="W230">
        <v>0</v>
      </c>
      <c r="X230">
        <v>0</v>
      </c>
      <c r="Y230" t="s">
        <v>113</v>
      </c>
      <c r="Z230" t="s">
        <v>226</v>
      </c>
      <c r="AA230" t="s">
        <v>3041</v>
      </c>
      <c r="AD230">
        <v>0</v>
      </c>
      <c r="AF230">
        <v>0</v>
      </c>
      <c r="AH230" t="s">
        <v>181</v>
      </c>
      <c r="AI230">
        <v>5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S230">
        <v>3</v>
      </c>
      <c r="AT230">
        <v>1</v>
      </c>
      <c r="AU230">
        <v>1</v>
      </c>
      <c r="AV230">
        <v>92</v>
      </c>
      <c r="AW230">
        <v>81</v>
      </c>
      <c r="AZ230" t="b">
        <v>0</v>
      </c>
      <c r="BA230">
        <v>1371</v>
      </c>
      <c r="BB230">
        <v>1901</v>
      </c>
      <c r="BC230">
        <v>24</v>
      </c>
      <c r="BD230" t="s">
        <v>3042</v>
      </c>
      <c r="BE230">
        <v>98</v>
      </c>
      <c r="BF230">
        <v>0</v>
      </c>
      <c r="BG230">
        <v>72</v>
      </c>
      <c r="BH230">
        <v>0</v>
      </c>
      <c r="BI230">
        <v>11</v>
      </c>
      <c r="BJ230" s="1" t="s">
        <v>1816</v>
      </c>
      <c r="BK230" s="1" t="s">
        <v>169</v>
      </c>
      <c r="BL230" s="1" t="s">
        <v>1092</v>
      </c>
      <c r="BM230" s="1" t="s">
        <v>160</v>
      </c>
      <c r="BN230">
        <v>5</v>
      </c>
      <c r="BO230" s="1" t="s">
        <v>126</v>
      </c>
      <c r="BP230" s="1" t="s">
        <v>298</v>
      </c>
      <c r="BQ230">
        <v>0</v>
      </c>
      <c r="BR230">
        <v>0</v>
      </c>
      <c r="BS230">
        <v>1</v>
      </c>
      <c r="BT230" s="1" t="s">
        <v>130</v>
      </c>
      <c r="BU230" s="1" t="s">
        <v>128</v>
      </c>
      <c r="BV230" s="1" t="s">
        <v>129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0.31</v>
      </c>
      <c r="CC230">
        <v>0</v>
      </c>
      <c r="CD230" s="1" t="s">
        <v>3043</v>
      </c>
      <c r="CE230">
        <v>0</v>
      </c>
      <c r="CF230" s="1" t="s">
        <v>3044</v>
      </c>
      <c r="CG230" s="1" t="s">
        <v>125</v>
      </c>
      <c r="CH230">
        <v>5</v>
      </c>
      <c r="CI230" s="1" t="s">
        <v>129</v>
      </c>
      <c r="CJ230">
        <v>1</v>
      </c>
      <c r="CK230">
        <v>1</v>
      </c>
      <c r="CL230">
        <v>2.2000000000000002</v>
      </c>
      <c r="CM230">
        <v>79</v>
      </c>
      <c r="CN230" s="1" t="s">
        <v>3045</v>
      </c>
      <c r="CO230" s="1" t="s">
        <v>268</v>
      </c>
      <c r="CP230" s="1" t="s">
        <v>2696</v>
      </c>
      <c r="CS230" s="1" t="s">
        <v>2837</v>
      </c>
      <c r="CT230">
        <v>1648.4</v>
      </c>
      <c r="CU230" s="1" t="s">
        <v>3046</v>
      </c>
      <c r="CV230" s="1" t="s">
        <v>3047</v>
      </c>
      <c r="CW230">
        <v>69.5</v>
      </c>
      <c r="CX230">
        <v>69.2</v>
      </c>
      <c r="CY230">
        <v>66.8</v>
      </c>
      <c r="CZ230">
        <v>63</v>
      </c>
      <c r="DA230">
        <v>1</v>
      </c>
      <c r="DB230" t="s">
        <v>226</v>
      </c>
      <c r="DC230">
        <v>57</v>
      </c>
      <c r="DD230" s="1" t="s">
        <v>3048</v>
      </c>
      <c r="DE230">
        <v>-32.882377122033603</v>
      </c>
      <c r="DF230" t="e">
        <f>_xlfn.XLOOKUP(Table1[[#This Row],[Player ID]],Table2[feed_id],Table2[trade_status])</f>
        <v>#N/A</v>
      </c>
      <c r="DG230">
        <f>_xlfn.NUMBERVALUE(Table1[[#This Row],[predicted]])</f>
        <v>89.882377122033603</v>
      </c>
    </row>
    <row r="231" spans="1:111" hidden="1" x14ac:dyDescent="0.25">
      <c r="A231">
        <v>85615</v>
      </c>
      <c r="B231">
        <v>7103</v>
      </c>
      <c r="C231" t="s">
        <v>3049</v>
      </c>
      <c r="D231" t="s">
        <v>314</v>
      </c>
      <c r="E231">
        <v>2019</v>
      </c>
      <c r="F231">
        <v>240336</v>
      </c>
      <c r="G231" t="s">
        <v>3050</v>
      </c>
      <c r="H231" t="s">
        <v>3051</v>
      </c>
      <c r="I231" t="s">
        <v>1089</v>
      </c>
      <c r="J231">
        <v>10</v>
      </c>
      <c r="K231">
        <v>51</v>
      </c>
      <c r="L231">
        <v>56</v>
      </c>
      <c r="M231">
        <v>68</v>
      </c>
      <c r="N231">
        <v>42</v>
      </c>
      <c r="O231">
        <v>57</v>
      </c>
      <c r="P231">
        <v>5</v>
      </c>
      <c r="Q231">
        <v>6</v>
      </c>
      <c r="R231">
        <v>4</v>
      </c>
      <c r="S231">
        <v>4</v>
      </c>
      <c r="T231">
        <v>0</v>
      </c>
      <c r="U231">
        <v>2</v>
      </c>
      <c r="V231">
        <v>2</v>
      </c>
      <c r="W231">
        <v>0</v>
      </c>
      <c r="X231">
        <v>0</v>
      </c>
      <c r="Y231" t="s">
        <v>113</v>
      </c>
      <c r="Z231" t="s">
        <v>525</v>
      </c>
      <c r="AA231" t="s">
        <v>3052</v>
      </c>
      <c r="AD231">
        <v>0</v>
      </c>
      <c r="AF231">
        <v>0</v>
      </c>
      <c r="AH231" t="s">
        <v>155</v>
      </c>
      <c r="AI231">
        <v>7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S231">
        <v>4</v>
      </c>
      <c r="AT231">
        <v>0</v>
      </c>
      <c r="AU231">
        <v>2</v>
      </c>
      <c r="AV231">
        <v>90</v>
      </c>
      <c r="AW231">
        <v>63</v>
      </c>
      <c r="AZ231" t="b">
        <v>0</v>
      </c>
      <c r="BA231">
        <v>1456</v>
      </c>
      <c r="BB231">
        <v>1807</v>
      </c>
      <c r="BC231">
        <v>30</v>
      </c>
      <c r="BD231" t="s">
        <v>3053</v>
      </c>
      <c r="BE231" s="1" t="s">
        <v>3054</v>
      </c>
      <c r="BF231">
        <v>0</v>
      </c>
      <c r="BG231">
        <v>75</v>
      </c>
      <c r="BH231">
        <v>0</v>
      </c>
      <c r="BI231" s="1" t="s">
        <v>183</v>
      </c>
      <c r="BJ231">
        <v>9</v>
      </c>
      <c r="BK231" s="1" t="s">
        <v>204</v>
      </c>
      <c r="BL231" s="1" t="s">
        <v>158</v>
      </c>
      <c r="BM231" s="1" t="s">
        <v>211</v>
      </c>
      <c r="BN231" s="1" t="s">
        <v>229</v>
      </c>
      <c r="BO231">
        <v>3</v>
      </c>
      <c r="BP231" s="1" t="s">
        <v>169</v>
      </c>
      <c r="BQ231">
        <v>0</v>
      </c>
      <c r="BR231">
        <v>0</v>
      </c>
      <c r="BS231" s="1" t="s">
        <v>126</v>
      </c>
      <c r="BT231">
        <v>0.8</v>
      </c>
      <c r="BU231" s="1" t="s">
        <v>128</v>
      </c>
      <c r="BV231" s="1" t="s">
        <v>231</v>
      </c>
      <c r="BW231" s="1" t="s">
        <v>129</v>
      </c>
      <c r="BX231">
        <v>0.4</v>
      </c>
      <c r="BY231" s="1" t="s">
        <v>128</v>
      </c>
      <c r="BZ231">
        <v>0.4</v>
      </c>
      <c r="CA231">
        <v>0</v>
      </c>
      <c r="CB231">
        <v>0</v>
      </c>
      <c r="CC231">
        <v>0</v>
      </c>
      <c r="CD231">
        <v>0</v>
      </c>
      <c r="CE231">
        <v>0</v>
      </c>
      <c r="CF231" s="1" t="s">
        <v>3055</v>
      </c>
      <c r="CG231" s="1" t="s">
        <v>124</v>
      </c>
      <c r="CH231" s="1" t="s">
        <v>168</v>
      </c>
      <c r="CI231" s="1" t="s">
        <v>126</v>
      </c>
      <c r="CJ231" s="1" t="s">
        <v>304</v>
      </c>
      <c r="CK231">
        <v>1</v>
      </c>
      <c r="CL231" s="1" t="s">
        <v>206</v>
      </c>
      <c r="CM231">
        <v>75</v>
      </c>
      <c r="CN231" s="1" t="s">
        <v>531</v>
      </c>
      <c r="CO231">
        <v>69</v>
      </c>
      <c r="CP231" s="1" t="s">
        <v>850</v>
      </c>
      <c r="CS231" s="1" t="s">
        <v>1068</v>
      </c>
      <c r="CT231">
        <v>1731</v>
      </c>
      <c r="CU231" s="1" t="s">
        <v>3056</v>
      </c>
      <c r="CV231" s="1" t="s">
        <v>3057</v>
      </c>
      <c r="CW231">
        <v>76.45</v>
      </c>
      <c r="CX231">
        <v>75</v>
      </c>
      <c r="CY231">
        <v>63.8</v>
      </c>
      <c r="CZ231" s="1" t="s">
        <v>787</v>
      </c>
      <c r="DA231">
        <v>1</v>
      </c>
      <c r="DB231" t="s">
        <v>525</v>
      </c>
      <c r="DC231">
        <v>56</v>
      </c>
      <c r="DD231">
        <v>70.572313510607799</v>
      </c>
      <c r="DE231">
        <v>-14.5723135106077</v>
      </c>
      <c r="DF231" t="e">
        <f>_xlfn.XLOOKUP(Table1[[#This Row],[Player ID]],Table2[feed_id],Table2[trade_status])</f>
        <v>#N/A</v>
      </c>
      <c r="DG231">
        <f>_xlfn.NUMBERVALUE(Table1[[#This Row],[predicted]])</f>
        <v>70.572313510607799</v>
      </c>
    </row>
    <row r="232" spans="1:111" hidden="1" x14ac:dyDescent="0.25">
      <c r="A232">
        <v>85715</v>
      </c>
      <c r="B232">
        <v>7105</v>
      </c>
      <c r="C232" t="s">
        <v>3058</v>
      </c>
      <c r="D232" t="s">
        <v>336</v>
      </c>
      <c r="E232">
        <v>2019</v>
      </c>
      <c r="F232">
        <v>261290</v>
      </c>
      <c r="G232" t="s">
        <v>315</v>
      </c>
      <c r="H232" t="s">
        <v>3059</v>
      </c>
      <c r="I232" t="s">
        <v>582</v>
      </c>
      <c r="J232">
        <v>15</v>
      </c>
      <c r="K232">
        <v>63</v>
      </c>
      <c r="L232">
        <v>77</v>
      </c>
      <c r="M232">
        <v>54</v>
      </c>
      <c r="N232">
        <v>54</v>
      </c>
      <c r="O232">
        <v>72</v>
      </c>
      <c r="P232">
        <v>7</v>
      </c>
      <c r="Q232">
        <v>6</v>
      </c>
      <c r="R232">
        <v>6</v>
      </c>
      <c r="S232">
        <v>3</v>
      </c>
      <c r="T232">
        <v>0</v>
      </c>
      <c r="U232">
        <v>0</v>
      </c>
      <c r="V232">
        <v>2</v>
      </c>
      <c r="W232">
        <v>1</v>
      </c>
      <c r="X232">
        <v>0</v>
      </c>
      <c r="Y232" t="s">
        <v>113</v>
      </c>
      <c r="Z232" t="s">
        <v>525</v>
      </c>
      <c r="AA232" t="s">
        <v>3060</v>
      </c>
      <c r="AD232">
        <v>0</v>
      </c>
      <c r="AF232">
        <v>0</v>
      </c>
      <c r="AH232" t="s">
        <v>118</v>
      </c>
      <c r="AI232">
        <v>7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S232">
        <v>7</v>
      </c>
      <c r="AT232">
        <v>2</v>
      </c>
      <c r="AU232">
        <v>2</v>
      </c>
      <c r="AV232">
        <v>76</v>
      </c>
      <c r="AW232">
        <v>94</v>
      </c>
      <c r="AZ232" t="b">
        <v>0</v>
      </c>
      <c r="BA232">
        <v>1802</v>
      </c>
      <c r="BB232">
        <v>1484</v>
      </c>
      <c r="BC232">
        <v>32</v>
      </c>
      <c r="BD232" t="s">
        <v>3061</v>
      </c>
      <c r="BE232">
        <v>96</v>
      </c>
      <c r="BF232">
        <v>0</v>
      </c>
      <c r="BG232">
        <v>71.5</v>
      </c>
      <c r="BH232">
        <v>1</v>
      </c>
      <c r="BI232">
        <v>10</v>
      </c>
      <c r="BJ232" s="1" t="s">
        <v>586</v>
      </c>
      <c r="BK232" s="1" t="s">
        <v>183</v>
      </c>
      <c r="BL232">
        <v>6.8</v>
      </c>
      <c r="BM232" s="1" t="s">
        <v>204</v>
      </c>
      <c r="BN232">
        <v>5.4</v>
      </c>
      <c r="BO232">
        <v>2</v>
      </c>
      <c r="BP232" s="1" t="s">
        <v>304</v>
      </c>
      <c r="BQ232">
        <v>0</v>
      </c>
      <c r="BR232">
        <v>0</v>
      </c>
      <c r="BS232">
        <v>0</v>
      </c>
      <c r="BT232">
        <v>0.4</v>
      </c>
      <c r="BU232" s="1" t="s">
        <v>128</v>
      </c>
      <c r="BV232" s="1" t="s">
        <v>238</v>
      </c>
      <c r="BW232" s="1" t="s">
        <v>129</v>
      </c>
      <c r="BX232">
        <v>0.2</v>
      </c>
      <c r="BY232" s="1" t="s">
        <v>129</v>
      </c>
      <c r="BZ232">
        <v>6.6666666666666596E-2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6</v>
      </c>
      <c r="CH232" s="1" t="s">
        <v>256</v>
      </c>
      <c r="CI232">
        <v>1</v>
      </c>
      <c r="CJ232" s="1" t="s">
        <v>238</v>
      </c>
      <c r="CK232" s="1" t="s">
        <v>126</v>
      </c>
      <c r="CL232" s="1" t="s">
        <v>275</v>
      </c>
      <c r="CM232" s="1" t="s">
        <v>350</v>
      </c>
      <c r="CN232" s="1" t="s">
        <v>870</v>
      </c>
      <c r="CO232" s="1" t="s">
        <v>217</v>
      </c>
      <c r="CP232" s="1" t="s">
        <v>2420</v>
      </c>
      <c r="CS232">
        <v>1648</v>
      </c>
      <c r="CT232" s="1" t="s">
        <v>1523</v>
      </c>
      <c r="CU232" s="1" t="s">
        <v>1164</v>
      </c>
      <c r="CV232" s="1" t="s">
        <v>3036</v>
      </c>
      <c r="CW232">
        <v>60.05</v>
      </c>
      <c r="CX232">
        <v>68.5</v>
      </c>
      <c r="CY232">
        <v>68.2</v>
      </c>
      <c r="CZ232" s="1" t="s">
        <v>1080</v>
      </c>
      <c r="DA232">
        <v>1</v>
      </c>
      <c r="DB232" t="s">
        <v>525</v>
      </c>
      <c r="DC232">
        <v>77</v>
      </c>
      <c r="DD232" s="1" t="s">
        <v>3062</v>
      </c>
      <c r="DE232" s="1" t="s">
        <v>3063</v>
      </c>
      <c r="DF232" t="e">
        <f>_xlfn.XLOOKUP(Table1[[#This Row],[Player ID]],Table2[feed_id],Table2[trade_status])</f>
        <v>#N/A</v>
      </c>
      <c r="DG232">
        <f>_xlfn.NUMBERVALUE(Table1[[#This Row],[predicted]])</f>
        <v>62.465965455999999</v>
      </c>
    </row>
    <row r="233" spans="1:111" hidden="1" x14ac:dyDescent="0.25">
      <c r="A233">
        <v>85733</v>
      </c>
      <c r="B233">
        <v>7106</v>
      </c>
      <c r="C233" t="s">
        <v>3064</v>
      </c>
      <c r="D233" t="s">
        <v>336</v>
      </c>
      <c r="E233">
        <v>2019</v>
      </c>
      <c r="F233">
        <v>220047</v>
      </c>
      <c r="G233" t="s">
        <v>176</v>
      </c>
      <c r="H233" t="s">
        <v>3065</v>
      </c>
      <c r="I233" t="s">
        <v>201</v>
      </c>
      <c r="J233">
        <v>9</v>
      </c>
      <c r="K233">
        <v>78</v>
      </c>
      <c r="L233">
        <v>92</v>
      </c>
      <c r="M233">
        <v>99</v>
      </c>
      <c r="N233">
        <v>62</v>
      </c>
      <c r="O233">
        <v>84</v>
      </c>
      <c r="P233">
        <v>14</v>
      </c>
      <c r="Q233">
        <v>8</v>
      </c>
      <c r="R233">
        <v>5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 t="s">
        <v>113</v>
      </c>
      <c r="Z233" t="s">
        <v>226</v>
      </c>
      <c r="AA233" t="s">
        <v>3066</v>
      </c>
      <c r="AD233">
        <v>0</v>
      </c>
      <c r="AF233">
        <v>0</v>
      </c>
      <c r="AH233" t="s">
        <v>181</v>
      </c>
      <c r="AI233">
        <v>2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S233">
        <v>5</v>
      </c>
      <c r="AT233">
        <v>0</v>
      </c>
      <c r="AU233">
        <v>2</v>
      </c>
      <c r="AV233">
        <v>86</v>
      </c>
      <c r="AW233">
        <v>81</v>
      </c>
      <c r="AZ233" t="b">
        <v>0</v>
      </c>
      <c r="BA233">
        <v>1586</v>
      </c>
      <c r="BB233">
        <v>1678</v>
      </c>
      <c r="BC233">
        <v>32</v>
      </c>
      <c r="BD233" t="s">
        <v>3067</v>
      </c>
      <c r="BE233">
        <v>96</v>
      </c>
      <c r="BF233">
        <v>0</v>
      </c>
      <c r="BG233">
        <v>71.5</v>
      </c>
      <c r="BH233">
        <v>1</v>
      </c>
      <c r="BI233" s="1" t="s">
        <v>3068</v>
      </c>
      <c r="BJ233" s="1" t="s">
        <v>623</v>
      </c>
      <c r="BK233" s="1" t="s">
        <v>183</v>
      </c>
      <c r="BL233" s="1" t="s">
        <v>256</v>
      </c>
      <c r="BM233" s="1" t="s">
        <v>397</v>
      </c>
      <c r="BN233" s="1" t="s">
        <v>139</v>
      </c>
      <c r="BO233" s="1" t="s">
        <v>126</v>
      </c>
      <c r="BP233">
        <v>1.6</v>
      </c>
      <c r="BQ233">
        <v>0</v>
      </c>
      <c r="BR233">
        <v>0</v>
      </c>
      <c r="BS233" s="1" t="s">
        <v>128</v>
      </c>
      <c r="BT233" s="1" t="s">
        <v>231</v>
      </c>
      <c r="BU233" s="1" t="s">
        <v>129</v>
      </c>
      <c r="BV233">
        <v>0.8</v>
      </c>
      <c r="BW233">
        <v>0</v>
      </c>
      <c r="BX233">
        <v>0</v>
      </c>
      <c r="BY233">
        <v>0</v>
      </c>
      <c r="BZ233" s="1" t="s">
        <v>213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 s="1" t="s">
        <v>397</v>
      </c>
      <c r="CH233" s="1" t="s">
        <v>321</v>
      </c>
      <c r="CI233" s="1" t="s">
        <v>128</v>
      </c>
      <c r="CJ233" s="1" t="s">
        <v>231</v>
      </c>
      <c r="CK233">
        <v>2</v>
      </c>
      <c r="CL233" s="1" t="s">
        <v>275</v>
      </c>
      <c r="CM233" s="1" t="s">
        <v>1123</v>
      </c>
      <c r="CN233">
        <v>84</v>
      </c>
      <c r="CO233">
        <v>85</v>
      </c>
      <c r="CP233" s="1" t="s">
        <v>3069</v>
      </c>
      <c r="CS233" s="1" t="s">
        <v>2135</v>
      </c>
      <c r="CT233" s="1" t="s">
        <v>3070</v>
      </c>
      <c r="CU233" s="1" t="s">
        <v>2838</v>
      </c>
      <c r="CV233" s="1" t="s">
        <v>3071</v>
      </c>
      <c r="CW233">
        <v>71.400000000000006</v>
      </c>
      <c r="CX233">
        <v>78</v>
      </c>
      <c r="CY233">
        <v>84.8</v>
      </c>
      <c r="CZ233" s="1" t="s">
        <v>3072</v>
      </c>
      <c r="DA233">
        <v>1</v>
      </c>
      <c r="DB233" t="s">
        <v>226</v>
      </c>
      <c r="DC233">
        <v>92</v>
      </c>
      <c r="DD233" s="1" t="s">
        <v>3073</v>
      </c>
      <c r="DE233">
        <v>-8.5758578392601095</v>
      </c>
      <c r="DF233" t="e">
        <f>_xlfn.XLOOKUP(Table1[[#This Row],[Player ID]],Table2[feed_id],Table2[trade_status])</f>
        <v>#N/A</v>
      </c>
      <c r="DG233">
        <f>_xlfn.NUMBERVALUE(Table1[[#This Row],[predicted]])</f>
        <v>100.57585783926</v>
      </c>
    </row>
    <row r="234" spans="1:111" hidden="1" x14ac:dyDescent="0.25">
      <c r="A234">
        <v>85737</v>
      </c>
      <c r="B234">
        <v>7106</v>
      </c>
      <c r="C234" t="s">
        <v>3064</v>
      </c>
      <c r="D234" t="s">
        <v>336</v>
      </c>
      <c r="E234">
        <v>2019</v>
      </c>
      <c r="F234">
        <v>297258</v>
      </c>
      <c r="G234" t="s">
        <v>740</v>
      </c>
      <c r="H234" t="s">
        <v>3074</v>
      </c>
      <c r="I234" t="s">
        <v>201</v>
      </c>
      <c r="J234">
        <v>9</v>
      </c>
      <c r="K234">
        <v>63</v>
      </c>
      <c r="L234">
        <v>43</v>
      </c>
      <c r="M234">
        <v>86</v>
      </c>
      <c r="N234">
        <v>43</v>
      </c>
      <c r="O234">
        <v>60</v>
      </c>
      <c r="P234">
        <v>12</v>
      </c>
      <c r="Q234">
        <v>1</v>
      </c>
      <c r="R234">
        <v>3</v>
      </c>
      <c r="S234">
        <v>4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113</v>
      </c>
      <c r="Z234" t="s">
        <v>1563</v>
      </c>
      <c r="AA234" t="s">
        <v>3075</v>
      </c>
      <c r="AD234">
        <v>0</v>
      </c>
      <c r="AF234">
        <v>0</v>
      </c>
      <c r="AH234" t="s">
        <v>181</v>
      </c>
      <c r="AI234">
        <v>18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S234">
        <v>6</v>
      </c>
      <c r="AT234">
        <v>1</v>
      </c>
      <c r="AU234">
        <v>6</v>
      </c>
      <c r="AV234">
        <v>30</v>
      </c>
      <c r="AW234">
        <v>84</v>
      </c>
      <c r="AZ234" t="b">
        <v>0</v>
      </c>
      <c r="BA234">
        <v>1586</v>
      </c>
      <c r="BB234">
        <v>1678</v>
      </c>
      <c r="BC234">
        <v>32</v>
      </c>
      <c r="BD234" t="s">
        <v>3067</v>
      </c>
      <c r="BE234">
        <v>96</v>
      </c>
      <c r="BF234">
        <v>0</v>
      </c>
      <c r="BG234">
        <v>71.5</v>
      </c>
      <c r="BH234">
        <v>0</v>
      </c>
      <c r="BI234" s="1" t="s">
        <v>294</v>
      </c>
      <c r="BJ234" s="1" t="s">
        <v>1106</v>
      </c>
      <c r="BK234">
        <v>4</v>
      </c>
      <c r="BL234">
        <v>7</v>
      </c>
      <c r="BM234" s="1" t="s">
        <v>125</v>
      </c>
      <c r="BN234" s="1" t="s">
        <v>374</v>
      </c>
      <c r="BO234" s="1" t="s">
        <v>159</v>
      </c>
      <c r="BP234" s="1" t="s">
        <v>327</v>
      </c>
      <c r="BQ234">
        <v>0</v>
      </c>
      <c r="BR234">
        <v>0</v>
      </c>
      <c r="BS234" s="1" t="s">
        <v>129</v>
      </c>
      <c r="BT234" s="1" t="s">
        <v>184</v>
      </c>
      <c r="BU234" s="1" t="s">
        <v>128</v>
      </c>
      <c r="BV234" s="1" t="s">
        <v>127</v>
      </c>
      <c r="BW234">
        <v>0</v>
      </c>
      <c r="BX234" s="1" t="s">
        <v>213</v>
      </c>
      <c r="BY234">
        <v>0</v>
      </c>
      <c r="BZ234">
        <v>0</v>
      </c>
      <c r="CA234">
        <v>0</v>
      </c>
      <c r="CB234" s="1" t="s">
        <v>3076</v>
      </c>
      <c r="CC234">
        <v>0</v>
      </c>
      <c r="CD234">
        <v>0.13800000000000001</v>
      </c>
      <c r="CE234">
        <v>0</v>
      </c>
      <c r="CF234" s="1" t="s">
        <v>3077</v>
      </c>
      <c r="CG234">
        <v>5</v>
      </c>
      <c r="CH234" s="1" t="s">
        <v>212</v>
      </c>
      <c r="CI234" s="1" t="s">
        <v>128</v>
      </c>
      <c r="CJ234" s="1" t="s">
        <v>231</v>
      </c>
      <c r="CK234" s="1" t="s">
        <v>138</v>
      </c>
      <c r="CL234" s="1" t="s">
        <v>373</v>
      </c>
      <c r="CM234" s="1" t="s">
        <v>1012</v>
      </c>
      <c r="CN234">
        <v>77.599999999999994</v>
      </c>
      <c r="CO234" s="1" t="s">
        <v>403</v>
      </c>
      <c r="CP234" s="1" t="s">
        <v>403</v>
      </c>
      <c r="CS234" s="1" t="s">
        <v>874</v>
      </c>
      <c r="CT234" s="1" t="s">
        <v>555</v>
      </c>
      <c r="CU234">
        <v>1634</v>
      </c>
      <c r="CV234" s="1" t="s">
        <v>3078</v>
      </c>
      <c r="CW234">
        <v>61.1</v>
      </c>
      <c r="CX234">
        <v>60.2</v>
      </c>
      <c r="CY234">
        <v>60.8</v>
      </c>
      <c r="CZ234" s="1" t="s">
        <v>171</v>
      </c>
      <c r="DA234">
        <v>1</v>
      </c>
      <c r="DB234" t="s">
        <v>1563</v>
      </c>
      <c r="DC234">
        <v>43</v>
      </c>
      <c r="DD234" s="1" t="s">
        <v>3079</v>
      </c>
      <c r="DE234">
        <v>-31.784027812248599</v>
      </c>
      <c r="DF234" t="e">
        <f>_xlfn.XLOOKUP(Table1[[#This Row],[Player ID]],Table2[feed_id],Table2[trade_status])</f>
        <v>#N/A</v>
      </c>
      <c r="DG234">
        <f>_xlfn.NUMBERVALUE(Table1[[#This Row],[predicted]])</f>
        <v>74.784027812248596</v>
      </c>
    </row>
    <row r="235" spans="1:111" hidden="1" x14ac:dyDescent="0.25">
      <c r="A235">
        <v>85738</v>
      </c>
      <c r="B235">
        <v>7106</v>
      </c>
      <c r="C235" t="s">
        <v>3064</v>
      </c>
      <c r="D235" t="s">
        <v>336</v>
      </c>
      <c r="E235">
        <v>2019</v>
      </c>
      <c r="F235">
        <v>280918</v>
      </c>
      <c r="G235" t="s">
        <v>3080</v>
      </c>
      <c r="H235" t="s">
        <v>3081</v>
      </c>
      <c r="I235" t="s">
        <v>201</v>
      </c>
      <c r="J235">
        <v>11</v>
      </c>
      <c r="K235">
        <v>61</v>
      </c>
      <c r="L235">
        <v>75</v>
      </c>
      <c r="M235">
        <v>79</v>
      </c>
      <c r="N235">
        <v>49</v>
      </c>
      <c r="O235">
        <v>63</v>
      </c>
      <c r="P235">
        <v>8</v>
      </c>
      <c r="Q235">
        <v>4</v>
      </c>
      <c r="R235">
        <v>4</v>
      </c>
      <c r="S235">
        <v>3</v>
      </c>
      <c r="T235">
        <v>0</v>
      </c>
      <c r="U235">
        <v>2</v>
      </c>
      <c r="V235">
        <v>1</v>
      </c>
      <c r="W235">
        <v>1</v>
      </c>
      <c r="X235">
        <v>0</v>
      </c>
      <c r="Y235" t="s">
        <v>113</v>
      </c>
      <c r="Z235" t="s">
        <v>861</v>
      </c>
      <c r="AA235" t="s">
        <v>3082</v>
      </c>
      <c r="AD235">
        <v>0</v>
      </c>
      <c r="AF235">
        <v>0</v>
      </c>
      <c r="AH235" t="s">
        <v>118</v>
      </c>
      <c r="AI235">
        <v>3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S235">
        <v>6</v>
      </c>
      <c r="AT235">
        <v>0</v>
      </c>
      <c r="AU235">
        <v>3</v>
      </c>
      <c r="AV235">
        <v>75</v>
      </c>
      <c r="AW235">
        <v>70</v>
      </c>
      <c r="AZ235" t="b">
        <v>0</v>
      </c>
      <c r="BA235">
        <v>1586</v>
      </c>
      <c r="BB235">
        <v>1678</v>
      </c>
      <c r="BC235">
        <v>32</v>
      </c>
      <c r="BD235" t="s">
        <v>3067</v>
      </c>
      <c r="BE235">
        <v>96</v>
      </c>
      <c r="BF235">
        <v>0</v>
      </c>
      <c r="BG235">
        <v>71.5</v>
      </c>
      <c r="BH235">
        <v>1</v>
      </c>
      <c r="BI235" s="1" t="s">
        <v>183</v>
      </c>
      <c r="BJ235" s="1" t="s">
        <v>879</v>
      </c>
      <c r="BK235" s="1" t="s">
        <v>169</v>
      </c>
      <c r="BL235" s="1" t="s">
        <v>229</v>
      </c>
      <c r="BM235" s="1" t="s">
        <v>125</v>
      </c>
      <c r="BN235" s="1" t="s">
        <v>211</v>
      </c>
      <c r="BO235" s="1" t="s">
        <v>159</v>
      </c>
      <c r="BP235">
        <v>3</v>
      </c>
      <c r="BQ235">
        <v>0</v>
      </c>
      <c r="BR235">
        <v>0</v>
      </c>
      <c r="BS235">
        <v>1</v>
      </c>
      <c r="BT235">
        <v>0.8</v>
      </c>
      <c r="BU235">
        <v>1</v>
      </c>
      <c r="BV235" s="1" t="s">
        <v>399</v>
      </c>
      <c r="BW235">
        <v>1</v>
      </c>
      <c r="BX235" s="1" t="s">
        <v>298</v>
      </c>
      <c r="BY235">
        <v>0</v>
      </c>
      <c r="BZ235">
        <v>0.6</v>
      </c>
      <c r="CA235">
        <v>0</v>
      </c>
      <c r="CB235">
        <v>0</v>
      </c>
      <c r="CC235">
        <v>0</v>
      </c>
      <c r="CD235">
        <v>0</v>
      </c>
      <c r="CE235">
        <v>0</v>
      </c>
      <c r="CF235" s="1" t="s">
        <v>3083</v>
      </c>
      <c r="CG235" s="1" t="s">
        <v>125</v>
      </c>
      <c r="CH235">
        <v>5.4</v>
      </c>
      <c r="CI235">
        <v>0</v>
      </c>
      <c r="CJ235">
        <v>0.8</v>
      </c>
      <c r="CK235" s="1" t="s">
        <v>161</v>
      </c>
      <c r="CL235" s="1" t="s">
        <v>375</v>
      </c>
      <c r="CM235">
        <v>74</v>
      </c>
      <c r="CN235" s="1" t="s">
        <v>701</v>
      </c>
      <c r="CO235" s="1" t="s">
        <v>1166</v>
      </c>
      <c r="CP235" s="1" t="s">
        <v>531</v>
      </c>
      <c r="CS235">
        <v>1699</v>
      </c>
      <c r="CT235">
        <v>1674.4</v>
      </c>
      <c r="CU235" s="1" t="s">
        <v>685</v>
      </c>
      <c r="CV235" s="1" t="s">
        <v>3084</v>
      </c>
      <c r="CW235">
        <v>72.55</v>
      </c>
      <c r="CX235">
        <v>65.3</v>
      </c>
      <c r="CY235">
        <v>66.400000000000006</v>
      </c>
      <c r="CZ235" s="1" t="s">
        <v>687</v>
      </c>
      <c r="DA235">
        <v>1</v>
      </c>
      <c r="DB235" t="s">
        <v>861</v>
      </c>
      <c r="DC235">
        <v>75</v>
      </c>
      <c r="DD235" s="1" t="s">
        <v>3085</v>
      </c>
      <c r="DE235" s="1" t="s">
        <v>3086</v>
      </c>
      <c r="DF235" t="e">
        <f>_xlfn.XLOOKUP(Table1[[#This Row],[Player ID]],Table2[feed_id],Table2[trade_status])</f>
        <v>#N/A</v>
      </c>
      <c r="DG235">
        <f>_xlfn.NUMBERVALUE(Table1[[#This Row],[predicted]])</f>
        <v>69.840266695969206</v>
      </c>
    </row>
    <row r="236" spans="1:111" hidden="1" x14ac:dyDescent="0.25">
      <c r="A236">
        <v>86019</v>
      </c>
      <c r="B236">
        <v>7303</v>
      </c>
      <c r="C236" t="s">
        <v>3087</v>
      </c>
      <c r="D236" t="s">
        <v>1893</v>
      </c>
      <c r="E236">
        <v>2020</v>
      </c>
      <c r="F236">
        <v>995192</v>
      </c>
      <c r="G236" t="s">
        <v>271</v>
      </c>
      <c r="H236" t="s">
        <v>3088</v>
      </c>
      <c r="I236" t="s">
        <v>178</v>
      </c>
      <c r="J236">
        <v>3</v>
      </c>
      <c r="K236">
        <v>45</v>
      </c>
      <c r="L236">
        <v>51</v>
      </c>
      <c r="M236">
        <v>26</v>
      </c>
      <c r="N236">
        <v>35</v>
      </c>
      <c r="O236">
        <v>46</v>
      </c>
      <c r="P236">
        <v>8</v>
      </c>
      <c r="Q236">
        <v>3</v>
      </c>
      <c r="R236">
        <v>3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1</v>
      </c>
      <c r="Y236" t="s">
        <v>113</v>
      </c>
      <c r="Z236" t="s">
        <v>525</v>
      </c>
      <c r="AA236" t="s">
        <v>3089</v>
      </c>
      <c r="AD236">
        <v>300300</v>
      </c>
      <c r="AF236">
        <v>289200</v>
      </c>
      <c r="AH236" t="s">
        <v>155</v>
      </c>
      <c r="AI236">
        <v>23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268100</v>
      </c>
      <c r="AS236">
        <v>4</v>
      </c>
      <c r="AT236">
        <v>0</v>
      </c>
      <c r="AU236">
        <v>2</v>
      </c>
      <c r="AV236">
        <v>63</v>
      </c>
      <c r="AW236">
        <v>69</v>
      </c>
      <c r="AX236">
        <v>195</v>
      </c>
      <c r="AZ236" t="b">
        <v>0</v>
      </c>
      <c r="BA236">
        <v>1809</v>
      </c>
      <c r="BB236">
        <v>1458</v>
      </c>
      <c r="BC236">
        <v>2</v>
      </c>
      <c r="BD236" t="s">
        <v>3090</v>
      </c>
      <c r="BE236">
        <v>102</v>
      </c>
      <c r="BF236">
        <v>0</v>
      </c>
      <c r="BG236">
        <v>74</v>
      </c>
      <c r="BH236">
        <v>0</v>
      </c>
      <c r="BI236" s="1" t="s">
        <v>183</v>
      </c>
      <c r="BJ236" s="1" t="s">
        <v>1041</v>
      </c>
      <c r="BK236" s="1" t="s">
        <v>169</v>
      </c>
      <c r="BL236" s="1" t="s">
        <v>640</v>
      </c>
      <c r="BM236">
        <v>5</v>
      </c>
      <c r="BN236">
        <v>4.2</v>
      </c>
      <c r="BO236">
        <v>1</v>
      </c>
      <c r="BP236">
        <v>1.4</v>
      </c>
      <c r="BQ236">
        <v>0</v>
      </c>
      <c r="BR236">
        <v>0</v>
      </c>
      <c r="BS236">
        <v>1</v>
      </c>
      <c r="BT236" s="1" t="s">
        <v>128</v>
      </c>
      <c r="BU236" s="1" t="s">
        <v>128</v>
      </c>
      <c r="BV236" s="1" t="s">
        <v>130</v>
      </c>
      <c r="BW236">
        <v>1</v>
      </c>
      <c r="BX236" s="1" t="s">
        <v>206</v>
      </c>
      <c r="BY236">
        <v>1</v>
      </c>
      <c r="BZ236">
        <v>0.8</v>
      </c>
      <c r="CA236">
        <v>0</v>
      </c>
      <c r="CB236" s="1" t="s">
        <v>3091</v>
      </c>
      <c r="CC236">
        <v>0</v>
      </c>
      <c r="CD236" s="1" t="s">
        <v>3092</v>
      </c>
      <c r="CE236">
        <v>0</v>
      </c>
      <c r="CF236" s="1" t="s">
        <v>3093</v>
      </c>
      <c r="CG236">
        <v>3</v>
      </c>
      <c r="CH236" s="1" t="s">
        <v>230</v>
      </c>
      <c r="CI236">
        <v>0</v>
      </c>
      <c r="CJ236" s="1" t="s">
        <v>184</v>
      </c>
      <c r="CK236">
        <v>2</v>
      </c>
      <c r="CL236">
        <v>2.6</v>
      </c>
      <c r="CM236">
        <v>50</v>
      </c>
      <c r="CN236" s="1" t="s">
        <v>649</v>
      </c>
      <c r="CO236">
        <v>83</v>
      </c>
      <c r="CP236" s="1" t="s">
        <v>3094</v>
      </c>
      <c r="CS236">
        <v>1512</v>
      </c>
      <c r="CT236" s="1" t="s">
        <v>3095</v>
      </c>
      <c r="CU236">
        <v>1763</v>
      </c>
      <c r="CV236">
        <v>1688.8</v>
      </c>
      <c r="CW236">
        <v>51.55</v>
      </c>
      <c r="CX236">
        <v>48.4</v>
      </c>
      <c r="CY236">
        <v>43.4</v>
      </c>
      <c r="CZ236">
        <v>47</v>
      </c>
      <c r="DA236">
        <v>1</v>
      </c>
      <c r="DB236" t="s">
        <v>525</v>
      </c>
      <c r="DC236">
        <v>51</v>
      </c>
      <c r="DD236" s="1" t="s">
        <v>3096</v>
      </c>
      <c r="DE236">
        <v>-3.7613291193021299</v>
      </c>
      <c r="DF236" t="e">
        <f>_xlfn.XLOOKUP(Table1[[#This Row],[Player ID]],Table2[feed_id],Table2[trade_status])</f>
        <v>#N/A</v>
      </c>
      <c r="DG236">
        <f>_xlfn.NUMBERVALUE(Table1[[#This Row],[predicted]])</f>
        <v>54.761329119302097</v>
      </c>
    </row>
    <row r="237" spans="1:111" hidden="1" x14ac:dyDescent="0.25">
      <c r="A237">
        <v>86126</v>
      </c>
      <c r="B237">
        <v>7306</v>
      </c>
      <c r="C237" t="s">
        <v>3097</v>
      </c>
      <c r="D237" t="s">
        <v>1893</v>
      </c>
      <c r="E237">
        <v>2020</v>
      </c>
      <c r="F237">
        <v>996064</v>
      </c>
      <c r="G237" t="s">
        <v>1184</v>
      </c>
      <c r="H237" t="s">
        <v>3098</v>
      </c>
      <c r="I237" t="s">
        <v>524</v>
      </c>
      <c r="J237">
        <v>3</v>
      </c>
      <c r="K237">
        <v>50</v>
      </c>
      <c r="L237">
        <v>64</v>
      </c>
      <c r="M237">
        <v>64</v>
      </c>
      <c r="N237">
        <v>39</v>
      </c>
      <c r="O237">
        <v>54</v>
      </c>
      <c r="P237">
        <v>9</v>
      </c>
      <c r="Q237">
        <v>5</v>
      </c>
      <c r="R237">
        <v>3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113</v>
      </c>
      <c r="Z237" t="s">
        <v>226</v>
      </c>
      <c r="AA237" t="s">
        <v>3099</v>
      </c>
      <c r="AD237">
        <v>333400</v>
      </c>
      <c r="AF237">
        <v>326800</v>
      </c>
      <c r="AH237" t="s">
        <v>181</v>
      </c>
      <c r="AI237">
        <v>38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401000</v>
      </c>
      <c r="AS237">
        <v>5</v>
      </c>
      <c r="AT237">
        <v>0</v>
      </c>
      <c r="AU237">
        <v>1</v>
      </c>
      <c r="AV237">
        <v>78</v>
      </c>
      <c r="AW237">
        <v>74</v>
      </c>
      <c r="AX237">
        <v>256</v>
      </c>
      <c r="AZ237" t="b">
        <v>0</v>
      </c>
      <c r="BA237">
        <v>1821</v>
      </c>
      <c r="BB237">
        <v>1440</v>
      </c>
      <c r="BC237">
        <v>2</v>
      </c>
      <c r="BD237" t="s">
        <v>3100</v>
      </c>
      <c r="BE237">
        <v>102</v>
      </c>
      <c r="BF237">
        <v>0</v>
      </c>
      <c r="BG237">
        <v>74</v>
      </c>
      <c r="BH237">
        <v>0</v>
      </c>
      <c r="BI237">
        <v>7</v>
      </c>
      <c r="BJ237">
        <v>9.1999999999999993</v>
      </c>
      <c r="BK237" s="1" t="s">
        <v>449</v>
      </c>
      <c r="BL237" s="1" t="s">
        <v>1092</v>
      </c>
      <c r="BM237" s="1" t="s">
        <v>169</v>
      </c>
      <c r="BN237" s="1" t="s">
        <v>212</v>
      </c>
      <c r="BO237" s="1" t="s">
        <v>126</v>
      </c>
      <c r="BP237" s="1" t="s">
        <v>375</v>
      </c>
      <c r="BQ237">
        <v>0</v>
      </c>
      <c r="BR237">
        <v>0</v>
      </c>
      <c r="BS237" s="1" t="s">
        <v>129</v>
      </c>
      <c r="BT237" s="1" t="s">
        <v>130</v>
      </c>
      <c r="BU237" s="1" t="s">
        <v>129</v>
      </c>
      <c r="BV237">
        <v>0.6</v>
      </c>
      <c r="BW237">
        <v>0</v>
      </c>
      <c r="BX237">
        <v>6.6666666666666596E-2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 s="1" t="s">
        <v>211</v>
      </c>
      <c r="CH237" s="1" t="s">
        <v>229</v>
      </c>
      <c r="CI237">
        <v>0</v>
      </c>
      <c r="CJ237" s="1" t="s">
        <v>231</v>
      </c>
      <c r="CK237" s="1" t="s">
        <v>126</v>
      </c>
      <c r="CL237" s="1" t="s">
        <v>159</v>
      </c>
      <c r="CM237">
        <v>69</v>
      </c>
      <c r="CN237" s="1" t="s">
        <v>1928</v>
      </c>
      <c r="CO237" s="1" t="s">
        <v>930</v>
      </c>
      <c r="CP237" s="1" t="s">
        <v>516</v>
      </c>
      <c r="CS237">
        <v>1518</v>
      </c>
      <c r="CT237" s="1" t="s">
        <v>3101</v>
      </c>
      <c r="CU237" s="1" t="s">
        <v>3102</v>
      </c>
      <c r="CV237">
        <v>1790.2</v>
      </c>
      <c r="CW237">
        <v>62.5</v>
      </c>
      <c r="CX237">
        <v>62.7</v>
      </c>
      <c r="CY237">
        <v>53.6</v>
      </c>
      <c r="CZ237" s="1" t="s">
        <v>687</v>
      </c>
      <c r="DA237">
        <v>1</v>
      </c>
      <c r="DB237" t="s">
        <v>226</v>
      </c>
      <c r="DC237">
        <v>64</v>
      </c>
      <c r="DD237" s="1" t="s">
        <v>3103</v>
      </c>
      <c r="DE237">
        <v>-21.548286765806399</v>
      </c>
      <c r="DF237" t="e">
        <f>_xlfn.XLOOKUP(Table1[[#This Row],[Player ID]],Table2[feed_id],Table2[trade_status])</f>
        <v>#N/A</v>
      </c>
      <c r="DG237">
        <f>_xlfn.NUMBERVALUE(Table1[[#This Row],[predicted]])</f>
        <v>85.548286765806395</v>
      </c>
    </row>
    <row r="238" spans="1:111" hidden="1" x14ac:dyDescent="0.25">
      <c r="A238">
        <v>86435</v>
      </c>
      <c r="B238">
        <v>7313</v>
      </c>
      <c r="C238" t="s">
        <v>3104</v>
      </c>
      <c r="D238" t="s">
        <v>422</v>
      </c>
      <c r="E238">
        <v>2020</v>
      </c>
      <c r="F238">
        <v>296439</v>
      </c>
      <c r="G238" t="s">
        <v>3105</v>
      </c>
      <c r="H238" t="s">
        <v>3106</v>
      </c>
      <c r="I238" t="s">
        <v>249</v>
      </c>
      <c r="J238">
        <v>7</v>
      </c>
      <c r="K238">
        <v>25</v>
      </c>
      <c r="L238">
        <v>47</v>
      </c>
      <c r="M238">
        <v>31</v>
      </c>
      <c r="N238">
        <v>19</v>
      </c>
      <c r="O238">
        <v>25</v>
      </c>
      <c r="P238">
        <v>2</v>
      </c>
      <c r="Q238">
        <v>2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1</v>
      </c>
      <c r="X238">
        <v>1</v>
      </c>
      <c r="Y238" t="s">
        <v>113</v>
      </c>
      <c r="Z238" t="s">
        <v>525</v>
      </c>
      <c r="AA238" t="s">
        <v>3107</v>
      </c>
      <c r="AD238">
        <v>405300</v>
      </c>
      <c r="AH238" t="s">
        <v>155</v>
      </c>
      <c r="AI238">
        <v>16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466000</v>
      </c>
      <c r="AS238">
        <v>3</v>
      </c>
      <c r="AT238">
        <v>0</v>
      </c>
      <c r="AU238">
        <v>0</v>
      </c>
      <c r="AV238">
        <v>75</v>
      </c>
      <c r="AW238">
        <v>71</v>
      </c>
      <c r="AX238">
        <v>66</v>
      </c>
      <c r="AZ238" t="b">
        <v>0</v>
      </c>
      <c r="BA238">
        <v>1641</v>
      </c>
      <c r="BB238">
        <v>1600</v>
      </c>
      <c r="BC238">
        <v>3</v>
      </c>
      <c r="BD238" t="s">
        <v>3108</v>
      </c>
      <c r="BE238">
        <v>99</v>
      </c>
      <c r="BF238">
        <v>0</v>
      </c>
      <c r="BG238">
        <v>72</v>
      </c>
      <c r="BH238">
        <v>0</v>
      </c>
      <c r="BI238">
        <v>4</v>
      </c>
      <c r="BJ238" s="1" t="s">
        <v>343</v>
      </c>
      <c r="BK238" s="1" t="s">
        <v>161</v>
      </c>
      <c r="BL238" s="1" t="s">
        <v>230</v>
      </c>
      <c r="BM238" s="1" t="s">
        <v>159</v>
      </c>
      <c r="BN238" s="1" t="s">
        <v>321</v>
      </c>
      <c r="BO238" s="1" t="s">
        <v>169</v>
      </c>
      <c r="BP238" s="1" t="s">
        <v>640</v>
      </c>
      <c r="BQ238">
        <v>0</v>
      </c>
      <c r="BR238">
        <v>0</v>
      </c>
      <c r="BS238" s="1" t="s">
        <v>129</v>
      </c>
      <c r="BT238" s="1" t="s">
        <v>130</v>
      </c>
      <c r="BU238">
        <v>0</v>
      </c>
      <c r="BV238" s="1" t="s">
        <v>128</v>
      </c>
      <c r="BW238">
        <v>1</v>
      </c>
      <c r="BX238">
        <v>0.6</v>
      </c>
      <c r="BY238" s="1" t="s">
        <v>128</v>
      </c>
      <c r="BZ238" s="1" t="s">
        <v>231</v>
      </c>
      <c r="CA238">
        <v>0</v>
      </c>
      <c r="CB238" s="1" t="s">
        <v>3109</v>
      </c>
      <c r="CC238">
        <v>0</v>
      </c>
      <c r="CD238" s="1" t="s">
        <v>3110</v>
      </c>
      <c r="CE238">
        <v>0</v>
      </c>
      <c r="CF238">
        <v>6.1333333333333302E-2</v>
      </c>
      <c r="CG238" s="1" t="s">
        <v>169</v>
      </c>
      <c r="CH238">
        <v>4</v>
      </c>
      <c r="CI238" s="1" t="s">
        <v>128</v>
      </c>
      <c r="CJ238" s="1" t="s">
        <v>162</v>
      </c>
      <c r="CK238">
        <v>1</v>
      </c>
      <c r="CL238">
        <v>1.4</v>
      </c>
      <c r="CM238" s="1" t="s">
        <v>1176</v>
      </c>
      <c r="CN238" s="1" t="s">
        <v>3111</v>
      </c>
      <c r="CO238" s="1" t="s">
        <v>754</v>
      </c>
      <c r="CP238" s="1" t="s">
        <v>215</v>
      </c>
      <c r="CS238">
        <v>1626</v>
      </c>
      <c r="CT238" s="1" t="s">
        <v>3112</v>
      </c>
      <c r="CU238" s="1" t="s">
        <v>3113</v>
      </c>
      <c r="CV238">
        <v>1711.8</v>
      </c>
      <c r="CW238">
        <v>56.3</v>
      </c>
      <c r="CX238">
        <v>46.8</v>
      </c>
      <c r="CY238">
        <v>51.6</v>
      </c>
      <c r="CZ238">
        <v>39</v>
      </c>
      <c r="DA238">
        <v>1</v>
      </c>
      <c r="DB238" t="s">
        <v>525</v>
      </c>
      <c r="DC238">
        <v>47</v>
      </c>
      <c r="DD238" s="1" t="s">
        <v>3114</v>
      </c>
      <c r="DE238">
        <v>-5.2992581731440902</v>
      </c>
      <c r="DF238" t="e">
        <f>_xlfn.XLOOKUP(Table1[[#This Row],[Player ID]],Table2[feed_id],Table2[trade_status])</f>
        <v>#N/A</v>
      </c>
      <c r="DG238">
        <f>_xlfn.NUMBERVALUE(Table1[[#This Row],[predicted]])</f>
        <v>52.299258173143997</v>
      </c>
    </row>
    <row r="239" spans="1:111" hidden="1" x14ac:dyDescent="0.25">
      <c r="A239">
        <v>87596</v>
      </c>
      <c r="B239">
        <v>7341</v>
      </c>
      <c r="C239" t="s">
        <v>3115</v>
      </c>
      <c r="D239" t="s">
        <v>3116</v>
      </c>
      <c r="E239">
        <v>2020</v>
      </c>
      <c r="F239">
        <v>295313</v>
      </c>
      <c r="G239" t="s">
        <v>3117</v>
      </c>
      <c r="H239" t="s">
        <v>3118</v>
      </c>
      <c r="I239" t="s">
        <v>712</v>
      </c>
      <c r="J239">
        <v>4</v>
      </c>
      <c r="K239">
        <v>39</v>
      </c>
      <c r="L239">
        <v>67</v>
      </c>
      <c r="M239">
        <v>48</v>
      </c>
      <c r="N239">
        <v>38</v>
      </c>
      <c r="O239">
        <v>54</v>
      </c>
      <c r="P239">
        <v>3</v>
      </c>
      <c r="Q239">
        <v>10</v>
      </c>
      <c r="R239">
        <v>4</v>
      </c>
      <c r="S239">
        <v>1</v>
      </c>
      <c r="T239">
        <v>0</v>
      </c>
      <c r="U239">
        <v>0</v>
      </c>
      <c r="V239">
        <v>2</v>
      </c>
      <c r="W239">
        <v>0</v>
      </c>
      <c r="X239">
        <v>0</v>
      </c>
      <c r="Y239" t="s">
        <v>113</v>
      </c>
      <c r="Z239" t="s">
        <v>525</v>
      </c>
      <c r="AA239" t="s">
        <v>3119</v>
      </c>
      <c r="AH239" t="s">
        <v>118</v>
      </c>
      <c r="AI239">
        <v>46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S239">
        <v>5</v>
      </c>
      <c r="AT239">
        <v>0</v>
      </c>
      <c r="AU239">
        <v>2</v>
      </c>
      <c r="AV239">
        <v>92</v>
      </c>
      <c r="AW239">
        <v>74</v>
      </c>
      <c r="AX239">
        <v>66</v>
      </c>
      <c r="AZ239" t="b">
        <v>0</v>
      </c>
      <c r="BA239">
        <v>1475</v>
      </c>
      <c r="BB239">
        <v>1818</v>
      </c>
      <c r="BC239">
        <v>6</v>
      </c>
      <c r="BD239" t="s">
        <v>3120</v>
      </c>
      <c r="BE239">
        <v>97</v>
      </c>
      <c r="BF239">
        <v>0</v>
      </c>
      <c r="BG239">
        <v>70</v>
      </c>
      <c r="BH239">
        <v>0</v>
      </c>
      <c r="BI239">
        <v>4</v>
      </c>
      <c r="BJ239" s="1" t="s">
        <v>449</v>
      </c>
      <c r="BK239" s="1" t="s">
        <v>977</v>
      </c>
      <c r="BL239" s="1" t="s">
        <v>448</v>
      </c>
      <c r="BM239" s="1" t="s">
        <v>138</v>
      </c>
      <c r="BN239" s="1" t="s">
        <v>138</v>
      </c>
      <c r="BO239">
        <v>3</v>
      </c>
      <c r="BP239" s="1" t="s">
        <v>169</v>
      </c>
      <c r="BQ239" s="1" t="s">
        <v>129</v>
      </c>
      <c r="BR239">
        <v>6.6666666666666596E-2</v>
      </c>
      <c r="BS239" s="1" t="s">
        <v>128</v>
      </c>
      <c r="BT239" s="1" t="s">
        <v>162</v>
      </c>
      <c r="BU239" s="1" t="s">
        <v>161</v>
      </c>
      <c r="BV239" s="1" t="s">
        <v>399</v>
      </c>
      <c r="BW239">
        <v>0</v>
      </c>
      <c r="BX239" s="1" t="s">
        <v>231</v>
      </c>
      <c r="BY239" s="1" t="s">
        <v>129</v>
      </c>
      <c r="BZ239" s="1" t="s">
        <v>129</v>
      </c>
      <c r="CA239">
        <v>0</v>
      </c>
      <c r="CB239" s="1" t="s">
        <v>3121</v>
      </c>
      <c r="CC239">
        <v>0</v>
      </c>
      <c r="CD239" s="1" t="s">
        <v>3122</v>
      </c>
      <c r="CE239">
        <v>0</v>
      </c>
      <c r="CF239">
        <v>0.67</v>
      </c>
      <c r="CG239">
        <v>5</v>
      </c>
      <c r="CH239" s="1" t="s">
        <v>205</v>
      </c>
      <c r="CI239" s="1" t="s">
        <v>128</v>
      </c>
      <c r="CJ239" s="1" t="s">
        <v>257</v>
      </c>
      <c r="CK239" s="1" t="s">
        <v>159</v>
      </c>
      <c r="CL239" s="1" t="s">
        <v>566</v>
      </c>
      <c r="CM239">
        <v>85</v>
      </c>
      <c r="CN239" s="1" t="s">
        <v>1177</v>
      </c>
      <c r="CO239" s="1" t="s">
        <v>1406</v>
      </c>
      <c r="CP239" s="1" t="s">
        <v>3123</v>
      </c>
      <c r="CQ239" s="1" t="s">
        <v>995</v>
      </c>
      <c r="CS239" s="1" t="s">
        <v>1068</v>
      </c>
      <c r="CT239" s="1" t="s">
        <v>3124</v>
      </c>
      <c r="CU239" s="1" t="s">
        <v>1571</v>
      </c>
      <c r="CV239" s="1" t="s">
        <v>3125</v>
      </c>
      <c r="CW239">
        <v>63.7</v>
      </c>
      <c r="CX239">
        <v>64.099999999999994</v>
      </c>
      <c r="CY239">
        <v>75.599999999999994</v>
      </c>
      <c r="CZ239">
        <v>74</v>
      </c>
      <c r="DA239">
        <v>1</v>
      </c>
      <c r="DB239" t="s">
        <v>525</v>
      </c>
      <c r="DC239">
        <v>67</v>
      </c>
      <c r="DD239" s="1" t="s">
        <v>3126</v>
      </c>
      <c r="DE239" s="1" t="s">
        <v>3127</v>
      </c>
      <c r="DF239" t="e">
        <f>_xlfn.XLOOKUP(Table1[[#This Row],[Player ID]],Table2[feed_id],Table2[trade_status])</f>
        <v>#N/A</v>
      </c>
      <c r="DG239">
        <f>_xlfn.NUMBERVALUE(Table1[[#This Row],[predicted]])</f>
        <v>63.659553321501598</v>
      </c>
    </row>
    <row r="240" spans="1:111" hidden="1" x14ac:dyDescent="0.25">
      <c r="A240">
        <v>87769</v>
      </c>
      <c r="B240">
        <v>7345</v>
      </c>
      <c r="C240" t="s">
        <v>3128</v>
      </c>
      <c r="D240" t="s">
        <v>3116</v>
      </c>
      <c r="E240">
        <v>2020</v>
      </c>
      <c r="F240">
        <v>291792</v>
      </c>
      <c r="G240" t="s">
        <v>2222</v>
      </c>
      <c r="H240" t="s">
        <v>3129</v>
      </c>
      <c r="I240" t="s">
        <v>1089</v>
      </c>
      <c r="J240">
        <v>2</v>
      </c>
      <c r="K240">
        <v>26</v>
      </c>
      <c r="L240">
        <v>17</v>
      </c>
      <c r="M240">
        <v>35</v>
      </c>
      <c r="N240">
        <v>22</v>
      </c>
      <c r="O240">
        <v>30</v>
      </c>
      <c r="P240">
        <v>4</v>
      </c>
      <c r="Q240">
        <v>2</v>
      </c>
      <c r="R240">
        <v>3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0</v>
      </c>
      <c r="Y240" t="s">
        <v>113</v>
      </c>
      <c r="Z240" t="s">
        <v>542</v>
      </c>
      <c r="AA240" t="s">
        <v>3130</v>
      </c>
      <c r="AB240" t="s">
        <v>3131</v>
      </c>
      <c r="AC240" t="s">
        <v>3132</v>
      </c>
      <c r="AH240" t="s">
        <v>181</v>
      </c>
      <c r="AI240">
        <v>11</v>
      </c>
      <c r="AJ240">
        <v>13</v>
      </c>
      <c r="AK240">
        <v>0</v>
      </c>
      <c r="AL240">
        <v>0</v>
      </c>
      <c r="AM240">
        <v>0</v>
      </c>
      <c r="AN240">
        <v>0</v>
      </c>
      <c r="AO240">
        <v>0</v>
      </c>
      <c r="AS240">
        <v>0</v>
      </c>
      <c r="AT240">
        <v>0</v>
      </c>
      <c r="AU240">
        <v>2</v>
      </c>
      <c r="AV240">
        <v>83</v>
      </c>
      <c r="AW240">
        <v>77</v>
      </c>
      <c r="AX240">
        <v>32</v>
      </c>
      <c r="AZ240" t="b">
        <v>0</v>
      </c>
      <c r="BA240">
        <v>1318</v>
      </c>
      <c r="BB240">
        <v>1966</v>
      </c>
      <c r="BC240">
        <v>6</v>
      </c>
      <c r="BD240" t="s">
        <v>3133</v>
      </c>
      <c r="BE240">
        <v>97</v>
      </c>
      <c r="BF240">
        <v>0</v>
      </c>
      <c r="BG240">
        <v>70</v>
      </c>
      <c r="BH240">
        <v>0</v>
      </c>
      <c r="BI240">
        <v>4</v>
      </c>
      <c r="BJ240">
        <v>7.6</v>
      </c>
      <c r="BK240" s="1" t="s">
        <v>449</v>
      </c>
      <c r="BL240" s="1" t="s">
        <v>448</v>
      </c>
      <c r="BM240" s="1" t="s">
        <v>138</v>
      </c>
      <c r="BN240" s="1" t="s">
        <v>125</v>
      </c>
      <c r="BO240" s="1" t="s">
        <v>126</v>
      </c>
      <c r="BP240">
        <v>3</v>
      </c>
      <c r="BQ240">
        <v>0</v>
      </c>
      <c r="BR240">
        <v>0</v>
      </c>
      <c r="BS240" s="1" t="s">
        <v>129</v>
      </c>
      <c r="BT240" s="1" t="s">
        <v>130</v>
      </c>
      <c r="BU240" s="1" t="s">
        <v>128</v>
      </c>
      <c r="BV240">
        <v>0.6</v>
      </c>
      <c r="BW240">
        <v>0</v>
      </c>
      <c r="BX240">
        <v>0.6</v>
      </c>
      <c r="BY240" s="1" t="s">
        <v>129</v>
      </c>
      <c r="BZ240" s="1" t="s">
        <v>184</v>
      </c>
      <c r="CA240">
        <v>0</v>
      </c>
      <c r="CB240">
        <v>0.11</v>
      </c>
      <c r="CC240">
        <v>0</v>
      </c>
      <c r="CD240" s="1" t="s">
        <v>3134</v>
      </c>
      <c r="CE240">
        <v>6.9999999999999896E-2</v>
      </c>
      <c r="CF240">
        <v>0.14199999999999999</v>
      </c>
      <c r="CG240">
        <v>1</v>
      </c>
      <c r="CH240" s="1" t="s">
        <v>189</v>
      </c>
      <c r="CI240" s="1" t="s">
        <v>129</v>
      </c>
      <c r="CJ240">
        <v>0.8</v>
      </c>
      <c r="CK240" s="1" t="s">
        <v>161</v>
      </c>
      <c r="CL240" s="1" t="s">
        <v>304</v>
      </c>
      <c r="CM240" s="1" t="s">
        <v>1665</v>
      </c>
      <c r="CN240">
        <v>78</v>
      </c>
      <c r="CO240">
        <v>58</v>
      </c>
      <c r="CP240">
        <v>71</v>
      </c>
      <c r="CS240" s="1" t="s">
        <v>3135</v>
      </c>
      <c r="CT240" s="1" t="s">
        <v>3136</v>
      </c>
      <c r="CU240" s="1" t="s">
        <v>3137</v>
      </c>
      <c r="CV240" s="1" t="s">
        <v>3138</v>
      </c>
      <c r="CW240">
        <v>58.45</v>
      </c>
      <c r="CX240">
        <v>56.4</v>
      </c>
      <c r="CY240">
        <v>44.8</v>
      </c>
      <c r="CZ240" s="1" t="s">
        <v>3139</v>
      </c>
      <c r="DA240">
        <v>1</v>
      </c>
      <c r="DB240" t="s">
        <v>542</v>
      </c>
      <c r="DC240">
        <v>17</v>
      </c>
      <c r="DD240" s="1" t="s">
        <v>3140</v>
      </c>
      <c r="DE240">
        <v>-29.865550396671701</v>
      </c>
      <c r="DF240" t="e">
        <f>_xlfn.XLOOKUP(Table1[[#This Row],[Player ID]],Table2[feed_id],Table2[trade_status])</f>
        <v>#N/A</v>
      </c>
      <c r="DG240">
        <f>_xlfn.NUMBERVALUE(Table1[[#This Row],[predicted]])</f>
        <v>46.865550396671701</v>
      </c>
    </row>
    <row r="241" spans="1:111" hidden="1" x14ac:dyDescent="0.25">
      <c r="A241">
        <v>88437</v>
      </c>
      <c r="B241">
        <v>7361</v>
      </c>
      <c r="C241" t="s">
        <v>3141</v>
      </c>
      <c r="D241" t="s">
        <v>2016</v>
      </c>
      <c r="E241">
        <v>2020</v>
      </c>
      <c r="F241">
        <v>291201</v>
      </c>
      <c r="G241" t="s">
        <v>3142</v>
      </c>
      <c r="H241" t="s">
        <v>3143</v>
      </c>
      <c r="I241" t="s">
        <v>391</v>
      </c>
      <c r="J241">
        <v>15</v>
      </c>
      <c r="K241">
        <v>95</v>
      </c>
      <c r="L241">
        <v>109</v>
      </c>
      <c r="M241">
        <v>122</v>
      </c>
      <c r="N241">
        <v>77</v>
      </c>
      <c r="O241">
        <v>102</v>
      </c>
      <c r="P241">
        <v>14</v>
      </c>
      <c r="Q241">
        <v>9</v>
      </c>
      <c r="R241">
        <v>9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113</v>
      </c>
      <c r="Z241" t="s">
        <v>339</v>
      </c>
      <c r="AA241" t="s">
        <v>3144</v>
      </c>
      <c r="AB241" t="s">
        <v>525</v>
      </c>
      <c r="AC241" t="s">
        <v>2095</v>
      </c>
      <c r="AH241" t="s">
        <v>181</v>
      </c>
      <c r="AI241">
        <v>31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S241">
        <v>6</v>
      </c>
      <c r="AT241">
        <v>1</v>
      </c>
      <c r="AU241">
        <v>3</v>
      </c>
      <c r="AV241">
        <v>78</v>
      </c>
      <c r="AW241">
        <v>84</v>
      </c>
      <c r="AX241">
        <v>334</v>
      </c>
      <c r="AZ241" t="b">
        <v>0</v>
      </c>
      <c r="BA241">
        <v>1803</v>
      </c>
      <c r="BB241">
        <v>1456</v>
      </c>
      <c r="BC241">
        <v>8</v>
      </c>
      <c r="BD241" t="s">
        <v>3145</v>
      </c>
      <c r="BE241" s="1" t="s">
        <v>3146</v>
      </c>
      <c r="BF241">
        <v>1</v>
      </c>
      <c r="BG241">
        <v>76</v>
      </c>
      <c r="BH241">
        <v>1</v>
      </c>
      <c r="BI241">
        <v>10</v>
      </c>
      <c r="BJ241" s="1" t="s">
        <v>1398</v>
      </c>
      <c r="BK241">
        <v>8</v>
      </c>
      <c r="BL241" s="1" t="s">
        <v>498</v>
      </c>
      <c r="BM241">
        <v>6</v>
      </c>
      <c r="BN241" s="1" t="s">
        <v>260</v>
      </c>
      <c r="BO241" s="1" t="s">
        <v>126</v>
      </c>
      <c r="BP241" s="1" t="s">
        <v>275</v>
      </c>
      <c r="BQ241">
        <v>0</v>
      </c>
      <c r="BR241">
        <v>0</v>
      </c>
      <c r="BS241" s="1" t="s">
        <v>129</v>
      </c>
      <c r="BT241" s="1" t="s">
        <v>129</v>
      </c>
      <c r="BU241">
        <v>0</v>
      </c>
      <c r="BV241" s="1" t="s">
        <v>129</v>
      </c>
      <c r="BW241">
        <v>0</v>
      </c>
      <c r="BX241">
        <v>0.2</v>
      </c>
      <c r="BY241">
        <v>0</v>
      </c>
      <c r="BZ241" s="1" t="s">
        <v>129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 s="1" t="s">
        <v>125</v>
      </c>
      <c r="CH241">
        <v>4</v>
      </c>
      <c r="CI241" s="1" t="s">
        <v>161</v>
      </c>
      <c r="CJ241" s="1" t="s">
        <v>206</v>
      </c>
      <c r="CK241">
        <v>2</v>
      </c>
      <c r="CL241" s="1" t="s">
        <v>327</v>
      </c>
      <c r="CM241" s="1" t="s">
        <v>610</v>
      </c>
      <c r="CN241">
        <v>73</v>
      </c>
      <c r="CO241" s="1" t="s">
        <v>364</v>
      </c>
      <c r="CP241" s="1" t="s">
        <v>994</v>
      </c>
      <c r="CQ241" s="1" t="s">
        <v>3147</v>
      </c>
      <c r="CS241" s="1" t="s">
        <v>3148</v>
      </c>
      <c r="CT241" s="1" t="s">
        <v>2784</v>
      </c>
      <c r="CU241" s="1" t="s">
        <v>3149</v>
      </c>
      <c r="CV241" s="1" t="s">
        <v>1929</v>
      </c>
      <c r="CW241">
        <v>86</v>
      </c>
      <c r="CX241">
        <v>79.2</v>
      </c>
      <c r="CY241">
        <v>80.2</v>
      </c>
      <c r="CZ241" s="1" t="s">
        <v>610</v>
      </c>
      <c r="DA241">
        <v>1</v>
      </c>
      <c r="DB241" t="s">
        <v>339</v>
      </c>
      <c r="DC241">
        <v>109</v>
      </c>
      <c r="DD241" s="1" t="s">
        <v>3150</v>
      </c>
      <c r="DE241" s="1" t="s">
        <v>3151</v>
      </c>
      <c r="DF241" t="e">
        <f>_xlfn.XLOOKUP(Table1[[#This Row],[Player ID]],Table2[feed_id],Table2[trade_status])</f>
        <v>#N/A</v>
      </c>
      <c r="DG241">
        <f>_xlfn.NUMBERVALUE(Table1[[#This Row],[predicted]])</f>
        <v>83.660061586958406</v>
      </c>
    </row>
    <row r="242" spans="1:111" hidden="1" x14ac:dyDescent="0.25">
      <c r="A242">
        <v>88853</v>
      </c>
      <c r="B242">
        <v>7370</v>
      </c>
      <c r="C242" t="s">
        <v>3152</v>
      </c>
      <c r="D242" t="s">
        <v>460</v>
      </c>
      <c r="E242">
        <v>2020</v>
      </c>
      <c r="F242">
        <v>295012</v>
      </c>
      <c r="G242" t="s">
        <v>1002</v>
      </c>
      <c r="H242" t="s">
        <v>3153</v>
      </c>
      <c r="I242" t="s">
        <v>112</v>
      </c>
      <c r="J242">
        <v>9</v>
      </c>
      <c r="K242">
        <v>57</v>
      </c>
      <c r="L242">
        <v>77</v>
      </c>
      <c r="M242">
        <v>44</v>
      </c>
      <c r="N242">
        <v>41</v>
      </c>
      <c r="O242">
        <v>57</v>
      </c>
      <c r="P242">
        <v>8</v>
      </c>
      <c r="Q242">
        <v>4</v>
      </c>
      <c r="R242">
        <v>3</v>
      </c>
      <c r="S242">
        <v>4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113</v>
      </c>
      <c r="Z242" t="s">
        <v>179</v>
      </c>
      <c r="AA242" t="s">
        <v>3154</v>
      </c>
      <c r="AH242" t="s">
        <v>181</v>
      </c>
      <c r="AI242">
        <v>12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S242">
        <v>4</v>
      </c>
      <c r="AT242">
        <v>0</v>
      </c>
      <c r="AU242">
        <v>0</v>
      </c>
      <c r="AV242">
        <v>83</v>
      </c>
      <c r="AW242">
        <v>81</v>
      </c>
      <c r="AX242">
        <v>153</v>
      </c>
      <c r="AZ242" t="b">
        <v>0</v>
      </c>
      <c r="BA242">
        <v>1863</v>
      </c>
      <c r="BB242">
        <v>1425</v>
      </c>
      <c r="BC242">
        <v>9</v>
      </c>
      <c r="BD242" t="s">
        <v>3155</v>
      </c>
      <c r="BE242" s="1" t="s">
        <v>3146</v>
      </c>
      <c r="BF242">
        <v>0</v>
      </c>
      <c r="BG242">
        <v>73</v>
      </c>
      <c r="BH242">
        <v>1</v>
      </c>
      <c r="BI242" s="1" t="s">
        <v>545</v>
      </c>
      <c r="BJ242" s="1" t="s">
        <v>545</v>
      </c>
      <c r="BK242">
        <v>5</v>
      </c>
      <c r="BL242" s="1" t="s">
        <v>624</v>
      </c>
      <c r="BM242">
        <v>4</v>
      </c>
      <c r="BN242" s="1" t="s">
        <v>416</v>
      </c>
      <c r="BO242" s="1" t="s">
        <v>169</v>
      </c>
      <c r="BP242" s="1" t="s">
        <v>161</v>
      </c>
      <c r="BQ242">
        <v>0</v>
      </c>
      <c r="BR242">
        <v>0</v>
      </c>
      <c r="BS242" s="1" t="s">
        <v>129</v>
      </c>
      <c r="BT242" s="1" t="s">
        <v>130</v>
      </c>
      <c r="BU242" s="1" t="s">
        <v>129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 s="1" t="s">
        <v>3156</v>
      </c>
      <c r="CC242">
        <v>0</v>
      </c>
      <c r="CD242" s="1" t="s">
        <v>3157</v>
      </c>
      <c r="CE242">
        <v>0</v>
      </c>
      <c r="CF242">
        <v>0.312</v>
      </c>
      <c r="CG242" s="1" t="s">
        <v>138</v>
      </c>
      <c r="CH242" s="1" t="s">
        <v>212</v>
      </c>
      <c r="CI242">
        <v>0</v>
      </c>
      <c r="CJ242">
        <v>6.6666666666666596E-2</v>
      </c>
      <c r="CK242" s="1" t="s">
        <v>128</v>
      </c>
      <c r="CL242">
        <v>2.2000000000000002</v>
      </c>
      <c r="CM242" s="1" t="s">
        <v>610</v>
      </c>
      <c r="CN242" s="1" t="s">
        <v>2696</v>
      </c>
      <c r="CO242" s="1" t="s">
        <v>268</v>
      </c>
      <c r="CP242" s="1" t="s">
        <v>3034</v>
      </c>
      <c r="CQ242">
        <v>157</v>
      </c>
      <c r="CS242">
        <v>1599</v>
      </c>
      <c r="CT242" s="1" t="s">
        <v>3158</v>
      </c>
      <c r="CU242" s="1" t="s">
        <v>823</v>
      </c>
      <c r="CV242" s="1" t="s">
        <v>3159</v>
      </c>
      <c r="CW242">
        <v>73.5</v>
      </c>
      <c r="CX242">
        <v>61.8</v>
      </c>
      <c r="CY242">
        <v>65.400000000000006</v>
      </c>
      <c r="CZ242">
        <v>75</v>
      </c>
      <c r="DA242">
        <v>1</v>
      </c>
      <c r="DB242" t="s">
        <v>179</v>
      </c>
      <c r="DC242">
        <v>77</v>
      </c>
      <c r="DD242" s="1" t="s">
        <v>3160</v>
      </c>
      <c r="DE242" s="1" t="s">
        <v>3161</v>
      </c>
      <c r="DF242" t="e">
        <f>_xlfn.XLOOKUP(Table1[[#This Row],[Player ID]],Table2[feed_id],Table2[trade_status])</f>
        <v>#N/A</v>
      </c>
      <c r="DG242">
        <f>_xlfn.NUMBERVALUE(Table1[[#This Row],[predicted]])</f>
        <v>61.233621920897399</v>
      </c>
    </row>
    <row r="243" spans="1:111" hidden="1" x14ac:dyDescent="0.25">
      <c r="A243">
        <v>88880</v>
      </c>
      <c r="B243">
        <v>7371</v>
      </c>
      <c r="C243" t="s">
        <v>3162</v>
      </c>
      <c r="D243" t="s">
        <v>460</v>
      </c>
      <c r="E243">
        <v>2020</v>
      </c>
      <c r="F243">
        <v>291594</v>
      </c>
      <c r="G243" t="s">
        <v>3163</v>
      </c>
      <c r="H243" t="s">
        <v>3164</v>
      </c>
      <c r="I243" t="s">
        <v>291</v>
      </c>
      <c r="J243">
        <v>3</v>
      </c>
      <c r="K243">
        <v>38</v>
      </c>
      <c r="L243">
        <v>42</v>
      </c>
      <c r="M243">
        <v>49</v>
      </c>
      <c r="N243">
        <v>30</v>
      </c>
      <c r="O243">
        <v>43</v>
      </c>
      <c r="P243">
        <v>6</v>
      </c>
      <c r="Q243">
        <v>5</v>
      </c>
      <c r="R243">
        <v>1</v>
      </c>
      <c r="S243">
        <v>2</v>
      </c>
      <c r="T243">
        <v>0</v>
      </c>
      <c r="U243">
        <v>1</v>
      </c>
      <c r="V243">
        <v>1</v>
      </c>
      <c r="W243">
        <v>0</v>
      </c>
      <c r="X243">
        <v>1</v>
      </c>
      <c r="Y243" t="s">
        <v>113</v>
      </c>
      <c r="Z243" t="s">
        <v>525</v>
      </c>
      <c r="AA243" t="s">
        <v>3165</v>
      </c>
      <c r="AH243" t="s">
        <v>118</v>
      </c>
      <c r="AI243">
        <v>13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S243">
        <v>3</v>
      </c>
      <c r="AT243">
        <v>0</v>
      </c>
      <c r="AU243">
        <v>3</v>
      </c>
      <c r="AV243">
        <v>63</v>
      </c>
      <c r="AW243">
        <v>72</v>
      </c>
      <c r="AX243">
        <v>141</v>
      </c>
      <c r="AZ243" t="b">
        <v>0</v>
      </c>
      <c r="BA243">
        <v>1714</v>
      </c>
      <c r="BB243">
        <v>1556</v>
      </c>
      <c r="BC243">
        <v>9</v>
      </c>
      <c r="BD243" t="s">
        <v>3166</v>
      </c>
      <c r="BE243" s="1" t="s">
        <v>3146</v>
      </c>
      <c r="BF243">
        <v>0</v>
      </c>
      <c r="BG243">
        <v>73</v>
      </c>
      <c r="BH243">
        <v>0</v>
      </c>
      <c r="BI243">
        <v>6</v>
      </c>
      <c r="BJ243" s="1" t="s">
        <v>356</v>
      </c>
      <c r="BK243" s="1" t="s">
        <v>124</v>
      </c>
      <c r="BL243">
        <v>7</v>
      </c>
      <c r="BM243" s="1" t="s">
        <v>126</v>
      </c>
      <c r="BN243" s="1" t="s">
        <v>321</v>
      </c>
      <c r="BO243" s="1" t="s">
        <v>128</v>
      </c>
      <c r="BP243" s="1" t="s">
        <v>431</v>
      </c>
      <c r="BQ243">
        <v>0</v>
      </c>
      <c r="BR243">
        <v>0.2</v>
      </c>
      <c r="BS243" s="1" t="s">
        <v>129</v>
      </c>
      <c r="BT243">
        <v>0.8</v>
      </c>
      <c r="BU243" s="1" t="s">
        <v>129</v>
      </c>
      <c r="BV243" s="1" t="s">
        <v>128</v>
      </c>
      <c r="BW243" s="1" t="s">
        <v>128</v>
      </c>
      <c r="BX243" s="1" t="s">
        <v>128</v>
      </c>
      <c r="BY243" s="1" t="s">
        <v>128</v>
      </c>
      <c r="BZ243" s="1" t="s">
        <v>128</v>
      </c>
      <c r="CA243">
        <v>0</v>
      </c>
      <c r="CB243" s="1" t="s">
        <v>3167</v>
      </c>
      <c r="CC243">
        <v>0</v>
      </c>
      <c r="CD243" s="1" t="s">
        <v>3168</v>
      </c>
      <c r="CE243">
        <v>0</v>
      </c>
      <c r="CF243" s="1" t="s">
        <v>3169</v>
      </c>
      <c r="CG243" s="1" t="s">
        <v>138</v>
      </c>
      <c r="CH243" s="1" t="s">
        <v>398</v>
      </c>
      <c r="CI243" s="1" t="s">
        <v>128</v>
      </c>
      <c r="CJ243" s="1" t="s">
        <v>159</v>
      </c>
      <c r="CK243" s="1" t="s">
        <v>161</v>
      </c>
      <c r="CL243" s="1" t="s">
        <v>214</v>
      </c>
      <c r="CM243" s="1" t="s">
        <v>141</v>
      </c>
      <c r="CN243">
        <v>71.2</v>
      </c>
      <c r="CO243" s="1" t="s">
        <v>483</v>
      </c>
      <c r="CP243" s="1" t="s">
        <v>516</v>
      </c>
      <c r="CQ243" s="1" t="s">
        <v>3170</v>
      </c>
      <c r="CS243" s="1" t="s">
        <v>3171</v>
      </c>
      <c r="CT243" s="1" t="s">
        <v>3172</v>
      </c>
      <c r="CU243">
        <v>1595</v>
      </c>
      <c r="CV243">
        <v>1742.2</v>
      </c>
      <c r="CW243">
        <v>86.8</v>
      </c>
      <c r="CX243">
        <v>67.8</v>
      </c>
      <c r="CY243">
        <v>53.2</v>
      </c>
      <c r="CZ243" s="1" t="s">
        <v>1316</v>
      </c>
      <c r="DA243">
        <v>1</v>
      </c>
      <c r="DB243" t="s">
        <v>525</v>
      </c>
      <c r="DC243">
        <v>42</v>
      </c>
      <c r="DD243">
        <v>74.502852772641006</v>
      </c>
      <c r="DE243">
        <v>-32.502852772640999</v>
      </c>
      <c r="DF243" t="e">
        <f>_xlfn.XLOOKUP(Table1[[#This Row],[Player ID]],Table2[feed_id],Table2[trade_status])</f>
        <v>#N/A</v>
      </c>
      <c r="DG243">
        <f>_xlfn.NUMBERVALUE(Table1[[#This Row],[predicted]])</f>
        <v>74.502852772641006</v>
      </c>
    </row>
    <row r="244" spans="1:111" hidden="1" x14ac:dyDescent="0.25">
      <c r="A244">
        <v>88966</v>
      </c>
      <c r="B244">
        <v>7373</v>
      </c>
      <c r="C244" t="s">
        <v>3173</v>
      </c>
      <c r="D244" t="s">
        <v>475</v>
      </c>
      <c r="E244">
        <v>2020</v>
      </c>
      <c r="F244">
        <v>280013</v>
      </c>
      <c r="G244" t="s">
        <v>2003</v>
      </c>
      <c r="H244" t="s">
        <v>3174</v>
      </c>
      <c r="I244" t="s">
        <v>712</v>
      </c>
      <c r="J244">
        <v>7</v>
      </c>
      <c r="K244">
        <v>39</v>
      </c>
      <c r="L244">
        <v>63</v>
      </c>
      <c r="M244">
        <v>50</v>
      </c>
      <c r="N244">
        <v>31</v>
      </c>
      <c r="O244">
        <v>42</v>
      </c>
      <c r="P244">
        <v>2</v>
      </c>
      <c r="Q244">
        <v>6</v>
      </c>
      <c r="R244">
        <v>1</v>
      </c>
      <c r="S244">
        <v>4</v>
      </c>
      <c r="T244">
        <v>3</v>
      </c>
      <c r="U244">
        <v>2</v>
      </c>
      <c r="V244">
        <v>1</v>
      </c>
      <c r="W244">
        <v>0</v>
      </c>
      <c r="X244">
        <v>0</v>
      </c>
      <c r="Y244" t="s">
        <v>113</v>
      </c>
      <c r="Z244" t="s">
        <v>542</v>
      </c>
      <c r="AA244" t="s">
        <v>3175</v>
      </c>
      <c r="AB244" t="s">
        <v>656</v>
      </c>
      <c r="AC244" t="s">
        <v>3176</v>
      </c>
      <c r="AH244" t="s">
        <v>181</v>
      </c>
      <c r="AI244">
        <v>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S244">
        <v>2</v>
      </c>
      <c r="AT244">
        <v>1</v>
      </c>
      <c r="AU244">
        <v>1</v>
      </c>
      <c r="AV244">
        <v>87</v>
      </c>
      <c r="AW244">
        <v>68</v>
      </c>
      <c r="AX244">
        <v>16</v>
      </c>
      <c r="AZ244" t="b">
        <v>0</v>
      </c>
      <c r="BA244">
        <v>1781</v>
      </c>
      <c r="BB244">
        <v>1440</v>
      </c>
      <c r="BC244">
        <v>10</v>
      </c>
      <c r="BD244" t="s">
        <v>3177</v>
      </c>
      <c r="BE244">
        <v>100</v>
      </c>
      <c r="BF244">
        <v>0</v>
      </c>
      <c r="BG244">
        <v>72</v>
      </c>
      <c r="BH244">
        <v>0</v>
      </c>
      <c r="BI244" s="1" t="s">
        <v>124</v>
      </c>
      <c r="BJ244" s="1" t="s">
        <v>448</v>
      </c>
      <c r="BK244" s="1" t="s">
        <v>124</v>
      </c>
      <c r="BL244">
        <v>5.2</v>
      </c>
      <c r="BM244" s="1" t="s">
        <v>159</v>
      </c>
      <c r="BN244" s="1" t="s">
        <v>125</v>
      </c>
      <c r="BO244" s="1" t="s">
        <v>159</v>
      </c>
      <c r="BP244" s="1" t="s">
        <v>373</v>
      </c>
      <c r="BQ244">
        <v>9</v>
      </c>
      <c r="BR244" s="1" t="s">
        <v>964</v>
      </c>
      <c r="BS244" s="1" t="s">
        <v>126</v>
      </c>
      <c r="BT244">
        <v>1.2</v>
      </c>
      <c r="BU244" s="1" t="s">
        <v>128</v>
      </c>
      <c r="BV244" s="1" t="s">
        <v>161</v>
      </c>
      <c r="BW244">
        <v>0</v>
      </c>
      <c r="BX244">
        <v>6.6666666666666596E-2</v>
      </c>
      <c r="BY244" s="1" t="s">
        <v>129</v>
      </c>
      <c r="BZ244">
        <v>6.6666666666666596E-2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5</v>
      </c>
      <c r="CH244">
        <v>5.2</v>
      </c>
      <c r="CI244" s="1" t="s">
        <v>159</v>
      </c>
      <c r="CJ244" s="1" t="s">
        <v>126</v>
      </c>
      <c r="CK244">
        <v>1</v>
      </c>
      <c r="CL244" s="1" t="s">
        <v>255</v>
      </c>
      <c r="CM244" s="1" t="s">
        <v>241</v>
      </c>
      <c r="CN244" s="1" t="s">
        <v>1472</v>
      </c>
      <c r="CO244" s="1" t="s">
        <v>142</v>
      </c>
      <c r="CP244">
        <v>91</v>
      </c>
      <c r="CS244" s="1" t="s">
        <v>3178</v>
      </c>
      <c r="CT244">
        <v>1692.4</v>
      </c>
      <c r="CU244">
        <v>1549</v>
      </c>
      <c r="CV244" s="1" t="s">
        <v>3179</v>
      </c>
      <c r="CW244">
        <v>70.25</v>
      </c>
      <c r="CX244">
        <v>61.6</v>
      </c>
      <c r="CY244">
        <v>65.2</v>
      </c>
      <c r="CZ244" s="1" t="s">
        <v>787</v>
      </c>
      <c r="DA244">
        <v>1</v>
      </c>
      <c r="DB244" t="s">
        <v>542</v>
      </c>
      <c r="DC244">
        <v>63</v>
      </c>
      <c r="DD244" s="1" t="s">
        <v>3180</v>
      </c>
      <c r="DE244" s="1" t="s">
        <v>3181</v>
      </c>
      <c r="DF244" t="e">
        <f>_xlfn.XLOOKUP(Table1[[#This Row],[Player ID]],Table2[feed_id],Table2[trade_status])</f>
        <v>#N/A</v>
      </c>
      <c r="DG244">
        <f>_xlfn.NUMBERVALUE(Table1[[#This Row],[predicted]])</f>
        <v>58.8836651407494</v>
      </c>
    </row>
    <row r="245" spans="1:111" hidden="1" x14ac:dyDescent="0.25">
      <c r="A245">
        <v>88973</v>
      </c>
      <c r="B245">
        <v>7373</v>
      </c>
      <c r="C245" t="s">
        <v>3173</v>
      </c>
      <c r="D245" t="s">
        <v>475</v>
      </c>
      <c r="E245">
        <v>2020</v>
      </c>
      <c r="F245">
        <v>298277</v>
      </c>
      <c r="G245" t="s">
        <v>2130</v>
      </c>
      <c r="H245" t="s">
        <v>3182</v>
      </c>
      <c r="I245" t="s">
        <v>712</v>
      </c>
      <c r="J245">
        <v>1</v>
      </c>
      <c r="K245">
        <v>10</v>
      </c>
      <c r="L245">
        <v>-2</v>
      </c>
      <c r="M245">
        <v>14</v>
      </c>
      <c r="N245">
        <v>12</v>
      </c>
      <c r="O245">
        <v>22</v>
      </c>
      <c r="P245">
        <v>4</v>
      </c>
      <c r="Q245">
        <v>3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0</v>
      </c>
      <c r="X245">
        <v>1</v>
      </c>
      <c r="Y245" t="s">
        <v>113</v>
      </c>
      <c r="Z245" t="s">
        <v>2050</v>
      </c>
      <c r="AA245" t="s">
        <v>3183</v>
      </c>
      <c r="AB245" t="s">
        <v>656</v>
      </c>
      <c r="AC245" t="s">
        <v>3184</v>
      </c>
      <c r="AH245" t="s">
        <v>118</v>
      </c>
      <c r="AI245">
        <v>26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S245">
        <v>0</v>
      </c>
      <c r="AT245">
        <v>0</v>
      </c>
      <c r="AU245">
        <v>5</v>
      </c>
      <c r="AV245">
        <v>71</v>
      </c>
      <c r="AW245">
        <v>84</v>
      </c>
      <c r="AX245">
        <v>134</v>
      </c>
      <c r="AZ245" t="b">
        <v>0</v>
      </c>
      <c r="BA245">
        <v>1781</v>
      </c>
      <c r="BB245">
        <v>1440</v>
      </c>
      <c r="BC245">
        <v>10</v>
      </c>
      <c r="BD245" t="s">
        <v>3177</v>
      </c>
      <c r="BE245">
        <v>100</v>
      </c>
      <c r="BF245">
        <v>0</v>
      </c>
      <c r="BG245">
        <v>72</v>
      </c>
      <c r="BH245">
        <v>0</v>
      </c>
      <c r="BI245">
        <v>4</v>
      </c>
      <c r="BJ245" s="1" t="s">
        <v>898</v>
      </c>
      <c r="BK245">
        <v>3</v>
      </c>
      <c r="BL245" s="1" t="s">
        <v>189</v>
      </c>
      <c r="BM245">
        <v>1</v>
      </c>
      <c r="BN245" s="1" t="s">
        <v>640</v>
      </c>
      <c r="BO245">
        <v>1</v>
      </c>
      <c r="BP245" s="1" t="s">
        <v>304</v>
      </c>
      <c r="BQ245">
        <v>0</v>
      </c>
      <c r="BR245">
        <v>6.6666666666666596E-2</v>
      </c>
      <c r="BS245" s="1" t="s">
        <v>129</v>
      </c>
      <c r="BT245" s="1" t="s">
        <v>238</v>
      </c>
      <c r="BU245" s="1" t="s">
        <v>126</v>
      </c>
      <c r="BV245" s="1" t="s">
        <v>127</v>
      </c>
      <c r="BW245">
        <v>0</v>
      </c>
      <c r="BX245" s="1" t="s">
        <v>127</v>
      </c>
      <c r="BY245" s="1" t="s">
        <v>128</v>
      </c>
      <c r="BZ245" s="1" t="s">
        <v>298</v>
      </c>
      <c r="CA245">
        <v>0</v>
      </c>
      <c r="CB245" s="1" t="s">
        <v>3185</v>
      </c>
      <c r="CC245">
        <v>0</v>
      </c>
      <c r="CD245">
        <v>9.3333333333333296E-2</v>
      </c>
      <c r="CE245">
        <v>0</v>
      </c>
      <c r="CF245" s="1" t="s">
        <v>3186</v>
      </c>
      <c r="CG245" s="1" t="s">
        <v>159</v>
      </c>
      <c r="CH245">
        <v>4.2</v>
      </c>
      <c r="CI245" s="1" t="s">
        <v>128</v>
      </c>
      <c r="CJ245">
        <v>0.6</v>
      </c>
      <c r="CK245">
        <v>3</v>
      </c>
      <c r="CL245">
        <v>2.6</v>
      </c>
      <c r="CM245" s="1" t="s">
        <v>2490</v>
      </c>
      <c r="CN245">
        <v>66.2</v>
      </c>
      <c r="CO245">
        <v>74</v>
      </c>
      <c r="CP245">
        <v>79</v>
      </c>
      <c r="CQ245">
        <v>93</v>
      </c>
      <c r="CS245" s="1" t="s">
        <v>485</v>
      </c>
      <c r="CT245">
        <v>1637</v>
      </c>
      <c r="CU245" s="1" t="s">
        <v>3187</v>
      </c>
      <c r="CV245">
        <v>1632.8</v>
      </c>
      <c r="CW245">
        <v>54.35</v>
      </c>
      <c r="CX245">
        <v>42.3</v>
      </c>
      <c r="CY245">
        <v>31.6</v>
      </c>
      <c r="CZ245">
        <v>20</v>
      </c>
      <c r="DA245">
        <v>1</v>
      </c>
      <c r="DB245" t="s">
        <v>2050</v>
      </c>
      <c r="DC245">
        <v>-2</v>
      </c>
      <c r="DD245">
        <v>57.531297891740799</v>
      </c>
      <c r="DE245">
        <v>-59.531297891740799</v>
      </c>
      <c r="DF245" t="e">
        <f>_xlfn.XLOOKUP(Table1[[#This Row],[Player ID]],Table2[feed_id],Table2[trade_status])</f>
        <v>#N/A</v>
      </c>
      <c r="DG245">
        <f>_xlfn.NUMBERVALUE(Table1[[#This Row],[predicted]])</f>
        <v>57.531297891740799</v>
      </c>
    </row>
    <row r="246" spans="1:111" hidden="1" x14ac:dyDescent="0.25">
      <c r="A246">
        <v>89166</v>
      </c>
      <c r="B246">
        <v>7377</v>
      </c>
      <c r="C246" t="s">
        <v>3188</v>
      </c>
      <c r="D246" t="s">
        <v>475</v>
      </c>
      <c r="E246">
        <v>2020</v>
      </c>
      <c r="F246">
        <v>295103</v>
      </c>
      <c r="G246" t="s">
        <v>3189</v>
      </c>
      <c r="H246" t="s">
        <v>3190</v>
      </c>
      <c r="I246" t="s">
        <v>510</v>
      </c>
      <c r="J246">
        <v>6</v>
      </c>
      <c r="K246">
        <v>25</v>
      </c>
      <c r="L246">
        <v>24</v>
      </c>
      <c r="M246">
        <v>30</v>
      </c>
      <c r="N246">
        <v>17</v>
      </c>
      <c r="O246">
        <v>27</v>
      </c>
      <c r="P246">
        <v>2</v>
      </c>
      <c r="Q246">
        <v>1</v>
      </c>
      <c r="R246">
        <v>1</v>
      </c>
      <c r="S246">
        <v>5</v>
      </c>
      <c r="T246">
        <v>0</v>
      </c>
      <c r="U246">
        <v>0</v>
      </c>
      <c r="V246">
        <v>2</v>
      </c>
      <c r="W246">
        <v>0</v>
      </c>
      <c r="X246">
        <v>0</v>
      </c>
      <c r="Y246" t="s">
        <v>113</v>
      </c>
      <c r="Z246" t="s">
        <v>3191</v>
      </c>
      <c r="AA246" t="s">
        <v>3192</v>
      </c>
      <c r="AB246" t="s">
        <v>525</v>
      </c>
      <c r="AC246" t="s">
        <v>2095</v>
      </c>
      <c r="AH246" t="s">
        <v>155</v>
      </c>
      <c r="AI246">
        <v>3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S246">
        <v>1</v>
      </c>
      <c r="AT246">
        <v>0</v>
      </c>
      <c r="AU246">
        <v>2</v>
      </c>
      <c r="AV246">
        <v>100</v>
      </c>
      <c r="AW246">
        <v>77</v>
      </c>
      <c r="AX246">
        <v>74</v>
      </c>
      <c r="AZ246" t="b">
        <v>0</v>
      </c>
      <c r="BA246">
        <v>1937</v>
      </c>
      <c r="BB246">
        <v>1325</v>
      </c>
      <c r="BC246">
        <v>10</v>
      </c>
      <c r="BD246" t="s">
        <v>3193</v>
      </c>
      <c r="BE246">
        <v>100</v>
      </c>
      <c r="BF246">
        <v>0</v>
      </c>
      <c r="BG246">
        <v>72</v>
      </c>
      <c r="BH246">
        <v>0</v>
      </c>
      <c r="BI246">
        <v>5</v>
      </c>
      <c r="BJ246">
        <v>7.2</v>
      </c>
      <c r="BK246">
        <v>6</v>
      </c>
      <c r="BL246" s="1" t="s">
        <v>253</v>
      </c>
      <c r="BM246">
        <v>4</v>
      </c>
      <c r="BN246" s="1" t="s">
        <v>499</v>
      </c>
      <c r="BO246" s="1" t="s">
        <v>125</v>
      </c>
      <c r="BP246" s="1" t="s">
        <v>256</v>
      </c>
      <c r="BQ246">
        <v>0</v>
      </c>
      <c r="BR246">
        <v>0</v>
      </c>
      <c r="BS246">
        <v>0</v>
      </c>
      <c r="BT246">
        <v>0.4</v>
      </c>
      <c r="BU246">
        <v>1</v>
      </c>
      <c r="BV246">
        <v>0.8</v>
      </c>
      <c r="BW246">
        <v>1</v>
      </c>
      <c r="BX246">
        <v>0.6</v>
      </c>
      <c r="BY246" s="1" t="s">
        <v>129</v>
      </c>
      <c r="BZ246" s="1" t="s">
        <v>184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 s="1" t="s">
        <v>138</v>
      </c>
      <c r="CH246">
        <v>4.4000000000000004</v>
      </c>
      <c r="CI246" s="1" t="s">
        <v>129</v>
      </c>
      <c r="CJ246" s="1" t="s">
        <v>127</v>
      </c>
      <c r="CK246">
        <v>2</v>
      </c>
      <c r="CL246">
        <v>2</v>
      </c>
      <c r="CM246">
        <v>84</v>
      </c>
      <c r="CN246" s="1" t="s">
        <v>1472</v>
      </c>
      <c r="CO246" s="1" t="s">
        <v>755</v>
      </c>
      <c r="CP246" s="1" t="s">
        <v>755</v>
      </c>
      <c r="CS246" s="1" t="s">
        <v>2034</v>
      </c>
      <c r="CT246">
        <v>1641.2</v>
      </c>
      <c r="CU246" s="1" t="s">
        <v>3194</v>
      </c>
      <c r="CV246">
        <v>1621</v>
      </c>
      <c r="CW246">
        <v>62.55</v>
      </c>
      <c r="CX246">
        <v>57.8</v>
      </c>
      <c r="CY246">
        <v>52.2</v>
      </c>
      <c r="CZ246">
        <v>48</v>
      </c>
      <c r="DA246">
        <v>1</v>
      </c>
      <c r="DB246" t="s">
        <v>3191</v>
      </c>
      <c r="DC246">
        <v>24</v>
      </c>
      <c r="DD246" s="1" t="s">
        <v>3195</v>
      </c>
      <c r="DE246">
        <v>-25.913862766009</v>
      </c>
      <c r="DF246" t="e">
        <f>_xlfn.XLOOKUP(Table1[[#This Row],[Player ID]],Table2[feed_id],Table2[trade_status])</f>
        <v>#N/A</v>
      </c>
      <c r="DG246">
        <f>_xlfn.NUMBERVALUE(Table1[[#This Row],[predicted]])</f>
        <v>49.913862766008997</v>
      </c>
    </row>
    <row r="247" spans="1:111" hidden="1" x14ac:dyDescent="0.25">
      <c r="A247">
        <v>89207</v>
      </c>
      <c r="B247">
        <v>7378</v>
      </c>
      <c r="C247" t="s">
        <v>3196</v>
      </c>
      <c r="D247" t="s">
        <v>475</v>
      </c>
      <c r="E247">
        <v>2020</v>
      </c>
      <c r="F247">
        <v>290722</v>
      </c>
      <c r="G247" t="s">
        <v>958</v>
      </c>
      <c r="H247" t="s">
        <v>3197</v>
      </c>
      <c r="I247" t="s">
        <v>338</v>
      </c>
      <c r="J247">
        <v>3</v>
      </c>
      <c r="K247">
        <v>37</v>
      </c>
      <c r="L247">
        <v>45</v>
      </c>
      <c r="M247">
        <v>27</v>
      </c>
      <c r="N247">
        <v>28</v>
      </c>
      <c r="O247">
        <v>40</v>
      </c>
      <c r="P247">
        <v>5</v>
      </c>
      <c r="Q247">
        <v>5</v>
      </c>
      <c r="R247">
        <v>1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1</v>
      </c>
      <c r="Y247" t="s">
        <v>113</v>
      </c>
      <c r="Z247" t="s">
        <v>525</v>
      </c>
      <c r="AA247" t="s">
        <v>3165</v>
      </c>
      <c r="AH247" t="s">
        <v>118</v>
      </c>
      <c r="AI247">
        <v>15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S247">
        <v>7</v>
      </c>
      <c r="AT247">
        <v>3</v>
      </c>
      <c r="AU247">
        <v>2</v>
      </c>
      <c r="AV247">
        <v>60</v>
      </c>
      <c r="AW247">
        <v>72</v>
      </c>
      <c r="AX247">
        <v>116</v>
      </c>
      <c r="AZ247" t="b">
        <v>0</v>
      </c>
      <c r="BA247">
        <v>1796</v>
      </c>
      <c r="BB247">
        <v>1465</v>
      </c>
      <c r="BC247">
        <v>10</v>
      </c>
      <c r="BD247" t="s">
        <v>3198</v>
      </c>
      <c r="BE247">
        <v>100</v>
      </c>
      <c r="BF247">
        <v>0</v>
      </c>
      <c r="BG247">
        <v>72</v>
      </c>
      <c r="BH247">
        <v>0</v>
      </c>
      <c r="BI247" s="1" t="s">
        <v>124</v>
      </c>
      <c r="BJ247" s="1" t="s">
        <v>624</v>
      </c>
      <c r="BK247" s="1" t="s">
        <v>125</v>
      </c>
      <c r="BL247" s="1" t="s">
        <v>204</v>
      </c>
      <c r="BM247" s="1" t="s">
        <v>169</v>
      </c>
      <c r="BN247" s="1" t="s">
        <v>237</v>
      </c>
      <c r="BO247">
        <v>2</v>
      </c>
      <c r="BP247">
        <v>2.8</v>
      </c>
      <c r="BQ247">
        <v>0</v>
      </c>
      <c r="BR247">
        <v>0</v>
      </c>
      <c r="BS247" s="1" t="s">
        <v>129</v>
      </c>
      <c r="BT247" s="1" t="s">
        <v>399</v>
      </c>
      <c r="BU247" s="1" t="s">
        <v>129</v>
      </c>
      <c r="BV247">
        <v>0.2</v>
      </c>
      <c r="BW247">
        <v>0</v>
      </c>
      <c r="BX247" s="1" t="s">
        <v>231</v>
      </c>
      <c r="BY247" s="1" t="s">
        <v>129</v>
      </c>
      <c r="BZ247">
        <v>0.6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 s="1" t="s">
        <v>211</v>
      </c>
      <c r="CH247" s="1" t="s">
        <v>752</v>
      </c>
      <c r="CI247" s="1" t="s">
        <v>126</v>
      </c>
      <c r="CJ247">
        <v>0.6</v>
      </c>
      <c r="CK247" s="1" t="s">
        <v>126</v>
      </c>
      <c r="CL247">
        <v>1.6</v>
      </c>
      <c r="CM247" s="1" t="s">
        <v>263</v>
      </c>
      <c r="CN247" s="1" t="s">
        <v>3199</v>
      </c>
      <c r="CO247">
        <v>79</v>
      </c>
      <c r="CP247">
        <v>81</v>
      </c>
      <c r="CQ247" s="1" t="s">
        <v>3200</v>
      </c>
      <c r="CS247" s="1" t="s">
        <v>2851</v>
      </c>
      <c r="CT247" s="1" t="s">
        <v>3201</v>
      </c>
      <c r="CU247">
        <v>1641</v>
      </c>
      <c r="CV247">
        <v>1604.2</v>
      </c>
      <c r="CW247">
        <v>63.05</v>
      </c>
      <c r="CX247">
        <v>49.4</v>
      </c>
      <c r="CY247">
        <v>48.4</v>
      </c>
      <c r="CZ247" s="1" t="s">
        <v>2013</v>
      </c>
      <c r="DA247">
        <v>1</v>
      </c>
      <c r="DB247" t="s">
        <v>525</v>
      </c>
      <c r="DC247">
        <v>45</v>
      </c>
      <c r="DD247" s="1" t="s">
        <v>3202</v>
      </c>
      <c r="DE247">
        <v>-15.513584960370499</v>
      </c>
      <c r="DF247" t="e">
        <f>_xlfn.XLOOKUP(Table1[[#This Row],[Player ID]],Table2[feed_id],Table2[trade_status])</f>
        <v>#N/A</v>
      </c>
      <c r="DG247">
        <f>_xlfn.NUMBERVALUE(Table1[[#This Row],[predicted]])</f>
        <v>60.513584960370501</v>
      </c>
    </row>
    <row r="248" spans="1:111" hidden="1" x14ac:dyDescent="0.25">
      <c r="A248">
        <v>89265</v>
      </c>
      <c r="B248">
        <v>7380</v>
      </c>
      <c r="C248" t="s">
        <v>3203</v>
      </c>
      <c r="D248" t="s">
        <v>475</v>
      </c>
      <c r="E248">
        <v>2020</v>
      </c>
      <c r="F248">
        <v>270512</v>
      </c>
      <c r="G248" t="s">
        <v>477</v>
      </c>
      <c r="H248" t="s">
        <v>3204</v>
      </c>
      <c r="I248" t="s">
        <v>524</v>
      </c>
      <c r="J248">
        <v>5</v>
      </c>
      <c r="K248">
        <v>47</v>
      </c>
      <c r="L248">
        <v>52</v>
      </c>
      <c r="M248">
        <v>63</v>
      </c>
      <c r="N248">
        <v>40</v>
      </c>
      <c r="O248">
        <v>54</v>
      </c>
      <c r="P248">
        <v>7</v>
      </c>
      <c r="Q248">
        <v>4</v>
      </c>
      <c r="R248">
        <v>5</v>
      </c>
      <c r="S248">
        <v>2</v>
      </c>
      <c r="T248">
        <v>0</v>
      </c>
      <c r="U248">
        <v>1</v>
      </c>
      <c r="V248">
        <v>2</v>
      </c>
      <c r="W248">
        <v>0</v>
      </c>
      <c r="X248">
        <v>0</v>
      </c>
      <c r="Y248" t="s">
        <v>113</v>
      </c>
      <c r="Z248" t="s">
        <v>525</v>
      </c>
      <c r="AA248" t="s">
        <v>3205</v>
      </c>
      <c r="AH248" t="s">
        <v>118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S248">
        <v>4</v>
      </c>
      <c r="AT248">
        <v>0</v>
      </c>
      <c r="AU248">
        <v>3</v>
      </c>
      <c r="AV248">
        <v>72</v>
      </c>
      <c r="AW248">
        <v>73</v>
      </c>
      <c r="AX248">
        <v>192</v>
      </c>
      <c r="AZ248" t="b">
        <v>0</v>
      </c>
      <c r="BA248">
        <v>1864</v>
      </c>
      <c r="BB248">
        <v>1398</v>
      </c>
      <c r="BC248">
        <v>10</v>
      </c>
      <c r="BD248" t="s">
        <v>3206</v>
      </c>
      <c r="BE248">
        <v>100</v>
      </c>
      <c r="BF248">
        <v>0</v>
      </c>
      <c r="BG248">
        <v>72</v>
      </c>
      <c r="BH248">
        <v>0</v>
      </c>
      <c r="BI248">
        <v>8</v>
      </c>
      <c r="BJ248" s="1" t="s">
        <v>3207</v>
      </c>
      <c r="BK248">
        <v>3</v>
      </c>
      <c r="BL248" s="1" t="s">
        <v>752</v>
      </c>
      <c r="BM248">
        <v>4</v>
      </c>
      <c r="BN248" s="1" t="s">
        <v>160</v>
      </c>
      <c r="BO248">
        <v>2</v>
      </c>
      <c r="BP248">
        <v>1.8</v>
      </c>
      <c r="BQ248">
        <v>0</v>
      </c>
      <c r="BR248">
        <v>0</v>
      </c>
      <c r="BS248" s="1" t="s">
        <v>126</v>
      </c>
      <c r="BT248">
        <v>0.6</v>
      </c>
      <c r="BU248">
        <v>1</v>
      </c>
      <c r="BV248" s="1" t="s">
        <v>399</v>
      </c>
      <c r="BW248">
        <v>0</v>
      </c>
      <c r="BX248">
        <v>6.6666666666666596E-2</v>
      </c>
      <c r="BY248" s="1" t="s">
        <v>129</v>
      </c>
      <c r="BZ248">
        <v>6.6666666666666596E-2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 s="1" t="s">
        <v>160</v>
      </c>
      <c r="CH248" s="1" t="s">
        <v>499</v>
      </c>
      <c r="CI248" s="1" t="s">
        <v>129</v>
      </c>
      <c r="CJ248" s="1" t="s">
        <v>298</v>
      </c>
      <c r="CK248">
        <v>3</v>
      </c>
      <c r="CL248" s="1" t="s">
        <v>140</v>
      </c>
      <c r="CM248" s="1" t="s">
        <v>1838</v>
      </c>
      <c r="CN248" s="1" t="s">
        <v>417</v>
      </c>
      <c r="CO248" s="1" t="s">
        <v>263</v>
      </c>
      <c r="CP248" s="1" t="s">
        <v>3208</v>
      </c>
      <c r="CQ248" s="1" t="s">
        <v>3209</v>
      </c>
      <c r="CS248">
        <v>1552</v>
      </c>
      <c r="CT248" s="1" t="s">
        <v>3210</v>
      </c>
      <c r="CU248" s="1" t="s">
        <v>1179</v>
      </c>
      <c r="CV248" s="1" t="s">
        <v>1510</v>
      </c>
      <c r="CW248">
        <v>71</v>
      </c>
      <c r="CX248">
        <v>67.400000000000006</v>
      </c>
      <c r="CY248">
        <v>54.4</v>
      </c>
      <c r="CZ248" s="1" t="s">
        <v>1459</v>
      </c>
      <c r="DA248">
        <v>1</v>
      </c>
      <c r="DB248" t="s">
        <v>525</v>
      </c>
      <c r="DC248">
        <v>52</v>
      </c>
      <c r="DD248" s="1" t="s">
        <v>3211</v>
      </c>
      <c r="DE248">
        <v>-13.5793096162288</v>
      </c>
      <c r="DF248" t="e">
        <f>_xlfn.XLOOKUP(Table1[[#This Row],[Player ID]],Table2[feed_id],Table2[trade_status])</f>
        <v>#N/A</v>
      </c>
      <c r="DG248">
        <f>_xlfn.NUMBERVALUE(Table1[[#This Row],[predicted]])</f>
        <v>65.579309616228798</v>
      </c>
    </row>
    <row r="249" spans="1:111" hidden="1" x14ac:dyDescent="0.25">
      <c r="A249">
        <v>89317</v>
      </c>
      <c r="B249">
        <v>7381</v>
      </c>
      <c r="C249" t="s">
        <v>3212</v>
      </c>
      <c r="D249" t="s">
        <v>475</v>
      </c>
      <c r="E249">
        <v>2020</v>
      </c>
      <c r="F249">
        <v>290817</v>
      </c>
      <c r="G249" t="s">
        <v>3213</v>
      </c>
      <c r="H249" t="s">
        <v>3214</v>
      </c>
      <c r="I249" t="s">
        <v>178</v>
      </c>
      <c r="J249">
        <v>2</v>
      </c>
      <c r="K249">
        <v>25</v>
      </c>
      <c r="L249">
        <v>33</v>
      </c>
      <c r="M249">
        <v>34</v>
      </c>
      <c r="N249">
        <v>16</v>
      </c>
      <c r="O249">
        <v>24</v>
      </c>
      <c r="P249">
        <v>5</v>
      </c>
      <c r="Q249">
        <v>1</v>
      </c>
      <c r="R249">
        <v>0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113</v>
      </c>
      <c r="Z249" t="s">
        <v>525</v>
      </c>
      <c r="AA249" t="s">
        <v>3215</v>
      </c>
      <c r="AH249" t="s">
        <v>155</v>
      </c>
      <c r="AI249">
        <v>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S249">
        <v>2</v>
      </c>
      <c r="AT249">
        <v>0</v>
      </c>
      <c r="AU249">
        <v>0</v>
      </c>
      <c r="AV249">
        <v>33</v>
      </c>
      <c r="AW249">
        <v>82</v>
      </c>
      <c r="AX249">
        <v>125</v>
      </c>
      <c r="AZ249" t="b">
        <v>0</v>
      </c>
      <c r="BA249">
        <v>1556</v>
      </c>
      <c r="BB249">
        <v>1714</v>
      </c>
      <c r="BC249">
        <v>10</v>
      </c>
      <c r="BD249" t="s">
        <v>3216</v>
      </c>
      <c r="BE249">
        <v>100</v>
      </c>
      <c r="BF249">
        <v>0</v>
      </c>
      <c r="BG249">
        <v>72</v>
      </c>
      <c r="BH249">
        <v>0</v>
      </c>
      <c r="BI249">
        <v>5</v>
      </c>
      <c r="BJ249" s="1" t="s">
        <v>448</v>
      </c>
      <c r="BK249">
        <v>1</v>
      </c>
      <c r="BL249" s="1" t="s">
        <v>140</v>
      </c>
      <c r="BM249" s="1" t="s">
        <v>129</v>
      </c>
      <c r="BN249">
        <v>2.6</v>
      </c>
      <c r="BO249" s="1" t="s">
        <v>169</v>
      </c>
      <c r="BP249" s="1" t="s">
        <v>255</v>
      </c>
      <c r="BQ249">
        <v>0</v>
      </c>
      <c r="BR249">
        <v>0</v>
      </c>
      <c r="BS249">
        <v>1</v>
      </c>
      <c r="BT249" s="1" t="s">
        <v>231</v>
      </c>
      <c r="BU249" s="1" t="s">
        <v>128</v>
      </c>
      <c r="BV249" s="1" t="s">
        <v>128</v>
      </c>
      <c r="BW249" s="1" t="s">
        <v>129</v>
      </c>
      <c r="BX249">
        <v>0.8</v>
      </c>
      <c r="BY249" s="1" t="s">
        <v>128</v>
      </c>
      <c r="BZ249" s="1" t="s">
        <v>298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3</v>
      </c>
      <c r="CH249">
        <v>4</v>
      </c>
      <c r="CI249" s="1" t="s">
        <v>128</v>
      </c>
      <c r="CJ249" s="1" t="s">
        <v>129</v>
      </c>
      <c r="CK249" s="1" t="s">
        <v>128</v>
      </c>
      <c r="CL249" s="1" t="s">
        <v>327</v>
      </c>
      <c r="CM249" s="1" t="s">
        <v>1476</v>
      </c>
      <c r="CN249">
        <v>55.8</v>
      </c>
      <c r="CO249" s="1" t="s">
        <v>610</v>
      </c>
      <c r="CP249">
        <v>76.2</v>
      </c>
      <c r="CQ249" s="1" t="s">
        <v>3217</v>
      </c>
      <c r="CS249" s="1" t="s">
        <v>3218</v>
      </c>
      <c r="CT249" s="1" t="s">
        <v>3219</v>
      </c>
      <c r="CU249">
        <v>1662</v>
      </c>
      <c r="CV249">
        <v>1704</v>
      </c>
      <c r="CW249">
        <v>54.9</v>
      </c>
      <c r="CX249">
        <v>52.1</v>
      </c>
      <c r="CY249">
        <v>43.6</v>
      </c>
      <c r="CZ249" s="1" t="s">
        <v>576</v>
      </c>
      <c r="DA249">
        <v>1</v>
      </c>
      <c r="DB249" t="s">
        <v>525</v>
      </c>
      <c r="DC249">
        <v>33</v>
      </c>
      <c r="DD249" s="1" t="s">
        <v>3220</v>
      </c>
      <c r="DE249">
        <v>-20.910362580184199</v>
      </c>
      <c r="DF249" t="e">
        <f>_xlfn.XLOOKUP(Table1[[#This Row],[Player ID]],Table2[feed_id],Table2[trade_status])</f>
        <v>#N/A</v>
      </c>
      <c r="DG249">
        <f>_xlfn.NUMBERVALUE(Table1[[#This Row],[predicted]])</f>
        <v>53.910362580184199</v>
      </c>
    </row>
    <row r="250" spans="1:111" hidden="1" x14ac:dyDescent="0.25">
      <c r="A250">
        <v>89806</v>
      </c>
      <c r="B250">
        <v>7392</v>
      </c>
      <c r="C250" t="s">
        <v>3221</v>
      </c>
      <c r="D250" t="s">
        <v>539</v>
      </c>
      <c r="E250">
        <v>2020</v>
      </c>
      <c r="F250">
        <v>290156</v>
      </c>
      <c r="G250" t="s">
        <v>3222</v>
      </c>
      <c r="H250" t="s">
        <v>3223</v>
      </c>
      <c r="I250" t="s">
        <v>813</v>
      </c>
      <c r="J250">
        <v>7</v>
      </c>
      <c r="K250">
        <v>50</v>
      </c>
      <c r="L250">
        <v>65</v>
      </c>
      <c r="M250">
        <v>29</v>
      </c>
      <c r="N250">
        <v>42</v>
      </c>
      <c r="O250">
        <v>57</v>
      </c>
      <c r="P250">
        <v>8</v>
      </c>
      <c r="Q250">
        <v>8</v>
      </c>
      <c r="R250">
        <v>3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 t="s">
        <v>113</v>
      </c>
      <c r="Z250" t="s">
        <v>525</v>
      </c>
      <c r="AA250" t="s">
        <v>3224</v>
      </c>
      <c r="AH250" t="s">
        <v>181</v>
      </c>
      <c r="AI250">
        <v>17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S250">
        <v>6</v>
      </c>
      <c r="AT250">
        <v>0</v>
      </c>
      <c r="AU250">
        <v>2</v>
      </c>
      <c r="AV250">
        <v>68</v>
      </c>
      <c r="AW250">
        <v>84</v>
      </c>
      <c r="AX250">
        <v>204</v>
      </c>
      <c r="AZ250" t="b">
        <v>0</v>
      </c>
      <c r="BA250">
        <v>1679</v>
      </c>
      <c r="BB250">
        <v>1583</v>
      </c>
      <c r="BC250">
        <v>12</v>
      </c>
      <c r="BD250" t="s">
        <v>3225</v>
      </c>
      <c r="BE250">
        <v>100</v>
      </c>
      <c r="BF250">
        <v>0</v>
      </c>
      <c r="BG250">
        <v>73</v>
      </c>
      <c r="BH250">
        <v>0</v>
      </c>
      <c r="BI250" s="1" t="s">
        <v>137</v>
      </c>
      <c r="BJ250" s="1" t="s">
        <v>586</v>
      </c>
      <c r="BK250" s="1" t="s">
        <v>124</v>
      </c>
      <c r="BL250" s="1" t="s">
        <v>260</v>
      </c>
      <c r="BM250">
        <v>3</v>
      </c>
      <c r="BN250" s="1" t="s">
        <v>189</v>
      </c>
      <c r="BO250">
        <v>1</v>
      </c>
      <c r="BP250" s="1" t="s">
        <v>327</v>
      </c>
      <c r="BQ250">
        <v>0</v>
      </c>
      <c r="BR250">
        <v>0</v>
      </c>
      <c r="BS250" s="1" t="s">
        <v>128</v>
      </c>
      <c r="BT250" s="1" t="s">
        <v>298</v>
      </c>
      <c r="BU250">
        <v>0</v>
      </c>
      <c r="BV250" s="1" t="s">
        <v>231</v>
      </c>
      <c r="BW250" s="1" t="s">
        <v>128</v>
      </c>
      <c r="BX250" s="1" t="s">
        <v>184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 s="1" t="s">
        <v>160</v>
      </c>
      <c r="CH250">
        <v>4</v>
      </c>
      <c r="CI250">
        <v>0</v>
      </c>
      <c r="CJ250">
        <v>0</v>
      </c>
      <c r="CK250">
        <v>2</v>
      </c>
      <c r="CL250">
        <v>2.6</v>
      </c>
      <c r="CM250">
        <v>63</v>
      </c>
      <c r="CN250">
        <v>69.2</v>
      </c>
      <c r="CO250" s="1" t="s">
        <v>2177</v>
      </c>
      <c r="CP250" s="1" t="s">
        <v>3226</v>
      </c>
      <c r="CQ250">
        <v>231</v>
      </c>
      <c r="CS250" s="1" t="s">
        <v>1981</v>
      </c>
      <c r="CT250">
        <v>1652.4</v>
      </c>
      <c r="CU250">
        <v>1590</v>
      </c>
      <c r="CV250" s="1" t="s">
        <v>3227</v>
      </c>
      <c r="CW250">
        <v>74.05</v>
      </c>
      <c r="CX250">
        <v>70.5</v>
      </c>
      <c r="CY250">
        <v>58.4</v>
      </c>
      <c r="CZ250" s="1" t="s">
        <v>1615</v>
      </c>
      <c r="DA250">
        <v>1</v>
      </c>
      <c r="DB250" t="s">
        <v>525</v>
      </c>
      <c r="DC250">
        <v>65</v>
      </c>
      <c r="DD250" s="1" t="s">
        <v>3228</v>
      </c>
      <c r="DE250">
        <v>-4.8062698469874698</v>
      </c>
      <c r="DF250" t="e">
        <f>_xlfn.XLOOKUP(Table1[[#This Row],[Player ID]],Table2[feed_id],Table2[trade_status])</f>
        <v>#N/A</v>
      </c>
      <c r="DG250">
        <f>_xlfn.NUMBERVALUE(Table1[[#This Row],[predicted]])</f>
        <v>69.806269846987405</v>
      </c>
    </row>
    <row r="251" spans="1:111" hidden="1" x14ac:dyDescent="0.25">
      <c r="A251">
        <v>89807</v>
      </c>
      <c r="B251">
        <v>7392</v>
      </c>
      <c r="C251" t="s">
        <v>3221</v>
      </c>
      <c r="D251" t="s">
        <v>539</v>
      </c>
      <c r="E251">
        <v>2020</v>
      </c>
      <c r="F251">
        <v>290194</v>
      </c>
      <c r="G251" t="s">
        <v>3229</v>
      </c>
      <c r="H251" t="s">
        <v>3230</v>
      </c>
      <c r="I251" t="s">
        <v>813</v>
      </c>
      <c r="J251">
        <v>4</v>
      </c>
      <c r="K251">
        <v>47</v>
      </c>
      <c r="L251">
        <v>75</v>
      </c>
      <c r="M251">
        <v>32</v>
      </c>
      <c r="N251">
        <v>38</v>
      </c>
      <c r="O251">
        <v>54</v>
      </c>
      <c r="P251">
        <v>7</v>
      </c>
      <c r="Q251">
        <v>7</v>
      </c>
      <c r="R251">
        <v>2</v>
      </c>
      <c r="S251">
        <v>2</v>
      </c>
      <c r="T251">
        <v>0</v>
      </c>
      <c r="U251">
        <v>1</v>
      </c>
      <c r="V251">
        <v>1</v>
      </c>
      <c r="W251">
        <v>0</v>
      </c>
      <c r="X251">
        <v>0</v>
      </c>
      <c r="Y251" t="s">
        <v>113</v>
      </c>
      <c r="Z251" t="s">
        <v>226</v>
      </c>
      <c r="AA251" t="s">
        <v>3231</v>
      </c>
      <c r="AH251" t="s">
        <v>181</v>
      </c>
      <c r="AI251">
        <v>34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S251">
        <v>6</v>
      </c>
      <c r="AT251">
        <v>0</v>
      </c>
      <c r="AU251">
        <v>2</v>
      </c>
      <c r="AV251">
        <v>64</v>
      </c>
      <c r="AW251">
        <v>86</v>
      </c>
      <c r="AX251">
        <v>234</v>
      </c>
      <c r="AZ251" t="b">
        <v>0</v>
      </c>
      <c r="BA251">
        <v>1679</v>
      </c>
      <c r="BB251">
        <v>1583</v>
      </c>
      <c r="BC251">
        <v>12</v>
      </c>
      <c r="BD251" t="s">
        <v>3225</v>
      </c>
      <c r="BE251">
        <v>100</v>
      </c>
      <c r="BF251">
        <v>0</v>
      </c>
      <c r="BG251">
        <v>73</v>
      </c>
      <c r="BH251">
        <v>1</v>
      </c>
      <c r="BI251" s="1" t="s">
        <v>449</v>
      </c>
      <c r="BJ251">
        <v>8.4</v>
      </c>
      <c r="BK251" s="1" t="s">
        <v>137</v>
      </c>
      <c r="BL251">
        <v>6.8</v>
      </c>
      <c r="BM251" s="1" t="s">
        <v>169</v>
      </c>
      <c r="BN251">
        <v>3.6</v>
      </c>
      <c r="BO251" s="1" t="s">
        <v>159</v>
      </c>
      <c r="BP251">
        <v>2.2000000000000002</v>
      </c>
      <c r="BQ251">
        <v>0</v>
      </c>
      <c r="BR251">
        <v>0</v>
      </c>
      <c r="BS251">
        <v>1</v>
      </c>
      <c r="BT251" s="1" t="s">
        <v>257</v>
      </c>
      <c r="BU251" s="1" t="s">
        <v>126</v>
      </c>
      <c r="BV251" s="1" t="s">
        <v>130</v>
      </c>
      <c r="BW251" s="1" t="s">
        <v>129</v>
      </c>
      <c r="BX251">
        <v>6.6666666666666596E-2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 s="1" t="s">
        <v>449</v>
      </c>
      <c r="CH251" s="1" t="s">
        <v>436</v>
      </c>
      <c r="CI251" s="1" t="s">
        <v>128</v>
      </c>
      <c r="CJ251" s="1" t="s">
        <v>128</v>
      </c>
      <c r="CK251" s="1" t="s">
        <v>169</v>
      </c>
      <c r="CL251" s="1" t="s">
        <v>275</v>
      </c>
      <c r="CM251" s="1" t="s">
        <v>1406</v>
      </c>
      <c r="CN251" s="1" t="s">
        <v>516</v>
      </c>
      <c r="CO251" s="1" t="s">
        <v>364</v>
      </c>
      <c r="CP251">
        <v>78.599999999999994</v>
      </c>
      <c r="CQ251" s="1" t="s">
        <v>3232</v>
      </c>
      <c r="CS251" s="1" t="s">
        <v>1981</v>
      </c>
      <c r="CT251" s="1" t="s">
        <v>3233</v>
      </c>
      <c r="CU251">
        <v>1590</v>
      </c>
      <c r="CV251" s="1" t="s">
        <v>3234</v>
      </c>
      <c r="CW251">
        <v>73.25</v>
      </c>
      <c r="CX251">
        <v>69.099999999999994</v>
      </c>
      <c r="CY251">
        <v>68</v>
      </c>
      <c r="CZ251" s="1" t="s">
        <v>1053</v>
      </c>
      <c r="DA251">
        <v>1</v>
      </c>
      <c r="DB251" t="s">
        <v>226</v>
      </c>
      <c r="DC251">
        <v>75</v>
      </c>
      <c r="DD251" s="1" t="s">
        <v>3235</v>
      </c>
      <c r="DE251">
        <v>-17.379287326192699</v>
      </c>
      <c r="DF251" t="e">
        <f>_xlfn.XLOOKUP(Table1[[#This Row],[Player ID]],Table2[feed_id],Table2[trade_status])</f>
        <v>#N/A</v>
      </c>
      <c r="DG251">
        <f>_xlfn.NUMBERVALUE(Table1[[#This Row],[predicted]])</f>
        <v>92.379287326192696</v>
      </c>
    </row>
    <row r="252" spans="1:111" hidden="1" x14ac:dyDescent="0.25">
      <c r="A252">
        <v>90146</v>
      </c>
      <c r="B252">
        <v>7400</v>
      </c>
      <c r="C252" t="s">
        <v>3236</v>
      </c>
      <c r="D252" t="s">
        <v>579</v>
      </c>
      <c r="E252">
        <v>2020</v>
      </c>
      <c r="F252">
        <v>1001448</v>
      </c>
      <c r="G252" t="s">
        <v>3237</v>
      </c>
      <c r="H252" t="s">
        <v>3238</v>
      </c>
      <c r="I252" t="s">
        <v>112</v>
      </c>
      <c r="J252">
        <v>12</v>
      </c>
      <c r="K252">
        <v>50</v>
      </c>
      <c r="L252">
        <v>60</v>
      </c>
      <c r="M252">
        <v>44</v>
      </c>
      <c r="N252">
        <v>41</v>
      </c>
      <c r="O252">
        <v>63</v>
      </c>
      <c r="P252">
        <v>5</v>
      </c>
      <c r="Q252">
        <v>11</v>
      </c>
      <c r="R252">
        <v>1</v>
      </c>
      <c r="S252">
        <v>4</v>
      </c>
      <c r="T252">
        <v>0</v>
      </c>
      <c r="U252">
        <v>0</v>
      </c>
      <c r="V252">
        <v>2</v>
      </c>
      <c r="W252">
        <v>0</v>
      </c>
      <c r="X252">
        <v>0</v>
      </c>
      <c r="Y252" t="s">
        <v>113</v>
      </c>
      <c r="Z252" t="s">
        <v>877</v>
      </c>
      <c r="AA252" t="s">
        <v>3239</v>
      </c>
      <c r="AH252" t="s">
        <v>118</v>
      </c>
      <c r="AI252">
        <v>33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S252">
        <v>6</v>
      </c>
      <c r="AT252">
        <v>2</v>
      </c>
      <c r="AU252">
        <v>5</v>
      </c>
      <c r="AV252">
        <v>62</v>
      </c>
      <c r="AW252">
        <v>63</v>
      </c>
      <c r="AX252">
        <v>34</v>
      </c>
      <c r="AZ252" t="b">
        <v>0</v>
      </c>
      <c r="BA252">
        <v>1833</v>
      </c>
      <c r="BB252">
        <v>1462</v>
      </c>
      <c r="BC252">
        <v>13</v>
      </c>
      <c r="BD252" t="s">
        <v>3240</v>
      </c>
      <c r="BE252">
        <v>103</v>
      </c>
      <c r="BF252">
        <v>0</v>
      </c>
      <c r="BG252">
        <v>72</v>
      </c>
      <c r="BH252">
        <v>0</v>
      </c>
      <c r="BI252">
        <v>5</v>
      </c>
      <c r="BJ252" s="1" t="s">
        <v>752</v>
      </c>
      <c r="BK252" s="1" t="s">
        <v>157</v>
      </c>
      <c r="BL252" s="1" t="s">
        <v>1398</v>
      </c>
      <c r="BM252">
        <v>1</v>
      </c>
      <c r="BN252">
        <v>1.8</v>
      </c>
      <c r="BO252">
        <v>5</v>
      </c>
      <c r="BP252">
        <v>6.2</v>
      </c>
      <c r="BQ252">
        <v>0</v>
      </c>
      <c r="BR252">
        <v>6.6666666666666596E-2</v>
      </c>
      <c r="BS252">
        <v>1</v>
      </c>
      <c r="BT252" s="1" t="s">
        <v>127</v>
      </c>
      <c r="BU252" s="1" t="s">
        <v>159</v>
      </c>
      <c r="BV252" s="1" t="s">
        <v>127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 s="1" t="s">
        <v>449</v>
      </c>
      <c r="CH252">
        <v>7</v>
      </c>
      <c r="CI252" s="1" t="s">
        <v>161</v>
      </c>
      <c r="CJ252">
        <v>2.8</v>
      </c>
      <c r="CK252" s="1" t="s">
        <v>160</v>
      </c>
      <c r="CL252" s="1" t="s">
        <v>322</v>
      </c>
      <c r="CM252">
        <v>70</v>
      </c>
      <c r="CN252">
        <v>72.400000000000006</v>
      </c>
      <c r="CO252" s="1" t="s">
        <v>1615</v>
      </c>
      <c r="CP252">
        <v>63.8</v>
      </c>
      <c r="CQ252">
        <v>58</v>
      </c>
      <c r="CS252" s="1" t="s">
        <v>3241</v>
      </c>
      <c r="CT252" s="1" t="s">
        <v>3242</v>
      </c>
      <c r="CU252" s="1" t="s">
        <v>3243</v>
      </c>
      <c r="CV252" s="1" t="s">
        <v>2301</v>
      </c>
      <c r="CW252">
        <v>69.75</v>
      </c>
      <c r="CX252">
        <v>72.400000000000006</v>
      </c>
      <c r="CY252">
        <v>68.599999999999994</v>
      </c>
      <c r="CZ252" s="1" t="s">
        <v>171</v>
      </c>
      <c r="DA252">
        <v>1</v>
      </c>
      <c r="DB252" t="s">
        <v>877</v>
      </c>
      <c r="DC252">
        <v>60</v>
      </c>
      <c r="DD252" s="1" t="s">
        <v>3244</v>
      </c>
      <c r="DE252" s="1" t="s">
        <v>3245</v>
      </c>
      <c r="DF252" t="e">
        <f>_xlfn.XLOOKUP(Table1[[#This Row],[Player ID]],Table2[feed_id],Table2[trade_status])</f>
        <v>#N/A</v>
      </c>
      <c r="DG252">
        <f>_xlfn.NUMBERVALUE(Table1[[#This Row],[predicted]])</f>
        <v>56.918273921104699</v>
      </c>
    </row>
    <row r="253" spans="1:111" hidden="1" x14ac:dyDescent="0.25">
      <c r="A253">
        <v>90152</v>
      </c>
      <c r="B253">
        <v>7400</v>
      </c>
      <c r="C253" t="s">
        <v>3236</v>
      </c>
      <c r="D253" t="s">
        <v>579</v>
      </c>
      <c r="E253">
        <v>2020</v>
      </c>
      <c r="F253">
        <v>250548</v>
      </c>
      <c r="G253" t="s">
        <v>3246</v>
      </c>
      <c r="H253" t="s">
        <v>3247</v>
      </c>
      <c r="I253" t="s">
        <v>112</v>
      </c>
      <c r="J253">
        <v>1</v>
      </c>
      <c r="K253">
        <v>25</v>
      </c>
      <c r="L253">
        <v>40</v>
      </c>
      <c r="M253">
        <v>13</v>
      </c>
      <c r="N253">
        <v>20</v>
      </c>
      <c r="O253">
        <v>30</v>
      </c>
      <c r="P253">
        <v>5</v>
      </c>
      <c r="Q253">
        <v>3</v>
      </c>
      <c r="R253">
        <v>1</v>
      </c>
      <c r="S253">
        <v>1</v>
      </c>
      <c r="T253">
        <v>0</v>
      </c>
      <c r="U253">
        <v>0</v>
      </c>
      <c r="V253">
        <v>1</v>
      </c>
      <c r="W253">
        <v>0</v>
      </c>
      <c r="X253">
        <v>0</v>
      </c>
      <c r="Y253" t="s">
        <v>113</v>
      </c>
      <c r="Z253" t="s">
        <v>179</v>
      </c>
      <c r="AA253" t="s">
        <v>3248</v>
      </c>
      <c r="AH253" t="s">
        <v>181</v>
      </c>
      <c r="AI253">
        <v>15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S253">
        <v>3</v>
      </c>
      <c r="AT253">
        <v>0</v>
      </c>
      <c r="AU253">
        <v>1</v>
      </c>
      <c r="AV253">
        <v>62</v>
      </c>
      <c r="AW253">
        <v>92</v>
      </c>
      <c r="AX253">
        <v>151</v>
      </c>
      <c r="AZ253" t="b">
        <v>0</v>
      </c>
      <c r="BA253">
        <v>1833</v>
      </c>
      <c r="BB253">
        <v>1462</v>
      </c>
      <c r="BC253">
        <v>13</v>
      </c>
      <c r="BD253" t="s">
        <v>3240</v>
      </c>
      <c r="BE253">
        <v>103</v>
      </c>
      <c r="BF253">
        <v>0</v>
      </c>
      <c r="BG253">
        <v>72</v>
      </c>
      <c r="BH253">
        <v>0</v>
      </c>
      <c r="BI253" s="1" t="s">
        <v>397</v>
      </c>
      <c r="BJ253">
        <v>8.4</v>
      </c>
      <c r="BK253">
        <v>4</v>
      </c>
      <c r="BL253" s="1" t="s">
        <v>230</v>
      </c>
      <c r="BM253" s="1" t="s">
        <v>169</v>
      </c>
      <c r="BN253" s="1" t="s">
        <v>587</v>
      </c>
      <c r="BO253" s="1" t="s">
        <v>126</v>
      </c>
      <c r="BP253">
        <v>2</v>
      </c>
      <c r="BQ253">
        <v>0</v>
      </c>
      <c r="BR253">
        <v>0</v>
      </c>
      <c r="BS253" s="1" t="s">
        <v>129</v>
      </c>
      <c r="BT253">
        <v>0.8</v>
      </c>
      <c r="BU253" s="1" t="s">
        <v>129</v>
      </c>
      <c r="BV253" s="1" t="s">
        <v>257</v>
      </c>
      <c r="BW253" s="1" t="s">
        <v>129</v>
      </c>
      <c r="BX253">
        <v>6.6666666666666596E-2</v>
      </c>
      <c r="BY253">
        <v>0</v>
      </c>
      <c r="BZ253">
        <v>0</v>
      </c>
      <c r="CA253" s="1" t="s">
        <v>2077</v>
      </c>
      <c r="CB253" s="1" t="s">
        <v>3249</v>
      </c>
      <c r="CC253" s="1" t="s">
        <v>3250</v>
      </c>
      <c r="CD253" s="1" t="s">
        <v>2947</v>
      </c>
      <c r="CE253" s="1" t="s">
        <v>3251</v>
      </c>
      <c r="CF253" s="1" t="s">
        <v>3252</v>
      </c>
      <c r="CG253">
        <v>3</v>
      </c>
      <c r="CH253" s="1" t="s">
        <v>587</v>
      </c>
      <c r="CI253">
        <v>0</v>
      </c>
      <c r="CJ253">
        <v>6.6666666666666596E-2</v>
      </c>
      <c r="CK253">
        <v>1</v>
      </c>
      <c r="CL253">
        <v>2.2000000000000002</v>
      </c>
      <c r="CM253">
        <v>76</v>
      </c>
      <c r="CN253" s="1" t="s">
        <v>930</v>
      </c>
      <c r="CO253">
        <v>83</v>
      </c>
      <c r="CP253" s="1" t="s">
        <v>1067</v>
      </c>
      <c r="CS253" s="1" t="s">
        <v>2502</v>
      </c>
      <c r="CT253" s="1" t="s">
        <v>2831</v>
      </c>
      <c r="CU253" s="1" t="s">
        <v>3253</v>
      </c>
      <c r="CV253" s="1" t="s">
        <v>3254</v>
      </c>
      <c r="CW253">
        <v>65.400000000000006</v>
      </c>
      <c r="CX253">
        <v>62.7</v>
      </c>
      <c r="CY253">
        <v>60.6</v>
      </c>
      <c r="CZ253">
        <v>59</v>
      </c>
      <c r="DA253">
        <v>1</v>
      </c>
      <c r="DB253" t="s">
        <v>179</v>
      </c>
      <c r="DC253">
        <v>40</v>
      </c>
      <c r="DD253" s="1" t="s">
        <v>3255</v>
      </c>
      <c r="DE253">
        <v>-13.5370484492271</v>
      </c>
      <c r="DF253" t="e">
        <f>_xlfn.XLOOKUP(Table1[[#This Row],[Player ID]],Table2[feed_id],Table2[trade_status])</f>
        <v>#N/A</v>
      </c>
      <c r="DG253">
        <f>_xlfn.NUMBERVALUE(Table1[[#This Row],[predicted]])</f>
        <v>53.5370484492271</v>
      </c>
    </row>
    <row r="254" spans="1:111" hidden="1" x14ac:dyDescent="0.25">
      <c r="A254">
        <v>90154</v>
      </c>
      <c r="B254">
        <v>7400</v>
      </c>
      <c r="C254" t="s">
        <v>3236</v>
      </c>
      <c r="D254" t="s">
        <v>579</v>
      </c>
      <c r="E254">
        <v>2020</v>
      </c>
      <c r="F254">
        <v>240232</v>
      </c>
      <c r="G254" t="s">
        <v>670</v>
      </c>
      <c r="H254" t="s">
        <v>3256</v>
      </c>
      <c r="I254" t="s">
        <v>112</v>
      </c>
      <c r="J254">
        <v>7</v>
      </c>
      <c r="K254">
        <v>23</v>
      </c>
      <c r="L254">
        <v>41</v>
      </c>
      <c r="M254">
        <v>20</v>
      </c>
      <c r="N254">
        <v>21</v>
      </c>
      <c r="O254">
        <v>24</v>
      </c>
      <c r="P254">
        <v>2</v>
      </c>
      <c r="Q254">
        <v>0</v>
      </c>
      <c r="R254">
        <v>1</v>
      </c>
      <c r="S254">
        <v>1</v>
      </c>
      <c r="T254">
        <v>0</v>
      </c>
      <c r="U254">
        <v>1</v>
      </c>
      <c r="V254">
        <v>1</v>
      </c>
      <c r="W254">
        <v>2</v>
      </c>
      <c r="X254">
        <v>0</v>
      </c>
      <c r="Y254" t="s">
        <v>113</v>
      </c>
      <c r="Z254" t="s">
        <v>114</v>
      </c>
      <c r="AA254" t="s">
        <v>3257</v>
      </c>
      <c r="AB254" t="s">
        <v>656</v>
      </c>
      <c r="AC254" t="s">
        <v>3258</v>
      </c>
      <c r="AH254" t="s">
        <v>181</v>
      </c>
      <c r="AI254">
        <v>20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S254">
        <v>1</v>
      </c>
      <c r="AT254">
        <v>0</v>
      </c>
      <c r="AU254">
        <v>1</v>
      </c>
      <c r="AV254">
        <v>100</v>
      </c>
      <c r="AW254">
        <v>55</v>
      </c>
      <c r="AX254">
        <v>47</v>
      </c>
      <c r="AZ254" t="b">
        <v>1</v>
      </c>
      <c r="BA254">
        <v>1833</v>
      </c>
      <c r="BB254">
        <v>1462</v>
      </c>
      <c r="BC254">
        <v>13</v>
      </c>
      <c r="BD254" t="s">
        <v>3240</v>
      </c>
      <c r="BE254">
        <v>103</v>
      </c>
      <c r="BF254">
        <v>0</v>
      </c>
      <c r="BG254">
        <v>72</v>
      </c>
      <c r="BH254">
        <v>0</v>
      </c>
      <c r="BI254" s="1" t="s">
        <v>138</v>
      </c>
      <c r="BJ254">
        <v>6.4</v>
      </c>
      <c r="BK254" s="1" t="s">
        <v>161</v>
      </c>
      <c r="BL254" s="1" t="s">
        <v>138</v>
      </c>
      <c r="BM254" s="1" t="s">
        <v>161</v>
      </c>
      <c r="BN254" s="1" t="s">
        <v>990</v>
      </c>
      <c r="BO254" s="1" t="s">
        <v>129</v>
      </c>
      <c r="BP254" s="1" t="s">
        <v>162</v>
      </c>
      <c r="BQ254">
        <v>2</v>
      </c>
      <c r="BR254" s="1" t="s">
        <v>214</v>
      </c>
      <c r="BS254" s="1" t="s">
        <v>161</v>
      </c>
      <c r="BT254" s="1" t="s">
        <v>206</v>
      </c>
      <c r="BU254">
        <v>1</v>
      </c>
      <c r="BV254" s="1" t="s">
        <v>128</v>
      </c>
      <c r="BW254" s="1" t="s">
        <v>126</v>
      </c>
      <c r="BX254">
        <v>1.4</v>
      </c>
      <c r="BY254" s="1" t="s">
        <v>129</v>
      </c>
      <c r="BZ254" s="1" t="s">
        <v>399</v>
      </c>
      <c r="CA254">
        <v>0</v>
      </c>
      <c r="CB254">
        <v>0.1</v>
      </c>
      <c r="CC254">
        <v>0</v>
      </c>
      <c r="CD254">
        <v>0.1</v>
      </c>
      <c r="CE254">
        <v>0</v>
      </c>
      <c r="CF254">
        <v>0.184</v>
      </c>
      <c r="CG254">
        <v>4</v>
      </c>
      <c r="CH254">
        <v>5</v>
      </c>
      <c r="CI254" s="1" t="s">
        <v>128</v>
      </c>
      <c r="CJ254" s="1" t="s">
        <v>129</v>
      </c>
      <c r="CK254" s="1" t="s">
        <v>161</v>
      </c>
      <c r="CL254">
        <v>1.8</v>
      </c>
      <c r="CM254" s="1" t="s">
        <v>683</v>
      </c>
      <c r="CN254" s="1" t="s">
        <v>1242</v>
      </c>
      <c r="CO254" s="1" t="s">
        <v>683</v>
      </c>
      <c r="CP254" s="1" t="s">
        <v>870</v>
      </c>
      <c r="CS254" s="1" t="s">
        <v>3259</v>
      </c>
      <c r="CT254">
        <v>1706</v>
      </c>
      <c r="CU254" s="1" t="s">
        <v>3260</v>
      </c>
      <c r="CV254">
        <v>1569.4</v>
      </c>
      <c r="CW254">
        <v>59.9</v>
      </c>
      <c r="CX254">
        <v>58.1</v>
      </c>
      <c r="CY254">
        <v>43.8</v>
      </c>
      <c r="CZ254">
        <v>42</v>
      </c>
      <c r="DA254">
        <v>1</v>
      </c>
      <c r="DB254" t="s">
        <v>114</v>
      </c>
      <c r="DC254">
        <v>41</v>
      </c>
      <c r="DD254" s="1" t="s">
        <v>3261</v>
      </c>
      <c r="DE254" s="1" t="s">
        <v>3262</v>
      </c>
      <c r="DF254" t="e">
        <f>_xlfn.XLOOKUP(Table1[[#This Row],[Player ID]],Table2[feed_id],Table2[trade_status])</f>
        <v>#N/A</v>
      </c>
      <c r="DG254">
        <f>_xlfn.NUMBERVALUE(Table1[[#This Row],[predicted]])</f>
        <v>40.586642420349698</v>
      </c>
    </row>
    <row r="255" spans="1:111" hidden="1" x14ac:dyDescent="0.25">
      <c r="A255">
        <v>90452</v>
      </c>
      <c r="B255">
        <v>7407</v>
      </c>
      <c r="C255" t="s">
        <v>3263</v>
      </c>
      <c r="D255" t="s">
        <v>1360</v>
      </c>
      <c r="E255">
        <v>2020</v>
      </c>
      <c r="F255">
        <v>298390</v>
      </c>
      <c r="G255" t="s">
        <v>933</v>
      </c>
      <c r="H255" t="s">
        <v>3264</v>
      </c>
      <c r="I255" t="s">
        <v>291</v>
      </c>
      <c r="J255">
        <v>3</v>
      </c>
      <c r="K255">
        <v>41</v>
      </c>
      <c r="L255">
        <v>43</v>
      </c>
      <c r="M255">
        <v>32</v>
      </c>
      <c r="N255">
        <v>29</v>
      </c>
      <c r="O255">
        <v>39</v>
      </c>
      <c r="P255">
        <v>6</v>
      </c>
      <c r="Q255">
        <v>1</v>
      </c>
      <c r="R255">
        <v>3</v>
      </c>
      <c r="S255">
        <v>3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113</v>
      </c>
      <c r="Z255" t="s">
        <v>226</v>
      </c>
      <c r="AA255" t="s">
        <v>3265</v>
      </c>
      <c r="AH255" t="s">
        <v>181</v>
      </c>
      <c r="AI255">
        <v>41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S255">
        <v>1</v>
      </c>
      <c r="AT255">
        <v>0</v>
      </c>
      <c r="AU255">
        <v>2</v>
      </c>
      <c r="AV255">
        <v>71</v>
      </c>
      <c r="AW255">
        <v>77</v>
      </c>
      <c r="AX255">
        <v>207</v>
      </c>
      <c r="AZ255" t="b">
        <v>0</v>
      </c>
      <c r="BA255">
        <v>1797</v>
      </c>
      <c r="BB255">
        <v>1470</v>
      </c>
      <c r="BC255">
        <v>14</v>
      </c>
      <c r="BD255" t="s">
        <v>3266</v>
      </c>
      <c r="BE255">
        <v>97</v>
      </c>
      <c r="BF255">
        <v>0</v>
      </c>
      <c r="BG255">
        <v>73</v>
      </c>
      <c r="BH255">
        <v>0</v>
      </c>
      <c r="BI255" s="1" t="s">
        <v>397</v>
      </c>
      <c r="BJ255" s="1" t="s">
        <v>397</v>
      </c>
      <c r="BK255" s="1" t="s">
        <v>161</v>
      </c>
      <c r="BL255">
        <v>4</v>
      </c>
      <c r="BM255" s="1" t="s">
        <v>138</v>
      </c>
      <c r="BN255" s="1" t="s">
        <v>640</v>
      </c>
      <c r="BO255" s="1" t="s">
        <v>169</v>
      </c>
      <c r="BP255">
        <v>1.6</v>
      </c>
      <c r="BQ255">
        <v>0</v>
      </c>
      <c r="BR255">
        <v>0</v>
      </c>
      <c r="BS255">
        <v>0</v>
      </c>
      <c r="BT255">
        <v>0.2</v>
      </c>
      <c r="BU255">
        <v>0</v>
      </c>
      <c r="BV255" s="1" t="s">
        <v>231</v>
      </c>
      <c r="BW255">
        <v>0</v>
      </c>
      <c r="BX255" s="1" t="s">
        <v>184</v>
      </c>
      <c r="BY255">
        <v>0</v>
      </c>
      <c r="BZ255" s="1" t="s">
        <v>184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 s="1" t="s">
        <v>159</v>
      </c>
      <c r="CH255">
        <v>4</v>
      </c>
      <c r="CI255">
        <v>0</v>
      </c>
      <c r="CJ255">
        <v>0.4</v>
      </c>
      <c r="CK255" s="1" t="s">
        <v>126</v>
      </c>
      <c r="CL255" s="1" t="s">
        <v>161</v>
      </c>
      <c r="CM255" s="1" t="s">
        <v>417</v>
      </c>
      <c r="CN255" s="1" t="s">
        <v>417</v>
      </c>
      <c r="CO255" s="1" t="s">
        <v>1080</v>
      </c>
      <c r="CP255" s="1" t="s">
        <v>3267</v>
      </c>
      <c r="CQ255">
        <v>124</v>
      </c>
      <c r="CS255" s="1" t="s">
        <v>1676</v>
      </c>
      <c r="CT255">
        <v>1593.8</v>
      </c>
      <c r="CU255" s="1" t="s">
        <v>1769</v>
      </c>
      <c r="CV255" s="1" t="s">
        <v>3268</v>
      </c>
      <c r="CW255">
        <v>54.7</v>
      </c>
      <c r="CX255">
        <v>51.7</v>
      </c>
      <c r="CY255">
        <v>56.2</v>
      </c>
      <c r="CZ255" s="1" t="s">
        <v>649</v>
      </c>
      <c r="DA255">
        <v>1</v>
      </c>
      <c r="DB255" t="s">
        <v>226</v>
      </c>
      <c r="DC255">
        <v>43</v>
      </c>
      <c r="DD255" s="1" t="s">
        <v>3269</v>
      </c>
      <c r="DE255">
        <v>-36.046117481648999</v>
      </c>
      <c r="DF255" t="e">
        <f>_xlfn.XLOOKUP(Table1[[#This Row],[Player ID]],Table2[feed_id],Table2[trade_status])</f>
        <v>#N/A</v>
      </c>
      <c r="DG255">
        <f>_xlfn.NUMBERVALUE(Table1[[#This Row],[predicted]])</f>
        <v>79.046117481649006</v>
      </c>
    </row>
    <row r="256" spans="1:111" hidden="1" x14ac:dyDescent="0.25">
      <c r="A256">
        <v>90520</v>
      </c>
      <c r="B256">
        <v>7409</v>
      </c>
      <c r="C256" t="s">
        <v>3270</v>
      </c>
      <c r="D256" t="s">
        <v>1360</v>
      </c>
      <c r="E256">
        <v>2020</v>
      </c>
      <c r="F256">
        <v>261320</v>
      </c>
      <c r="G256" t="s">
        <v>776</v>
      </c>
      <c r="H256" t="s">
        <v>3271</v>
      </c>
      <c r="I256" t="s">
        <v>619</v>
      </c>
      <c r="J256">
        <v>1</v>
      </c>
      <c r="K256">
        <v>15</v>
      </c>
      <c r="L256">
        <v>5</v>
      </c>
      <c r="M256">
        <v>16</v>
      </c>
      <c r="N256">
        <v>17</v>
      </c>
      <c r="O256">
        <v>21</v>
      </c>
      <c r="P256">
        <v>0</v>
      </c>
      <c r="Q256">
        <v>3</v>
      </c>
      <c r="R256">
        <v>1</v>
      </c>
      <c r="S256">
        <v>0</v>
      </c>
      <c r="T256">
        <v>9</v>
      </c>
      <c r="U256">
        <v>0</v>
      </c>
      <c r="V256">
        <v>1</v>
      </c>
      <c r="W256">
        <v>0</v>
      </c>
      <c r="X256">
        <v>0</v>
      </c>
      <c r="Y256" t="s">
        <v>113</v>
      </c>
      <c r="Z256" t="s">
        <v>602</v>
      </c>
      <c r="AA256" t="s">
        <v>3272</v>
      </c>
      <c r="AH256" t="s">
        <v>274</v>
      </c>
      <c r="AI256">
        <v>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S256">
        <v>3</v>
      </c>
      <c r="AT256">
        <v>0</v>
      </c>
      <c r="AU256">
        <v>4</v>
      </c>
      <c r="AV256">
        <v>66</v>
      </c>
      <c r="AW256">
        <v>76</v>
      </c>
      <c r="AX256">
        <v>-30</v>
      </c>
      <c r="AZ256" t="b">
        <v>0</v>
      </c>
      <c r="BA256">
        <v>1644</v>
      </c>
      <c r="BB256">
        <v>1615</v>
      </c>
      <c r="BC256">
        <v>14</v>
      </c>
      <c r="BD256" t="s">
        <v>3273</v>
      </c>
      <c r="BE256">
        <v>97</v>
      </c>
      <c r="BF256">
        <v>0</v>
      </c>
      <c r="BG256">
        <v>73</v>
      </c>
      <c r="BH256">
        <v>0</v>
      </c>
      <c r="BI256" s="1" t="s">
        <v>169</v>
      </c>
      <c r="BJ256" s="1" t="s">
        <v>1092</v>
      </c>
      <c r="BK256" s="1" t="s">
        <v>161</v>
      </c>
      <c r="BL256" s="1" t="s">
        <v>431</v>
      </c>
      <c r="BM256">
        <v>2</v>
      </c>
      <c r="BN256" s="1" t="s">
        <v>373</v>
      </c>
      <c r="BO256" s="1" t="s">
        <v>128</v>
      </c>
      <c r="BP256" s="1" t="s">
        <v>161</v>
      </c>
      <c r="BQ256" s="1" t="s">
        <v>121</v>
      </c>
      <c r="BR256" s="1" t="s">
        <v>3274</v>
      </c>
      <c r="BS256" s="1" t="s">
        <v>128</v>
      </c>
      <c r="BT256" s="1" t="s">
        <v>327</v>
      </c>
      <c r="BU256" s="1" t="s">
        <v>128</v>
      </c>
      <c r="BV256" s="1" t="s">
        <v>126</v>
      </c>
      <c r="BW256" s="1" t="s">
        <v>129</v>
      </c>
      <c r="BX256" s="1" t="s">
        <v>184</v>
      </c>
      <c r="BY256">
        <v>0</v>
      </c>
      <c r="BZ256" s="1" t="s">
        <v>213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 s="1" t="s">
        <v>159</v>
      </c>
      <c r="CH256" s="1" t="s">
        <v>449</v>
      </c>
      <c r="CI256" s="1" t="s">
        <v>128</v>
      </c>
      <c r="CJ256">
        <v>2.8</v>
      </c>
      <c r="CK256">
        <v>2</v>
      </c>
      <c r="CL256" s="1" t="s">
        <v>322</v>
      </c>
      <c r="CM256">
        <v>79</v>
      </c>
      <c r="CN256">
        <v>73.8</v>
      </c>
      <c r="CO256" s="1" t="s">
        <v>755</v>
      </c>
      <c r="CP256">
        <v>80.2</v>
      </c>
      <c r="CQ256" s="1" t="s">
        <v>1861</v>
      </c>
      <c r="CS256" s="1" t="s">
        <v>3275</v>
      </c>
      <c r="CT256">
        <v>1608</v>
      </c>
      <c r="CU256" s="1" t="s">
        <v>3276</v>
      </c>
      <c r="CV256">
        <v>1662</v>
      </c>
      <c r="CW256">
        <v>76.650000000000006</v>
      </c>
      <c r="CX256">
        <v>61.3</v>
      </c>
      <c r="CY256">
        <v>50.8</v>
      </c>
      <c r="CZ256">
        <v>39</v>
      </c>
      <c r="DA256">
        <v>1</v>
      </c>
      <c r="DB256" t="s">
        <v>602</v>
      </c>
      <c r="DC256">
        <v>5</v>
      </c>
      <c r="DD256" s="1" t="s">
        <v>3277</v>
      </c>
      <c r="DE256">
        <v>-75.4601722653602</v>
      </c>
      <c r="DF256" t="e">
        <f>_xlfn.XLOOKUP(Table1[[#This Row],[Player ID]],Table2[feed_id],Table2[trade_status])</f>
        <v>#N/A</v>
      </c>
      <c r="DG256">
        <f>_xlfn.NUMBERVALUE(Table1[[#This Row],[predicted]])</f>
        <v>80.4601722653602</v>
      </c>
    </row>
    <row r="257" spans="1:111" hidden="1" x14ac:dyDescent="0.25">
      <c r="A257">
        <v>90604</v>
      </c>
      <c r="B257">
        <v>7411</v>
      </c>
      <c r="C257" t="s">
        <v>3278</v>
      </c>
      <c r="D257" t="s">
        <v>1360</v>
      </c>
      <c r="E257">
        <v>2020</v>
      </c>
      <c r="F257">
        <v>993796</v>
      </c>
      <c r="G257" t="s">
        <v>670</v>
      </c>
      <c r="H257" t="s">
        <v>3279</v>
      </c>
      <c r="I257" t="s">
        <v>510</v>
      </c>
      <c r="J257">
        <v>2</v>
      </c>
      <c r="K257">
        <v>29</v>
      </c>
      <c r="L257">
        <v>30</v>
      </c>
      <c r="M257">
        <v>38</v>
      </c>
      <c r="N257">
        <v>23</v>
      </c>
      <c r="O257">
        <v>28</v>
      </c>
      <c r="P257">
        <v>4</v>
      </c>
      <c r="Q257">
        <v>1</v>
      </c>
      <c r="R257">
        <v>3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1</v>
      </c>
      <c r="Y257" t="s">
        <v>113</v>
      </c>
      <c r="Z257" t="s">
        <v>861</v>
      </c>
      <c r="AA257" t="s">
        <v>3280</v>
      </c>
      <c r="AH257" t="s">
        <v>155</v>
      </c>
      <c r="AI257">
        <v>20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S257">
        <v>2</v>
      </c>
      <c r="AT257">
        <v>0</v>
      </c>
      <c r="AU257">
        <v>1</v>
      </c>
      <c r="AV257">
        <v>60</v>
      </c>
      <c r="AW257">
        <v>81</v>
      </c>
      <c r="AX257">
        <v>87</v>
      </c>
      <c r="AZ257" t="b">
        <v>0</v>
      </c>
      <c r="BA257">
        <v>1818</v>
      </c>
      <c r="BB257">
        <v>1451</v>
      </c>
      <c r="BC257">
        <v>14</v>
      </c>
      <c r="BD257" t="s">
        <v>3281</v>
      </c>
      <c r="BE257">
        <v>97</v>
      </c>
      <c r="BF257">
        <v>0</v>
      </c>
      <c r="BG257">
        <v>73</v>
      </c>
      <c r="BH257">
        <v>0</v>
      </c>
      <c r="BI257">
        <v>5</v>
      </c>
      <c r="BJ257">
        <v>6.6</v>
      </c>
      <c r="BK257">
        <v>1</v>
      </c>
      <c r="BL257" s="1" t="s">
        <v>214</v>
      </c>
      <c r="BM257" s="1" t="s">
        <v>161</v>
      </c>
      <c r="BN257" s="1" t="s">
        <v>766</v>
      </c>
      <c r="BO257" s="1" t="s">
        <v>125</v>
      </c>
      <c r="BP257" s="1" t="s">
        <v>214</v>
      </c>
      <c r="BQ257">
        <v>0</v>
      </c>
      <c r="BR257">
        <v>0</v>
      </c>
      <c r="BS257" s="1" t="s">
        <v>128</v>
      </c>
      <c r="BT257" s="1" t="s">
        <v>399</v>
      </c>
      <c r="BU257" s="1" t="s">
        <v>129</v>
      </c>
      <c r="BV257" s="1" t="s">
        <v>399</v>
      </c>
      <c r="BW257" s="1" t="s">
        <v>129</v>
      </c>
      <c r="BX257" s="1" t="s">
        <v>238</v>
      </c>
      <c r="BY257" s="1" t="s">
        <v>128</v>
      </c>
      <c r="BZ257">
        <v>0.6</v>
      </c>
      <c r="CA257">
        <v>0</v>
      </c>
      <c r="CB257">
        <v>2.8666666666666601E-2</v>
      </c>
      <c r="CC257">
        <v>0</v>
      </c>
      <c r="CD257" s="1" t="s">
        <v>3282</v>
      </c>
      <c r="CE257">
        <v>0</v>
      </c>
      <c r="CF257">
        <v>0.1</v>
      </c>
      <c r="CG257">
        <v>3</v>
      </c>
      <c r="CH257" s="1" t="s">
        <v>766</v>
      </c>
      <c r="CI257" s="1" t="s">
        <v>128</v>
      </c>
      <c r="CJ257">
        <v>0.6</v>
      </c>
      <c r="CK257" s="1" t="s">
        <v>161</v>
      </c>
      <c r="CL257" s="1" t="s">
        <v>170</v>
      </c>
      <c r="CM257" s="1" t="s">
        <v>417</v>
      </c>
      <c r="CN257">
        <v>66.2</v>
      </c>
      <c r="CO257" s="1" t="s">
        <v>142</v>
      </c>
      <c r="CP257">
        <v>80.599999999999994</v>
      </c>
      <c r="CQ257" s="1" t="s">
        <v>3283</v>
      </c>
      <c r="CS257" s="1" t="s">
        <v>3284</v>
      </c>
      <c r="CT257">
        <v>1546.6</v>
      </c>
      <c r="CU257">
        <v>1776</v>
      </c>
      <c r="CV257" s="1" t="s">
        <v>3285</v>
      </c>
      <c r="CW257">
        <v>45.65</v>
      </c>
      <c r="CX257">
        <v>45.5</v>
      </c>
      <c r="CY257">
        <v>52.4</v>
      </c>
      <c r="CZ257" s="1" t="s">
        <v>649</v>
      </c>
      <c r="DA257">
        <v>1</v>
      </c>
      <c r="DB257" t="s">
        <v>861</v>
      </c>
      <c r="DC257">
        <v>30</v>
      </c>
      <c r="DD257" s="1" t="s">
        <v>3286</v>
      </c>
      <c r="DE257">
        <v>-21.744558213178699</v>
      </c>
      <c r="DF257" t="e">
        <f>_xlfn.XLOOKUP(Table1[[#This Row],[Player ID]],Table2[feed_id],Table2[trade_status])</f>
        <v>#N/A</v>
      </c>
      <c r="DG257">
        <f>_xlfn.NUMBERVALUE(Table1[[#This Row],[predicted]])</f>
        <v>51.744558213178699</v>
      </c>
    </row>
    <row r="258" spans="1:111" hidden="1" x14ac:dyDescent="0.25">
      <c r="A258">
        <v>90780</v>
      </c>
      <c r="B258">
        <v>7415</v>
      </c>
      <c r="C258" t="s">
        <v>3287</v>
      </c>
      <c r="D258" t="s">
        <v>1377</v>
      </c>
      <c r="E258">
        <v>2020</v>
      </c>
      <c r="F258">
        <v>291821</v>
      </c>
      <c r="G258" t="s">
        <v>1731</v>
      </c>
      <c r="H258" t="s">
        <v>3288</v>
      </c>
      <c r="I258" t="s">
        <v>391</v>
      </c>
      <c r="J258">
        <v>0</v>
      </c>
      <c r="K258">
        <v>3</v>
      </c>
      <c r="L258">
        <v>0</v>
      </c>
      <c r="M258">
        <v>3</v>
      </c>
      <c r="N258">
        <v>3</v>
      </c>
      <c r="O258">
        <v>4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 t="s">
        <v>113</v>
      </c>
      <c r="Z258" t="s">
        <v>114</v>
      </c>
      <c r="AA258" t="s">
        <v>3289</v>
      </c>
      <c r="AB258" t="s">
        <v>656</v>
      </c>
      <c r="AC258" t="s">
        <v>3290</v>
      </c>
      <c r="AH258" t="s">
        <v>155</v>
      </c>
      <c r="AI258">
        <v>12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S258">
        <v>1</v>
      </c>
      <c r="AT258">
        <v>0</v>
      </c>
      <c r="AU258">
        <v>1</v>
      </c>
      <c r="AV258">
        <v>0</v>
      </c>
      <c r="AW258">
        <v>16</v>
      </c>
      <c r="AX258">
        <v>10</v>
      </c>
      <c r="AZ258" t="b">
        <v>1</v>
      </c>
      <c r="BA258">
        <v>1715</v>
      </c>
      <c r="BB258">
        <v>1560</v>
      </c>
      <c r="BC258">
        <v>15</v>
      </c>
      <c r="BD258" t="s">
        <v>3291</v>
      </c>
      <c r="BE258" s="1" t="s">
        <v>3292</v>
      </c>
      <c r="BF258">
        <v>0</v>
      </c>
      <c r="BG258">
        <v>69.5</v>
      </c>
      <c r="BH258">
        <v>0</v>
      </c>
      <c r="BI258" s="1" t="s">
        <v>169</v>
      </c>
      <c r="BJ258">
        <v>6</v>
      </c>
      <c r="BK258" s="1" t="s">
        <v>159</v>
      </c>
      <c r="BL258" s="1" t="s">
        <v>229</v>
      </c>
      <c r="BM258" s="1" t="s">
        <v>161</v>
      </c>
      <c r="BN258" s="1" t="s">
        <v>212</v>
      </c>
      <c r="BO258" s="1" t="s">
        <v>126</v>
      </c>
      <c r="BP258" s="1" t="s">
        <v>375</v>
      </c>
      <c r="BQ258" s="1" t="s">
        <v>126</v>
      </c>
      <c r="BR258">
        <v>5.2</v>
      </c>
      <c r="BS258">
        <v>1</v>
      </c>
      <c r="BT258" s="1" t="s">
        <v>127</v>
      </c>
      <c r="BU258">
        <v>1</v>
      </c>
      <c r="BV258" s="1" t="s">
        <v>162</v>
      </c>
      <c r="BW258" s="1" t="s">
        <v>129</v>
      </c>
      <c r="BX258" s="1" t="s">
        <v>130</v>
      </c>
      <c r="BY258">
        <v>0</v>
      </c>
      <c r="BZ258">
        <v>0.6</v>
      </c>
      <c r="CA258">
        <v>0</v>
      </c>
      <c r="CB258" s="1" t="s">
        <v>3293</v>
      </c>
      <c r="CC258">
        <v>0</v>
      </c>
      <c r="CD258">
        <v>0.17799999999999999</v>
      </c>
      <c r="CE258">
        <v>0</v>
      </c>
      <c r="CF258" s="1" t="s">
        <v>3294</v>
      </c>
      <c r="CG258">
        <v>4</v>
      </c>
      <c r="CH258">
        <v>6</v>
      </c>
      <c r="CI258">
        <v>0</v>
      </c>
      <c r="CJ258" s="1" t="s">
        <v>206</v>
      </c>
      <c r="CK258" s="1" t="s">
        <v>126</v>
      </c>
      <c r="CL258" s="1" t="s">
        <v>566</v>
      </c>
      <c r="CM258" s="1" t="s">
        <v>787</v>
      </c>
      <c r="CN258" s="1" t="s">
        <v>2949</v>
      </c>
      <c r="CO258">
        <v>63</v>
      </c>
      <c r="CP258" s="1" t="s">
        <v>994</v>
      </c>
      <c r="CQ258" s="1" t="s">
        <v>2742</v>
      </c>
      <c r="CS258" s="1" t="s">
        <v>3295</v>
      </c>
      <c r="CT258">
        <v>1645</v>
      </c>
      <c r="CU258">
        <v>1671</v>
      </c>
      <c r="CV258" s="1" t="s">
        <v>3227</v>
      </c>
      <c r="CW258">
        <v>68.849999999999994</v>
      </c>
      <c r="CX258">
        <v>61</v>
      </c>
      <c r="CY258">
        <v>40.6</v>
      </c>
      <c r="CZ258">
        <v>39</v>
      </c>
      <c r="DA258">
        <v>1</v>
      </c>
      <c r="DB258" t="s">
        <v>114</v>
      </c>
      <c r="DC258">
        <v>0</v>
      </c>
      <c r="DD258" s="1" t="s">
        <v>3296</v>
      </c>
      <c r="DE258">
        <v>-46.817823193206202</v>
      </c>
      <c r="DF258" t="e">
        <f>_xlfn.XLOOKUP(Table1[[#This Row],[Player ID]],Table2[feed_id],Table2[trade_status])</f>
        <v>#N/A</v>
      </c>
      <c r="DG258">
        <f>_xlfn.NUMBERVALUE(Table1[[#This Row],[predicted]])</f>
        <v>46.817823193206202</v>
      </c>
    </row>
    <row r="259" spans="1:111" hidden="1" x14ac:dyDescent="0.25">
      <c r="A259">
        <v>90865</v>
      </c>
      <c r="B259">
        <v>7417</v>
      </c>
      <c r="C259" t="s">
        <v>3297</v>
      </c>
      <c r="D259" t="s">
        <v>1377</v>
      </c>
      <c r="E259">
        <v>2020</v>
      </c>
      <c r="F259">
        <v>295712</v>
      </c>
      <c r="G259" t="s">
        <v>3298</v>
      </c>
      <c r="H259" t="s">
        <v>3299</v>
      </c>
      <c r="I259" t="s">
        <v>712</v>
      </c>
      <c r="J259">
        <v>0</v>
      </c>
      <c r="K259">
        <v>13</v>
      </c>
      <c r="L259">
        <v>16</v>
      </c>
      <c r="M259">
        <v>15</v>
      </c>
      <c r="N259">
        <v>11</v>
      </c>
      <c r="O259">
        <v>15</v>
      </c>
      <c r="P259">
        <v>0</v>
      </c>
      <c r="Q259">
        <v>4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Y259" t="s">
        <v>113</v>
      </c>
      <c r="Z259" t="s">
        <v>525</v>
      </c>
      <c r="AA259" t="s">
        <v>3300</v>
      </c>
      <c r="AH259" t="s">
        <v>155</v>
      </c>
      <c r="AI259">
        <v>29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S259">
        <v>1</v>
      </c>
      <c r="AT259">
        <v>1</v>
      </c>
      <c r="AU259">
        <v>0</v>
      </c>
      <c r="AV259">
        <v>75</v>
      </c>
      <c r="AW259">
        <v>83</v>
      </c>
      <c r="AX259">
        <v>-6</v>
      </c>
      <c r="AZ259" t="b">
        <v>0</v>
      </c>
      <c r="BA259">
        <v>1704</v>
      </c>
      <c r="BB259">
        <v>1538</v>
      </c>
      <c r="BC259">
        <v>15</v>
      </c>
      <c r="BD259" t="s">
        <v>3301</v>
      </c>
      <c r="BE259" s="1" t="s">
        <v>3292</v>
      </c>
      <c r="BF259">
        <v>0</v>
      </c>
      <c r="BG259">
        <v>69.5</v>
      </c>
      <c r="BH259">
        <v>0</v>
      </c>
      <c r="BI259" s="1" t="s">
        <v>125</v>
      </c>
      <c r="BJ259" s="1" t="s">
        <v>124</v>
      </c>
      <c r="BK259" s="1" t="s">
        <v>160</v>
      </c>
      <c r="BL259" s="1" t="s">
        <v>416</v>
      </c>
      <c r="BM259" s="1" t="s">
        <v>161</v>
      </c>
      <c r="BN259" s="1" t="s">
        <v>138</v>
      </c>
      <c r="BO259" s="1" t="s">
        <v>125</v>
      </c>
      <c r="BP259" s="1" t="s">
        <v>170</v>
      </c>
      <c r="BQ259">
        <v>0</v>
      </c>
      <c r="BR259">
        <v>0</v>
      </c>
      <c r="BS259" s="1" t="s">
        <v>129</v>
      </c>
      <c r="BT259" s="1" t="s">
        <v>238</v>
      </c>
      <c r="BU259">
        <v>1</v>
      </c>
      <c r="BV259" s="1" t="s">
        <v>231</v>
      </c>
      <c r="BW259">
        <v>1</v>
      </c>
      <c r="BX259" s="1" t="s">
        <v>257</v>
      </c>
      <c r="BY259">
        <v>0</v>
      </c>
      <c r="BZ259" s="1" t="s">
        <v>231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4</v>
      </c>
      <c r="CH259" s="1" t="s">
        <v>211</v>
      </c>
      <c r="CI259" s="1" t="s">
        <v>129</v>
      </c>
      <c r="CJ259" s="1" t="s">
        <v>184</v>
      </c>
      <c r="CK259">
        <v>1</v>
      </c>
      <c r="CL259" s="1" t="s">
        <v>257</v>
      </c>
      <c r="CM259">
        <v>63</v>
      </c>
      <c r="CN259" s="1" t="s">
        <v>1053</v>
      </c>
      <c r="CO259" s="1" t="s">
        <v>994</v>
      </c>
      <c r="CP259" s="1" t="s">
        <v>994</v>
      </c>
      <c r="CS259" s="1" t="s">
        <v>1275</v>
      </c>
      <c r="CT259">
        <v>1680.8</v>
      </c>
      <c r="CU259" s="1" t="s">
        <v>3302</v>
      </c>
      <c r="CV259" s="1" t="s">
        <v>3303</v>
      </c>
      <c r="CW259">
        <v>57.9</v>
      </c>
      <c r="CX259">
        <v>61.9</v>
      </c>
      <c r="CY259">
        <v>55.2</v>
      </c>
      <c r="CZ259" s="1" t="s">
        <v>1715</v>
      </c>
      <c r="DA259">
        <v>1</v>
      </c>
      <c r="DB259" t="s">
        <v>525</v>
      </c>
      <c r="DC259">
        <v>16</v>
      </c>
      <c r="DD259" s="1" t="s">
        <v>3304</v>
      </c>
      <c r="DE259">
        <v>-39.831513257603099</v>
      </c>
      <c r="DF259" t="e">
        <f>_xlfn.XLOOKUP(Table1[[#This Row],[Player ID]],Table2[feed_id],Table2[trade_status])</f>
        <v>#N/A</v>
      </c>
      <c r="DG259">
        <f>_xlfn.NUMBERVALUE(Table1[[#This Row],[predicted]])</f>
        <v>55.831513257603099</v>
      </c>
    </row>
    <row r="260" spans="1:111" hidden="1" x14ac:dyDescent="0.25">
      <c r="A260">
        <v>90896</v>
      </c>
      <c r="B260">
        <v>7418</v>
      </c>
      <c r="C260" t="s">
        <v>3305</v>
      </c>
      <c r="D260" t="s">
        <v>1377</v>
      </c>
      <c r="E260">
        <v>2020</v>
      </c>
      <c r="F260">
        <v>260750</v>
      </c>
      <c r="G260" t="s">
        <v>199</v>
      </c>
      <c r="H260" t="s">
        <v>3306</v>
      </c>
      <c r="I260" t="s">
        <v>425</v>
      </c>
      <c r="J260">
        <v>14</v>
      </c>
      <c r="K260">
        <v>58</v>
      </c>
      <c r="L260">
        <v>60</v>
      </c>
      <c r="M260">
        <v>73</v>
      </c>
      <c r="N260">
        <v>44</v>
      </c>
      <c r="O260">
        <v>59</v>
      </c>
      <c r="P260">
        <v>4</v>
      </c>
      <c r="Q260">
        <v>6</v>
      </c>
      <c r="R260">
        <v>1</v>
      </c>
      <c r="S260">
        <v>5</v>
      </c>
      <c r="T260">
        <v>3</v>
      </c>
      <c r="U260">
        <v>0</v>
      </c>
      <c r="V260">
        <v>0</v>
      </c>
      <c r="W260">
        <v>1</v>
      </c>
      <c r="X260">
        <v>2</v>
      </c>
      <c r="Y260" t="s">
        <v>113</v>
      </c>
      <c r="Z260" t="s">
        <v>656</v>
      </c>
      <c r="AA260" t="s">
        <v>3307</v>
      </c>
      <c r="AH260" t="s">
        <v>155</v>
      </c>
      <c r="AI260">
        <v>39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S260">
        <v>5</v>
      </c>
      <c r="AT260">
        <v>1</v>
      </c>
      <c r="AU260">
        <v>1</v>
      </c>
      <c r="AV260">
        <v>50</v>
      </c>
      <c r="AW260">
        <v>76</v>
      </c>
      <c r="AX260">
        <v>130</v>
      </c>
      <c r="AZ260" t="b">
        <v>0</v>
      </c>
      <c r="BA260">
        <v>1562</v>
      </c>
      <c r="BB260">
        <v>1688</v>
      </c>
      <c r="BC260">
        <v>15</v>
      </c>
      <c r="BD260" t="s">
        <v>3308</v>
      </c>
      <c r="BE260" s="1" t="s">
        <v>3292</v>
      </c>
      <c r="BF260">
        <v>0</v>
      </c>
      <c r="BG260">
        <v>69.5</v>
      </c>
      <c r="BH260">
        <v>0</v>
      </c>
      <c r="BI260" s="1" t="s">
        <v>160</v>
      </c>
      <c r="BJ260">
        <v>8.4</v>
      </c>
      <c r="BK260" s="1" t="s">
        <v>160</v>
      </c>
      <c r="BL260">
        <v>5</v>
      </c>
      <c r="BM260" s="1" t="s">
        <v>169</v>
      </c>
      <c r="BN260" s="1" t="s">
        <v>436</v>
      </c>
      <c r="BO260">
        <v>3</v>
      </c>
      <c r="BP260" s="1" t="s">
        <v>255</v>
      </c>
      <c r="BQ260">
        <v>5</v>
      </c>
      <c r="BR260" s="1" t="s">
        <v>255</v>
      </c>
      <c r="BS260" s="1" t="s">
        <v>129</v>
      </c>
      <c r="BT260" s="1" t="s">
        <v>238</v>
      </c>
      <c r="BU260">
        <v>0</v>
      </c>
      <c r="BV260" s="1" t="s">
        <v>130</v>
      </c>
      <c r="BW260" s="1" t="s">
        <v>129</v>
      </c>
      <c r="BX260">
        <v>0.8</v>
      </c>
      <c r="BY260" s="1" t="s">
        <v>161</v>
      </c>
      <c r="BZ260" s="1" t="s">
        <v>238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 s="1" t="s">
        <v>125</v>
      </c>
      <c r="CH260" s="1" t="s">
        <v>1092</v>
      </c>
      <c r="CI260" s="1" t="s">
        <v>128</v>
      </c>
      <c r="CJ260" s="1" t="s">
        <v>128</v>
      </c>
      <c r="CK260">
        <v>1</v>
      </c>
      <c r="CL260">
        <v>2.2000000000000002</v>
      </c>
      <c r="CM260" s="1" t="s">
        <v>681</v>
      </c>
      <c r="CN260" s="1" t="s">
        <v>3309</v>
      </c>
      <c r="CO260" s="1" t="s">
        <v>1258</v>
      </c>
      <c r="CP260">
        <v>83.6</v>
      </c>
      <c r="CQ260" s="1" t="s">
        <v>1619</v>
      </c>
      <c r="CS260" s="1" t="s">
        <v>3310</v>
      </c>
      <c r="CT260" s="1" t="s">
        <v>3311</v>
      </c>
      <c r="CU260" s="1" t="s">
        <v>3312</v>
      </c>
      <c r="CV260">
        <v>1529.8</v>
      </c>
      <c r="CW260">
        <v>82.85</v>
      </c>
      <c r="CX260">
        <v>77.8</v>
      </c>
      <c r="CY260">
        <v>69.2</v>
      </c>
      <c r="CZ260" s="1" t="s">
        <v>2953</v>
      </c>
      <c r="DA260">
        <v>1</v>
      </c>
      <c r="DB260" t="s">
        <v>656</v>
      </c>
      <c r="DC260">
        <v>60</v>
      </c>
      <c r="DD260" s="1" t="s">
        <v>3313</v>
      </c>
      <c r="DE260">
        <v>-14.750272234803401</v>
      </c>
      <c r="DF260" t="e">
        <f>_xlfn.XLOOKUP(Table1[[#This Row],[Player ID]],Table2[feed_id],Table2[trade_status])</f>
        <v>#N/A</v>
      </c>
      <c r="DG260">
        <f>_xlfn.NUMBERVALUE(Table1[[#This Row],[predicted]])</f>
        <v>74.750272234803404</v>
      </c>
    </row>
    <row r="261" spans="1:111" hidden="1" x14ac:dyDescent="0.25">
      <c r="A261">
        <v>91092</v>
      </c>
      <c r="B261">
        <v>7422</v>
      </c>
      <c r="C261" t="s">
        <v>3314</v>
      </c>
      <c r="D261" t="s">
        <v>1377</v>
      </c>
      <c r="E261">
        <v>2020</v>
      </c>
      <c r="F261">
        <v>298271</v>
      </c>
      <c r="G261" t="s">
        <v>223</v>
      </c>
      <c r="H261" t="s">
        <v>3315</v>
      </c>
      <c r="I261" t="s">
        <v>813</v>
      </c>
      <c r="J261">
        <v>4</v>
      </c>
      <c r="K261">
        <v>52</v>
      </c>
      <c r="L261">
        <v>0</v>
      </c>
      <c r="M261">
        <v>34</v>
      </c>
      <c r="N261">
        <v>42</v>
      </c>
      <c r="O261">
        <v>54</v>
      </c>
      <c r="P261">
        <v>8</v>
      </c>
      <c r="Q261">
        <v>5</v>
      </c>
      <c r="R261">
        <v>4</v>
      </c>
      <c r="S261">
        <v>1</v>
      </c>
      <c r="T261">
        <v>0</v>
      </c>
      <c r="U261">
        <v>2</v>
      </c>
      <c r="V261">
        <v>0</v>
      </c>
      <c r="W261">
        <v>0</v>
      </c>
      <c r="X261">
        <v>0</v>
      </c>
      <c r="Y261" t="s">
        <v>113</v>
      </c>
      <c r="Z261" t="s">
        <v>525</v>
      </c>
      <c r="AA261" t="s">
        <v>3316</v>
      </c>
      <c r="AH261" t="s">
        <v>118</v>
      </c>
      <c r="AI261">
        <v>15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S261">
        <v>8</v>
      </c>
      <c r="AT261">
        <v>2</v>
      </c>
      <c r="AU261">
        <v>7</v>
      </c>
      <c r="AV261">
        <v>38</v>
      </c>
      <c r="AW261">
        <v>70</v>
      </c>
      <c r="AX261">
        <v>262</v>
      </c>
      <c r="AZ261" t="b">
        <v>0</v>
      </c>
      <c r="BA261">
        <v>0</v>
      </c>
      <c r="BB261">
        <v>0</v>
      </c>
      <c r="BC261">
        <v>15</v>
      </c>
      <c r="BD261" t="s">
        <v>3317</v>
      </c>
      <c r="BE261" s="1" t="s">
        <v>3292</v>
      </c>
      <c r="BF261">
        <v>0</v>
      </c>
      <c r="BG261">
        <v>69.5</v>
      </c>
      <c r="BH261">
        <v>0</v>
      </c>
      <c r="BI261">
        <v>7</v>
      </c>
      <c r="BJ261" s="1" t="s">
        <v>303</v>
      </c>
      <c r="BK261" s="1" t="s">
        <v>449</v>
      </c>
      <c r="BL261">
        <v>5.8</v>
      </c>
      <c r="BM261" s="1" t="s">
        <v>159</v>
      </c>
      <c r="BN261" s="1" t="s">
        <v>322</v>
      </c>
      <c r="BO261" s="1" t="s">
        <v>159</v>
      </c>
      <c r="BP261">
        <v>1.2</v>
      </c>
      <c r="BQ261">
        <v>0</v>
      </c>
      <c r="BR261">
        <v>0</v>
      </c>
      <c r="BS261">
        <v>1</v>
      </c>
      <c r="BT261" s="1" t="s">
        <v>184</v>
      </c>
      <c r="BU261">
        <v>0</v>
      </c>
      <c r="BV261" s="1" t="s">
        <v>129</v>
      </c>
      <c r="BW261">
        <v>0</v>
      </c>
      <c r="BX261">
        <v>0.2</v>
      </c>
      <c r="BY261">
        <v>0</v>
      </c>
      <c r="BZ261" s="1" t="s">
        <v>231</v>
      </c>
      <c r="CA261">
        <v>0</v>
      </c>
      <c r="CB261" s="1" t="s">
        <v>3318</v>
      </c>
      <c r="CC261">
        <v>0</v>
      </c>
      <c r="CD261" s="1" t="s">
        <v>3319</v>
      </c>
      <c r="CE261">
        <v>0</v>
      </c>
      <c r="CF261" s="1" t="s">
        <v>3320</v>
      </c>
      <c r="CG261" s="1" t="s">
        <v>204</v>
      </c>
      <c r="CH261" s="1" t="s">
        <v>898</v>
      </c>
      <c r="CI261" s="1" t="s">
        <v>161</v>
      </c>
      <c r="CJ261" s="1" t="s">
        <v>206</v>
      </c>
      <c r="CK261" s="1" t="s">
        <v>125</v>
      </c>
      <c r="CL261">
        <v>2.2000000000000002</v>
      </c>
      <c r="CM261" s="1" t="s">
        <v>1715</v>
      </c>
      <c r="CN261" s="1" t="s">
        <v>3321</v>
      </c>
      <c r="CO261" s="1" t="s">
        <v>1391</v>
      </c>
      <c r="CP261" s="1" t="s">
        <v>3322</v>
      </c>
      <c r="CQ261" s="1" t="s">
        <v>3323</v>
      </c>
      <c r="CS261">
        <v>1005</v>
      </c>
      <c r="CT261" s="1" t="s">
        <v>3324</v>
      </c>
      <c r="CU261" s="1" t="s">
        <v>3325</v>
      </c>
      <c r="CV261" s="1" t="s">
        <v>3326</v>
      </c>
      <c r="CW261">
        <v>61.8</v>
      </c>
      <c r="CX261">
        <v>58.4</v>
      </c>
      <c r="CY261">
        <v>48.6</v>
      </c>
      <c r="CZ261" s="1" t="s">
        <v>608</v>
      </c>
      <c r="DA261">
        <v>1</v>
      </c>
      <c r="DB261" t="s">
        <v>525</v>
      </c>
      <c r="DC261">
        <v>0</v>
      </c>
      <c r="DD261" s="1" t="s">
        <v>3327</v>
      </c>
      <c r="DE261">
        <v>-64.940368153882304</v>
      </c>
      <c r="DF261" t="e">
        <f>_xlfn.XLOOKUP(Table1[[#This Row],[Player ID]],Table2[feed_id],Table2[trade_status])</f>
        <v>#N/A</v>
      </c>
      <c r="DG261">
        <f>_xlfn.NUMBERVALUE(Table1[[#This Row],[predicted]])</f>
        <v>64.940368153882304</v>
      </c>
    </row>
    <row r="262" spans="1:111" hidden="1" x14ac:dyDescent="0.25">
      <c r="A262">
        <v>91099</v>
      </c>
      <c r="B262">
        <v>7422</v>
      </c>
      <c r="C262" t="s">
        <v>3314</v>
      </c>
      <c r="D262" t="s">
        <v>1377</v>
      </c>
      <c r="E262">
        <v>2020</v>
      </c>
      <c r="F262">
        <v>290199</v>
      </c>
      <c r="G262" t="s">
        <v>3328</v>
      </c>
      <c r="H262" t="s">
        <v>3329</v>
      </c>
      <c r="I262" t="s">
        <v>813</v>
      </c>
      <c r="J262">
        <v>2</v>
      </c>
      <c r="K262">
        <v>32</v>
      </c>
      <c r="L262">
        <v>0</v>
      </c>
      <c r="M262">
        <v>31</v>
      </c>
      <c r="N262">
        <v>28</v>
      </c>
      <c r="O262">
        <v>38</v>
      </c>
      <c r="P262">
        <v>2</v>
      </c>
      <c r="Q262">
        <v>7</v>
      </c>
      <c r="R262">
        <v>1</v>
      </c>
      <c r="S262">
        <v>2</v>
      </c>
      <c r="T262">
        <v>2</v>
      </c>
      <c r="U262">
        <v>2</v>
      </c>
      <c r="V262">
        <v>1</v>
      </c>
      <c r="W262">
        <v>0</v>
      </c>
      <c r="X262">
        <v>0</v>
      </c>
      <c r="Y262" t="s">
        <v>113</v>
      </c>
      <c r="Z262" t="s">
        <v>656</v>
      </c>
      <c r="AA262" t="s">
        <v>3330</v>
      </c>
      <c r="AH262" t="s">
        <v>274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S262">
        <v>7</v>
      </c>
      <c r="AT262">
        <v>1</v>
      </c>
      <c r="AU262">
        <v>4</v>
      </c>
      <c r="AV262">
        <v>77</v>
      </c>
      <c r="AW262">
        <v>71</v>
      </c>
      <c r="AX262">
        <v>-1</v>
      </c>
      <c r="AZ262" t="b">
        <v>0</v>
      </c>
      <c r="BA262">
        <v>0</v>
      </c>
      <c r="BB262">
        <v>0</v>
      </c>
      <c r="BC262">
        <v>15</v>
      </c>
      <c r="BD262" t="s">
        <v>3317</v>
      </c>
      <c r="BE262" s="1" t="s">
        <v>3292</v>
      </c>
      <c r="BF262">
        <v>0</v>
      </c>
      <c r="BG262">
        <v>69.5</v>
      </c>
      <c r="BH262">
        <v>0</v>
      </c>
      <c r="BI262" s="1" t="s">
        <v>125</v>
      </c>
      <c r="BJ262" s="1" t="s">
        <v>430</v>
      </c>
      <c r="BK262" s="1" t="s">
        <v>449</v>
      </c>
      <c r="BL262" s="1" t="s">
        <v>499</v>
      </c>
      <c r="BM262" s="1" t="s">
        <v>161</v>
      </c>
      <c r="BN262">
        <v>5</v>
      </c>
      <c r="BO262" s="1" t="s">
        <v>126</v>
      </c>
      <c r="BP262" s="1" t="s">
        <v>214</v>
      </c>
      <c r="BQ262">
        <v>5</v>
      </c>
      <c r="BR262" s="1" t="s">
        <v>436</v>
      </c>
      <c r="BS262" s="1" t="s">
        <v>128</v>
      </c>
      <c r="BT262" s="1" t="s">
        <v>127</v>
      </c>
      <c r="BU262">
        <v>1</v>
      </c>
      <c r="BV262" s="1" t="s">
        <v>130</v>
      </c>
      <c r="BW262" s="1" t="s">
        <v>128</v>
      </c>
      <c r="BX262" s="1" t="s">
        <v>399</v>
      </c>
      <c r="BY262" s="1" t="s">
        <v>129</v>
      </c>
      <c r="BZ262" s="1" t="s">
        <v>129</v>
      </c>
      <c r="CA262">
        <v>0</v>
      </c>
      <c r="CB262">
        <v>0.44</v>
      </c>
      <c r="CC262">
        <v>0</v>
      </c>
      <c r="CD262" s="1" t="s">
        <v>3331</v>
      </c>
      <c r="CE262">
        <v>0</v>
      </c>
      <c r="CF262" s="1" t="s">
        <v>3332</v>
      </c>
      <c r="CG262">
        <v>4</v>
      </c>
      <c r="CH262" s="1" t="s">
        <v>898</v>
      </c>
      <c r="CI262">
        <v>1</v>
      </c>
      <c r="CJ262">
        <v>0.8</v>
      </c>
      <c r="CK262" s="1" t="s">
        <v>169</v>
      </c>
      <c r="CL262" s="1" t="s">
        <v>375</v>
      </c>
      <c r="CM262" s="1" t="s">
        <v>417</v>
      </c>
      <c r="CN262">
        <v>79</v>
      </c>
      <c r="CO262">
        <v>76</v>
      </c>
      <c r="CP262">
        <v>85</v>
      </c>
      <c r="CQ262" s="1" t="s">
        <v>3333</v>
      </c>
      <c r="CS262" s="1" t="s">
        <v>3334</v>
      </c>
      <c r="CT262" s="1" t="s">
        <v>3335</v>
      </c>
      <c r="CU262" s="1" t="s">
        <v>3336</v>
      </c>
      <c r="CV262" s="1" t="s">
        <v>3337</v>
      </c>
      <c r="CW262">
        <v>72.150000000000006</v>
      </c>
      <c r="CX262">
        <v>70.8</v>
      </c>
      <c r="CY262">
        <v>49</v>
      </c>
      <c r="CZ262" s="1" t="s">
        <v>3338</v>
      </c>
      <c r="DA262">
        <v>1</v>
      </c>
      <c r="DB262" t="s">
        <v>656</v>
      </c>
      <c r="DC262">
        <v>0</v>
      </c>
      <c r="DD262" s="1" t="s">
        <v>3339</v>
      </c>
      <c r="DE262">
        <v>-72.006794544044396</v>
      </c>
      <c r="DF262" t="e">
        <f>_xlfn.XLOOKUP(Table1[[#This Row],[Player ID]],Table2[feed_id],Table2[trade_status])</f>
        <v>#N/A</v>
      </c>
      <c r="DG262">
        <f>_xlfn.NUMBERVALUE(Table1[[#This Row],[predicted]])</f>
        <v>72.006794544044396</v>
      </c>
    </row>
    <row r="263" spans="1:111" hidden="1" x14ac:dyDescent="0.25">
      <c r="A263">
        <v>91115</v>
      </c>
      <c r="B263">
        <v>7423</v>
      </c>
      <c r="C263" t="s">
        <v>3340</v>
      </c>
      <c r="D263" t="s">
        <v>599</v>
      </c>
      <c r="E263">
        <v>2020</v>
      </c>
      <c r="F263">
        <v>296452</v>
      </c>
      <c r="G263" t="s">
        <v>3341</v>
      </c>
      <c r="H263" t="s">
        <v>3342</v>
      </c>
      <c r="I263" t="s">
        <v>391</v>
      </c>
      <c r="J263">
        <v>8</v>
      </c>
      <c r="K263">
        <v>42</v>
      </c>
      <c r="L263">
        <v>77</v>
      </c>
      <c r="M263">
        <v>54</v>
      </c>
      <c r="N263">
        <v>31</v>
      </c>
      <c r="O263">
        <v>42</v>
      </c>
      <c r="P263">
        <v>7</v>
      </c>
      <c r="Q263">
        <v>2</v>
      </c>
      <c r="R263">
        <v>1</v>
      </c>
      <c r="S263">
        <v>2</v>
      </c>
      <c r="T263">
        <v>0</v>
      </c>
      <c r="U263">
        <v>0</v>
      </c>
      <c r="V263">
        <v>0</v>
      </c>
      <c r="W263">
        <v>1</v>
      </c>
      <c r="X263">
        <v>0</v>
      </c>
      <c r="Y263" t="s">
        <v>113</v>
      </c>
      <c r="Z263" t="s">
        <v>861</v>
      </c>
      <c r="AA263" t="s">
        <v>3343</v>
      </c>
      <c r="AH263" t="s">
        <v>155</v>
      </c>
      <c r="AI263">
        <v>38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S263">
        <v>4</v>
      </c>
      <c r="AT263">
        <v>1</v>
      </c>
      <c r="AU263">
        <v>1</v>
      </c>
      <c r="AV263">
        <v>77</v>
      </c>
      <c r="AW263">
        <v>68</v>
      </c>
      <c r="AX263">
        <v>251</v>
      </c>
      <c r="AZ263" t="b">
        <v>0</v>
      </c>
      <c r="BA263">
        <v>1809</v>
      </c>
      <c r="BB263">
        <v>1478</v>
      </c>
      <c r="BC263">
        <v>16</v>
      </c>
      <c r="BD263" t="s">
        <v>3344</v>
      </c>
      <c r="BE263">
        <v>100</v>
      </c>
      <c r="BF263">
        <v>0</v>
      </c>
      <c r="BG263">
        <v>74.5</v>
      </c>
      <c r="BH263">
        <v>1</v>
      </c>
      <c r="BI263" s="1" t="s">
        <v>124</v>
      </c>
      <c r="BJ263" s="1" t="s">
        <v>752</v>
      </c>
      <c r="BK263">
        <v>3</v>
      </c>
      <c r="BL263" s="1" t="s">
        <v>964</v>
      </c>
      <c r="BM263">
        <v>1</v>
      </c>
      <c r="BN263">
        <v>1.8</v>
      </c>
      <c r="BO263">
        <v>1</v>
      </c>
      <c r="BP263">
        <v>3.4</v>
      </c>
      <c r="BQ263">
        <v>0</v>
      </c>
      <c r="BR263">
        <v>0</v>
      </c>
      <c r="BS263">
        <v>0</v>
      </c>
      <c r="BT263" s="1" t="s">
        <v>128</v>
      </c>
      <c r="BU263" s="1" t="s">
        <v>129</v>
      </c>
      <c r="BV263">
        <v>6.6666666666666596E-2</v>
      </c>
      <c r="BW263" s="1" t="s">
        <v>128</v>
      </c>
      <c r="BX263" s="1" t="s">
        <v>231</v>
      </c>
      <c r="BY263" s="1" t="s">
        <v>129</v>
      </c>
      <c r="BZ263" s="1" t="s">
        <v>238</v>
      </c>
      <c r="CA263">
        <v>0</v>
      </c>
      <c r="CB263">
        <v>6.5333333333333299E-2</v>
      </c>
      <c r="CC263">
        <v>0</v>
      </c>
      <c r="CD263">
        <v>7.4666666666666603E-2</v>
      </c>
      <c r="CE263">
        <v>0</v>
      </c>
      <c r="CF263" s="1" t="s">
        <v>3345</v>
      </c>
      <c r="CG263" s="1" t="s">
        <v>125</v>
      </c>
      <c r="CH263">
        <v>5.2</v>
      </c>
      <c r="CI263" s="1" t="s">
        <v>129</v>
      </c>
      <c r="CJ263" s="1" t="s">
        <v>238</v>
      </c>
      <c r="CK263">
        <v>2</v>
      </c>
      <c r="CL263" s="1" t="s">
        <v>257</v>
      </c>
      <c r="CM263">
        <v>80</v>
      </c>
      <c r="CN263" s="1" t="s">
        <v>3346</v>
      </c>
      <c r="CO263">
        <v>75</v>
      </c>
      <c r="CP263" s="1" t="s">
        <v>701</v>
      </c>
      <c r="CQ263" s="1" t="s">
        <v>3347</v>
      </c>
      <c r="CS263" s="1" t="s">
        <v>3348</v>
      </c>
      <c r="CT263" s="1" t="s">
        <v>3349</v>
      </c>
      <c r="CU263">
        <v>1797</v>
      </c>
      <c r="CV263">
        <v>1683.2</v>
      </c>
      <c r="CW263">
        <v>55.15</v>
      </c>
      <c r="CX263">
        <v>54.8</v>
      </c>
      <c r="CY263">
        <v>53.4</v>
      </c>
      <c r="CZ263" s="1" t="s">
        <v>687</v>
      </c>
      <c r="DA263">
        <v>1</v>
      </c>
      <c r="DB263" t="s">
        <v>861</v>
      </c>
      <c r="DC263">
        <v>77</v>
      </c>
      <c r="DD263" s="1" t="s">
        <v>3350</v>
      </c>
      <c r="DE263" s="1" t="s">
        <v>3351</v>
      </c>
      <c r="DF263" t="e">
        <f>_xlfn.XLOOKUP(Table1[[#This Row],[Player ID]],Table2[feed_id],Table2[trade_status])</f>
        <v>#N/A</v>
      </c>
      <c r="DG263">
        <f>_xlfn.NUMBERVALUE(Table1[[#This Row],[predicted]])</f>
        <v>59.1054284305864</v>
      </c>
    </row>
    <row r="264" spans="1:111" hidden="1" x14ac:dyDescent="0.25">
      <c r="A264">
        <v>91120</v>
      </c>
      <c r="B264">
        <v>7423</v>
      </c>
      <c r="C264" t="s">
        <v>3340</v>
      </c>
      <c r="D264" t="s">
        <v>599</v>
      </c>
      <c r="E264">
        <v>2020</v>
      </c>
      <c r="F264">
        <v>1003547</v>
      </c>
      <c r="G264" t="s">
        <v>3352</v>
      </c>
      <c r="H264" t="s">
        <v>3353</v>
      </c>
      <c r="I264" t="s">
        <v>391</v>
      </c>
      <c r="J264">
        <v>3</v>
      </c>
      <c r="K264">
        <v>30</v>
      </c>
      <c r="L264">
        <v>31</v>
      </c>
      <c r="M264">
        <v>41</v>
      </c>
      <c r="N264">
        <v>23</v>
      </c>
      <c r="O264">
        <v>33</v>
      </c>
      <c r="P264">
        <v>3</v>
      </c>
      <c r="Q264">
        <v>3</v>
      </c>
      <c r="R264">
        <v>2</v>
      </c>
      <c r="S264">
        <v>3</v>
      </c>
      <c r="T264">
        <v>0</v>
      </c>
      <c r="U264">
        <v>0</v>
      </c>
      <c r="V264">
        <v>1</v>
      </c>
      <c r="W264">
        <v>0</v>
      </c>
      <c r="X264">
        <v>0</v>
      </c>
      <c r="Y264" t="s">
        <v>113</v>
      </c>
      <c r="Z264" t="s">
        <v>778</v>
      </c>
      <c r="AA264" t="s">
        <v>3354</v>
      </c>
      <c r="AB264" t="s">
        <v>226</v>
      </c>
      <c r="AC264" t="s">
        <v>3355</v>
      </c>
      <c r="AH264" t="s">
        <v>181</v>
      </c>
      <c r="AI264">
        <v>13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S264">
        <v>1</v>
      </c>
      <c r="AT264">
        <v>1</v>
      </c>
      <c r="AU264">
        <v>2</v>
      </c>
      <c r="AV264">
        <v>66</v>
      </c>
      <c r="AW264">
        <v>75</v>
      </c>
      <c r="AX264">
        <v>63</v>
      </c>
      <c r="AZ264" t="b">
        <v>1</v>
      </c>
      <c r="BA264">
        <v>1809</v>
      </c>
      <c r="BB264">
        <v>1478</v>
      </c>
      <c r="BC264">
        <v>16</v>
      </c>
      <c r="BD264" t="s">
        <v>3344</v>
      </c>
      <c r="BE264">
        <v>100</v>
      </c>
      <c r="BF264">
        <v>0</v>
      </c>
      <c r="BG264">
        <v>74.5</v>
      </c>
      <c r="BH264">
        <v>0</v>
      </c>
      <c r="BI264">
        <v>6</v>
      </c>
      <c r="BJ264">
        <v>7.6</v>
      </c>
      <c r="BK264">
        <v>4</v>
      </c>
      <c r="BL264" s="1" t="s">
        <v>499</v>
      </c>
      <c r="BM264">
        <v>2</v>
      </c>
      <c r="BN264" s="1" t="s">
        <v>640</v>
      </c>
      <c r="BO264">
        <v>2</v>
      </c>
      <c r="BP264">
        <v>2.2000000000000002</v>
      </c>
      <c r="BQ264">
        <v>0</v>
      </c>
      <c r="BR264">
        <v>0</v>
      </c>
      <c r="BS264">
        <v>0</v>
      </c>
      <c r="BT264" s="1" t="s">
        <v>184</v>
      </c>
      <c r="BU264" s="1" t="s">
        <v>129</v>
      </c>
      <c r="BV264" s="1" t="s">
        <v>162</v>
      </c>
      <c r="BW264">
        <v>0</v>
      </c>
      <c r="BX264" s="1" t="s">
        <v>213</v>
      </c>
      <c r="BY264">
        <v>0</v>
      </c>
      <c r="BZ264">
        <v>6.6666666666666596E-2</v>
      </c>
      <c r="CA264">
        <v>0</v>
      </c>
      <c r="CB264">
        <v>8.0000000000000002E-3</v>
      </c>
      <c r="CC264">
        <v>0</v>
      </c>
      <c r="CD264">
        <v>1.4E-2</v>
      </c>
      <c r="CE264">
        <v>0</v>
      </c>
      <c r="CF264">
        <v>5.7333333333333299E-2</v>
      </c>
      <c r="CG264" s="1" t="s">
        <v>169</v>
      </c>
      <c r="CH264" s="1" t="s">
        <v>431</v>
      </c>
      <c r="CI264">
        <v>1</v>
      </c>
      <c r="CJ264">
        <v>0.6</v>
      </c>
      <c r="CK264" s="1" t="s">
        <v>159</v>
      </c>
      <c r="CL264" s="1" t="s">
        <v>169</v>
      </c>
      <c r="CM264" s="1" t="s">
        <v>1979</v>
      </c>
      <c r="CN264">
        <v>73.2</v>
      </c>
      <c r="CO264" s="1" t="s">
        <v>261</v>
      </c>
      <c r="CP264">
        <v>76.8</v>
      </c>
      <c r="CQ264" s="1" t="s">
        <v>3356</v>
      </c>
      <c r="CS264" s="1" t="s">
        <v>3357</v>
      </c>
      <c r="CT264" s="1" t="s">
        <v>3358</v>
      </c>
      <c r="CU264">
        <v>1776</v>
      </c>
      <c r="CV264">
        <v>1717.8</v>
      </c>
      <c r="CW264">
        <v>48.4</v>
      </c>
      <c r="CX264">
        <v>50.2</v>
      </c>
      <c r="CY264">
        <v>45.2</v>
      </c>
      <c r="CZ264">
        <v>48</v>
      </c>
      <c r="DA264">
        <v>1</v>
      </c>
      <c r="DB264" t="s">
        <v>778</v>
      </c>
      <c r="DC264">
        <v>31</v>
      </c>
      <c r="DD264" s="1" t="s">
        <v>3359</v>
      </c>
      <c r="DE264">
        <v>-32.079853495484002</v>
      </c>
      <c r="DF264" t="e">
        <f>_xlfn.XLOOKUP(Table1[[#This Row],[Player ID]],Table2[feed_id],Table2[trade_status])</f>
        <v>#N/A</v>
      </c>
      <c r="DG264">
        <f>_xlfn.NUMBERVALUE(Table1[[#This Row],[predicted]])</f>
        <v>63.079853495484002</v>
      </c>
    </row>
    <row r="265" spans="1:111" hidden="1" x14ac:dyDescent="0.25">
      <c r="A265">
        <v>91271</v>
      </c>
      <c r="B265">
        <v>7426</v>
      </c>
      <c r="C265" t="s">
        <v>3360</v>
      </c>
      <c r="D265" t="s">
        <v>599</v>
      </c>
      <c r="E265">
        <v>2020</v>
      </c>
      <c r="F265">
        <v>294675</v>
      </c>
      <c r="G265" t="s">
        <v>3361</v>
      </c>
      <c r="H265" t="s">
        <v>3362</v>
      </c>
      <c r="I265" t="s">
        <v>291</v>
      </c>
      <c r="J265">
        <v>3</v>
      </c>
      <c r="K265">
        <v>34</v>
      </c>
      <c r="L265">
        <v>54</v>
      </c>
      <c r="M265">
        <v>28</v>
      </c>
      <c r="N265">
        <v>26</v>
      </c>
      <c r="O265">
        <v>39</v>
      </c>
      <c r="P265">
        <v>4</v>
      </c>
      <c r="Q265">
        <v>6</v>
      </c>
      <c r="R265">
        <v>0</v>
      </c>
      <c r="S265">
        <v>3</v>
      </c>
      <c r="T265">
        <v>0</v>
      </c>
      <c r="U265">
        <v>1</v>
      </c>
      <c r="V265">
        <v>1</v>
      </c>
      <c r="W265">
        <v>0</v>
      </c>
      <c r="X265">
        <v>0</v>
      </c>
      <c r="Y265" t="s">
        <v>113</v>
      </c>
      <c r="Z265" t="s">
        <v>226</v>
      </c>
      <c r="AA265" t="s">
        <v>3363</v>
      </c>
      <c r="AH265" t="s">
        <v>181</v>
      </c>
      <c r="AI265">
        <v>42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S265">
        <v>5</v>
      </c>
      <c r="AT265">
        <v>1</v>
      </c>
      <c r="AU265">
        <v>2</v>
      </c>
      <c r="AV265">
        <v>80</v>
      </c>
      <c r="AW265">
        <v>65</v>
      </c>
      <c r="AX265">
        <v>103</v>
      </c>
      <c r="AZ265" t="b">
        <v>0</v>
      </c>
      <c r="BA265">
        <v>1678</v>
      </c>
      <c r="BB265">
        <v>1612</v>
      </c>
      <c r="BC265">
        <v>16</v>
      </c>
      <c r="BD265" t="s">
        <v>3364</v>
      </c>
      <c r="BE265">
        <v>100</v>
      </c>
      <c r="BF265">
        <v>0</v>
      </c>
      <c r="BG265">
        <v>74.5</v>
      </c>
      <c r="BH265">
        <v>0</v>
      </c>
      <c r="BI265" s="1" t="s">
        <v>253</v>
      </c>
      <c r="BJ265" s="1" t="s">
        <v>1066</v>
      </c>
      <c r="BK265">
        <v>6</v>
      </c>
      <c r="BL265" s="1" t="s">
        <v>680</v>
      </c>
      <c r="BM265">
        <v>2</v>
      </c>
      <c r="BN265">
        <v>2.8</v>
      </c>
      <c r="BO265" s="1" t="s">
        <v>161</v>
      </c>
      <c r="BP265">
        <v>2</v>
      </c>
      <c r="BQ265">
        <v>0</v>
      </c>
      <c r="BR265">
        <v>0</v>
      </c>
      <c r="BS265" s="1" t="s">
        <v>129</v>
      </c>
      <c r="BT265">
        <v>0.4</v>
      </c>
      <c r="BU265" s="1" t="s">
        <v>129</v>
      </c>
      <c r="BV265" s="1" t="s">
        <v>238</v>
      </c>
      <c r="BW265">
        <v>0</v>
      </c>
      <c r="BX265">
        <v>0</v>
      </c>
      <c r="BY265" s="1" t="s">
        <v>129</v>
      </c>
      <c r="BZ265" s="1" t="s">
        <v>213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6.6666666666666602E-3</v>
      </c>
      <c r="CG265">
        <v>6</v>
      </c>
      <c r="CH265" s="1" t="s">
        <v>429</v>
      </c>
      <c r="CI265">
        <v>1</v>
      </c>
      <c r="CJ265" s="1" t="s">
        <v>238</v>
      </c>
      <c r="CK265" s="1" t="s">
        <v>161</v>
      </c>
      <c r="CL265" s="1" t="s">
        <v>304</v>
      </c>
      <c r="CM265">
        <v>71</v>
      </c>
      <c r="CN265" s="1" t="s">
        <v>3365</v>
      </c>
      <c r="CO265">
        <v>68</v>
      </c>
      <c r="CP265" s="1" t="s">
        <v>484</v>
      </c>
      <c r="CS265" s="1" t="s">
        <v>2659</v>
      </c>
      <c r="CT265">
        <v>1600</v>
      </c>
      <c r="CU265">
        <v>1686</v>
      </c>
      <c r="CV265" s="1" t="s">
        <v>3366</v>
      </c>
      <c r="CW265">
        <v>62.8</v>
      </c>
      <c r="CX265">
        <v>61.5</v>
      </c>
      <c r="CY265">
        <v>63.4</v>
      </c>
      <c r="CZ265">
        <v>65</v>
      </c>
      <c r="DA265">
        <v>1</v>
      </c>
      <c r="DB265" t="s">
        <v>226</v>
      </c>
      <c r="DC265">
        <v>54</v>
      </c>
      <c r="DD265" s="1" t="s">
        <v>3367</v>
      </c>
      <c r="DE265">
        <v>-32.528857214457801</v>
      </c>
      <c r="DF265" t="e">
        <f>_xlfn.XLOOKUP(Table1[[#This Row],[Player ID]],Table2[feed_id],Table2[trade_status])</f>
        <v>#N/A</v>
      </c>
      <c r="DG265">
        <f>_xlfn.NUMBERVALUE(Table1[[#This Row],[predicted]])</f>
        <v>86.528857214457801</v>
      </c>
    </row>
    <row r="266" spans="1:111" hidden="1" x14ac:dyDescent="0.25">
      <c r="A266">
        <v>91380</v>
      </c>
      <c r="B266">
        <v>7429</v>
      </c>
      <c r="C266" t="s">
        <v>3368</v>
      </c>
      <c r="D266" t="s">
        <v>616</v>
      </c>
      <c r="E266">
        <v>2020</v>
      </c>
      <c r="F266">
        <v>295256</v>
      </c>
      <c r="G266" t="s">
        <v>3369</v>
      </c>
      <c r="H266" t="s">
        <v>3370</v>
      </c>
      <c r="I266" t="s">
        <v>813</v>
      </c>
      <c r="J266">
        <v>1</v>
      </c>
      <c r="K266">
        <v>25</v>
      </c>
      <c r="L266">
        <v>27</v>
      </c>
      <c r="M266">
        <v>33</v>
      </c>
      <c r="N266">
        <v>22</v>
      </c>
      <c r="O266">
        <v>33</v>
      </c>
      <c r="P266">
        <v>5</v>
      </c>
      <c r="Q266">
        <v>4</v>
      </c>
      <c r="R266">
        <v>1</v>
      </c>
      <c r="S266">
        <v>1</v>
      </c>
      <c r="T266">
        <v>0</v>
      </c>
      <c r="U266">
        <v>1</v>
      </c>
      <c r="V266">
        <v>2</v>
      </c>
      <c r="W266">
        <v>0</v>
      </c>
      <c r="X266">
        <v>0</v>
      </c>
      <c r="Y266" t="s">
        <v>113</v>
      </c>
      <c r="Z266" t="s">
        <v>226</v>
      </c>
      <c r="AA266" t="s">
        <v>3371</v>
      </c>
      <c r="AH266" t="s">
        <v>181</v>
      </c>
      <c r="AI266">
        <v>2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S266">
        <v>3</v>
      </c>
      <c r="AT266">
        <v>0</v>
      </c>
      <c r="AU266">
        <v>3</v>
      </c>
      <c r="AV266">
        <v>66</v>
      </c>
      <c r="AW266">
        <v>62</v>
      </c>
      <c r="AX266">
        <v>158</v>
      </c>
      <c r="AZ266" t="b">
        <v>0</v>
      </c>
      <c r="BA266">
        <v>1863</v>
      </c>
      <c r="BB266">
        <v>1430</v>
      </c>
      <c r="BC266">
        <v>17</v>
      </c>
      <c r="BD266" t="s">
        <v>3372</v>
      </c>
      <c r="BE266" s="1" t="s">
        <v>3373</v>
      </c>
      <c r="BF266">
        <v>0</v>
      </c>
      <c r="BG266">
        <v>73</v>
      </c>
      <c r="BH266">
        <v>0</v>
      </c>
      <c r="BI266">
        <v>9</v>
      </c>
      <c r="BJ266" s="1" t="s">
        <v>1106</v>
      </c>
      <c r="BK266" s="1" t="s">
        <v>125</v>
      </c>
      <c r="BL266">
        <v>5.8</v>
      </c>
      <c r="BM266">
        <v>4</v>
      </c>
      <c r="BN266" s="1" t="s">
        <v>255</v>
      </c>
      <c r="BO266">
        <v>1</v>
      </c>
      <c r="BP266" s="1" t="s">
        <v>161</v>
      </c>
      <c r="BQ266">
        <v>0</v>
      </c>
      <c r="BR266">
        <v>0</v>
      </c>
      <c r="BS266" s="1" t="s">
        <v>129</v>
      </c>
      <c r="BT266" s="1" t="s">
        <v>238</v>
      </c>
      <c r="BU266">
        <v>1</v>
      </c>
      <c r="BV266" s="1" t="s">
        <v>129</v>
      </c>
      <c r="BW266">
        <v>0</v>
      </c>
      <c r="BX266">
        <v>6.6666666666666596E-2</v>
      </c>
      <c r="BY266">
        <v>0</v>
      </c>
      <c r="BZ266">
        <v>6.6666666666666596E-2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3</v>
      </c>
      <c r="CH266" s="1" t="s">
        <v>499</v>
      </c>
      <c r="CI266">
        <v>0</v>
      </c>
      <c r="CJ266" s="1" t="s">
        <v>129</v>
      </c>
      <c r="CK266" s="1" t="s">
        <v>126</v>
      </c>
      <c r="CL266" s="1" t="s">
        <v>304</v>
      </c>
      <c r="CM266" s="1" t="s">
        <v>261</v>
      </c>
      <c r="CN266" s="1" t="s">
        <v>3045</v>
      </c>
      <c r="CO266">
        <v>72</v>
      </c>
      <c r="CP266">
        <v>79.400000000000006</v>
      </c>
      <c r="CQ266" s="1" t="s">
        <v>3374</v>
      </c>
      <c r="CS266">
        <v>996</v>
      </c>
      <c r="CT266">
        <v>1510.8</v>
      </c>
      <c r="CU266" s="1" t="s">
        <v>3375</v>
      </c>
      <c r="CV266" s="1" t="s">
        <v>3376</v>
      </c>
      <c r="CW266">
        <v>62</v>
      </c>
      <c r="CX266">
        <v>63.2</v>
      </c>
      <c r="CY266">
        <v>56.6</v>
      </c>
      <c r="CZ266" s="1" t="s">
        <v>807</v>
      </c>
      <c r="DA266">
        <v>1</v>
      </c>
      <c r="DB266" t="s">
        <v>226</v>
      </c>
      <c r="DC266">
        <v>27</v>
      </c>
      <c r="DD266" s="1" t="s">
        <v>3377</v>
      </c>
      <c r="DE266">
        <v>-61.9103998703442</v>
      </c>
      <c r="DF266" t="e">
        <f>_xlfn.XLOOKUP(Table1[[#This Row],[Player ID]],Table2[feed_id],Table2[trade_status])</f>
        <v>#N/A</v>
      </c>
      <c r="DG266">
        <f>_xlfn.NUMBERVALUE(Table1[[#This Row],[predicted]])</f>
        <v>88.910399870344193</v>
      </c>
    </row>
    <row r="267" spans="1:111" hidden="1" x14ac:dyDescent="0.25">
      <c r="A267">
        <v>91402</v>
      </c>
      <c r="B267">
        <v>7429</v>
      </c>
      <c r="C267" t="s">
        <v>3368</v>
      </c>
      <c r="D267" t="s">
        <v>616</v>
      </c>
      <c r="E267">
        <v>2020</v>
      </c>
      <c r="F267">
        <v>290733</v>
      </c>
      <c r="G267" t="s">
        <v>271</v>
      </c>
      <c r="H267" t="s">
        <v>3378</v>
      </c>
      <c r="I267" t="s">
        <v>425</v>
      </c>
      <c r="J267">
        <v>2</v>
      </c>
      <c r="K267">
        <v>25</v>
      </c>
      <c r="L267">
        <v>54</v>
      </c>
      <c r="M267">
        <v>22</v>
      </c>
      <c r="N267">
        <v>16</v>
      </c>
      <c r="O267">
        <v>24</v>
      </c>
      <c r="P267">
        <v>3</v>
      </c>
      <c r="Q267">
        <v>2</v>
      </c>
      <c r="R267">
        <v>0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113</v>
      </c>
      <c r="Z267" t="s">
        <v>226</v>
      </c>
      <c r="AA267" t="s">
        <v>3379</v>
      </c>
      <c r="AH267" t="s">
        <v>181</v>
      </c>
      <c r="AI267">
        <v>50</v>
      </c>
      <c r="AJ267">
        <v>4</v>
      </c>
      <c r="AK267">
        <v>0</v>
      </c>
      <c r="AL267">
        <v>0</v>
      </c>
      <c r="AM267">
        <v>0</v>
      </c>
      <c r="AN267">
        <v>0</v>
      </c>
      <c r="AO267">
        <v>0</v>
      </c>
      <c r="AS267">
        <v>1</v>
      </c>
      <c r="AT267">
        <v>0</v>
      </c>
      <c r="AU267">
        <v>0</v>
      </c>
      <c r="AV267">
        <v>80</v>
      </c>
      <c r="AW267">
        <v>84</v>
      </c>
      <c r="AX267">
        <v>92</v>
      </c>
      <c r="AZ267" t="b">
        <v>0</v>
      </c>
      <c r="BA267">
        <v>1430</v>
      </c>
      <c r="BB267">
        <v>1863</v>
      </c>
      <c r="BC267">
        <v>17</v>
      </c>
      <c r="BD267" t="s">
        <v>3380</v>
      </c>
      <c r="BE267" s="1" t="s">
        <v>3373</v>
      </c>
      <c r="BF267">
        <v>0</v>
      </c>
      <c r="BG267">
        <v>73</v>
      </c>
      <c r="BH267">
        <v>0</v>
      </c>
      <c r="BI267" s="1" t="s">
        <v>160</v>
      </c>
      <c r="BJ267" s="1" t="s">
        <v>139</v>
      </c>
      <c r="BK267">
        <v>4</v>
      </c>
      <c r="BL267" s="1" t="s">
        <v>499</v>
      </c>
      <c r="BM267" s="1" t="s">
        <v>128</v>
      </c>
      <c r="BN267" s="1" t="s">
        <v>159</v>
      </c>
      <c r="BO267">
        <v>2</v>
      </c>
      <c r="BP267">
        <v>2.4</v>
      </c>
      <c r="BQ267">
        <v>0</v>
      </c>
      <c r="BR267">
        <v>0</v>
      </c>
      <c r="BS267">
        <v>0</v>
      </c>
      <c r="BT267">
        <v>0.6</v>
      </c>
      <c r="BU267">
        <v>0</v>
      </c>
      <c r="BV267" s="1" t="s">
        <v>130</v>
      </c>
      <c r="BW267" s="1" t="s">
        <v>129</v>
      </c>
      <c r="BX267" s="1" t="s">
        <v>231</v>
      </c>
      <c r="BY267" s="1" t="s">
        <v>128</v>
      </c>
      <c r="BZ267">
        <v>0.4</v>
      </c>
      <c r="CA267">
        <v>0</v>
      </c>
      <c r="CB267">
        <v>2.33333333333333E-2</v>
      </c>
      <c r="CC267">
        <v>0</v>
      </c>
      <c r="CD267">
        <v>3.0666666666666599E-2</v>
      </c>
      <c r="CE267">
        <v>0</v>
      </c>
      <c r="CF267">
        <v>3.1333333333333303E-2</v>
      </c>
      <c r="CG267" s="1" t="s">
        <v>159</v>
      </c>
      <c r="CH267" s="1" t="s">
        <v>766</v>
      </c>
      <c r="CI267">
        <v>0</v>
      </c>
      <c r="CJ267" s="1" t="s">
        <v>238</v>
      </c>
      <c r="CK267">
        <v>1</v>
      </c>
      <c r="CL267">
        <v>2</v>
      </c>
      <c r="CM267" s="1" t="s">
        <v>1166</v>
      </c>
      <c r="CN267" s="1" t="s">
        <v>1471</v>
      </c>
      <c r="CO267" s="1" t="s">
        <v>1258</v>
      </c>
      <c r="CP267" s="1" t="s">
        <v>850</v>
      </c>
      <c r="CQ267" s="1" t="s">
        <v>3381</v>
      </c>
      <c r="CS267" s="1" t="s">
        <v>3382</v>
      </c>
      <c r="CT267" s="1" t="s">
        <v>3383</v>
      </c>
      <c r="CU267" s="1" t="s">
        <v>3384</v>
      </c>
      <c r="CV267" s="1" t="s">
        <v>3385</v>
      </c>
      <c r="CW267">
        <v>52.45</v>
      </c>
      <c r="CX267">
        <v>46.5</v>
      </c>
      <c r="CY267">
        <v>43.4</v>
      </c>
      <c r="CZ267" s="1" t="s">
        <v>2013</v>
      </c>
      <c r="DA267">
        <v>1</v>
      </c>
      <c r="DB267" t="s">
        <v>226</v>
      </c>
      <c r="DC267">
        <v>54</v>
      </c>
      <c r="DD267" s="1" t="s">
        <v>3386</v>
      </c>
      <c r="DE267">
        <v>-22.327016211383299</v>
      </c>
      <c r="DF267" t="e">
        <f>_xlfn.XLOOKUP(Table1[[#This Row],[Player ID]],Table2[feed_id],Table2[trade_status])</f>
        <v>#N/A</v>
      </c>
      <c r="DG267">
        <f>_xlfn.NUMBERVALUE(Table1[[#This Row],[predicted]])</f>
        <v>76.327016211383295</v>
      </c>
    </row>
    <row r="268" spans="1:111" hidden="1" x14ac:dyDescent="0.25">
      <c r="A268">
        <v>91430</v>
      </c>
      <c r="B268">
        <v>7430</v>
      </c>
      <c r="C268" t="s">
        <v>3387</v>
      </c>
      <c r="D268" t="s">
        <v>616</v>
      </c>
      <c r="E268">
        <v>2020</v>
      </c>
      <c r="F268">
        <v>280969</v>
      </c>
      <c r="G268" t="s">
        <v>776</v>
      </c>
      <c r="H268" t="s">
        <v>3388</v>
      </c>
      <c r="I268" t="s">
        <v>391</v>
      </c>
      <c r="J268">
        <v>14</v>
      </c>
      <c r="K268">
        <v>68</v>
      </c>
      <c r="L268">
        <v>91</v>
      </c>
      <c r="M268">
        <v>44</v>
      </c>
      <c r="N268">
        <v>58</v>
      </c>
      <c r="O268">
        <v>79</v>
      </c>
      <c r="P268">
        <v>10</v>
      </c>
      <c r="Q268">
        <v>9</v>
      </c>
      <c r="R268">
        <v>4</v>
      </c>
      <c r="S268">
        <v>1</v>
      </c>
      <c r="T268">
        <v>0</v>
      </c>
      <c r="U268">
        <v>0</v>
      </c>
      <c r="V268">
        <v>1</v>
      </c>
      <c r="W268">
        <v>1</v>
      </c>
      <c r="X268">
        <v>1</v>
      </c>
      <c r="Y268" t="s">
        <v>113</v>
      </c>
      <c r="Z268" t="s">
        <v>525</v>
      </c>
      <c r="AA268" t="s">
        <v>3389</v>
      </c>
      <c r="AH268" t="s">
        <v>118</v>
      </c>
      <c r="AI268">
        <v>21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S268">
        <v>5</v>
      </c>
      <c r="AT268">
        <v>1</v>
      </c>
      <c r="AU268">
        <v>3</v>
      </c>
      <c r="AV268">
        <v>73</v>
      </c>
      <c r="AW268">
        <v>93</v>
      </c>
      <c r="AX268">
        <v>354</v>
      </c>
      <c r="AZ268" t="b">
        <v>0</v>
      </c>
      <c r="BA268">
        <v>1808</v>
      </c>
      <c r="BB268">
        <v>1474</v>
      </c>
      <c r="BC268">
        <v>17</v>
      </c>
      <c r="BD268" t="s">
        <v>3390</v>
      </c>
      <c r="BE268" s="1" t="s">
        <v>3373</v>
      </c>
      <c r="BF268">
        <v>0</v>
      </c>
      <c r="BG268">
        <v>73</v>
      </c>
      <c r="BH268">
        <v>1</v>
      </c>
      <c r="BI268" s="1" t="s">
        <v>545</v>
      </c>
      <c r="BJ268">
        <v>7.2</v>
      </c>
      <c r="BK268">
        <v>9</v>
      </c>
      <c r="BL268">
        <v>6</v>
      </c>
      <c r="BM268">
        <v>2</v>
      </c>
      <c r="BN268" s="1" t="s">
        <v>159</v>
      </c>
      <c r="BO268" s="1" t="s">
        <v>161</v>
      </c>
      <c r="BP268">
        <v>1.2</v>
      </c>
      <c r="BQ268">
        <v>0</v>
      </c>
      <c r="BR268">
        <v>0</v>
      </c>
      <c r="BS268" s="1" t="s">
        <v>129</v>
      </c>
      <c r="BT268" s="1" t="s">
        <v>184</v>
      </c>
      <c r="BU268" s="1" t="s">
        <v>129</v>
      </c>
      <c r="BV268" s="1" t="s">
        <v>130</v>
      </c>
      <c r="BW268">
        <v>1</v>
      </c>
      <c r="BX268" s="1" t="s">
        <v>184</v>
      </c>
      <c r="BY268" s="1" t="s">
        <v>129</v>
      </c>
      <c r="BZ268" s="1" t="s">
        <v>213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 s="1" t="s">
        <v>125</v>
      </c>
      <c r="CH268">
        <v>3.8</v>
      </c>
      <c r="CI268" s="1" t="s">
        <v>128</v>
      </c>
      <c r="CJ268" s="1" t="s">
        <v>238</v>
      </c>
      <c r="CK268" s="1" t="s">
        <v>159</v>
      </c>
      <c r="CL268" s="1" t="s">
        <v>140</v>
      </c>
      <c r="CM268" s="1" t="s">
        <v>141</v>
      </c>
      <c r="CN268" s="1" t="s">
        <v>3391</v>
      </c>
      <c r="CO268">
        <v>90</v>
      </c>
      <c r="CP268" s="1" t="s">
        <v>3392</v>
      </c>
      <c r="CQ268" s="1" t="s">
        <v>3393</v>
      </c>
      <c r="CS268">
        <v>1504</v>
      </c>
      <c r="CT268" s="1" t="s">
        <v>3394</v>
      </c>
      <c r="CU268" s="1" t="s">
        <v>3395</v>
      </c>
      <c r="CV268" s="1" t="s">
        <v>3396</v>
      </c>
      <c r="CW268">
        <v>57</v>
      </c>
      <c r="CX268">
        <v>55.8</v>
      </c>
      <c r="CY268">
        <v>63.6</v>
      </c>
      <c r="CZ268">
        <v>74</v>
      </c>
      <c r="DA268">
        <v>1</v>
      </c>
      <c r="DB268" t="s">
        <v>525</v>
      </c>
      <c r="DC268">
        <v>91</v>
      </c>
      <c r="DD268" s="1" t="s">
        <v>3397</v>
      </c>
      <c r="DE268" s="1" t="s">
        <v>3398</v>
      </c>
      <c r="DF268" t="e">
        <f>_xlfn.XLOOKUP(Table1[[#This Row],[Player ID]],Table2[feed_id],Table2[trade_status])</f>
        <v>#N/A</v>
      </c>
      <c r="DG268">
        <f>_xlfn.NUMBERVALUE(Table1[[#This Row],[predicted]])</f>
        <v>62.393811026731797</v>
      </c>
    </row>
    <row r="269" spans="1:111" hidden="1" x14ac:dyDescent="0.25">
      <c r="A269">
        <v>91500</v>
      </c>
      <c r="B269">
        <v>7432</v>
      </c>
      <c r="C269" t="s">
        <v>3399</v>
      </c>
      <c r="D269" t="s">
        <v>616</v>
      </c>
      <c r="E269">
        <v>2020</v>
      </c>
      <c r="F269">
        <v>290073</v>
      </c>
      <c r="G269" t="s">
        <v>958</v>
      </c>
      <c r="H269" t="s">
        <v>3400</v>
      </c>
      <c r="I269" t="s">
        <v>712</v>
      </c>
      <c r="J269">
        <v>10</v>
      </c>
      <c r="K269">
        <v>51</v>
      </c>
      <c r="L269">
        <v>69</v>
      </c>
      <c r="M269">
        <v>64</v>
      </c>
      <c r="N269">
        <v>42</v>
      </c>
      <c r="O269">
        <v>55</v>
      </c>
      <c r="P269">
        <v>7</v>
      </c>
      <c r="Q269">
        <v>5</v>
      </c>
      <c r="R269">
        <v>2</v>
      </c>
      <c r="S269">
        <v>2</v>
      </c>
      <c r="T269">
        <v>0</v>
      </c>
      <c r="U269">
        <v>2</v>
      </c>
      <c r="V269">
        <v>1</v>
      </c>
      <c r="W269">
        <v>1</v>
      </c>
      <c r="X269">
        <v>1</v>
      </c>
      <c r="Y269" t="s">
        <v>113</v>
      </c>
      <c r="Z269" t="s">
        <v>525</v>
      </c>
      <c r="AA269" t="s">
        <v>3401</v>
      </c>
      <c r="AH269" t="s">
        <v>155</v>
      </c>
      <c r="AI269">
        <v>22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S269">
        <v>5</v>
      </c>
      <c r="AT269">
        <v>2</v>
      </c>
      <c r="AU269">
        <v>1</v>
      </c>
      <c r="AV269">
        <v>66</v>
      </c>
      <c r="AW269">
        <v>75</v>
      </c>
      <c r="AX269">
        <v>285</v>
      </c>
      <c r="AZ269" t="b">
        <v>0</v>
      </c>
      <c r="BA269">
        <v>1574</v>
      </c>
      <c r="BB269">
        <v>1709</v>
      </c>
      <c r="BC269">
        <v>17</v>
      </c>
      <c r="BD269" t="s">
        <v>3402</v>
      </c>
      <c r="BE269" s="1" t="s">
        <v>3373</v>
      </c>
      <c r="BF269">
        <v>0</v>
      </c>
      <c r="BG269">
        <v>73</v>
      </c>
      <c r="BH269">
        <v>0</v>
      </c>
      <c r="BI269">
        <v>6</v>
      </c>
      <c r="BJ269">
        <v>7</v>
      </c>
      <c r="BK269" s="1" t="s">
        <v>125</v>
      </c>
      <c r="BL269" s="1" t="s">
        <v>990</v>
      </c>
      <c r="BM269">
        <v>3</v>
      </c>
      <c r="BN269" s="1" t="s">
        <v>189</v>
      </c>
      <c r="BO269">
        <v>2</v>
      </c>
      <c r="BP269" s="1" t="s">
        <v>566</v>
      </c>
      <c r="BQ269">
        <v>0</v>
      </c>
      <c r="BR269">
        <v>0</v>
      </c>
      <c r="BS269">
        <v>1</v>
      </c>
      <c r="BT269" s="1" t="s">
        <v>130</v>
      </c>
      <c r="BU269">
        <v>1</v>
      </c>
      <c r="BV269">
        <v>0.4</v>
      </c>
      <c r="BW269" s="1" t="s">
        <v>126</v>
      </c>
      <c r="BX269" s="1" t="s">
        <v>127</v>
      </c>
      <c r="BY269" s="1" t="s">
        <v>129</v>
      </c>
      <c r="BZ269">
        <v>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 s="1" t="s">
        <v>211</v>
      </c>
      <c r="CH269" s="1" t="s">
        <v>125</v>
      </c>
      <c r="CI269" s="1" t="s">
        <v>126</v>
      </c>
      <c r="CJ269" s="1" t="s">
        <v>231</v>
      </c>
      <c r="CK269" s="1" t="s">
        <v>126</v>
      </c>
      <c r="CL269" s="1" t="s">
        <v>327</v>
      </c>
      <c r="CM269" s="1" t="s">
        <v>930</v>
      </c>
      <c r="CN269">
        <v>65.8</v>
      </c>
      <c r="CO269" s="1" t="s">
        <v>483</v>
      </c>
      <c r="CP269">
        <v>77</v>
      </c>
      <c r="CQ269" s="1" t="s">
        <v>3403</v>
      </c>
      <c r="CS269">
        <v>1757</v>
      </c>
      <c r="CT269">
        <v>1658.6</v>
      </c>
      <c r="CU269" s="1" t="s">
        <v>913</v>
      </c>
      <c r="CV269">
        <v>1609</v>
      </c>
      <c r="CW269">
        <v>63.85</v>
      </c>
      <c r="CX269">
        <v>50.7</v>
      </c>
      <c r="CY269">
        <v>66.599999999999994</v>
      </c>
      <c r="CZ269">
        <v>65</v>
      </c>
      <c r="DA269">
        <v>1</v>
      </c>
      <c r="DB269" t="s">
        <v>525</v>
      </c>
      <c r="DC269">
        <v>69</v>
      </c>
      <c r="DD269" s="1" t="s">
        <v>3404</v>
      </c>
      <c r="DE269" s="1" t="s">
        <v>3405</v>
      </c>
      <c r="DF269" t="e">
        <f>_xlfn.XLOOKUP(Table1[[#This Row],[Player ID]],Table2[feed_id],Table2[trade_status])</f>
        <v>#N/A</v>
      </c>
      <c r="DG269">
        <f>_xlfn.NUMBERVALUE(Table1[[#This Row],[predicted]])</f>
        <v>61.504239871690999</v>
      </c>
    </row>
    <row r="270" spans="1:111" hidden="1" x14ac:dyDescent="0.25">
      <c r="A270">
        <v>91516</v>
      </c>
      <c r="B270">
        <v>7432</v>
      </c>
      <c r="C270" t="s">
        <v>3399</v>
      </c>
      <c r="D270" t="s">
        <v>616</v>
      </c>
      <c r="E270">
        <v>2020</v>
      </c>
      <c r="F270">
        <v>281281</v>
      </c>
      <c r="G270" t="s">
        <v>2975</v>
      </c>
      <c r="H270" t="s">
        <v>3406</v>
      </c>
      <c r="I270" t="s">
        <v>582</v>
      </c>
      <c r="J270">
        <v>14</v>
      </c>
      <c r="K270">
        <v>65</v>
      </c>
      <c r="L270">
        <v>94</v>
      </c>
      <c r="M270">
        <v>47</v>
      </c>
      <c r="N270">
        <v>49</v>
      </c>
      <c r="O270">
        <v>69</v>
      </c>
      <c r="P270">
        <v>10</v>
      </c>
      <c r="Q270">
        <v>5</v>
      </c>
      <c r="R270">
        <v>4</v>
      </c>
      <c r="S270">
        <v>4</v>
      </c>
      <c r="T270">
        <v>0</v>
      </c>
      <c r="U270">
        <v>0</v>
      </c>
      <c r="V270">
        <v>1</v>
      </c>
      <c r="W270">
        <v>0</v>
      </c>
      <c r="X270">
        <v>0</v>
      </c>
      <c r="Y270" t="s">
        <v>113</v>
      </c>
      <c r="Z270" t="s">
        <v>226</v>
      </c>
      <c r="AA270" t="s">
        <v>3041</v>
      </c>
      <c r="AH270" t="s">
        <v>118</v>
      </c>
      <c r="AI270">
        <v>23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S270">
        <v>3</v>
      </c>
      <c r="AT270">
        <v>1</v>
      </c>
      <c r="AU270">
        <v>1</v>
      </c>
      <c r="AV270">
        <v>86</v>
      </c>
      <c r="AW270">
        <v>87</v>
      </c>
      <c r="AX270">
        <v>334</v>
      </c>
      <c r="AZ270" t="b">
        <v>0</v>
      </c>
      <c r="BA270">
        <v>1709</v>
      </c>
      <c r="BB270">
        <v>1574</v>
      </c>
      <c r="BC270">
        <v>17</v>
      </c>
      <c r="BD270" t="s">
        <v>3407</v>
      </c>
      <c r="BE270" s="1" t="s">
        <v>3373</v>
      </c>
      <c r="BF270">
        <v>0</v>
      </c>
      <c r="BG270">
        <v>73</v>
      </c>
      <c r="BH270">
        <v>1</v>
      </c>
      <c r="BI270">
        <v>9</v>
      </c>
      <c r="BJ270" s="1" t="s">
        <v>1829</v>
      </c>
      <c r="BK270">
        <v>5</v>
      </c>
      <c r="BL270">
        <v>3.8</v>
      </c>
      <c r="BM270" s="1" t="s">
        <v>169</v>
      </c>
      <c r="BN270">
        <v>3.6</v>
      </c>
      <c r="BO270" s="1" t="s">
        <v>169</v>
      </c>
      <c r="BP270">
        <v>2</v>
      </c>
      <c r="BQ270">
        <v>0</v>
      </c>
      <c r="BR270">
        <v>0</v>
      </c>
      <c r="BS270">
        <v>0</v>
      </c>
      <c r="BT270" s="1" t="s">
        <v>184</v>
      </c>
      <c r="BU270">
        <v>1</v>
      </c>
      <c r="BV270" s="1" t="s">
        <v>231</v>
      </c>
      <c r="BW270">
        <v>0</v>
      </c>
      <c r="BX270">
        <v>6.6666666666666596E-2</v>
      </c>
      <c r="BY270" s="1" t="s">
        <v>128</v>
      </c>
      <c r="BZ270" s="1" t="s">
        <v>213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 s="1" t="s">
        <v>138</v>
      </c>
      <c r="CH270" s="1" t="s">
        <v>431</v>
      </c>
      <c r="CI270">
        <v>1</v>
      </c>
      <c r="CJ270">
        <v>0.4</v>
      </c>
      <c r="CK270">
        <v>3</v>
      </c>
      <c r="CL270" s="1" t="s">
        <v>375</v>
      </c>
      <c r="CM270" s="1" t="s">
        <v>1176</v>
      </c>
      <c r="CN270">
        <v>76.400000000000006</v>
      </c>
      <c r="CO270" s="1" t="s">
        <v>437</v>
      </c>
      <c r="CP270" s="1" t="s">
        <v>3408</v>
      </c>
      <c r="CQ270">
        <v>290</v>
      </c>
      <c r="CS270" s="1" t="s">
        <v>3409</v>
      </c>
      <c r="CT270">
        <v>1614</v>
      </c>
      <c r="CU270">
        <v>1712</v>
      </c>
      <c r="CV270">
        <v>1662</v>
      </c>
      <c r="CW270">
        <v>71.75</v>
      </c>
      <c r="CX270">
        <v>74</v>
      </c>
      <c r="CY270">
        <v>61.6</v>
      </c>
      <c r="CZ270">
        <v>58</v>
      </c>
      <c r="DA270">
        <v>1</v>
      </c>
      <c r="DB270" t="s">
        <v>226</v>
      </c>
      <c r="DC270">
        <v>94</v>
      </c>
      <c r="DD270" s="1" t="s">
        <v>3410</v>
      </c>
      <c r="DE270" s="1" t="s">
        <v>3411</v>
      </c>
      <c r="DF270" t="e">
        <f>_xlfn.XLOOKUP(Table1[[#This Row],[Player ID]],Table2[feed_id],Table2[trade_status])</f>
        <v>#N/A</v>
      </c>
      <c r="DG270">
        <f>_xlfn.NUMBERVALUE(Table1[[#This Row],[predicted]])</f>
        <v>91.753354654985003</v>
      </c>
    </row>
    <row r="271" spans="1:111" hidden="1" x14ac:dyDescent="0.25">
      <c r="A271">
        <v>91599</v>
      </c>
      <c r="B271">
        <v>7434</v>
      </c>
      <c r="C271" t="s">
        <v>3412</v>
      </c>
      <c r="D271" t="s">
        <v>616</v>
      </c>
      <c r="E271">
        <v>2020</v>
      </c>
      <c r="F271">
        <v>270811</v>
      </c>
      <c r="G271" t="s">
        <v>958</v>
      </c>
      <c r="H271" t="s">
        <v>2167</v>
      </c>
      <c r="I271" t="s">
        <v>1089</v>
      </c>
      <c r="J271">
        <v>29</v>
      </c>
      <c r="K271">
        <v>102</v>
      </c>
      <c r="L271">
        <v>127</v>
      </c>
      <c r="M271">
        <v>96</v>
      </c>
      <c r="N271">
        <v>80</v>
      </c>
      <c r="O271">
        <v>101</v>
      </c>
      <c r="P271">
        <v>8</v>
      </c>
      <c r="Q271">
        <v>6</v>
      </c>
      <c r="R271">
        <v>4</v>
      </c>
      <c r="S271">
        <v>7</v>
      </c>
      <c r="T271">
        <v>20</v>
      </c>
      <c r="U271">
        <v>0</v>
      </c>
      <c r="V271">
        <v>0</v>
      </c>
      <c r="W271">
        <v>1</v>
      </c>
      <c r="X271">
        <v>0</v>
      </c>
      <c r="Y271" t="s">
        <v>113</v>
      </c>
      <c r="Z271" t="s">
        <v>339</v>
      </c>
      <c r="AA271" t="s">
        <v>3413</v>
      </c>
      <c r="AB271" t="s">
        <v>602</v>
      </c>
      <c r="AC271" t="s">
        <v>2391</v>
      </c>
      <c r="AH271" t="s">
        <v>274</v>
      </c>
      <c r="AI271">
        <v>10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S271">
        <v>11</v>
      </c>
      <c r="AT271">
        <v>2</v>
      </c>
      <c r="AU271">
        <v>1</v>
      </c>
      <c r="AV271">
        <v>57</v>
      </c>
      <c r="AW271">
        <v>81</v>
      </c>
      <c r="AX271">
        <v>144</v>
      </c>
      <c r="AZ271" t="b">
        <v>0</v>
      </c>
      <c r="BA271">
        <v>1699</v>
      </c>
      <c r="BB271">
        <v>1576</v>
      </c>
      <c r="BC271">
        <v>17</v>
      </c>
      <c r="BD271" t="s">
        <v>3414</v>
      </c>
      <c r="BE271" s="1" t="s">
        <v>3373</v>
      </c>
      <c r="BF271">
        <v>1</v>
      </c>
      <c r="BG271">
        <v>73</v>
      </c>
      <c r="BH271">
        <v>1</v>
      </c>
      <c r="BI271" s="1" t="s">
        <v>124</v>
      </c>
      <c r="BJ271" s="1" t="s">
        <v>374</v>
      </c>
      <c r="BK271" s="1" t="s">
        <v>160</v>
      </c>
      <c r="BL271">
        <v>4.8</v>
      </c>
      <c r="BM271">
        <v>3</v>
      </c>
      <c r="BN271" s="1" t="s">
        <v>322</v>
      </c>
      <c r="BO271" s="1" t="s">
        <v>138</v>
      </c>
      <c r="BP271">
        <v>2.4</v>
      </c>
      <c r="BQ271">
        <v>21</v>
      </c>
      <c r="BR271" s="1" t="s">
        <v>3415</v>
      </c>
      <c r="BS271" s="1" t="s">
        <v>128</v>
      </c>
      <c r="BT271" s="1" t="s">
        <v>130</v>
      </c>
      <c r="BU271" s="1" t="s">
        <v>129</v>
      </c>
      <c r="BV271">
        <v>0.8</v>
      </c>
      <c r="BW271" s="1" t="s">
        <v>129</v>
      </c>
      <c r="BX271" s="1" t="s">
        <v>213</v>
      </c>
      <c r="BY271">
        <v>0</v>
      </c>
      <c r="BZ271">
        <v>0.4</v>
      </c>
      <c r="CA271">
        <v>0</v>
      </c>
      <c r="CB271">
        <v>0.58799999999999997</v>
      </c>
      <c r="CC271">
        <v>0</v>
      </c>
      <c r="CD271" s="1" t="s">
        <v>2891</v>
      </c>
      <c r="CE271">
        <v>0</v>
      </c>
      <c r="CF271">
        <v>2.2000000000000002</v>
      </c>
      <c r="CG271">
        <v>8</v>
      </c>
      <c r="CH271">
        <v>6.2</v>
      </c>
      <c r="CI271" s="1" t="s">
        <v>159</v>
      </c>
      <c r="CJ271">
        <v>2.6</v>
      </c>
      <c r="CK271" s="1" t="s">
        <v>126</v>
      </c>
      <c r="CL271" s="1" t="s">
        <v>566</v>
      </c>
      <c r="CM271">
        <v>69</v>
      </c>
      <c r="CN271">
        <v>65</v>
      </c>
      <c r="CO271" s="1" t="s">
        <v>1110</v>
      </c>
      <c r="CP271" s="1" t="s">
        <v>968</v>
      </c>
      <c r="CQ271" s="1" t="s">
        <v>3416</v>
      </c>
      <c r="CS271">
        <v>1628</v>
      </c>
      <c r="CT271" s="1" t="s">
        <v>3417</v>
      </c>
      <c r="CU271" s="1" t="s">
        <v>3418</v>
      </c>
      <c r="CV271" s="1" t="s">
        <v>3419</v>
      </c>
      <c r="CW271">
        <v>86.55</v>
      </c>
      <c r="CX271">
        <v>94.1</v>
      </c>
      <c r="CY271">
        <v>96.8</v>
      </c>
      <c r="CZ271">
        <v>105</v>
      </c>
      <c r="DA271">
        <v>1</v>
      </c>
      <c r="DB271" t="s">
        <v>339</v>
      </c>
      <c r="DC271">
        <v>127</v>
      </c>
      <c r="DD271" s="1" t="s">
        <v>3420</v>
      </c>
      <c r="DE271" s="1" t="s">
        <v>3421</v>
      </c>
      <c r="DF271" t="e">
        <f>_xlfn.XLOOKUP(Table1[[#This Row],[Player ID]],Table2[feed_id],Table2[trade_status])</f>
        <v>#N/A</v>
      </c>
      <c r="DG271">
        <f>_xlfn.NUMBERVALUE(Table1[[#This Row],[predicted]])</f>
        <v>81.457358185537203</v>
      </c>
    </row>
    <row r="272" spans="1:111" hidden="1" x14ac:dyDescent="0.25">
      <c r="A272">
        <v>91900</v>
      </c>
      <c r="B272">
        <v>7442</v>
      </c>
      <c r="C272" t="s">
        <v>3422</v>
      </c>
      <c r="D272" t="s">
        <v>653</v>
      </c>
      <c r="E272">
        <v>2020</v>
      </c>
      <c r="F272">
        <v>250417</v>
      </c>
      <c r="G272" t="s">
        <v>3423</v>
      </c>
      <c r="H272" t="s">
        <v>3424</v>
      </c>
      <c r="I272" t="s">
        <v>510</v>
      </c>
      <c r="J272">
        <v>18</v>
      </c>
      <c r="K272">
        <v>90</v>
      </c>
      <c r="L272">
        <v>106</v>
      </c>
      <c r="M272">
        <v>50</v>
      </c>
      <c r="N272">
        <v>74</v>
      </c>
      <c r="O272">
        <v>103</v>
      </c>
      <c r="P272">
        <v>16</v>
      </c>
      <c r="Q272">
        <v>11</v>
      </c>
      <c r="R272">
        <v>6</v>
      </c>
      <c r="S272">
        <v>1</v>
      </c>
      <c r="T272">
        <v>0</v>
      </c>
      <c r="U272">
        <v>0</v>
      </c>
      <c r="V272">
        <v>1</v>
      </c>
      <c r="W272">
        <v>0</v>
      </c>
      <c r="X272">
        <v>1</v>
      </c>
      <c r="Y272" t="s">
        <v>113</v>
      </c>
      <c r="Z272" t="s">
        <v>3425</v>
      </c>
      <c r="AA272" t="s">
        <v>3426</v>
      </c>
      <c r="AB272" t="s">
        <v>226</v>
      </c>
      <c r="AC272" t="s">
        <v>3427</v>
      </c>
      <c r="AH272" t="s">
        <v>118</v>
      </c>
      <c r="AI272">
        <v>6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S272">
        <v>6</v>
      </c>
      <c r="AT272">
        <v>1</v>
      </c>
      <c r="AU272">
        <v>3</v>
      </c>
      <c r="AV272">
        <v>77</v>
      </c>
      <c r="AW272">
        <v>79</v>
      </c>
      <c r="AX272">
        <v>549</v>
      </c>
      <c r="AZ272" t="b">
        <v>0</v>
      </c>
      <c r="BA272">
        <v>1533</v>
      </c>
      <c r="BB272">
        <v>1712</v>
      </c>
      <c r="BC272">
        <v>18</v>
      </c>
      <c r="BD272" t="s">
        <v>3428</v>
      </c>
      <c r="BE272">
        <v>101</v>
      </c>
      <c r="BF272">
        <v>1</v>
      </c>
      <c r="BG272">
        <v>74</v>
      </c>
      <c r="BH272">
        <v>1</v>
      </c>
      <c r="BI272" s="1" t="s">
        <v>545</v>
      </c>
      <c r="BJ272" s="1" t="s">
        <v>3429</v>
      </c>
      <c r="BK272">
        <v>7</v>
      </c>
      <c r="BL272">
        <v>7</v>
      </c>
      <c r="BM272">
        <v>3</v>
      </c>
      <c r="BN272">
        <v>3.8</v>
      </c>
      <c r="BO272">
        <v>1</v>
      </c>
      <c r="BP272" s="1" t="s">
        <v>138</v>
      </c>
      <c r="BQ272">
        <v>0</v>
      </c>
      <c r="BR272">
        <v>0</v>
      </c>
      <c r="BS272" s="1" t="s">
        <v>129</v>
      </c>
      <c r="BT272" s="1" t="s">
        <v>130</v>
      </c>
      <c r="BU272" s="1" t="s">
        <v>126</v>
      </c>
      <c r="BV272">
        <v>0.6</v>
      </c>
      <c r="BW272">
        <v>0</v>
      </c>
      <c r="BX272" s="1" t="s">
        <v>213</v>
      </c>
      <c r="BY272" s="1" t="s">
        <v>129</v>
      </c>
      <c r="BZ272" s="1" t="s">
        <v>213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 s="1" t="s">
        <v>125</v>
      </c>
      <c r="CH272" s="1" t="s">
        <v>205</v>
      </c>
      <c r="CI272" s="1" t="s">
        <v>129</v>
      </c>
      <c r="CJ272" s="1" t="s">
        <v>566</v>
      </c>
      <c r="CK272" s="1" t="s">
        <v>169</v>
      </c>
      <c r="CL272" s="1" t="s">
        <v>170</v>
      </c>
      <c r="CM272">
        <v>79</v>
      </c>
      <c r="CN272" s="1" t="s">
        <v>3430</v>
      </c>
      <c r="CO272" s="1" t="s">
        <v>994</v>
      </c>
      <c r="CP272" s="1" t="s">
        <v>2873</v>
      </c>
      <c r="CQ272" s="1" t="s">
        <v>3431</v>
      </c>
      <c r="CS272" s="1" t="s">
        <v>3432</v>
      </c>
      <c r="CT272">
        <v>1606.2</v>
      </c>
      <c r="CU272">
        <v>1739</v>
      </c>
      <c r="CV272" s="1" t="s">
        <v>3433</v>
      </c>
      <c r="CW272">
        <v>76.349999999999994</v>
      </c>
      <c r="CX272">
        <v>66.5</v>
      </c>
      <c r="CY272">
        <v>54.8</v>
      </c>
      <c r="CZ272">
        <v>60</v>
      </c>
      <c r="DA272">
        <v>1</v>
      </c>
      <c r="DB272" t="s">
        <v>3425</v>
      </c>
      <c r="DC272">
        <v>106</v>
      </c>
      <c r="DD272">
        <v>69.076462845208198</v>
      </c>
      <c r="DE272">
        <v>36.923537154791802</v>
      </c>
      <c r="DF272" t="e">
        <f>_xlfn.XLOOKUP(Table1[[#This Row],[Player ID]],Table2[feed_id],Table2[trade_status])</f>
        <v>#N/A</v>
      </c>
      <c r="DG272">
        <f>_xlfn.NUMBERVALUE(Table1[[#This Row],[predicted]])</f>
        <v>69.076462845208198</v>
      </c>
    </row>
    <row r="273" spans="1:111" hidden="1" x14ac:dyDescent="0.25">
      <c r="A273">
        <v>91962</v>
      </c>
      <c r="B273">
        <v>7443</v>
      </c>
      <c r="C273" t="s">
        <v>3434</v>
      </c>
      <c r="D273" t="s">
        <v>653</v>
      </c>
      <c r="E273">
        <v>2020</v>
      </c>
      <c r="F273">
        <v>270732</v>
      </c>
      <c r="G273" t="s">
        <v>889</v>
      </c>
      <c r="H273" t="s">
        <v>3435</v>
      </c>
      <c r="I273" t="s">
        <v>712</v>
      </c>
      <c r="J273">
        <v>2</v>
      </c>
      <c r="K273">
        <v>30</v>
      </c>
      <c r="L273">
        <v>32</v>
      </c>
      <c r="M273">
        <v>18</v>
      </c>
      <c r="N273">
        <v>25</v>
      </c>
      <c r="O273">
        <v>33</v>
      </c>
      <c r="P273">
        <v>5</v>
      </c>
      <c r="Q273">
        <v>3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113</v>
      </c>
      <c r="Z273" t="s">
        <v>525</v>
      </c>
      <c r="AA273" t="s">
        <v>3436</v>
      </c>
      <c r="AH273" t="s">
        <v>181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S273">
        <v>2</v>
      </c>
      <c r="AT273">
        <v>0</v>
      </c>
      <c r="AU273">
        <v>1</v>
      </c>
      <c r="AV273">
        <v>75</v>
      </c>
      <c r="AW273">
        <v>69</v>
      </c>
      <c r="AX273">
        <v>69</v>
      </c>
      <c r="AZ273" t="b">
        <v>0</v>
      </c>
      <c r="BA273">
        <v>1417</v>
      </c>
      <c r="BB273">
        <v>1864</v>
      </c>
      <c r="BC273">
        <v>18</v>
      </c>
      <c r="BD273" t="s">
        <v>3437</v>
      </c>
      <c r="BE273">
        <v>101</v>
      </c>
      <c r="BF273">
        <v>0</v>
      </c>
      <c r="BG273">
        <v>74</v>
      </c>
      <c r="BH273">
        <v>0</v>
      </c>
      <c r="BI273" s="1" t="s">
        <v>124</v>
      </c>
      <c r="BJ273" s="1" t="s">
        <v>3438</v>
      </c>
      <c r="BK273">
        <v>2</v>
      </c>
      <c r="BL273" s="1" t="s">
        <v>565</v>
      </c>
      <c r="BM273">
        <v>4</v>
      </c>
      <c r="BN273" s="1" t="s">
        <v>565</v>
      </c>
      <c r="BO273">
        <v>0</v>
      </c>
      <c r="BP273">
        <v>1.4</v>
      </c>
      <c r="BQ273">
        <v>0</v>
      </c>
      <c r="BR273">
        <v>0</v>
      </c>
      <c r="BS273" s="1" t="s">
        <v>129</v>
      </c>
      <c r="BT273">
        <v>0.6</v>
      </c>
      <c r="BU273" s="1" t="s">
        <v>128</v>
      </c>
      <c r="BV273" s="1" t="s">
        <v>231</v>
      </c>
      <c r="BW273" s="1" t="s">
        <v>128</v>
      </c>
      <c r="BX273">
        <v>0.4</v>
      </c>
      <c r="BY273">
        <v>0</v>
      </c>
      <c r="BZ273">
        <v>0.2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2</v>
      </c>
      <c r="CH273" s="1" t="s">
        <v>138</v>
      </c>
      <c r="CI273">
        <v>0</v>
      </c>
      <c r="CJ273">
        <v>6.6666666666666596E-2</v>
      </c>
      <c r="CK273" s="1" t="s">
        <v>126</v>
      </c>
      <c r="CL273" s="1" t="s">
        <v>304</v>
      </c>
      <c r="CM273" s="1" t="s">
        <v>1242</v>
      </c>
      <c r="CN273" s="1" t="s">
        <v>1353</v>
      </c>
      <c r="CO273">
        <v>53</v>
      </c>
      <c r="CP273" s="1" t="s">
        <v>3439</v>
      </c>
      <c r="CQ273" s="1" t="s">
        <v>3440</v>
      </c>
      <c r="CS273">
        <v>1684</v>
      </c>
      <c r="CT273" s="1" t="s">
        <v>3441</v>
      </c>
      <c r="CU273">
        <v>1571</v>
      </c>
      <c r="CV273" s="1" t="s">
        <v>3442</v>
      </c>
      <c r="CW273">
        <v>71.7</v>
      </c>
      <c r="CX273">
        <v>73.7</v>
      </c>
      <c r="CY273">
        <v>49.4</v>
      </c>
      <c r="CZ273">
        <v>48</v>
      </c>
      <c r="DA273">
        <v>1</v>
      </c>
      <c r="DB273" t="s">
        <v>525</v>
      </c>
      <c r="DC273">
        <v>32</v>
      </c>
      <c r="DD273" s="1" t="s">
        <v>3443</v>
      </c>
      <c r="DE273">
        <v>-29.726701337989301</v>
      </c>
      <c r="DF273" t="e">
        <f>_xlfn.XLOOKUP(Table1[[#This Row],[Player ID]],Table2[feed_id],Table2[trade_status])</f>
        <v>#N/A</v>
      </c>
      <c r="DG273">
        <f>_xlfn.NUMBERVALUE(Table1[[#This Row],[predicted]])</f>
        <v>61.726701337989297</v>
      </c>
    </row>
    <row r="274" spans="1:111" hidden="1" x14ac:dyDescent="0.25">
      <c r="A274">
        <v>92084</v>
      </c>
      <c r="B274">
        <v>7446</v>
      </c>
      <c r="C274" t="s">
        <v>3444</v>
      </c>
      <c r="D274" t="s">
        <v>690</v>
      </c>
      <c r="E274">
        <v>2020</v>
      </c>
      <c r="F274">
        <v>261214</v>
      </c>
      <c r="G274" t="s">
        <v>2115</v>
      </c>
      <c r="H274" t="s">
        <v>3445</v>
      </c>
      <c r="I274" t="s">
        <v>582</v>
      </c>
      <c r="J274">
        <v>2</v>
      </c>
      <c r="K274">
        <v>37</v>
      </c>
      <c r="L274">
        <v>66</v>
      </c>
      <c r="M274">
        <v>29</v>
      </c>
      <c r="N274">
        <v>26</v>
      </c>
      <c r="O274">
        <v>36</v>
      </c>
      <c r="P274">
        <v>5</v>
      </c>
      <c r="Q274">
        <v>3</v>
      </c>
      <c r="R274">
        <v>1</v>
      </c>
      <c r="S274">
        <v>3</v>
      </c>
      <c r="T274">
        <v>0</v>
      </c>
      <c r="U274">
        <v>1</v>
      </c>
      <c r="V274">
        <v>0</v>
      </c>
      <c r="W274">
        <v>0</v>
      </c>
      <c r="X274">
        <v>0</v>
      </c>
      <c r="Y274" t="s">
        <v>113</v>
      </c>
      <c r="Z274" t="s">
        <v>179</v>
      </c>
      <c r="AA274" t="s">
        <v>3446</v>
      </c>
      <c r="AH274" t="s">
        <v>181</v>
      </c>
      <c r="AI274">
        <v>31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S274">
        <v>4</v>
      </c>
      <c r="AT274">
        <v>0</v>
      </c>
      <c r="AU274">
        <v>0</v>
      </c>
      <c r="AV274">
        <v>87</v>
      </c>
      <c r="AW274">
        <v>83</v>
      </c>
      <c r="AX274">
        <v>142</v>
      </c>
      <c r="AZ274" t="b">
        <v>0</v>
      </c>
      <c r="BA274">
        <v>1706</v>
      </c>
      <c r="BB274">
        <v>1556</v>
      </c>
      <c r="BC274">
        <v>19</v>
      </c>
      <c r="BD274" t="s">
        <v>3447</v>
      </c>
      <c r="BE274">
        <v>100</v>
      </c>
      <c r="BF274">
        <v>0</v>
      </c>
      <c r="BG274">
        <v>73</v>
      </c>
      <c r="BH274">
        <v>0</v>
      </c>
      <c r="BI274" s="1" t="s">
        <v>211</v>
      </c>
      <c r="BJ274">
        <v>6</v>
      </c>
      <c r="BK274" s="1" t="s">
        <v>159</v>
      </c>
      <c r="BL274">
        <v>2.8</v>
      </c>
      <c r="BM274" s="1" t="s">
        <v>126</v>
      </c>
      <c r="BN274" s="1" t="s">
        <v>321</v>
      </c>
      <c r="BO274">
        <v>2</v>
      </c>
      <c r="BP274">
        <v>1.8</v>
      </c>
      <c r="BQ274">
        <v>0</v>
      </c>
      <c r="BR274">
        <v>0.4</v>
      </c>
      <c r="BS274" s="1" t="s">
        <v>126</v>
      </c>
      <c r="BT274" s="1" t="s">
        <v>128</v>
      </c>
      <c r="BU274">
        <v>1</v>
      </c>
      <c r="BV274" s="1" t="s">
        <v>162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0.128</v>
      </c>
      <c r="CG274" s="1" t="s">
        <v>125</v>
      </c>
      <c r="CH274">
        <v>3.4</v>
      </c>
      <c r="CI274">
        <v>0</v>
      </c>
      <c r="CJ274">
        <v>0.2</v>
      </c>
      <c r="CK274">
        <v>1</v>
      </c>
      <c r="CL274">
        <v>1.4</v>
      </c>
      <c r="CM274" s="1" t="s">
        <v>645</v>
      </c>
      <c r="CN274">
        <v>83.6</v>
      </c>
      <c r="CO274" s="1" t="s">
        <v>306</v>
      </c>
      <c r="CP274" s="1" t="s">
        <v>3448</v>
      </c>
      <c r="CS274">
        <v>1491</v>
      </c>
      <c r="CT274" s="1" t="s">
        <v>3449</v>
      </c>
      <c r="CU274" s="1" t="s">
        <v>3450</v>
      </c>
      <c r="CV274" s="1" t="s">
        <v>3451</v>
      </c>
      <c r="CW274">
        <v>52.5</v>
      </c>
      <c r="CX274">
        <v>50.3</v>
      </c>
      <c r="CY274">
        <v>51.4</v>
      </c>
      <c r="CZ274" s="1" t="s">
        <v>1927</v>
      </c>
      <c r="DA274">
        <v>1</v>
      </c>
      <c r="DB274" t="s">
        <v>179</v>
      </c>
      <c r="DC274">
        <v>66</v>
      </c>
      <c r="DD274" s="1" t="s">
        <v>3452</v>
      </c>
      <c r="DE274" s="1" t="s">
        <v>3453</v>
      </c>
      <c r="DF274" t="e">
        <f>_xlfn.XLOOKUP(Table1[[#This Row],[Player ID]],Table2[feed_id],Table2[trade_status])</f>
        <v>#N/A</v>
      </c>
      <c r="DG274">
        <f>_xlfn.NUMBERVALUE(Table1[[#This Row],[predicted]])</f>
        <v>44.235765314783102</v>
      </c>
    </row>
    <row r="275" spans="1:111" hidden="1" x14ac:dyDescent="0.25">
      <c r="A275">
        <v>92119</v>
      </c>
      <c r="B275">
        <v>7447</v>
      </c>
      <c r="C275" t="s">
        <v>3454</v>
      </c>
      <c r="D275" t="s">
        <v>690</v>
      </c>
      <c r="E275">
        <v>2020</v>
      </c>
      <c r="F275">
        <v>240700</v>
      </c>
      <c r="G275" t="s">
        <v>2566</v>
      </c>
      <c r="H275" t="s">
        <v>353</v>
      </c>
      <c r="I275" t="s">
        <v>1089</v>
      </c>
      <c r="J275">
        <v>12</v>
      </c>
      <c r="K275">
        <v>68</v>
      </c>
      <c r="L275">
        <v>84</v>
      </c>
      <c r="M275">
        <v>32</v>
      </c>
      <c r="N275">
        <v>55</v>
      </c>
      <c r="O275">
        <v>73</v>
      </c>
      <c r="P275">
        <v>15</v>
      </c>
      <c r="Q275">
        <v>1</v>
      </c>
      <c r="R275">
        <v>7</v>
      </c>
      <c r="S275">
        <v>1</v>
      </c>
      <c r="T275">
        <v>0</v>
      </c>
      <c r="U275">
        <v>1</v>
      </c>
      <c r="V275">
        <v>2</v>
      </c>
      <c r="W275">
        <v>0</v>
      </c>
      <c r="X275">
        <v>1</v>
      </c>
      <c r="Y275" t="s">
        <v>113</v>
      </c>
      <c r="Z275" t="s">
        <v>226</v>
      </c>
      <c r="AA275" t="s">
        <v>3455</v>
      </c>
      <c r="AH275" t="s">
        <v>181</v>
      </c>
      <c r="AI275">
        <v>23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S275">
        <v>2</v>
      </c>
      <c r="AT275">
        <v>1</v>
      </c>
      <c r="AU275">
        <v>3</v>
      </c>
      <c r="AV275">
        <v>81</v>
      </c>
      <c r="AW275">
        <v>82</v>
      </c>
      <c r="AX275">
        <v>339</v>
      </c>
      <c r="AZ275" t="b">
        <v>0</v>
      </c>
      <c r="BA275">
        <v>1649</v>
      </c>
      <c r="BB275">
        <v>1640</v>
      </c>
      <c r="BC275">
        <v>19</v>
      </c>
      <c r="BD275" t="s">
        <v>3456</v>
      </c>
      <c r="BE275">
        <v>100</v>
      </c>
      <c r="BF275">
        <v>0</v>
      </c>
      <c r="BG275">
        <v>73</v>
      </c>
      <c r="BH275">
        <v>1</v>
      </c>
      <c r="BI275" s="1" t="s">
        <v>1008</v>
      </c>
      <c r="BJ275">
        <v>10</v>
      </c>
      <c r="BK275" s="1" t="s">
        <v>161</v>
      </c>
      <c r="BL275">
        <v>2.8</v>
      </c>
      <c r="BM275" s="1" t="s">
        <v>211</v>
      </c>
      <c r="BN275" s="1" t="s">
        <v>160</v>
      </c>
      <c r="BO275">
        <v>3</v>
      </c>
      <c r="BP275" s="1" t="s">
        <v>170</v>
      </c>
      <c r="BQ275">
        <v>0</v>
      </c>
      <c r="BR275">
        <v>6.6666666666666596E-2</v>
      </c>
      <c r="BS275" s="1" t="s">
        <v>129</v>
      </c>
      <c r="BT275" s="1" t="s">
        <v>231</v>
      </c>
      <c r="BU275" s="1" t="s">
        <v>161</v>
      </c>
      <c r="BV275">
        <v>1</v>
      </c>
      <c r="BW275" s="1" t="s">
        <v>129</v>
      </c>
      <c r="BX275">
        <v>0.2</v>
      </c>
      <c r="BY275" s="1" t="s">
        <v>129</v>
      </c>
      <c r="BZ275">
        <v>6.6666666666666596E-2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 s="1" t="s">
        <v>169</v>
      </c>
      <c r="CH275" s="1" t="s">
        <v>321</v>
      </c>
      <c r="CI275" s="1" t="s">
        <v>128</v>
      </c>
      <c r="CJ275">
        <v>0.4</v>
      </c>
      <c r="CK275">
        <v>2</v>
      </c>
      <c r="CL275" s="1" t="s">
        <v>159</v>
      </c>
      <c r="CM275" s="1" t="s">
        <v>516</v>
      </c>
      <c r="CN275" s="1" t="s">
        <v>216</v>
      </c>
      <c r="CO275">
        <v>86</v>
      </c>
      <c r="CP275" s="1" t="s">
        <v>631</v>
      </c>
      <c r="CQ275">
        <v>217</v>
      </c>
      <c r="CR275">
        <v>219.6</v>
      </c>
      <c r="CS275" s="1" t="s">
        <v>3457</v>
      </c>
      <c r="CT275">
        <v>1674.8</v>
      </c>
      <c r="CU275" s="1" t="s">
        <v>3458</v>
      </c>
      <c r="CV275" s="1" t="s">
        <v>3459</v>
      </c>
      <c r="CW275">
        <v>76.5</v>
      </c>
      <c r="CX275">
        <v>74.099999999999994</v>
      </c>
      <c r="CY275">
        <v>73.8</v>
      </c>
      <c r="CZ275" s="1" t="s">
        <v>683</v>
      </c>
      <c r="DA275">
        <v>1</v>
      </c>
      <c r="DB275" t="s">
        <v>226</v>
      </c>
      <c r="DC275">
        <v>84</v>
      </c>
      <c r="DD275" s="1" t="s">
        <v>3460</v>
      </c>
      <c r="DE275">
        <v>-12.1575491962148</v>
      </c>
      <c r="DF275" t="e">
        <f>_xlfn.XLOOKUP(Table1[[#This Row],[Player ID]],Table2[feed_id],Table2[trade_status])</f>
        <v>#N/A</v>
      </c>
      <c r="DG275">
        <f>_xlfn.NUMBERVALUE(Table1[[#This Row],[predicted]])</f>
        <v>96.157549196214802</v>
      </c>
    </row>
    <row r="276" spans="1:111" hidden="1" x14ac:dyDescent="0.25">
      <c r="A276">
        <v>92197</v>
      </c>
      <c r="B276">
        <v>7449</v>
      </c>
      <c r="C276" t="s">
        <v>3461</v>
      </c>
      <c r="D276" t="s">
        <v>690</v>
      </c>
      <c r="E276">
        <v>2020</v>
      </c>
      <c r="F276">
        <v>280934</v>
      </c>
      <c r="G276" t="s">
        <v>289</v>
      </c>
      <c r="H276" t="s">
        <v>3462</v>
      </c>
      <c r="I276" t="s">
        <v>510</v>
      </c>
      <c r="J276">
        <v>2</v>
      </c>
      <c r="K276">
        <v>24</v>
      </c>
      <c r="L276">
        <v>41</v>
      </c>
      <c r="M276">
        <v>31</v>
      </c>
      <c r="N276">
        <v>17</v>
      </c>
      <c r="O276">
        <v>24</v>
      </c>
      <c r="P276">
        <v>3</v>
      </c>
      <c r="Q276">
        <v>3</v>
      </c>
      <c r="R276">
        <v>0</v>
      </c>
      <c r="S276">
        <v>2</v>
      </c>
      <c r="T276">
        <v>0</v>
      </c>
      <c r="U276">
        <v>1</v>
      </c>
      <c r="V276">
        <v>0</v>
      </c>
      <c r="W276">
        <v>0</v>
      </c>
      <c r="X276">
        <v>0</v>
      </c>
      <c r="Y276" t="s">
        <v>113</v>
      </c>
      <c r="Z276" t="s">
        <v>179</v>
      </c>
      <c r="AA276" t="s">
        <v>3463</v>
      </c>
      <c r="AH276" t="s">
        <v>181</v>
      </c>
      <c r="AI276">
        <v>12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S276">
        <v>3</v>
      </c>
      <c r="AT276">
        <v>1</v>
      </c>
      <c r="AU276">
        <v>0</v>
      </c>
      <c r="AV276">
        <v>100</v>
      </c>
      <c r="AW276">
        <v>87</v>
      </c>
      <c r="AX276">
        <v>116</v>
      </c>
      <c r="AZ276" t="b">
        <v>0</v>
      </c>
      <c r="BA276">
        <v>1617</v>
      </c>
      <c r="BB276">
        <v>1634</v>
      </c>
      <c r="BC276">
        <v>19</v>
      </c>
      <c r="BD276" t="s">
        <v>3464</v>
      </c>
      <c r="BE276">
        <v>100</v>
      </c>
      <c r="BF276">
        <v>0</v>
      </c>
      <c r="BG276">
        <v>73</v>
      </c>
      <c r="BH276">
        <v>0</v>
      </c>
      <c r="BI276">
        <v>4</v>
      </c>
      <c r="BJ276">
        <v>6.6</v>
      </c>
      <c r="BK276" s="1" t="s">
        <v>211</v>
      </c>
      <c r="BL276">
        <v>3.2</v>
      </c>
      <c r="BM276">
        <v>2</v>
      </c>
      <c r="BN276">
        <v>4</v>
      </c>
      <c r="BO276">
        <v>1</v>
      </c>
      <c r="BP276">
        <v>1.2</v>
      </c>
      <c r="BQ276">
        <v>0</v>
      </c>
      <c r="BR276">
        <v>0</v>
      </c>
      <c r="BS276" s="1" t="s">
        <v>129</v>
      </c>
      <c r="BT276" s="1" t="s">
        <v>399</v>
      </c>
      <c r="BU276">
        <v>0</v>
      </c>
      <c r="BV276">
        <v>0.6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3</v>
      </c>
      <c r="CH276" s="1" t="s">
        <v>587</v>
      </c>
      <c r="CI276" s="1" t="s">
        <v>129</v>
      </c>
      <c r="CJ276" s="1" t="s">
        <v>129</v>
      </c>
      <c r="CK276" s="1" t="s">
        <v>128</v>
      </c>
      <c r="CL276">
        <v>1.2</v>
      </c>
      <c r="CM276" s="1" t="s">
        <v>1123</v>
      </c>
      <c r="CN276">
        <v>78.2</v>
      </c>
      <c r="CO276" s="1" t="s">
        <v>1013</v>
      </c>
      <c r="CP276" s="1" t="s">
        <v>2269</v>
      </c>
      <c r="CQ276">
        <v>142</v>
      </c>
      <c r="CS276">
        <v>1714</v>
      </c>
      <c r="CT276" s="1" t="s">
        <v>3465</v>
      </c>
      <c r="CU276">
        <v>1557</v>
      </c>
      <c r="CV276">
        <v>1742.8</v>
      </c>
      <c r="CW276">
        <v>72.3</v>
      </c>
      <c r="CX276">
        <v>72.7</v>
      </c>
      <c r="CY276">
        <v>59.4</v>
      </c>
      <c r="CZ276" s="1" t="s">
        <v>1926</v>
      </c>
      <c r="DA276">
        <v>1</v>
      </c>
      <c r="DB276" t="s">
        <v>179</v>
      </c>
      <c r="DC276">
        <v>41</v>
      </c>
      <c r="DD276" s="1" t="s">
        <v>3466</v>
      </c>
      <c r="DE276">
        <v>-15.071052783494199</v>
      </c>
      <c r="DF276" t="e">
        <f>_xlfn.XLOOKUP(Table1[[#This Row],[Player ID]],Table2[feed_id],Table2[trade_status])</f>
        <v>#N/A</v>
      </c>
      <c r="DG276">
        <f>_xlfn.NUMBERVALUE(Table1[[#This Row],[predicted]])</f>
        <v>56.071052783494203</v>
      </c>
    </row>
    <row r="277" spans="1:111" hidden="1" x14ac:dyDescent="0.25">
      <c r="A277">
        <v>92248</v>
      </c>
      <c r="B277">
        <v>7450</v>
      </c>
      <c r="C277" t="s">
        <v>3467</v>
      </c>
      <c r="D277" t="s">
        <v>690</v>
      </c>
      <c r="E277">
        <v>2020</v>
      </c>
      <c r="F277">
        <v>230202</v>
      </c>
      <c r="G277" t="s">
        <v>2617</v>
      </c>
      <c r="H277" t="s">
        <v>2885</v>
      </c>
      <c r="I277" t="s">
        <v>249</v>
      </c>
      <c r="J277">
        <v>14</v>
      </c>
      <c r="K277">
        <v>75</v>
      </c>
      <c r="L277">
        <v>77</v>
      </c>
      <c r="M277">
        <v>35</v>
      </c>
      <c r="N277">
        <v>55</v>
      </c>
      <c r="O277">
        <v>78</v>
      </c>
      <c r="P277">
        <v>16</v>
      </c>
      <c r="Q277">
        <v>3</v>
      </c>
      <c r="R277">
        <v>2</v>
      </c>
      <c r="S277">
        <v>3</v>
      </c>
      <c r="T277">
        <v>0</v>
      </c>
      <c r="U277">
        <v>0</v>
      </c>
      <c r="V277">
        <v>1</v>
      </c>
      <c r="W277">
        <v>1</v>
      </c>
      <c r="X277">
        <v>0</v>
      </c>
      <c r="Y277" t="s">
        <v>113</v>
      </c>
      <c r="Z277" t="s">
        <v>1757</v>
      </c>
      <c r="AA277" t="s">
        <v>3468</v>
      </c>
      <c r="AB277" t="s">
        <v>226</v>
      </c>
      <c r="AC277" t="s">
        <v>3469</v>
      </c>
      <c r="AH277" t="s">
        <v>181</v>
      </c>
      <c r="AI277">
        <v>6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S277">
        <v>2</v>
      </c>
      <c r="AT277">
        <v>1</v>
      </c>
      <c r="AU277">
        <v>4</v>
      </c>
      <c r="AV277">
        <v>63</v>
      </c>
      <c r="AW277">
        <v>90</v>
      </c>
      <c r="AX277">
        <v>523</v>
      </c>
      <c r="AZ277" t="b">
        <v>1</v>
      </c>
      <c r="BA277">
        <v>1749</v>
      </c>
      <c r="BB277">
        <v>1530</v>
      </c>
      <c r="BC277">
        <v>19</v>
      </c>
      <c r="BD277" t="s">
        <v>3470</v>
      </c>
      <c r="BE277">
        <v>100</v>
      </c>
      <c r="BF277">
        <v>0</v>
      </c>
      <c r="BG277">
        <v>73</v>
      </c>
      <c r="BH277">
        <v>1</v>
      </c>
      <c r="BI277" s="1" t="s">
        <v>1830</v>
      </c>
      <c r="BJ277" s="1" t="s">
        <v>276</v>
      </c>
      <c r="BK277" s="1" t="s">
        <v>138</v>
      </c>
      <c r="BL277">
        <v>3.6</v>
      </c>
      <c r="BM277">
        <v>4</v>
      </c>
      <c r="BN277" s="1" t="s">
        <v>990</v>
      </c>
      <c r="BO277" s="1" t="s">
        <v>161</v>
      </c>
      <c r="BP277">
        <v>1.2</v>
      </c>
      <c r="BQ277">
        <v>0</v>
      </c>
      <c r="BR277">
        <v>0</v>
      </c>
      <c r="BS277">
        <v>1</v>
      </c>
      <c r="BT277">
        <v>0.6</v>
      </c>
      <c r="BU277">
        <v>1</v>
      </c>
      <c r="BV277">
        <v>0.4</v>
      </c>
      <c r="BW277" s="1" t="s">
        <v>129</v>
      </c>
      <c r="BX277">
        <v>6.6666666666666596E-2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 s="1" t="s">
        <v>125</v>
      </c>
      <c r="CH277">
        <v>4</v>
      </c>
      <c r="CI277">
        <v>1</v>
      </c>
      <c r="CJ277" s="1" t="s">
        <v>129</v>
      </c>
      <c r="CK277">
        <v>3</v>
      </c>
      <c r="CL277">
        <v>1.8</v>
      </c>
      <c r="CM277" s="1" t="s">
        <v>755</v>
      </c>
      <c r="CN277">
        <v>77.2</v>
      </c>
      <c r="CO277">
        <v>85</v>
      </c>
      <c r="CP277">
        <v>81.8</v>
      </c>
      <c r="CQ277">
        <v>455</v>
      </c>
      <c r="CR277" s="1" t="s">
        <v>3471</v>
      </c>
      <c r="CS277">
        <v>1621</v>
      </c>
      <c r="CT277">
        <v>1506.6</v>
      </c>
      <c r="CU277" s="1" t="s">
        <v>3472</v>
      </c>
      <c r="CV277">
        <v>1545.8</v>
      </c>
      <c r="CW277">
        <v>72.75</v>
      </c>
      <c r="CX277">
        <v>72.7</v>
      </c>
      <c r="CY277">
        <v>87</v>
      </c>
      <c r="CZ277">
        <v>91</v>
      </c>
      <c r="DA277">
        <v>1</v>
      </c>
      <c r="DB277" t="s">
        <v>1757</v>
      </c>
      <c r="DC277">
        <v>77</v>
      </c>
      <c r="DD277" s="1" t="s">
        <v>3473</v>
      </c>
      <c r="DE277">
        <v>-3.33347980004873</v>
      </c>
      <c r="DF277" t="e">
        <f>_xlfn.XLOOKUP(Table1[[#This Row],[Player ID]],Table2[feed_id],Table2[trade_status])</f>
        <v>#N/A</v>
      </c>
      <c r="DG277">
        <f>_xlfn.NUMBERVALUE(Table1[[#This Row],[predicted]])</f>
        <v>80.333479800048707</v>
      </c>
    </row>
    <row r="278" spans="1:111" hidden="1" x14ac:dyDescent="0.25">
      <c r="A278">
        <v>92274</v>
      </c>
      <c r="B278">
        <v>7451</v>
      </c>
      <c r="C278" t="s">
        <v>3474</v>
      </c>
      <c r="D278" t="s">
        <v>690</v>
      </c>
      <c r="E278">
        <v>2020</v>
      </c>
      <c r="F278">
        <v>260710</v>
      </c>
      <c r="G278" t="s">
        <v>223</v>
      </c>
      <c r="H278" t="s">
        <v>3475</v>
      </c>
      <c r="I278" t="s">
        <v>391</v>
      </c>
      <c r="J278">
        <v>16</v>
      </c>
      <c r="K278">
        <v>65</v>
      </c>
      <c r="L278">
        <v>111</v>
      </c>
      <c r="M278">
        <v>79</v>
      </c>
      <c r="N278">
        <v>53</v>
      </c>
      <c r="O278">
        <v>66</v>
      </c>
      <c r="P278">
        <v>6</v>
      </c>
      <c r="Q278">
        <v>5</v>
      </c>
      <c r="R278">
        <v>2</v>
      </c>
      <c r="S278">
        <v>3</v>
      </c>
      <c r="T278">
        <v>0</v>
      </c>
      <c r="U278">
        <v>1</v>
      </c>
      <c r="V278">
        <v>0</v>
      </c>
      <c r="W278">
        <v>3</v>
      </c>
      <c r="X278">
        <v>0</v>
      </c>
      <c r="Y278" t="s">
        <v>113</v>
      </c>
      <c r="Z278" t="s">
        <v>1757</v>
      </c>
      <c r="AA278" t="s">
        <v>3476</v>
      </c>
      <c r="AB278" t="s">
        <v>861</v>
      </c>
      <c r="AC278" t="s">
        <v>862</v>
      </c>
      <c r="AH278" t="s">
        <v>155</v>
      </c>
      <c r="AI278">
        <v>28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S278">
        <v>7</v>
      </c>
      <c r="AT278">
        <v>1</v>
      </c>
      <c r="AU278">
        <v>0</v>
      </c>
      <c r="AV278">
        <v>81</v>
      </c>
      <c r="AW278">
        <v>79</v>
      </c>
      <c r="AX278">
        <v>200</v>
      </c>
      <c r="AZ278" t="b">
        <v>1</v>
      </c>
      <c r="BA278">
        <v>1334</v>
      </c>
      <c r="BB278">
        <v>1917</v>
      </c>
      <c r="BC278">
        <v>19</v>
      </c>
      <c r="BD278" t="s">
        <v>3477</v>
      </c>
      <c r="BE278">
        <v>100</v>
      </c>
      <c r="BF278">
        <v>1</v>
      </c>
      <c r="BG278">
        <v>73</v>
      </c>
      <c r="BH278">
        <v>1</v>
      </c>
      <c r="BI278">
        <v>4</v>
      </c>
      <c r="BJ278">
        <v>5</v>
      </c>
      <c r="BK278">
        <v>5</v>
      </c>
      <c r="BL278">
        <v>6.6</v>
      </c>
      <c r="BM278">
        <v>1</v>
      </c>
      <c r="BN278" s="1" t="s">
        <v>206</v>
      </c>
      <c r="BO278">
        <v>3</v>
      </c>
      <c r="BP278" s="1" t="s">
        <v>587</v>
      </c>
      <c r="BQ278">
        <v>0</v>
      </c>
      <c r="BR278">
        <v>0</v>
      </c>
      <c r="BS278" s="1" t="s">
        <v>128</v>
      </c>
      <c r="BT278" s="1" t="s">
        <v>162</v>
      </c>
      <c r="BU278" s="1" t="s">
        <v>128</v>
      </c>
      <c r="BV278">
        <v>0.8</v>
      </c>
      <c r="BW278">
        <v>1</v>
      </c>
      <c r="BX278" s="1" t="s">
        <v>231</v>
      </c>
      <c r="BY278">
        <v>0</v>
      </c>
      <c r="BZ278">
        <v>0.4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 s="1" t="s">
        <v>124</v>
      </c>
      <c r="CH278">
        <v>6.6</v>
      </c>
      <c r="CI278">
        <v>1</v>
      </c>
      <c r="CJ278">
        <v>0.6</v>
      </c>
      <c r="CK278">
        <v>1</v>
      </c>
      <c r="CL278" s="1" t="s">
        <v>275</v>
      </c>
      <c r="CM278" s="1" t="s">
        <v>2147</v>
      </c>
      <c r="CN278" s="1" t="s">
        <v>822</v>
      </c>
      <c r="CO278">
        <v>76</v>
      </c>
      <c r="CP278" s="1" t="s">
        <v>1272</v>
      </c>
      <c r="CQ278" s="1" t="s">
        <v>3478</v>
      </c>
      <c r="CS278" s="1" t="s">
        <v>3479</v>
      </c>
      <c r="CT278" s="1" t="s">
        <v>3480</v>
      </c>
      <c r="CU278">
        <v>1647</v>
      </c>
      <c r="CV278" s="1" t="s">
        <v>3481</v>
      </c>
      <c r="CW278">
        <v>64.099999999999994</v>
      </c>
      <c r="CX278">
        <v>60</v>
      </c>
      <c r="CY278">
        <v>60.2</v>
      </c>
      <c r="CZ278">
        <v>68</v>
      </c>
      <c r="DA278">
        <v>1</v>
      </c>
      <c r="DB278" t="s">
        <v>1757</v>
      </c>
      <c r="DC278">
        <v>111</v>
      </c>
      <c r="DD278" s="1" t="s">
        <v>3482</v>
      </c>
      <c r="DE278" s="1" t="s">
        <v>3483</v>
      </c>
      <c r="DF278" t="e">
        <f>_xlfn.XLOOKUP(Table1[[#This Row],[Player ID]],Table2[feed_id],Table2[trade_status])</f>
        <v>#N/A</v>
      </c>
      <c r="DG278">
        <f>_xlfn.NUMBERVALUE(Table1[[#This Row],[predicted]])</f>
        <v>65.214884574937599</v>
      </c>
    </row>
    <row r="279" spans="1:111" hidden="1" x14ac:dyDescent="0.25">
      <c r="A279">
        <v>92278</v>
      </c>
      <c r="B279">
        <v>7451</v>
      </c>
      <c r="C279" t="s">
        <v>3474</v>
      </c>
      <c r="D279" t="s">
        <v>690</v>
      </c>
      <c r="E279">
        <v>2020</v>
      </c>
      <c r="F279">
        <v>280471</v>
      </c>
      <c r="G279" t="s">
        <v>670</v>
      </c>
      <c r="H279" t="s">
        <v>3484</v>
      </c>
      <c r="I279" t="s">
        <v>391</v>
      </c>
      <c r="J279">
        <v>11</v>
      </c>
      <c r="K279">
        <v>60</v>
      </c>
      <c r="L279">
        <v>65</v>
      </c>
      <c r="M279">
        <v>74</v>
      </c>
      <c r="N279">
        <v>51</v>
      </c>
      <c r="O279">
        <v>66</v>
      </c>
      <c r="P279">
        <v>5</v>
      </c>
      <c r="Q279">
        <v>8</v>
      </c>
      <c r="R279">
        <v>5</v>
      </c>
      <c r="S279">
        <v>2</v>
      </c>
      <c r="T279">
        <v>0</v>
      </c>
      <c r="U279">
        <v>0</v>
      </c>
      <c r="V279">
        <v>0</v>
      </c>
      <c r="W279">
        <v>1</v>
      </c>
      <c r="X279">
        <v>0</v>
      </c>
      <c r="Y279" t="s">
        <v>113</v>
      </c>
      <c r="Z279" t="s">
        <v>3485</v>
      </c>
      <c r="AA279" t="s">
        <v>860</v>
      </c>
      <c r="AB279" t="s">
        <v>987</v>
      </c>
      <c r="AC279" t="s">
        <v>3486</v>
      </c>
      <c r="AH279" t="s">
        <v>181</v>
      </c>
      <c r="AI279">
        <v>24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S279">
        <v>1</v>
      </c>
      <c r="AT279">
        <v>0</v>
      </c>
      <c r="AU279">
        <v>0</v>
      </c>
      <c r="AV279">
        <v>84</v>
      </c>
      <c r="AW279">
        <v>94</v>
      </c>
      <c r="AX279">
        <v>135</v>
      </c>
      <c r="AZ279" t="b">
        <v>0</v>
      </c>
      <c r="BA279">
        <v>1334</v>
      </c>
      <c r="BB279">
        <v>1917</v>
      </c>
      <c r="BC279">
        <v>19</v>
      </c>
      <c r="BD279" t="s">
        <v>3477</v>
      </c>
      <c r="BE279">
        <v>100</v>
      </c>
      <c r="BF279">
        <v>0</v>
      </c>
      <c r="BG279">
        <v>73</v>
      </c>
      <c r="BH279">
        <v>0</v>
      </c>
      <c r="BI279" s="1" t="s">
        <v>204</v>
      </c>
      <c r="BJ279" s="1" t="s">
        <v>781</v>
      </c>
      <c r="BK279" s="1" t="s">
        <v>160</v>
      </c>
      <c r="BL279" s="1" t="s">
        <v>211</v>
      </c>
      <c r="BM279" s="1" t="s">
        <v>211</v>
      </c>
      <c r="BN279" s="1" t="s">
        <v>237</v>
      </c>
      <c r="BO279">
        <v>1</v>
      </c>
      <c r="BP279" s="1" t="s">
        <v>126</v>
      </c>
      <c r="BQ279">
        <v>0</v>
      </c>
      <c r="BR279">
        <v>0</v>
      </c>
      <c r="BS279" s="1" t="s">
        <v>128</v>
      </c>
      <c r="BT279" s="1" t="s">
        <v>231</v>
      </c>
      <c r="BU279">
        <v>1</v>
      </c>
      <c r="BV279" s="1" t="s">
        <v>162</v>
      </c>
      <c r="BW279" s="1" t="s">
        <v>129</v>
      </c>
      <c r="BX279">
        <v>6.6666666666666596E-2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 s="1" t="s">
        <v>169</v>
      </c>
      <c r="CH279">
        <v>3.6</v>
      </c>
      <c r="CI279">
        <v>0</v>
      </c>
      <c r="CJ279">
        <v>0</v>
      </c>
      <c r="CK279">
        <v>2</v>
      </c>
      <c r="CL279" s="1" t="s">
        <v>255</v>
      </c>
      <c r="CM279" s="1" t="s">
        <v>263</v>
      </c>
      <c r="CN279" s="1" t="s">
        <v>366</v>
      </c>
      <c r="CO279" s="1" t="s">
        <v>3487</v>
      </c>
      <c r="CP279" s="1" t="s">
        <v>3488</v>
      </c>
      <c r="CQ279">
        <v>142</v>
      </c>
      <c r="CS279" s="1" t="s">
        <v>2397</v>
      </c>
      <c r="CT279" s="1" t="s">
        <v>3489</v>
      </c>
      <c r="CU279">
        <v>1649</v>
      </c>
      <c r="CV279" s="1" t="s">
        <v>1655</v>
      </c>
      <c r="CW279">
        <v>43.8</v>
      </c>
      <c r="CX279">
        <v>43.2</v>
      </c>
      <c r="CY279">
        <v>45.4</v>
      </c>
      <c r="CZ279" s="1" t="s">
        <v>1969</v>
      </c>
      <c r="DA279">
        <v>1</v>
      </c>
      <c r="DB279" t="s">
        <v>3485</v>
      </c>
      <c r="DC279">
        <v>65</v>
      </c>
      <c r="DD279" s="1" t="s">
        <v>3490</v>
      </c>
      <c r="DE279" s="1" t="s">
        <v>3491</v>
      </c>
      <c r="DF279" t="e">
        <f>_xlfn.XLOOKUP(Table1[[#This Row],[Player ID]],Table2[feed_id],Table2[trade_status])</f>
        <v>#N/A</v>
      </c>
      <c r="DG279">
        <f>_xlfn.NUMBERVALUE(Table1[[#This Row],[predicted]])</f>
        <v>50.6490625782737</v>
      </c>
    </row>
    <row r="280" spans="1:111" hidden="1" x14ac:dyDescent="0.25">
      <c r="A280">
        <v>92327</v>
      </c>
      <c r="B280">
        <v>7452</v>
      </c>
      <c r="C280" t="s">
        <v>3492</v>
      </c>
      <c r="D280" t="s">
        <v>690</v>
      </c>
      <c r="E280">
        <v>2020</v>
      </c>
      <c r="F280">
        <v>294663</v>
      </c>
      <c r="G280" t="s">
        <v>2003</v>
      </c>
      <c r="H280" t="s">
        <v>3493</v>
      </c>
      <c r="I280" t="s">
        <v>338</v>
      </c>
      <c r="J280">
        <v>3</v>
      </c>
      <c r="K280">
        <v>36</v>
      </c>
      <c r="L280">
        <v>53</v>
      </c>
      <c r="M280">
        <v>48</v>
      </c>
      <c r="N280">
        <v>31</v>
      </c>
      <c r="O280">
        <v>45</v>
      </c>
      <c r="P280">
        <v>7</v>
      </c>
      <c r="Q280">
        <v>4</v>
      </c>
      <c r="R280">
        <v>3</v>
      </c>
      <c r="S280">
        <v>1</v>
      </c>
      <c r="T280">
        <v>0</v>
      </c>
      <c r="U280">
        <v>0</v>
      </c>
      <c r="V280">
        <v>2</v>
      </c>
      <c r="W280">
        <v>0</v>
      </c>
      <c r="X280">
        <v>0</v>
      </c>
      <c r="Y280" t="s">
        <v>113</v>
      </c>
      <c r="Z280" t="s">
        <v>226</v>
      </c>
      <c r="AA280" t="s">
        <v>3494</v>
      </c>
      <c r="AH280" t="s">
        <v>181</v>
      </c>
      <c r="AI280">
        <v>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S280">
        <v>3</v>
      </c>
      <c r="AT280">
        <v>0</v>
      </c>
      <c r="AU280">
        <v>2</v>
      </c>
      <c r="AV280">
        <v>63</v>
      </c>
      <c r="AW280">
        <v>69</v>
      </c>
      <c r="AX280">
        <v>204</v>
      </c>
      <c r="AZ280" t="b">
        <v>0</v>
      </c>
      <c r="BA280">
        <v>1613</v>
      </c>
      <c r="BB280">
        <v>1640</v>
      </c>
      <c r="BC280">
        <v>19</v>
      </c>
      <c r="BD280" t="s">
        <v>3495</v>
      </c>
      <c r="BE280">
        <v>100</v>
      </c>
      <c r="BF280">
        <v>0</v>
      </c>
      <c r="BG280">
        <v>73</v>
      </c>
      <c r="BH280">
        <v>0</v>
      </c>
      <c r="BI280">
        <v>7</v>
      </c>
      <c r="BJ280">
        <v>8.8000000000000007</v>
      </c>
      <c r="BK280">
        <v>4</v>
      </c>
      <c r="BL280">
        <v>4.5999999999999996</v>
      </c>
      <c r="BM280">
        <v>2</v>
      </c>
      <c r="BN280" s="1" t="s">
        <v>125</v>
      </c>
      <c r="BO280" s="1" t="s">
        <v>161</v>
      </c>
      <c r="BP280" s="1" t="s">
        <v>170</v>
      </c>
      <c r="BQ280">
        <v>0</v>
      </c>
      <c r="BR280">
        <v>0</v>
      </c>
      <c r="BS280">
        <v>0</v>
      </c>
      <c r="BT280">
        <v>0.4</v>
      </c>
      <c r="BU280" s="1" t="s">
        <v>128</v>
      </c>
      <c r="BV280" s="1" t="s">
        <v>238</v>
      </c>
      <c r="BW280">
        <v>0</v>
      </c>
      <c r="BX280">
        <v>0.2</v>
      </c>
      <c r="BY280">
        <v>0</v>
      </c>
      <c r="BZ280" s="1" t="s">
        <v>213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 s="1" t="s">
        <v>138</v>
      </c>
      <c r="CH280">
        <v>4</v>
      </c>
      <c r="CI280">
        <v>0</v>
      </c>
      <c r="CJ280" s="1" t="s">
        <v>128</v>
      </c>
      <c r="CK280" s="1" t="s">
        <v>128</v>
      </c>
      <c r="CL280" s="1" t="s">
        <v>566</v>
      </c>
      <c r="CM280">
        <v>78</v>
      </c>
      <c r="CN280" s="1" t="s">
        <v>366</v>
      </c>
      <c r="CO280" s="1" t="s">
        <v>483</v>
      </c>
      <c r="CP280" s="1" t="s">
        <v>2326</v>
      </c>
      <c r="CQ280">
        <v>181</v>
      </c>
      <c r="CS280">
        <v>1579</v>
      </c>
      <c r="CT280">
        <v>1609.4</v>
      </c>
      <c r="CU280">
        <v>1680</v>
      </c>
      <c r="CV280" s="1" t="s">
        <v>3496</v>
      </c>
      <c r="CW280">
        <v>65.45</v>
      </c>
      <c r="CX280">
        <v>68.599999999999994</v>
      </c>
      <c r="CY280">
        <v>66.2</v>
      </c>
      <c r="CZ280" s="1" t="s">
        <v>1012</v>
      </c>
      <c r="DA280">
        <v>1</v>
      </c>
      <c r="DB280" t="s">
        <v>226</v>
      </c>
      <c r="DC280">
        <v>53</v>
      </c>
      <c r="DD280" s="1" t="s">
        <v>3497</v>
      </c>
      <c r="DE280">
        <v>-34.344569169271097</v>
      </c>
      <c r="DF280" t="e">
        <f>_xlfn.XLOOKUP(Table1[[#This Row],[Player ID]],Table2[feed_id],Table2[trade_status])</f>
        <v>#N/A</v>
      </c>
      <c r="DG280">
        <f>_xlfn.NUMBERVALUE(Table1[[#This Row],[predicted]])</f>
        <v>87.344569169271097</v>
      </c>
    </row>
    <row r="281" spans="1:111" hidden="1" x14ac:dyDescent="0.25">
      <c r="A281">
        <v>92338</v>
      </c>
      <c r="B281">
        <v>7452</v>
      </c>
      <c r="C281" t="s">
        <v>3492</v>
      </c>
      <c r="D281" t="s">
        <v>690</v>
      </c>
      <c r="E281">
        <v>2020</v>
      </c>
      <c r="F281">
        <v>270912</v>
      </c>
      <c r="G281" t="s">
        <v>1127</v>
      </c>
      <c r="H281" t="s">
        <v>1211</v>
      </c>
      <c r="I281" t="s">
        <v>1061</v>
      </c>
      <c r="J281">
        <v>5</v>
      </c>
      <c r="K281">
        <v>63</v>
      </c>
      <c r="L281">
        <v>60</v>
      </c>
      <c r="M281">
        <v>47</v>
      </c>
      <c r="N281">
        <v>48</v>
      </c>
      <c r="O281">
        <v>63</v>
      </c>
      <c r="P281">
        <v>9</v>
      </c>
      <c r="Q281">
        <v>4</v>
      </c>
      <c r="R281">
        <v>5</v>
      </c>
      <c r="S281">
        <v>3</v>
      </c>
      <c r="T281">
        <v>0</v>
      </c>
      <c r="U281">
        <v>1</v>
      </c>
      <c r="V281">
        <v>0</v>
      </c>
      <c r="W281">
        <v>0</v>
      </c>
      <c r="X281">
        <v>0</v>
      </c>
      <c r="Y281" t="s">
        <v>113</v>
      </c>
      <c r="Z281" t="s">
        <v>525</v>
      </c>
      <c r="AA281" t="s">
        <v>1576</v>
      </c>
      <c r="AH281" t="s">
        <v>118</v>
      </c>
      <c r="AI281">
        <v>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S281">
        <v>4</v>
      </c>
      <c r="AT281">
        <v>1</v>
      </c>
      <c r="AU281">
        <v>0</v>
      </c>
      <c r="AV281">
        <v>61</v>
      </c>
      <c r="AW281">
        <v>65</v>
      </c>
      <c r="AX281">
        <v>176</v>
      </c>
      <c r="AZ281" t="b">
        <v>0</v>
      </c>
      <c r="BA281">
        <v>1640</v>
      </c>
      <c r="BB281">
        <v>1613</v>
      </c>
      <c r="BC281">
        <v>19</v>
      </c>
      <c r="BD281" t="s">
        <v>3498</v>
      </c>
      <c r="BE281">
        <v>100</v>
      </c>
      <c r="BF281">
        <v>0</v>
      </c>
      <c r="BG281">
        <v>73</v>
      </c>
      <c r="BH281">
        <v>0</v>
      </c>
      <c r="BI281">
        <v>9</v>
      </c>
      <c r="BJ281" s="1" t="s">
        <v>586</v>
      </c>
      <c r="BK281" s="1" t="s">
        <v>545</v>
      </c>
      <c r="BL281" s="1" t="s">
        <v>253</v>
      </c>
      <c r="BM281" s="1" t="s">
        <v>138</v>
      </c>
      <c r="BN281" s="1" t="s">
        <v>138</v>
      </c>
      <c r="BO281" s="1" t="s">
        <v>449</v>
      </c>
      <c r="BP281" s="1" t="s">
        <v>766</v>
      </c>
      <c r="BQ281">
        <v>0</v>
      </c>
      <c r="BR281">
        <v>0</v>
      </c>
      <c r="BS281" s="1" t="s">
        <v>126</v>
      </c>
      <c r="BT281" s="1" t="s">
        <v>161</v>
      </c>
      <c r="BU281">
        <v>0</v>
      </c>
      <c r="BV281" s="1" t="s">
        <v>128</v>
      </c>
      <c r="BW281">
        <v>0</v>
      </c>
      <c r="BX281">
        <v>0.4</v>
      </c>
      <c r="BY281" s="1" t="s">
        <v>129</v>
      </c>
      <c r="BZ281">
        <v>0.4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 s="1" t="s">
        <v>449</v>
      </c>
      <c r="CH281">
        <v>5.6</v>
      </c>
      <c r="CI281">
        <v>3</v>
      </c>
      <c r="CJ281">
        <v>2.6</v>
      </c>
      <c r="CK281">
        <v>1</v>
      </c>
      <c r="CL281" s="1" t="s">
        <v>255</v>
      </c>
      <c r="CM281">
        <v>63</v>
      </c>
      <c r="CN281" s="1" t="s">
        <v>3199</v>
      </c>
      <c r="CO281">
        <v>64</v>
      </c>
      <c r="CP281" s="1" t="s">
        <v>2674</v>
      </c>
      <c r="CQ281">
        <v>208</v>
      </c>
      <c r="CS281" s="1" t="s">
        <v>3499</v>
      </c>
      <c r="CT281" s="1" t="s">
        <v>3500</v>
      </c>
      <c r="CU281">
        <v>1543</v>
      </c>
      <c r="CV281" s="1" t="s">
        <v>265</v>
      </c>
      <c r="CW281">
        <v>76.150000000000006</v>
      </c>
      <c r="CX281">
        <v>70.3</v>
      </c>
      <c r="CY281">
        <v>83.8</v>
      </c>
      <c r="CZ281">
        <v>76</v>
      </c>
      <c r="DA281">
        <v>1</v>
      </c>
      <c r="DB281" t="s">
        <v>525</v>
      </c>
      <c r="DC281">
        <v>60</v>
      </c>
      <c r="DD281" s="1" t="s">
        <v>3501</v>
      </c>
      <c r="DE281">
        <v>-13.807143024697099</v>
      </c>
      <c r="DF281" t="e">
        <f>_xlfn.XLOOKUP(Table1[[#This Row],[Player ID]],Table2[feed_id],Table2[trade_status])</f>
        <v>#N/A</v>
      </c>
      <c r="DG281">
        <f>_xlfn.NUMBERVALUE(Table1[[#This Row],[predicted]])</f>
        <v>73.807143024697098</v>
      </c>
    </row>
    <row r="282" spans="1:111" hidden="1" x14ac:dyDescent="0.25">
      <c r="A282">
        <v>92356</v>
      </c>
      <c r="B282">
        <v>7453</v>
      </c>
      <c r="C282" t="s">
        <v>3502</v>
      </c>
      <c r="D282" t="s">
        <v>690</v>
      </c>
      <c r="E282">
        <v>2020</v>
      </c>
      <c r="F282">
        <v>280336</v>
      </c>
      <c r="G282" t="s">
        <v>3503</v>
      </c>
      <c r="H282" t="s">
        <v>1378</v>
      </c>
      <c r="I282" t="s">
        <v>178</v>
      </c>
      <c r="J282">
        <v>7</v>
      </c>
      <c r="K282">
        <v>65</v>
      </c>
      <c r="L282">
        <v>75</v>
      </c>
      <c r="M282">
        <v>83</v>
      </c>
      <c r="N282">
        <v>50</v>
      </c>
      <c r="O282">
        <v>69</v>
      </c>
      <c r="P282">
        <v>13</v>
      </c>
      <c r="Q282">
        <v>6</v>
      </c>
      <c r="R282">
        <v>3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Y282" t="s">
        <v>113</v>
      </c>
      <c r="Z282" t="s">
        <v>226</v>
      </c>
      <c r="AA282" t="s">
        <v>3504</v>
      </c>
      <c r="AH282" t="s">
        <v>118</v>
      </c>
      <c r="AI282">
        <v>32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S282">
        <v>3</v>
      </c>
      <c r="AT282">
        <v>0</v>
      </c>
      <c r="AU282">
        <v>2</v>
      </c>
      <c r="AV282">
        <v>68</v>
      </c>
      <c r="AW282">
        <v>88</v>
      </c>
      <c r="AX282">
        <v>344</v>
      </c>
      <c r="AZ282" t="b">
        <v>0</v>
      </c>
      <c r="BA282">
        <v>1729</v>
      </c>
      <c r="BB282">
        <v>1541</v>
      </c>
      <c r="BC282">
        <v>19</v>
      </c>
      <c r="BD282" t="s">
        <v>3505</v>
      </c>
      <c r="BE282">
        <v>100</v>
      </c>
      <c r="BF282">
        <v>0</v>
      </c>
      <c r="BG282">
        <v>73</v>
      </c>
      <c r="BH282">
        <v>1</v>
      </c>
      <c r="BI282">
        <v>10</v>
      </c>
      <c r="BJ282" s="1" t="s">
        <v>1079</v>
      </c>
      <c r="BK282">
        <v>6</v>
      </c>
      <c r="BL282" s="1" t="s">
        <v>416</v>
      </c>
      <c r="BM282">
        <v>4</v>
      </c>
      <c r="BN282" s="1" t="s">
        <v>528</v>
      </c>
      <c r="BO282" s="1" t="s">
        <v>125</v>
      </c>
      <c r="BP282" s="1" t="s">
        <v>304</v>
      </c>
      <c r="BQ282">
        <v>0</v>
      </c>
      <c r="BR282">
        <v>0</v>
      </c>
      <c r="BS282">
        <v>1</v>
      </c>
      <c r="BT282" s="1" t="s">
        <v>231</v>
      </c>
      <c r="BU282">
        <v>0</v>
      </c>
      <c r="BV282" s="1" t="s">
        <v>128</v>
      </c>
      <c r="BW282">
        <v>0</v>
      </c>
      <c r="BX282">
        <v>6.6666666666666596E-2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3</v>
      </c>
      <c r="CH282" s="1" t="s">
        <v>587</v>
      </c>
      <c r="CI282" s="1" t="s">
        <v>128</v>
      </c>
      <c r="CJ282">
        <v>0.4</v>
      </c>
      <c r="CK282" s="1" t="s">
        <v>159</v>
      </c>
      <c r="CL282">
        <v>2</v>
      </c>
      <c r="CM282" s="1" t="s">
        <v>772</v>
      </c>
      <c r="CN282" s="1" t="s">
        <v>2500</v>
      </c>
      <c r="CO282">
        <v>86</v>
      </c>
      <c r="CP282" s="1" t="s">
        <v>684</v>
      </c>
      <c r="CQ282" s="1" t="s">
        <v>3506</v>
      </c>
      <c r="CS282">
        <v>1802</v>
      </c>
      <c r="CT282">
        <v>1675</v>
      </c>
      <c r="CU282" s="1" t="s">
        <v>3507</v>
      </c>
      <c r="CV282">
        <v>1592.2</v>
      </c>
      <c r="CW282">
        <v>62.4</v>
      </c>
      <c r="CX282">
        <v>62.7</v>
      </c>
      <c r="CY282">
        <v>65.400000000000006</v>
      </c>
      <c r="CZ282">
        <v>81</v>
      </c>
      <c r="DA282">
        <v>1</v>
      </c>
      <c r="DB282" t="s">
        <v>226</v>
      </c>
      <c r="DC282">
        <v>75</v>
      </c>
      <c r="DD282" s="1" t="s">
        <v>3508</v>
      </c>
      <c r="DE282">
        <v>-14.004733998599001</v>
      </c>
      <c r="DF282" t="e">
        <f>_xlfn.XLOOKUP(Table1[[#This Row],[Player ID]],Table2[feed_id],Table2[trade_status])</f>
        <v>#N/A</v>
      </c>
      <c r="DG282">
        <f>_xlfn.NUMBERVALUE(Table1[[#This Row],[predicted]])</f>
        <v>89.004733998598994</v>
      </c>
    </row>
    <row r="283" spans="1:111" hidden="1" x14ac:dyDescent="0.25">
      <c r="A283">
        <v>92414</v>
      </c>
      <c r="B283">
        <v>7454</v>
      </c>
      <c r="C283" t="s">
        <v>3509</v>
      </c>
      <c r="D283" t="s">
        <v>690</v>
      </c>
      <c r="E283">
        <v>2020</v>
      </c>
      <c r="F283">
        <v>250290</v>
      </c>
      <c r="G283" t="s">
        <v>1582</v>
      </c>
      <c r="H283" t="s">
        <v>3510</v>
      </c>
      <c r="I283" t="s">
        <v>112</v>
      </c>
      <c r="J283">
        <v>1</v>
      </c>
      <c r="K283">
        <v>19</v>
      </c>
      <c r="L283">
        <v>32</v>
      </c>
      <c r="M283">
        <v>24</v>
      </c>
      <c r="N283">
        <v>15</v>
      </c>
      <c r="O283">
        <v>21</v>
      </c>
      <c r="P283">
        <v>4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113</v>
      </c>
      <c r="Z283" t="s">
        <v>226</v>
      </c>
      <c r="AA283" t="s">
        <v>3511</v>
      </c>
      <c r="AH283" t="s">
        <v>155</v>
      </c>
      <c r="AI283">
        <v>18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S283">
        <v>3</v>
      </c>
      <c r="AT283">
        <v>0</v>
      </c>
      <c r="AU283">
        <v>1</v>
      </c>
      <c r="AV283">
        <v>66</v>
      </c>
      <c r="AW283">
        <v>64</v>
      </c>
      <c r="AX283">
        <v>100</v>
      </c>
      <c r="AZ283" t="b">
        <v>0</v>
      </c>
      <c r="BA283">
        <v>1594</v>
      </c>
      <c r="BB283">
        <v>1681</v>
      </c>
      <c r="BC283">
        <v>19</v>
      </c>
      <c r="BD283" t="s">
        <v>3512</v>
      </c>
      <c r="BE283">
        <v>100</v>
      </c>
      <c r="BF283">
        <v>0</v>
      </c>
      <c r="BG283">
        <v>73</v>
      </c>
      <c r="BH283">
        <v>0</v>
      </c>
      <c r="BI283" s="1" t="s">
        <v>124</v>
      </c>
      <c r="BJ283" s="1" t="s">
        <v>964</v>
      </c>
      <c r="BK283" s="1" t="s">
        <v>138</v>
      </c>
      <c r="BL283">
        <v>5.2</v>
      </c>
      <c r="BM283" s="1" t="s">
        <v>159</v>
      </c>
      <c r="BN283" s="1" t="s">
        <v>138</v>
      </c>
      <c r="BO283" s="1" t="s">
        <v>126</v>
      </c>
      <c r="BP283">
        <v>1.8</v>
      </c>
      <c r="BQ283">
        <v>0</v>
      </c>
      <c r="BR283">
        <v>0</v>
      </c>
      <c r="BS283">
        <v>0</v>
      </c>
      <c r="BT283">
        <v>0</v>
      </c>
      <c r="BU283">
        <v>0</v>
      </c>
      <c r="BV283" s="1" t="s">
        <v>129</v>
      </c>
      <c r="BW283">
        <v>0</v>
      </c>
      <c r="BX283" s="1" t="s">
        <v>231</v>
      </c>
      <c r="BY283" s="1" t="s">
        <v>129</v>
      </c>
      <c r="BZ283">
        <v>0.4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2</v>
      </c>
      <c r="CH283" s="1" t="s">
        <v>373</v>
      </c>
      <c r="CI283">
        <v>0</v>
      </c>
      <c r="CJ283">
        <v>0.2</v>
      </c>
      <c r="CK283" s="1" t="s">
        <v>126</v>
      </c>
      <c r="CL283" s="1" t="s">
        <v>327</v>
      </c>
      <c r="CM283">
        <v>74</v>
      </c>
      <c r="CN283" s="1" t="s">
        <v>1889</v>
      </c>
      <c r="CO283" s="1" t="s">
        <v>483</v>
      </c>
      <c r="CP283" s="1" t="s">
        <v>1840</v>
      </c>
      <c r="CQ283" s="1" t="s">
        <v>3513</v>
      </c>
      <c r="CS283">
        <v>1730</v>
      </c>
      <c r="CT283">
        <v>1690.8</v>
      </c>
      <c r="CU283">
        <v>1548</v>
      </c>
      <c r="CV283" s="1" t="s">
        <v>3514</v>
      </c>
      <c r="CW283">
        <v>56.95</v>
      </c>
      <c r="CX283">
        <v>52.9</v>
      </c>
      <c r="CY283">
        <v>50.6</v>
      </c>
      <c r="CZ283" s="1" t="s">
        <v>2112</v>
      </c>
      <c r="DA283">
        <v>1</v>
      </c>
      <c r="DB283" t="s">
        <v>226</v>
      </c>
      <c r="DC283">
        <v>32</v>
      </c>
      <c r="DD283" s="1" t="s">
        <v>3515</v>
      </c>
      <c r="DE283">
        <v>-48.590106470849399</v>
      </c>
      <c r="DF283" t="e">
        <f>_xlfn.XLOOKUP(Table1[[#This Row],[Player ID]],Table2[feed_id],Table2[trade_status])</f>
        <v>#N/A</v>
      </c>
      <c r="DG283">
        <f>_xlfn.NUMBERVALUE(Table1[[#This Row],[predicted]])</f>
        <v>80.590106470849406</v>
      </c>
    </row>
    <row r="284" spans="1:111" hidden="1" x14ac:dyDescent="0.25">
      <c r="A284">
        <v>92636</v>
      </c>
      <c r="B284">
        <v>7459</v>
      </c>
      <c r="C284" t="s">
        <v>3516</v>
      </c>
      <c r="D284" t="s">
        <v>762</v>
      </c>
      <c r="E284">
        <v>2020</v>
      </c>
      <c r="F284">
        <v>280858</v>
      </c>
      <c r="G284" t="s">
        <v>2181</v>
      </c>
      <c r="H284" t="s">
        <v>3517</v>
      </c>
      <c r="I284" t="s">
        <v>152</v>
      </c>
      <c r="J284">
        <v>14</v>
      </c>
      <c r="K284">
        <v>69</v>
      </c>
      <c r="L284">
        <v>93</v>
      </c>
      <c r="M284">
        <v>36</v>
      </c>
      <c r="N284">
        <v>54</v>
      </c>
      <c r="O284">
        <v>72</v>
      </c>
      <c r="P284">
        <v>13</v>
      </c>
      <c r="Q284">
        <v>4</v>
      </c>
      <c r="R284">
        <v>4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 t="s">
        <v>113</v>
      </c>
      <c r="Z284" t="s">
        <v>226</v>
      </c>
      <c r="AA284" t="s">
        <v>3518</v>
      </c>
      <c r="AH284" t="s">
        <v>181</v>
      </c>
      <c r="AI284">
        <v>5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S284">
        <v>3</v>
      </c>
      <c r="AT284">
        <v>0</v>
      </c>
      <c r="AU284">
        <v>0</v>
      </c>
      <c r="AV284">
        <v>76</v>
      </c>
      <c r="AW284">
        <v>80</v>
      </c>
      <c r="AX284">
        <v>392</v>
      </c>
      <c r="AZ284" t="b">
        <v>0</v>
      </c>
      <c r="BA284">
        <v>1762</v>
      </c>
      <c r="BB284">
        <v>1495</v>
      </c>
      <c r="BC284">
        <v>21</v>
      </c>
      <c r="BD284" t="s">
        <v>3519</v>
      </c>
      <c r="BE284">
        <v>103</v>
      </c>
      <c r="BF284">
        <v>0</v>
      </c>
      <c r="BG284">
        <v>71.5</v>
      </c>
      <c r="BH284">
        <v>1</v>
      </c>
      <c r="BI284">
        <v>13</v>
      </c>
      <c r="BJ284" s="1" t="s">
        <v>1829</v>
      </c>
      <c r="BK284">
        <v>3</v>
      </c>
      <c r="BL284" s="1" t="s">
        <v>205</v>
      </c>
      <c r="BM284" s="1" t="s">
        <v>138</v>
      </c>
      <c r="BN284">
        <v>4.8</v>
      </c>
      <c r="BO284">
        <v>2</v>
      </c>
      <c r="BP284" s="1" t="s">
        <v>322</v>
      </c>
      <c r="BQ284">
        <v>0</v>
      </c>
      <c r="BR284">
        <v>0</v>
      </c>
      <c r="BS284" s="1" t="s">
        <v>129</v>
      </c>
      <c r="BT284" s="1" t="s">
        <v>231</v>
      </c>
      <c r="BU284" s="1" t="s">
        <v>129</v>
      </c>
      <c r="BV284" s="1" t="s">
        <v>129</v>
      </c>
      <c r="BW284" s="1" t="s">
        <v>129</v>
      </c>
      <c r="BX284">
        <v>6.6666666666666596E-2</v>
      </c>
      <c r="BY284" s="1" t="s">
        <v>128</v>
      </c>
      <c r="BZ284" s="1" t="s">
        <v>184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4</v>
      </c>
      <c r="CH284" s="1" t="s">
        <v>436</v>
      </c>
      <c r="CI284" s="1" t="s">
        <v>128</v>
      </c>
      <c r="CJ284" s="1" t="s">
        <v>130</v>
      </c>
      <c r="CK284">
        <v>1</v>
      </c>
      <c r="CL284">
        <v>2</v>
      </c>
      <c r="CM284" s="1" t="s">
        <v>483</v>
      </c>
      <c r="CN284" s="1" t="s">
        <v>516</v>
      </c>
      <c r="CO284" s="1" t="s">
        <v>437</v>
      </c>
      <c r="CP284" s="1" t="s">
        <v>403</v>
      </c>
      <c r="CS284">
        <v>1598</v>
      </c>
      <c r="CT284" s="1" t="s">
        <v>3419</v>
      </c>
      <c r="CU284">
        <v>1666</v>
      </c>
      <c r="CV284">
        <v>1642.6</v>
      </c>
      <c r="CW284">
        <v>85.5</v>
      </c>
      <c r="CX284">
        <v>84.6</v>
      </c>
      <c r="CY284">
        <v>87.6</v>
      </c>
      <c r="CZ284">
        <v>88</v>
      </c>
      <c r="DA284">
        <v>1</v>
      </c>
      <c r="DB284" t="s">
        <v>226</v>
      </c>
      <c r="DC284">
        <v>93</v>
      </c>
      <c r="DD284" s="1" t="s">
        <v>3520</v>
      </c>
      <c r="DE284">
        <v>-10.2177134785675</v>
      </c>
      <c r="DF284" t="e">
        <f>_xlfn.XLOOKUP(Table1[[#This Row],[Player ID]],Table2[feed_id],Table2[trade_status])</f>
        <v>#N/A</v>
      </c>
      <c r="DG284">
        <f>_xlfn.NUMBERVALUE(Table1[[#This Row],[predicted]])</f>
        <v>103.21771347856701</v>
      </c>
    </row>
    <row r="285" spans="1:111" hidden="1" x14ac:dyDescent="0.25">
      <c r="A285">
        <v>92645</v>
      </c>
      <c r="B285">
        <v>7459</v>
      </c>
      <c r="C285" t="s">
        <v>3516</v>
      </c>
      <c r="D285" t="s">
        <v>762</v>
      </c>
      <c r="E285">
        <v>2020</v>
      </c>
      <c r="F285">
        <v>990548</v>
      </c>
      <c r="G285" t="s">
        <v>1731</v>
      </c>
      <c r="H285" t="s">
        <v>2193</v>
      </c>
      <c r="I285" t="s">
        <v>152</v>
      </c>
      <c r="J285">
        <v>2</v>
      </c>
      <c r="K285">
        <v>43</v>
      </c>
      <c r="L285">
        <v>56</v>
      </c>
      <c r="M285">
        <v>21</v>
      </c>
      <c r="N285">
        <v>33</v>
      </c>
      <c r="O285">
        <v>46</v>
      </c>
      <c r="P285">
        <v>8</v>
      </c>
      <c r="Q285">
        <v>5</v>
      </c>
      <c r="R285">
        <v>0</v>
      </c>
      <c r="S285">
        <v>1</v>
      </c>
      <c r="T285">
        <v>2</v>
      </c>
      <c r="U285">
        <v>1</v>
      </c>
      <c r="V285">
        <v>0</v>
      </c>
      <c r="W285">
        <v>0</v>
      </c>
      <c r="X285">
        <v>2</v>
      </c>
      <c r="Y285" t="s">
        <v>113</v>
      </c>
      <c r="Z285" t="s">
        <v>656</v>
      </c>
      <c r="AA285" t="s">
        <v>3521</v>
      </c>
      <c r="AH285" t="s">
        <v>155</v>
      </c>
      <c r="AI285">
        <v>43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S285">
        <v>8</v>
      </c>
      <c r="AT285">
        <v>3</v>
      </c>
      <c r="AU285">
        <v>2</v>
      </c>
      <c r="AV285">
        <v>38</v>
      </c>
      <c r="AW285">
        <v>79</v>
      </c>
      <c r="AX285">
        <v>284</v>
      </c>
      <c r="AZ285" t="b">
        <v>0</v>
      </c>
      <c r="BA285">
        <v>1762</v>
      </c>
      <c r="BB285">
        <v>1495</v>
      </c>
      <c r="BC285">
        <v>21</v>
      </c>
      <c r="BD285" t="s">
        <v>3519</v>
      </c>
      <c r="BE285">
        <v>103</v>
      </c>
      <c r="BF285">
        <v>0</v>
      </c>
      <c r="BG285">
        <v>71.5</v>
      </c>
      <c r="BH285">
        <v>0</v>
      </c>
      <c r="BI285">
        <v>4</v>
      </c>
      <c r="BJ285">
        <v>5.6</v>
      </c>
      <c r="BK285" s="1" t="s">
        <v>125</v>
      </c>
      <c r="BL285">
        <v>3.6</v>
      </c>
      <c r="BM285" s="1" t="s">
        <v>129</v>
      </c>
      <c r="BN285" s="1" t="s">
        <v>169</v>
      </c>
      <c r="BO285">
        <v>2</v>
      </c>
      <c r="BP285">
        <v>2.4</v>
      </c>
      <c r="BQ285" s="1" t="s">
        <v>128</v>
      </c>
      <c r="BR285" s="1" t="s">
        <v>213</v>
      </c>
      <c r="BS285" s="1" t="s">
        <v>129</v>
      </c>
      <c r="BT285" s="1" t="s">
        <v>130</v>
      </c>
      <c r="BU285">
        <v>0</v>
      </c>
      <c r="BV285">
        <v>0.6</v>
      </c>
      <c r="BW285">
        <v>0</v>
      </c>
      <c r="BX285">
        <v>0.2</v>
      </c>
      <c r="BY285" s="1" t="s">
        <v>126</v>
      </c>
      <c r="BZ285">
        <v>0.4</v>
      </c>
      <c r="CA285">
        <v>0</v>
      </c>
      <c r="CB285" s="1" t="s">
        <v>3522</v>
      </c>
      <c r="CC285">
        <v>0</v>
      </c>
      <c r="CD285" s="1" t="s">
        <v>3523</v>
      </c>
      <c r="CE285">
        <v>0</v>
      </c>
      <c r="CF285" s="1" t="s">
        <v>3524</v>
      </c>
      <c r="CG285" s="1" t="s">
        <v>160</v>
      </c>
      <c r="CH285" s="1" t="s">
        <v>436</v>
      </c>
      <c r="CI285" s="1" t="s">
        <v>126</v>
      </c>
      <c r="CJ285" s="1" t="s">
        <v>129</v>
      </c>
      <c r="CK285" s="1" t="s">
        <v>128</v>
      </c>
      <c r="CL285" s="1" t="s">
        <v>304</v>
      </c>
      <c r="CM285" s="1" t="s">
        <v>2742</v>
      </c>
      <c r="CN285" s="1" t="s">
        <v>3525</v>
      </c>
      <c r="CO285" s="1" t="s">
        <v>215</v>
      </c>
      <c r="CP285" s="1" t="s">
        <v>406</v>
      </c>
      <c r="CQ285" s="1" t="s">
        <v>3526</v>
      </c>
      <c r="CS285" s="1" t="s">
        <v>2011</v>
      </c>
      <c r="CT285">
        <v>1505.8</v>
      </c>
      <c r="CU285" s="1" t="s">
        <v>3527</v>
      </c>
      <c r="CV285" s="1" t="s">
        <v>3528</v>
      </c>
      <c r="CW285">
        <v>52.6</v>
      </c>
      <c r="CX285">
        <v>44.8</v>
      </c>
      <c r="CY285">
        <v>40.4</v>
      </c>
      <c r="CZ285">
        <v>43</v>
      </c>
      <c r="DA285">
        <v>1</v>
      </c>
      <c r="DB285" t="s">
        <v>656</v>
      </c>
      <c r="DC285">
        <v>56</v>
      </c>
      <c r="DD285" s="1" t="s">
        <v>3529</v>
      </c>
      <c r="DE285">
        <v>-2.2737489046020198</v>
      </c>
      <c r="DF285" t="e">
        <f>_xlfn.XLOOKUP(Table1[[#This Row],[Player ID]],Table2[feed_id],Table2[trade_status])</f>
        <v>#N/A</v>
      </c>
      <c r="DG285">
        <f>_xlfn.NUMBERVALUE(Table1[[#This Row],[predicted]])</f>
        <v>58.273748904602002</v>
      </c>
    </row>
    <row r="286" spans="1:111" hidden="1" x14ac:dyDescent="0.25">
      <c r="A286">
        <v>92694</v>
      </c>
      <c r="B286">
        <v>7461</v>
      </c>
      <c r="C286" t="s">
        <v>3530</v>
      </c>
      <c r="D286" t="s">
        <v>810</v>
      </c>
      <c r="E286">
        <v>2020</v>
      </c>
      <c r="F286">
        <v>261911</v>
      </c>
      <c r="G286" t="s">
        <v>828</v>
      </c>
      <c r="H286" t="s">
        <v>3531</v>
      </c>
      <c r="I286" t="s">
        <v>425</v>
      </c>
      <c r="J286">
        <v>20</v>
      </c>
      <c r="K286">
        <v>88</v>
      </c>
      <c r="L286">
        <v>109</v>
      </c>
      <c r="M286">
        <v>118</v>
      </c>
      <c r="N286">
        <v>62</v>
      </c>
      <c r="O286">
        <v>87</v>
      </c>
      <c r="P286">
        <v>12</v>
      </c>
      <c r="Q286">
        <v>6</v>
      </c>
      <c r="R286">
        <v>4</v>
      </c>
      <c r="S286">
        <v>7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113</v>
      </c>
      <c r="Z286" t="s">
        <v>114</v>
      </c>
      <c r="AA286" t="s">
        <v>3532</v>
      </c>
      <c r="AB286" t="s">
        <v>525</v>
      </c>
      <c r="AC286" t="s">
        <v>3533</v>
      </c>
      <c r="AH286" t="s">
        <v>118</v>
      </c>
      <c r="AI286">
        <v>7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S286">
        <v>4</v>
      </c>
      <c r="AT286">
        <v>3</v>
      </c>
      <c r="AU286">
        <v>1</v>
      </c>
      <c r="AV286">
        <v>66</v>
      </c>
      <c r="AW286">
        <v>76</v>
      </c>
      <c r="AX286">
        <v>399</v>
      </c>
      <c r="AZ286" t="b">
        <v>1</v>
      </c>
      <c r="BA286">
        <v>1540</v>
      </c>
      <c r="BB286">
        <v>1724</v>
      </c>
      <c r="BC286">
        <v>22</v>
      </c>
      <c r="BD286" t="s">
        <v>3534</v>
      </c>
      <c r="BE286">
        <v>97</v>
      </c>
      <c r="BF286">
        <v>1</v>
      </c>
      <c r="BG286">
        <v>74.5</v>
      </c>
      <c r="BH286">
        <v>1</v>
      </c>
      <c r="BI286" s="1" t="s">
        <v>1008</v>
      </c>
      <c r="BJ286" s="1" t="s">
        <v>396</v>
      </c>
      <c r="BK286" s="1" t="s">
        <v>397</v>
      </c>
      <c r="BL286" s="1" t="s">
        <v>416</v>
      </c>
      <c r="BM286" s="1" t="s">
        <v>138</v>
      </c>
      <c r="BN286" s="1" t="s">
        <v>321</v>
      </c>
      <c r="BO286">
        <v>4</v>
      </c>
      <c r="BP286" s="1" t="s">
        <v>189</v>
      </c>
      <c r="BQ286">
        <v>0</v>
      </c>
      <c r="BR286">
        <v>0</v>
      </c>
      <c r="BS286" s="1" t="s">
        <v>129</v>
      </c>
      <c r="BT286" s="1" t="s">
        <v>127</v>
      </c>
      <c r="BU286" s="1" t="s">
        <v>128</v>
      </c>
      <c r="BV286">
        <v>0.6</v>
      </c>
      <c r="BW286" s="1" t="s">
        <v>126</v>
      </c>
      <c r="BX286" s="1" t="s">
        <v>130</v>
      </c>
      <c r="BY286" s="1" t="s">
        <v>126</v>
      </c>
      <c r="BZ286" s="1" t="s">
        <v>162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 s="1" t="s">
        <v>204</v>
      </c>
      <c r="CH286">
        <v>6</v>
      </c>
      <c r="CI286" s="1" t="s">
        <v>126</v>
      </c>
      <c r="CJ286">
        <v>1</v>
      </c>
      <c r="CK286" s="1" t="s">
        <v>169</v>
      </c>
      <c r="CL286">
        <v>2.8</v>
      </c>
      <c r="CM286" s="1" t="s">
        <v>1316</v>
      </c>
      <c r="CN286" s="1" t="s">
        <v>1725</v>
      </c>
      <c r="CO286" s="1" t="s">
        <v>406</v>
      </c>
      <c r="CP286" s="1" t="s">
        <v>3535</v>
      </c>
      <c r="CQ286" s="1" t="s">
        <v>3536</v>
      </c>
      <c r="CS286">
        <v>1651</v>
      </c>
      <c r="CT286" s="1" t="s">
        <v>3537</v>
      </c>
      <c r="CU286">
        <v>1612</v>
      </c>
      <c r="CV286" s="1" t="s">
        <v>3538</v>
      </c>
      <c r="CW286">
        <v>80.45</v>
      </c>
      <c r="CX286">
        <v>75.599999999999994</v>
      </c>
      <c r="CY286">
        <v>79.8</v>
      </c>
      <c r="CZ286" s="1" t="s">
        <v>3539</v>
      </c>
      <c r="DA286">
        <v>1</v>
      </c>
      <c r="DB286" t="s">
        <v>114</v>
      </c>
      <c r="DC286">
        <v>109</v>
      </c>
      <c r="DD286" s="1" t="s">
        <v>3540</v>
      </c>
      <c r="DE286" s="1" t="s">
        <v>3541</v>
      </c>
      <c r="DF286" t="e">
        <f>_xlfn.XLOOKUP(Table1[[#This Row],[Player ID]],Table2[feed_id],Table2[trade_status])</f>
        <v>#N/A</v>
      </c>
      <c r="DG286">
        <f>_xlfn.NUMBERVALUE(Table1[[#This Row],[predicted]])</f>
        <v>62.220284292944697</v>
      </c>
    </row>
    <row r="287" spans="1:111" hidden="1" x14ac:dyDescent="0.25">
      <c r="A287">
        <v>92752</v>
      </c>
      <c r="B287">
        <v>7462</v>
      </c>
      <c r="C287" t="s">
        <v>3542</v>
      </c>
      <c r="D287" t="s">
        <v>810</v>
      </c>
      <c r="E287">
        <v>2020</v>
      </c>
      <c r="F287">
        <v>293479</v>
      </c>
      <c r="G287" t="s">
        <v>2273</v>
      </c>
      <c r="H287" t="s">
        <v>3543</v>
      </c>
      <c r="I287" t="s">
        <v>201</v>
      </c>
      <c r="J287">
        <v>4</v>
      </c>
      <c r="K287">
        <v>37</v>
      </c>
      <c r="L287">
        <v>46</v>
      </c>
      <c r="M287">
        <v>45</v>
      </c>
      <c r="N287">
        <v>33</v>
      </c>
      <c r="O287">
        <v>48</v>
      </c>
      <c r="P287">
        <v>2</v>
      </c>
      <c r="Q287">
        <v>10</v>
      </c>
      <c r="R287">
        <v>2</v>
      </c>
      <c r="S287">
        <v>2</v>
      </c>
      <c r="T287">
        <v>0</v>
      </c>
      <c r="U287">
        <v>0</v>
      </c>
      <c r="V287">
        <v>1</v>
      </c>
      <c r="W287">
        <v>0</v>
      </c>
      <c r="X287">
        <v>0</v>
      </c>
      <c r="Y287" t="s">
        <v>113</v>
      </c>
      <c r="Z287" t="s">
        <v>987</v>
      </c>
      <c r="AA287" t="s">
        <v>3544</v>
      </c>
      <c r="AH287" t="s">
        <v>118</v>
      </c>
      <c r="AI287">
        <v>28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S287">
        <v>8</v>
      </c>
      <c r="AT287">
        <v>3</v>
      </c>
      <c r="AU287">
        <v>3</v>
      </c>
      <c r="AV287">
        <v>58</v>
      </c>
      <c r="AW287">
        <v>81</v>
      </c>
      <c r="AX287">
        <v>58</v>
      </c>
      <c r="AZ287" t="b">
        <v>0</v>
      </c>
      <c r="BA287">
        <v>1820</v>
      </c>
      <c r="BB287">
        <v>1435</v>
      </c>
      <c r="BC287">
        <v>22</v>
      </c>
      <c r="BD287" t="s">
        <v>3545</v>
      </c>
      <c r="BE287">
        <v>97</v>
      </c>
      <c r="BF287">
        <v>0</v>
      </c>
      <c r="BG287">
        <v>74.5</v>
      </c>
      <c r="BH287">
        <v>0</v>
      </c>
      <c r="BI287">
        <v>4</v>
      </c>
      <c r="BJ287" s="1" t="s">
        <v>729</v>
      </c>
      <c r="BK287" s="1" t="s">
        <v>183</v>
      </c>
      <c r="BL287" s="1" t="s">
        <v>1239</v>
      </c>
      <c r="BM287">
        <v>1</v>
      </c>
      <c r="BN287" s="1" t="s">
        <v>322</v>
      </c>
      <c r="BO287">
        <v>3</v>
      </c>
      <c r="BP287">
        <v>3.8</v>
      </c>
      <c r="BQ287">
        <v>0</v>
      </c>
      <c r="BR287">
        <v>0</v>
      </c>
      <c r="BS287" s="1" t="s">
        <v>129</v>
      </c>
      <c r="BT287" s="1" t="s">
        <v>130</v>
      </c>
      <c r="BU287" s="1" t="s">
        <v>128</v>
      </c>
      <c r="BV287" s="1" t="s">
        <v>128</v>
      </c>
      <c r="BW287" s="1" t="s">
        <v>129</v>
      </c>
      <c r="BX287" s="1" t="s">
        <v>129</v>
      </c>
      <c r="BY287">
        <v>0</v>
      </c>
      <c r="BZ287" s="1" t="s">
        <v>184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8</v>
      </c>
      <c r="CH287">
        <v>8.8000000000000007</v>
      </c>
      <c r="CI287">
        <v>2</v>
      </c>
      <c r="CJ287" s="1" t="s">
        <v>587</v>
      </c>
      <c r="CK287" s="1" t="s">
        <v>161</v>
      </c>
      <c r="CL287" s="1" t="s">
        <v>566</v>
      </c>
      <c r="CM287">
        <v>56</v>
      </c>
      <c r="CN287" s="1" t="s">
        <v>3123</v>
      </c>
      <c r="CO287">
        <v>74</v>
      </c>
      <c r="CP287">
        <v>70.400000000000006</v>
      </c>
      <c r="CQ287" s="1" t="s">
        <v>3478</v>
      </c>
      <c r="CS287" s="1" t="s">
        <v>3218</v>
      </c>
      <c r="CT287" s="1" t="s">
        <v>3546</v>
      </c>
      <c r="CU287" s="1" t="s">
        <v>2080</v>
      </c>
      <c r="CV287">
        <v>1552.6</v>
      </c>
      <c r="CW287">
        <v>79.150000000000006</v>
      </c>
      <c r="CX287">
        <v>65.2</v>
      </c>
      <c r="CY287">
        <v>54.2</v>
      </c>
      <c r="CZ287" s="1" t="s">
        <v>1012</v>
      </c>
      <c r="DA287">
        <v>1</v>
      </c>
      <c r="DB287" t="s">
        <v>987</v>
      </c>
      <c r="DC287">
        <v>46</v>
      </c>
      <c r="DD287">
        <v>89.183599634585605</v>
      </c>
      <c r="DE287">
        <v>-43.183599634585597</v>
      </c>
      <c r="DF287" t="e">
        <f>_xlfn.XLOOKUP(Table1[[#This Row],[Player ID]],Table2[feed_id],Table2[trade_status])</f>
        <v>#N/A</v>
      </c>
      <c r="DG287">
        <f>_xlfn.NUMBERVALUE(Table1[[#This Row],[predicted]])</f>
        <v>89.183599634585605</v>
      </c>
    </row>
    <row r="288" spans="1:111" hidden="1" x14ac:dyDescent="0.25">
      <c r="A288">
        <v>92817</v>
      </c>
      <c r="B288">
        <v>7463</v>
      </c>
      <c r="C288" t="s">
        <v>3547</v>
      </c>
      <c r="D288" t="s">
        <v>109</v>
      </c>
      <c r="E288">
        <v>2020</v>
      </c>
      <c r="F288">
        <v>220001</v>
      </c>
      <c r="G288" t="s">
        <v>3548</v>
      </c>
      <c r="H288" t="s">
        <v>3549</v>
      </c>
      <c r="I288" t="s">
        <v>1061</v>
      </c>
      <c r="J288">
        <v>2</v>
      </c>
      <c r="K288">
        <v>35</v>
      </c>
      <c r="L288">
        <v>54</v>
      </c>
      <c r="M288">
        <v>26</v>
      </c>
      <c r="N288">
        <v>29</v>
      </c>
      <c r="O288">
        <v>42</v>
      </c>
      <c r="P288">
        <v>4</v>
      </c>
      <c r="Q288">
        <v>8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 t="s">
        <v>113</v>
      </c>
      <c r="Z288" t="s">
        <v>1757</v>
      </c>
      <c r="AA288" t="s">
        <v>3550</v>
      </c>
      <c r="AB288" t="s">
        <v>525</v>
      </c>
      <c r="AC288" t="s">
        <v>2703</v>
      </c>
      <c r="AH288" t="s">
        <v>118</v>
      </c>
      <c r="AI288">
        <v>4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S288">
        <v>4</v>
      </c>
      <c r="AT288">
        <v>1</v>
      </c>
      <c r="AU288">
        <v>0</v>
      </c>
      <c r="AV288">
        <v>66</v>
      </c>
      <c r="AW288">
        <v>71</v>
      </c>
      <c r="AX288">
        <v>185</v>
      </c>
      <c r="AZ288" t="b">
        <v>1</v>
      </c>
      <c r="BA288">
        <v>1721</v>
      </c>
      <c r="BB288">
        <v>1539</v>
      </c>
      <c r="BC288">
        <v>23</v>
      </c>
      <c r="BD288" t="s">
        <v>3551</v>
      </c>
      <c r="BE288">
        <v>99.6</v>
      </c>
      <c r="BF288">
        <v>0</v>
      </c>
      <c r="BG288">
        <v>68</v>
      </c>
      <c r="BH288">
        <v>0</v>
      </c>
      <c r="BI288" s="1" t="s">
        <v>449</v>
      </c>
      <c r="BJ288">
        <v>8.4</v>
      </c>
      <c r="BK288" s="1" t="s">
        <v>204</v>
      </c>
      <c r="BL288">
        <v>7</v>
      </c>
      <c r="BM288" s="1" t="s">
        <v>159</v>
      </c>
      <c r="BN288">
        <v>2.2000000000000002</v>
      </c>
      <c r="BO288">
        <v>2</v>
      </c>
      <c r="BP288" s="1" t="s">
        <v>373</v>
      </c>
      <c r="BQ288">
        <v>0</v>
      </c>
      <c r="BR288">
        <v>0</v>
      </c>
      <c r="BS288">
        <v>0</v>
      </c>
      <c r="BT288" s="1" t="s">
        <v>238</v>
      </c>
      <c r="BU288" s="1" t="s">
        <v>129</v>
      </c>
      <c r="BV288">
        <v>1.2</v>
      </c>
      <c r="BW288" s="1" t="s">
        <v>128</v>
      </c>
      <c r="BX288" s="1" t="s">
        <v>128</v>
      </c>
      <c r="BY288">
        <v>1</v>
      </c>
      <c r="BZ288" s="1" t="s">
        <v>128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 s="1" t="s">
        <v>160</v>
      </c>
      <c r="CH288">
        <v>6.8</v>
      </c>
      <c r="CI288" s="1" t="s">
        <v>161</v>
      </c>
      <c r="CJ288" s="1" t="s">
        <v>126</v>
      </c>
      <c r="CK288" s="1" t="s">
        <v>128</v>
      </c>
      <c r="CL288" s="1" t="s">
        <v>528</v>
      </c>
      <c r="CM288" s="1" t="s">
        <v>1080</v>
      </c>
      <c r="CN288" s="1" t="s">
        <v>3552</v>
      </c>
      <c r="CO288" s="1" t="s">
        <v>215</v>
      </c>
      <c r="CP288" s="1" t="s">
        <v>268</v>
      </c>
      <c r="CQ288" s="1" t="s">
        <v>3323</v>
      </c>
      <c r="CS288" s="1" t="s">
        <v>3553</v>
      </c>
      <c r="CT288" s="1" t="s">
        <v>3554</v>
      </c>
      <c r="CU288">
        <v>1424</v>
      </c>
      <c r="CV288">
        <v>1545</v>
      </c>
      <c r="CW288">
        <v>85.15</v>
      </c>
      <c r="CX288">
        <v>73.8</v>
      </c>
      <c r="CY288">
        <v>77.2</v>
      </c>
      <c r="CZ288" s="1" t="s">
        <v>610</v>
      </c>
      <c r="DA288">
        <v>1</v>
      </c>
      <c r="DB288" t="s">
        <v>1757</v>
      </c>
      <c r="DC288">
        <v>54</v>
      </c>
      <c r="DD288" s="1" t="s">
        <v>3555</v>
      </c>
      <c r="DE288">
        <v>-25.4380737940843</v>
      </c>
      <c r="DF288" t="e">
        <f>_xlfn.XLOOKUP(Table1[[#This Row],[Player ID]],Table2[feed_id],Table2[trade_status])</f>
        <v>#N/A</v>
      </c>
      <c r="DG288">
        <f>_xlfn.NUMBERVALUE(Table1[[#This Row],[predicted]])</f>
        <v>79.438073794084303</v>
      </c>
    </row>
    <row r="289" spans="1:111" hidden="1" x14ac:dyDescent="0.25">
      <c r="A289">
        <v>92822</v>
      </c>
      <c r="B289">
        <v>7463</v>
      </c>
      <c r="C289" t="s">
        <v>3547</v>
      </c>
      <c r="D289" t="s">
        <v>109</v>
      </c>
      <c r="E289">
        <v>2020</v>
      </c>
      <c r="F289">
        <v>261497</v>
      </c>
      <c r="G289" t="s">
        <v>2192</v>
      </c>
      <c r="H289" t="s">
        <v>1422</v>
      </c>
      <c r="I289" t="s">
        <v>1061</v>
      </c>
      <c r="J289">
        <v>1</v>
      </c>
      <c r="K289">
        <v>17</v>
      </c>
      <c r="L289">
        <v>48</v>
      </c>
      <c r="M289">
        <v>16</v>
      </c>
      <c r="N289">
        <v>16</v>
      </c>
      <c r="O289">
        <v>24</v>
      </c>
      <c r="P289">
        <v>1</v>
      </c>
      <c r="Q289">
        <v>6</v>
      </c>
      <c r="R289">
        <v>0</v>
      </c>
      <c r="S289">
        <v>1</v>
      </c>
      <c r="T289">
        <v>0</v>
      </c>
      <c r="U289">
        <v>1</v>
      </c>
      <c r="V289">
        <v>1</v>
      </c>
      <c r="W289">
        <v>0</v>
      </c>
      <c r="X289">
        <v>0</v>
      </c>
      <c r="Y289" t="s">
        <v>113</v>
      </c>
      <c r="Z289" t="s">
        <v>179</v>
      </c>
      <c r="AA289" t="s">
        <v>3556</v>
      </c>
      <c r="AH289" t="s">
        <v>181</v>
      </c>
      <c r="AI289">
        <v>7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S289">
        <v>6</v>
      </c>
      <c r="AT289">
        <v>0</v>
      </c>
      <c r="AU289">
        <v>3</v>
      </c>
      <c r="AV289">
        <v>57</v>
      </c>
      <c r="AW289">
        <v>92</v>
      </c>
      <c r="AX289">
        <v>36</v>
      </c>
      <c r="AZ289" t="b">
        <v>0</v>
      </c>
      <c r="BA289">
        <v>1721</v>
      </c>
      <c r="BB289">
        <v>1539</v>
      </c>
      <c r="BC289">
        <v>23</v>
      </c>
      <c r="BD289" t="s">
        <v>3551</v>
      </c>
      <c r="BE289">
        <v>99.6</v>
      </c>
      <c r="BF289">
        <v>0</v>
      </c>
      <c r="BG289">
        <v>68</v>
      </c>
      <c r="BH289">
        <v>0</v>
      </c>
      <c r="BI289">
        <v>4</v>
      </c>
      <c r="BJ289">
        <v>6.4</v>
      </c>
      <c r="BK289">
        <v>3</v>
      </c>
      <c r="BL289" s="1" t="s">
        <v>125</v>
      </c>
      <c r="BM289" s="1" t="s">
        <v>159</v>
      </c>
      <c r="BN289" s="1" t="s">
        <v>766</v>
      </c>
      <c r="BO289" s="1" t="s">
        <v>128</v>
      </c>
      <c r="BP289" s="1" t="s">
        <v>327</v>
      </c>
      <c r="BQ289">
        <v>0</v>
      </c>
      <c r="BR289">
        <v>6.6666666666666596E-2</v>
      </c>
      <c r="BS289" s="1" t="s">
        <v>128</v>
      </c>
      <c r="BT289" s="1" t="s">
        <v>128</v>
      </c>
      <c r="BU289" s="1" t="s">
        <v>128</v>
      </c>
      <c r="BV289" s="1" t="s">
        <v>238</v>
      </c>
      <c r="BW289">
        <v>0</v>
      </c>
      <c r="BX289">
        <v>6.6666666666666596E-2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3</v>
      </c>
      <c r="CH289">
        <v>3.8</v>
      </c>
      <c r="CI289">
        <v>0</v>
      </c>
      <c r="CJ289">
        <v>0</v>
      </c>
      <c r="CK289" s="1" t="s">
        <v>126</v>
      </c>
      <c r="CL289" s="1" t="s">
        <v>206</v>
      </c>
      <c r="CM289" s="1" t="s">
        <v>1406</v>
      </c>
      <c r="CN289" s="1" t="s">
        <v>3557</v>
      </c>
      <c r="CO289" s="1" t="s">
        <v>630</v>
      </c>
      <c r="CP289" s="1" t="s">
        <v>3558</v>
      </c>
      <c r="CQ289" s="1" t="s">
        <v>1166</v>
      </c>
      <c r="CR289">
        <v>92.8</v>
      </c>
      <c r="CS289" s="1" t="s">
        <v>3553</v>
      </c>
      <c r="CT289" s="1" t="s">
        <v>3559</v>
      </c>
      <c r="CU289">
        <v>1424</v>
      </c>
      <c r="CV289">
        <v>1474.6</v>
      </c>
      <c r="CW289">
        <v>62.9</v>
      </c>
      <c r="CX289">
        <v>60.5</v>
      </c>
      <c r="CY289">
        <v>51.6</v>
      </c>
      <c r="CZ289" s="1" t="s">
        <v>2765</v>
      </c>
      <c r="DA289">
        <v>1</v>
      </c>
      <c r="DB289" t="s">
        <v>179</v>
      </c>
      <c r="DC289">
        <v>48</v>
      </c>
      <c r="DD289" s="1" t="s">
        <v>3560</v>
      </c>
      <c r="DE289">
        <v>-1.28537119501163</v>
      </c>
      <c r="DF289" t="e">
        <f>_xlfn.XLOOKUP(Table1[[#This Row],[Player ID]],Table2[feed_id],Table2[trade_status])</f>
        <v>#N/A</v>
      </c>
      <c r="DG289">
        <f>_xlfn.NUMBERVALUE(Table1[[#This Row],[predicted]])</f>
        <v>49.285371195011599</v>
      </c>
    </row>
    <row r="290" spans="1:111" hidden="1" x14ac:dyDescent="0.25">
      <c r="A290">
        <v>93000</v>
      </c>
      <c r="B290">
        <v>7604</v>
      </c>
      <c r="C290" t="s">
        <v>3561</v>
      </c>
      <c r="D290" t="s">
        <v>1893</v>
      </c>
      <c r="E290">
        <v>2021</v>
      </c>
      <c r="F290">
        <v>294828</v>
      </c>
      <c r="G290" t="s">
        <v>1318</v>
      </c>
      <c r="H290" t="s">
        <v>3562</v>
      </c>
      <c r="I290" t="s">
        <v>1061</v>
      </c>
      <c r="J290">
        <v>3</v>
      </c>
      <c r="K290">
        <v>35</v>
      </c>
      <c r="L290">
        <v>43</v>
      </c>
      <c r="M290">
        <v>26</v>
      </c>
      <c r="N290">
        <v>30</v>
      </c>
      <c r="O290">
        <v>41</v>
      </c>
      <c r="P290">
        <v>5</v>
      </c>
      <c r="Q290">
        <v>3</v>
      </c>
      <c r="R290">
        <v>2</v>
      </c>
      <c r="S290">
        <v>2</v>
      </c>
      <c r="T290">
        <v>3</v>
      </c>
      <c r="U290">
        <v>1</v>
      </c>
      <c r="V290">
        <v>2</v>
      </c>
      <c r="W290">
        <v>0</v>
      </c>
      <c r="X290">
        <v>2</v>
      </c>
      <c r="Y290" t="s">
        <v>113</v>
      </c>
      <c r="Z290" t="s">
        <v>656</v>
      </c>
      <c r="AA290" t="s">
        <v>3563</v>
      </c>
      <c r="AD290">
        <v>471500</v>
      </c>
      <c r="AF290">
        <v>371200</v>
      </c>
      <c r="AH290" t="s">
        <v>155</v>
      </c>
      <c r="AI290">
        <v>11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561000</v>
      </c>
      <c r="AS290">
        <v>5</v>
      </c>
      <c r="AT290">
        <v>1</v>
      </c>
      <c r="AU290">
        <v>4</v>
      </c>
      <c r="AV290">
        <v>50</v>
      </c>
      <c r="AW290">
        <v>72</v>
      </c>
      <c r="AX290">
        <v>187</v>
      </c>
      <c r="AZ290" t="b">
        <v>0</v>
      </c>
      <c r="BA290">
        <v>1686</v>
      </c>
      <c r="BB290">
        <v>1596</v>
      </c>
      <c r="BC290">
        <v>2</v>
      </c>
      <c r="BD290" t="s">
        <v>3564</v>
      </c>
      <c r="BE290">
        <v>97</v>
      </c>
      <c r="BF290">
        <v>0</v>
      </c>
      <c r="BG290">
        <v>72</v>
      </c>
      <c r="BH290">
        <v>0</v>
      </c>
      <c r="BI290">
        <v>6</v>
      </c>
      <c r="BJ290">
        <v>9</v>
      </c>
      <c r="BK290" s="1" t="s">
        <v>138</v>
      </c>
      <c r="BL290" s="1" t="s">
        <v>125</v>
      </c>
      <c r="BM290" s="1" t="s">
        <v>169</v>
      </c>
      <c r="BN290" s="1" t="s">
        <v>752</v>
      </c>
      <c r="BO290" s="1" t="s">
        <v>138</v>
      </c>
      <c r="BP290" s="1" t="s">
        <v>304</v>
      </c>
      <c r="BQ290" s="1" t="s">
        <v>397</v>
      </c>
      <c r="BR290">
        <v>5.4</v>
      </c>
      <c r="BS290" s="1" t="s">
        <v>126</v>
      </c>
      <c r="BT290" s="1" t="s">
        <v>126</v>
      </c>
      <c r="BU290">
        <v>1</v>
      </c>
      <c r="BV290" s="1" t="s">
        <v>130</v>
      </c>
      <c r="BW290" s="1" t="s">
        <v>129</v>
      </c>
      <c r="BX290" s="1" t="s">
        <v>214</v>
      </c>
      <c r="BY290" s="1" t="s">
        <v>126</v>
      </c>
      <c r="BZ290" s="1" t="s">
        <v>206</v>
      </c>
      <c r="CA290">
        <v>0</v>
      </c>
      <c r="CB290">
        <v>0</v>
      </c>
      <c r="CC290">
        <v>0</v>
      </c>
      <c r="CD290">
        <v>0</v>
      </c>
      <c r="CE290">
        <v>0</v>
      </c>
      <c r="CF290" s="1" t="s">
        <v>3565</v>
      </c>
      <c r="CG290" s="1" t="s">
        <v>124</v>
      </c>
      <c r="CH290" s="1" t="s">
        <v>963</v>
      </c>
      <c r="CI290">
        <v>1</v>
      </c>
      <c r="CJ290" s="1" t="s">
        <v>130</v>
      </c>
      <c r="CK290" s="1" t="s">
        <v>161</v>
      </c>
      <c r="CL290" s="1" t="s">
        <v>375</v>
      </c>
      <c r="CM290">
        <v>49</v>
      </c>
      <c r="CN290">
        <v>59.8</v>
      </c>
      <c r="CO290">
        <v>83</v>
      </c>
      <c r="CP290" s="1" t="s">
        <v>1273</v>
      </c>
      <c r="CS290">
        <v>1687</v>
      </c>
      <c r="CT290" s="1" t="s">
        <v>3566</v>
      </c>
      <c r="CU290" s="1" t="s">
        <v>769</v>
      </c>
      <c r="CV290" s="1" t="s">
        <v>3567</v>
      </c>
      <c r="CW290">
        <v>77.900000000000006</v>
      </c>
      <c r="CX290">
        <v>69</v>
      </c>
      <c r="CY290">
        <v>69.599999999999994</v>
      </c>
      <c r="CZ290" s="1" t="s">
        <v>759</v>
      </c>
      <c r="DA290">
        <v>1</v>
      </c>
      <c r="DB290" t="s">
        <v>656</v>
      </c>
      <c r="DC290">
        <v>43</v>
      </c>
      <c r="DD290" s="1" t="s">
        <v>3568</v>
      </c>
      <c r="DE290">
        <v>-31.307180954647201</v>
      </c>
      <c r="DF290" t="e">
        <f>_xlfn.XLOOKUP(Table1[[#This Row],[Player ID]],Table2[feed_id],Table2[trade_status])</f>
        <v>#N/A</v>
      </c>
      <c r="DG290">
        <f>_xlfn.NUMBERVALUE(Table1[[#This Row],[predicted]])</f>
        <v>74.307180954647194</v>
      </c>
    </row>
    <row r="291" spans="1:111" hidden="1" x14ac:dyDescent="0.25">
      <c r="A291">
        <v>93385</v>
      </c>
      <c r="B291">
        <v>7613</v>
      </c>
      <c r="C291" t="s">
        <v>3569</v>
      </c>
      <c r="D291" t="s">
        <v>422</v>
      </c>
      <c r="E291">
        <v>2021</v>
      </c>
      <c r="F291">
        <v>270919</v>
      </c>
      <c r="G291" t="s">
        <v>776</v>
      </c>
      <c r="H291" t="s">
        <v>3570</v>
      </c>
      <c r="I291" t="s">
        <v>425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113</v>
      </c>
      <c r="Z291" t="s">
        <v>3571</v>
      </c>
      <c r="AA291" t="s">
        <v>3572</v>
      </c>
      <c r="AD291">
        <v>518400</v>
      </c>
      <c r="AH291" t="s">
        <v>118</v>
      </c>
      <c r="AI291">
        <v>11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600000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Z291" t="b">
        <v>0</v>
      </c>
      <c r="BA291">
        <v>1385</v>
      </c>
      <c r="BB291">
        <v>1911</v>
      </c>
      <c r="BC291">
        <v>3</v>
      </c>
      <c r="BD291" t="s">
        <v>3573</v>
      </c>
      <c r="BE291">
        <v>97</v>
      </c>
      <c r="BF291">
        <v>0</v>
      </c>
      <c r="BG291">
        <v>72</v>
      </c>
      <c r="BH291">
        <v>0</v>
      </c>
      <c r="BI291">
        <v>7</v>
      </c>
      <c r="BJ291" s="1" t="s">
        <v>342</v>
      </c>
      <c r="BK291">
        <v>7</v>
      </c>
      <c r="BL291" s="1" t="s">
        <v>1761</v>
      </c>
      <c r="BM291" s="1" t="s">
        <v>129</v>
      </c>
      <c r="BN291">
        <v>2</v>
      </c>
      <c r="BO291" s="1" t="s">
        <v>160</v>
      </c>
      <c r="BP291" s="1" t="s">
        <v>898</v>
      </c>
      <c r="BQ291">
        <v>0</v>
      </c>
      <c r="BR291">
        <v>0</v>
      </c>
      <c r="BS291" s="1" t="s">
        <v>126</v>
      </c>
      <c r="BT291" s="1" t="s">
        <v>127</v>
      </c>
      <c r="BU291" s="1" t="s">
        <v>129</v>
      </c>
      <c r="BV291">
        <v>0.6</v>
      </c>
      <c r="BW291">
        <v>0</v>
      </c>
      <c r="BX291" s="1" t="s">
        <v>184</v>
      </c>
      <c r="BY291">
        <v>0</v>
      </c>
      <c r="BZ291">
        <v>0.2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 s="1" t="s">
        <v>183</v>
      </c>
      <c r="CH291">
        <v>8.6</v>
      </c>
      <c r="CI291">
        <v>3</v>
      </c>
      <c r="CJ291">
        <v>3.8</v>
      </c>
      <c r="CK291" s="1" t="s">
        <v>161</v>
      </c>
      <c r="CL291" s="1" t="s">
        <v>373</v>
      </c>
      <c r="CM291">
        <v>41</v>
      </c>
      <c r="CN291">
        <v>63.6</v>
      </c>
      <c r="CO291" s="1" t="s">
        <v>1969</v>
      </c>
      <c r="CP291" s="1" t="s">
        <v>1417</v>
      </c>
      <c r="CQ291" s="1" t="s">
        <v>3574</v>
      </c>
      <c r="CR291" s="1" t="s">
        <v>3575</v>
      </c>
      <c r="CS291" s="1" t="s">
        <v>3576</v>
      </c>
      <c r="CT291" s="1" t="s">
        <v>3577</v>
      </c>
      <c r="CU291" s="1" t="s">
        <v>3312</v>
      </c>
      <c r="CV291" s="1" t="s">
        <v>3578</v>
      </c>
      <c r="CW291">
        <v>96.3</v>
      </c>
      <c r="CX291">
        <v>104.6</v>
      </c>
      <c r="CY291">
        <v>101.4</v>
      </c>
      <c r="CZ291" s="1" t="s">
        <v>215</v>
      </c>
      <c r="DA291">
        <v>1</v>
      </c>
      <c r="DB291" t="s">
        <v>3571</v>
      </c>
      <c r="DC291">
        <v>0</v>
      </c>
      <c r="DD291" s="1" t="s">
        <v>3579</v>
      </c>
      <c r="DE291">
        <v>-74.180905226710905</v>
      </c>
      <c r="DF291" t="e">
        <f>_xlfn.XLOOKUP(Table1[[#This Row],[Player ID]],Table2[feed_id],Table2[trade_status])</f>
        <v>#N/A</v>
      </c>
      <c r="DG291">
        <f>_xlfn.NUMBERVALUE(Table1[[#This Row],[predicted]])</f>
        <v>74.180905226710905</v>
      </c>
    </row>
    <row r="292" spans="1:111" hidden="1" x14ac:dyDescent="0.25">
      <c r="A292">
        <v>93494</v>
      </c>
      <c r="B292">
        <v>7615</v>
      </c>
      <c r="C292" t="s">
        <v>3580</v>
      </c>
      <c r="D292" t="s">
        <v>422</v>
      </c>
      <c r="E292">
        <v>2021</v>
      </c>
      <c r="F292">
        <v>291784</v>
      </c>
      <c r="G292" t="s">
        <v>3581</v>
      </c>
      <c r="H292" t="s">
        <v>2542</v>
      </c>
      <c r="I292" t="s">
        <v>813</v>
      </c>
      <c r="J292">
        <v>4</v>
      </c>
      <c r="K292">
        <v>47</v>
      </c>
      <c r="L292">
        <v>41</v>
      </c>
      <c r="M292">
        <v>28</v>
      </c>
      <c r="N292">
        <v>41</v>
      </c>
      <c r="O292">
        <v>54</v>
      </c>
      <c r="P292">
        <v>8</v>
      </c>
      <c r="Q292">
        <v>5</v>
      </c>
      <c r="R292">
        <v>5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 t="s">
        <v>113</v>
      </c>
      <c r="Z292" t="s">
        <v>2050</v>
      </c>
      <c r="AA292" t="s">
        <v>3582</v>
      </c>
      <c r="AB292" t="s">
        <v>877</v>
      </c>
      <c r="AC292" t="s">
        <v>3583</v>
      </c>
      <c r="AD292">
        <v>487400</v>
      </c>
      <c r="AH292" t="s">
        <v>118</v>
      </c>
      <c r="AI292">
        <v>21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556000</v>
      </c>
      <c r="AS292">
        <v>5</v>
      </c>
      <c r="AT292">
        <v>3</v>
      </c>
      <c r="AU292">
        <v>4</v>
      </c>
      <c r="AV292">
        <v>76</v>
      </c>
      <c r="AW292">
        <v>79</v>
      </c>
      <c r="AX292">
        <v>126</v>
      </c>
      <c r="AZ292" t="b">
        <v>0</v>
      </c>
      <c r="BA292">
        <v>1929</v>
      </c>
      <c r="BB292">
        <v>1366</v>
      </c>
      <c r="BC292">
        <v>3</v>
      </c>
      <c r="BD292" t="s">
        <v>3584</v>
      </c>
      <c r="BE292">
        <v>97</v>
      </c>
      <c r="BF292">
        <v>0</v>
      </c>
      <c r="BG292">
        <v>72</v>
      </c>
      <c r="BH292">
        <v>0</v>
      </c>
      <c r="BI292" s="1" t="s">
        <v>253</v>
      </c>
      <c r="BJ292">
        <v>7.8</v>
      </c>
      <c r="BK292" s="1" t="s">
        <v>545</v>
      </c>
      <c r="BL292" s="1" t="s">
        <v>356</v>
      </c>
      <c r="BM292" s="1" t="s">
        <v>124</v>
      </c>
      <c r="BN292" s="1" t="s">
        <v>189</v>
      </c>
      <c r="BO292" s="1" t="s">
        <v>161</v>
      </c>
      <c r="BP292" s="1" t="s">
        <v>528</v>
      </c>
      <c r="BQ292">
        <v>0</v>
      </c>
      <c r="BR292">
        <v>0</v>
      </c>
      <c r="BS292" s="1" t="s">
        <v>129</v>
      </c>
      <c r="BT292" s="1" t="s">
        <v>128</v>
      </c>
      <c r="BU292" s="1" t="s">
        <v>126</v>
      </c>
      <c r="BV292">
        <v>1</v>
      </c>
      <c r="BW292">
        <v>0</v>
      </c>
      <c r="BX292" s="1" t="s">
        <v>213</v>
      </c>
      <c r="BY292">
        <v>0</v>
      </c>
      <c r="BZ292" s="1" t="s">
        <v>184</v>
      </c>
      <c r="CA292">
        <v>0</v>
      </c>
      <c r="CB292">
        <v>2.4E-2</v>
      </c>
      <c r="CC292">
        <v>0</v>
      </c>
      <c r="CD292" s="1" t="s">
        <v>3092</v>
      </c>
      <c r="CE292">
        <v>0</v>
      </c>
      <c r="CF292">
        <v>9.1999999999999998E-2</v>
      </c>
      <c r="CG292">
        <v>4</v>
      </c>
      <c r="CH292" s="1" t="s">
        <v>498</v>
      </c>
      <c r="CI292">
        <v>2</v>
      </c>
      <c r="CJ292">
        <v>2.8</v>
      </c>
      <c r="CK292" s="1" t="s">
        <v>125</v>
      </c>
      <c r="CL292">
        <v>3.2</v>
      </c>
      <c r="CM292" s="1" t="s">
        <v>683</v>
      </c>
      <c r="CN292" s="1" t="s">
        <v>1472</v>
      </c>
      <c r="CO292">
        <v>70</v>
      </c>
      <c r="CP292" s="1" t="s">
        <v>2248</v>
      </c>
      <c r="CS292" s="1" t="s">
        <v>3585</v>
      </c>
      <c r="CT292" s="1" t="s">
        <v>3586</v>
      </c>
      <c r="CU292" s="1" t="s">
        <v>3194</v>
      </c>
      <c r="CV292" s="1" t="s">
        <v>3587</v>
      </c>
      <c r="CW292">
        <v>69.25</v>
      </c>
      <c r="CX292">
        <v>65.599999999999994</v>
      </c>
      <c r="CY292">
        <v>59.4</v>
      </c>
      <c r="CZ292" s="1" t="s">
        <v>1524</v>
      </c>
      <c r="DA292">
        <v>1</v>
      </c>
      <c r="DB292" t="s">
        <v>2050</v>
      </c>
      <c r="DC292">
        <v>41</v>
      </c>
      <c r="DD292" s="1" t="s">
        <v>3588</v>
      </c>
      <c r="DE292">
        <v>-29.074724658566598</v>
      </c>
      <c r="DF292" t="e">
        <f>_xlfn.XLOOKUP(Table1[[#This Row],[Player ID]],Table2[feed_id],Table2[trade_status])</f>
        <v>#N/A</v>
      </c>
      <c r="DG292">
        <f>_xlfn.NUMBERVALUE(Table1[[#This Row],[predicted]])</f>
        <v>70.074724658566595</v>
      </c>
    </row>
    <row r="293" spans="1:111" hidden="1" x14ac:dyDescent="0.25">
      <c r="A293">
        <v>94514</v>
      </c>
      <c r="B293">
        <v>7638</v>
      </c>
      <c r="C293" t="s">
        <v>3589</v>
      </c>
      <c r="D293" t="s">
        <v>3116</v>
      </c>
      <c r="E293">
        <v>2021</v>
      </c>
      <c r="F293">
        <v>270861</v>
      </c>
      <c r="G293" t="s">
        <v>3590</v>
      </c>
      <c r="H293" t="s">
        <v>3591</v>
      </c>
      <c r="I293" t="s">
        <v>112</v>
      </c>
      <c r="J293">
        <v>13</v>
      </c>
      <c r="K293">
        <v>74</v>
      </c>
      <c r="L293">
        <v>77</v>
      </c>
      <c r="M293">
        <v>47</v>
      </c>
      <c r="N293">
        <v>53</v>
      </c>
      <c r="O293">
        <v>78</v>
      </c>
      <c r="P293">
        <v>13</v>
      </c>
      <c r="Q293">
        <v>6</v>
      </c>
      <c r="R293">
        <v>2</v>
      </c>
      <c r="S293">
        <v>5</v>
      </c>
      <c r="T293">
        <v>0</v>
      </c>
      <c r="U293">
        <v>0</v>
      </c>
      <c r="V293">
        <v>1</v>
      </c>
      <c r="W293">
        <v>0</v>
      </c>
      <c r="X293">
        <v>0</v>
      </c>
      <c r="Y293" t="s">
        <v>113</v>
      </c>
      <c r="Z293" t="s">
        <v>1563</v>
      </c>
      <c r="AA293" t="s">
        <v>3592</v>
      </c>
      <c r="AH293" t="s">
        <v>118</v>
      </c>
      <c r="AI293">
        <v>19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S293">
        <v>5</v>
      </c>
      <c r="AT293">
        <v>1</v>
      </c>
      <c r="AU293">
        <v>2</v>
      </c>
      <c r="AV293">
        <v>73</v>
      </c>
      <c r="AW293">
        <v>81</v>
      </c>
      <c r="AX293">
        <v>282</v>
      </c>
      <c r="AZ293" t="b">
        <v>0</v>
      </c>
      <c r="BA293">
        <v>1876</v>
      </c>
      <c r="BB293">
        <v>1420</v>
      </c>
      <c r="BC293">
        <v>6</v>
      </c>
      <c r="BD293" t="s">
        <v>3593</v>
      </c>
      <c r="BE293" s="1" t="s">
        <v>3594</v>
      </c>
      <c r="BF293">
        <v>0</v>
      </c>
      <c r="BG293">
        <v>72</v>
      </c>
      <c r="BH293">
        <v>1</v>
      </c>
      <c r="BI293" s="1" t="s">
        <v>124</v>
      </c>
      <c r="BJ293">
        <v>7.6</v>
      </c>
      <c r="BK293">
        <v>4</v>
      </c>
      <c r="BL293">
        <v>5.4</v>
      </c>
      <c r="BM293" s="1" t="s">
        <v>126</v>
      </c>
      <c r="BN293" s="1" t="s">
        <v>169</v>
      </c>
      <c r="BO293" s="1" t="s">
        <v>138</v>
      </c>
      <c r="BP293" s="1" t="s">
        <v>140</v>
      </c>
      <c r="BQ293">
        <v>0</v>
      </c>
      <c r="BR293">
        <v>0</v>
      </c>
      <c r="BS293">
        <v>0</v>
      </c>
      <c r="BT293" s="1" t="s">
        <v>231</v>
      </c>
      <c r="BU293" s="1" t="s">
        <v>126</v>
      </c>
      <c r="BV293">
        <v>0.6</v>
      </c>
      <c r="BW293">
        <v>0</v>
      </c>
      <c r="BX293">
        <v>6.6666666666666596E-2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 s="1" t="s">
        <v>159</v>
      </c>
      <c r="CH293" s="1" t="s">
        <v>256</v>
      </c>
      <c r="CI293" s="1" t="s">
        <v>129</v>
      </c>
      <c r="CJ293" s="1" t="s">
        <v>238</v>
      </c>
      <c r="CK293" s="1" t="s">
        <v>159</v>
      </c>
      <c r="CL293" s="1" t="s">
        <v>375</v>
      </c>
      <c r="CM293" s="1" t="s">
        <v>171</v>
      </c>
      <c r="CN293" s="1" t="s">
        <v>572</v>
      </c>
      <c r="CO293" s="1" t="s">
        <v>1242</v>
      </c>
      <c r="CP293" s="1" t="s">
        <v>2326</v>
      </c>
      <c r="CQ293">
        <v>136</v>
      </c>
      <c r="CS293" s="1" t="s">
        <v>3595</v>
      </c>
      <c r="CT293">
        <v>1650</v>
      </c>
      <c r="CU293">
        <v>1951</v>
      </c>
      <c r="CV293" s="1" t="s">
        <v>3036</v>
      </c>
      <c r="CW293">
        <v>59.75</v>
      </c>
      <c r="CX293">
        <v>52.1</v>
      </c>
      <c r="CY293">
        <v>51.2</v>
      </c>
      <c r="CZ293" s="1" t="s">
        <v>999</v>
      </c>
      <c r="DA293">
        <v>1</v>
      </c>
      <c r="DB293" t="s">
        <v>1563</v>
      </c>
      <c r="DC293">
        <v>77</v>
      </c>
      <c r="DD293">
        <v>73.043426756447104</v>
      </c>
      <c r="DE293" s="1" t="s">
        <v>3596</v>
      </c>
      <c r="DF293" t="e">
        <f>_xlfn.XLOOKUP(Table1[[#This Row],[Player ID]],Table2[feed_id],Table2[trade_status])</f>
        <v>#N/A</v>
      </c>
      <c r="DG293">
        <f>_xlfn.NUMBERVALUE(Table1[[#This Row],[predicted]])</f>
        <v>73.043426756447104</v>
      </c>
    </row>
    <row r="294" spans="1:111" hidden="1" x14ac:dyDescent="0.25">
      <c r="A294">
        <v>95248</v>
      </c>
      <c r="B294">
        <v>7654</v>
      </c>
      <c r="C294" t="s">
        <v>3597</v>
      </c>
      <c r="D294" t="s">
        <v>443</v>
      </c>
      <c r="E294">
        <v>2021</v>
      </c>
      <c r="F294">
        <v>290641</v>
      </c>
      <c r="G294" t="s">
        <v>1235</v>
      </c>
      <c r="H294" t="s">
        <v>3598</v>
      </c>
      <c r="I294" t="s">
        <v>152</v>
      </c>
      <c r="J294">
        <v>8</v>
      </c>
      <c r="K294">
        <v>29</v>
      </c>
      <c r="L294">
        <v>28</v>
      </c>
      <c r="M294">
        <v>19</v>
      </c>
      <c r="N294">
        <v>25</v>
      </c>
      <c r="O294">
        <v>31</v>
      </c>
      <c r="P294">
        <v>4</v>
      </c>
      <c r="Q294">
        <v>1</v>
      </c>
      <c r="R294">
        <v>0</v>
      </c>
      <c r="S294">
        <v>1</v>
      </c>
      <c r="T294">
        <v>7</v>
      </c>
      <c r="U294">
        <v>1</v>
      </c>
      <c r="V294">
        <v>1</v>
      </c>
      <c r="W294">
        <v>1</v>
      </c>
      <c r="X294">
        <v>0</v>
      </c>
      <c r="Y294" t="s">
        <v>113</v>
      </c>
      <c r="Z294" t="s">
        <v>778</v>
      </c>
      <c r="AA294" t="s">
        <v>3599</v>
      </c>
      <c r="AB294" t="s">
        <v>656</v>
      </c>
      <c r="AC294" t="s">
        <v>3600</v>
      </c>
      <c r="AH294" t="s">
        <v>181</v>
      </c>
      <c r="AI294">
        <v>2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S294">
        <v>1</v>
      </c>
      <c r="AT294">
        <v>0</v>
      </c>
      <c r="AU294">
        <v>2</v>
      </c>
      <c r="AV294">
        <v>100</v>
      </c>
      <c r="AW294">
        <v>66</v>
      </c>
      <c r="AX294">
        <v>78</v>
      </c>
      <c r="AZ294" t="b">
        <v>1</v>
      </c>
      <c r="BA294">
        <v>2007</v>
      </c>
      <c r="BB294">
        <v>1287</v>
      </c>
      <c r="BC294">
        <v>7</v>
      </c>
      <c r="BD294" t="s">
        <v>3601</v>
      </c>
      <c r="BE294" s="1" t="s">
        <v>3602</v>
      </c>
      <c r="BF294">
        <v>0</v>
      </c>
      <c r="BG294">
        <v>68</v>
      </c>
      <c r="BH294">
        <v>0</v>
      </c>
      <c r="BI294">
        <v>4</v>
      </c>
      <c r="BJ294">
        <v>7</v>
      </c>
      <c r="BK294" s="1" t="s">
        <v>211</v>
      </c>
      <c r="BL294" s="1" t="s">
        <v>321</v>
      </c>
      <c r="BM294" s="1" t="s">
        <v>161</v>
      </c>
      <c r="BN294">
        <v>4.8</v>
      </c>
      <c r="BO294">
        <v>3</v>
      </c>
      <c r="BP294">
        <v>1.6</v>
      </c>
      <c r="BQ294" s="1" t="s">
        <v>157</v>
      </c>
      <c r="BR294" s="1" t="s">
        <v>189</v>
      </c>
      <c r="BS294" s="1" t="s">
        <v>128</v>
      </c>
      <c r="BT294">
        <v>0.6</v>
      </c>
      <c r="BU294">
        <v>2</v>
      </c>
      <c r="BV294" s="1" t="s">
        <v>128</v>
      </c>
      <c r="BW294" s="1" t="s">
        <v>129</v>
      </c>
      <c r="BX294">
        <v>6.6666666666666596E-2</v>
      </c>
      <c r="BY294">
        <v>0</v>
      </c>
      <c r="BZ294" s="1" t="s">
        <v>213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 s="1" t="s">
        <v>125</v>
      </c>
      <c r="CH294">
        <v>4.2</v>
      </c>
      <c r="CI294">
        <v>1</v>
      </c>
      <c r="CJ294" s="1" t="s">
        <v>238</v>
      </c>
      <c r="CK294" s="1" t="s">
        <v>125</v>
      </c>
      <c r="CL294" s="1" t="s">
        <v>206</v>
      </c>
      <c r="CM294">
        <v>80</v>
      </c>
      <c r="CN294">
        <v>76.8</v>
      </c>
      <c r="CO294">
        <v>77</v>
      </c>
      <c r="CP294" s="1" t="s">
        <v>3603</v>
      </c>
      <c r="CQ294">
        <v>74</v>
      </c>
      <c r="CR294">
        <v>122.4</v>
      </c>
      <c r="CS294">
        <v>1563</v>
      </c>
      <c r="CT294" s="1" t="s">
        <v>3604</v>
      </c>
      <c r="CU294" s="1" t="s">
        <v>1999</v>
      </c>
      <c r="CV294" s="1" t="s">
        <v>3605</v>
      </c>
      <c r="CW294">
        <v>64.95</v>
      </c>
      <c r="CX294">
        <v>61.8</v>
      </c>
      <c r="CY294">
        <v>66</v>
      </c>
      <c r="CZ294">
        <v>50</v>
      </c>
      <c r="DA294">
        <v>1</v>
      </c>
      <c r="DB294" t="s">
        <v>778</v>
      </c>
      <c r="DC294">
        <v>28</v>
      </c>
      <c r="DD294" s="1" t="s">
        <v>3606</v>
      </c>
      <c r="DE294">
        <v>-46.5787416702832</v>
      </c>
      <c r="DF294" t="e">
        <f>_xlfn.XLOOKUP(Table1[[#This Row],[Player ID]],Table2[feed_id],Table2[trade_status])</f>
        <v>#N/A</v>
      </c>
      <c r="DG294">
        <f>_xlfn.NUMBERVALUE(Table1[[#This Row],[predicted]])</f>
        <v>74.578741670283193</v>
      </c>
    </row>
    <row r="295" spans="1:111" hidden="1" x14ac:dyDescent="0.25">
      <c r="A295">
        <v>95561</v>
      </c>
      <c r="B295">
        <v>7661</v>
      </c>
      <c r="C295" t="s">
        <v>3607</v>
      </c>
      <c r="D295" t="s">
        <v>2016</v>
      </c>
      <c r="E295">
        <v>2021</v>
      </c>
      <c r="F295">
        <v>250222</v>
      </c>
      <c r="G295" t="s">
        <v>508</v>
      </c>
      <c r="H295" t="s">
        <v>890</v>
      </c>
      <c r="I295" t="s">
        <v>291</v>
      </c>
      <c r="J295">
        <v>5</v>
      </c>
      <c r="K295">
        <v>58</v>
      </c>
      <c r="L295">
        <v>48</v>
      </c>
      <c r="M295">
        <v>46</v>
      </c>
      <c r="N295">
        <v>47</v>
      </c>
      <c r="O295">
        <v>63</v>
      </c>
      <c r="P295">
        <v>7</v>
      </c>
      <c r="Q295">
        <v>7</v>
      </c>
      <c r="R295">
        <v>5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113</v>
      </c>
      <c r="Z295" t="s">
        <v>3571</v>
      </c>
      <c r="AA295" t="s">
        <v>3608</v>
      </c>
      <c r="AB295" t="s">
        <v>226</v>
      </c>
      <c r="AC295" t="s">
        <v>1607</v>
      </c>
      <c r="AH295" t="s">
        <v>118</v>
      </c>
      <c r="AI295">
        <v>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S295">
        <v>3</v>
      </c>
      <c r="AT295">
        <v>2</v>
      </c>
      <c r="AU295">
        <v>1</v>
      </c>
      <c r="AV295">
        <v>85</v>
      </c>
      <c r="AW295">
        <v>59</v>
      </c>
      <c r="AX295">
        <v>128</v>
      </c>
      <c r="AZ295" t="b">
        <v>0</v>
      </c>
      <c r="BA295">
        <v>1570</v>
      </c>
      <c r="BB295">
        <v>1730</v>
      </c>
      <c r="BC295">
        <v>8</v>
      </c>
      <c r="BD295" t="s">
        <v>3609</v>
      </c>
      <c r="BE295">
        <v>99</v>
      </c>
      <c r="BF295">
        <v>0</v>
      </c>
      <c r="BG295">
        <v>73</v>
      </c>
      <c r="BH295">
        <v>0</v>
      </c>
      <c r="BI295" s="1" t="s">
        <v>124</v>
      </c>
      <c r="BJ295" s="1" t="s">
        <v>204</v>
      </c>
      <c r="BK295">
        <v>7</v>
      </c>
      <c r="BL295">
        <v>6.6</v>
      </c>
      <c r="BM295" s="1" t="s">
        <v>138</v>
      </c>
      <c r="BN295" s="1" t="s">
        <v>237</v>
      </c>
      <c r="BO295">
        <v>2</v>
      </c>
      <c r="BP295" s="1" t="s">
        <v>161</v>
      </c>
      <c r="BQ295">
        <v>0</v>
      </c>
      <c r="BR295">
        <v>0</v>
      </c>
      <c r="BS295" s="1" t="s">
        <v>128</v>
      </c>
      <c r="BT295" s="1" t="s">
        <v>231</v>
      </c>
      <c r="BU295" s="1" t="s">
        <v>129</v>
      </c>
      <c r="BV295" s="1" t="s">
        <v>129</v>
      </c>
      <c r="BW295">
        <v>0</v>
      </c>
      <c r="BX295">
        <v>0.2</v>
      </c>
      <c r="BY295" s="1" t="s">
        <v>129</v>
      </c>
      <c r="BZ295">
        <v>0.4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4</v>
      </c>
      <c r="CH295" s="1" t="s">
        <v>230</v>
      </c>
      <c r="CI295" s="1" t="s">
        <v>126</v>
      </c>
      <c r="CJ295" s="1" t="s">
        <v>128</v>
      </c>
      <c r="CK295" s="1" t="s">
        <v>161</v>
      </c>
      <c r="CL295" s="1" t="s">
        <v>275</v>
      </c>
      <c r="CM295" s="1" t="s">
        <v>1176</v>
      </c>
      <c r="CN295">
        <v>64.599999999999994</v>
      </c>
      <c r="CO295" s="1" t="s">
        <v>787</v>
      </c>
      <c r="CP295">
        <v>71.2</v>
      </c>
      <c r="CQ295" s="1" t="s">
        <v>3610</v>
      </c>
      <c r="CR295">
        <v>182.6</v>
      </c>
      <c r="CS295">
        <v>1819</v>
      </c>
      <c r="CT295">
        <v>1708.6</v>
      </c>
      <c r="CU295" s="1" t="s">
        <v>1695</v>
      </c>
      <c r="CV295" s="1" t="s">
        <v>3611</v>
      </c>
      <c r="CW295">
        <v>54.45</v>
      </c>
      <c r="CX295">
        <v>46.9</v>
      </c>
      <c r="CY295">
        <v>40</v>
      </c>
      <c r="CZ295" s="1" t="s">
        <v>999</v>
      </c>
      <c r="DA295">
        <v>1</v>
      </c>
      <c r="DB295" t="s">
        <v>3571</v>
      </c>
      <c r="DC295">
        <v>48</v>
      </c>
      <c r="DD295" s="1" t="s">
        <v>3612</v>
      </c>
      <c r="DE295" s="1" t="s">
        <v>3613</v>
      </c>
      <c r="DF295" t="e">
        <f>_xlfn.XLOOKUP(Table1[[#This Row],[Player ID]],Table2[feed_id],Table2[trade_status])</f>
        <v>#N/A</v>
      </c>
      <c r="DG295">
        <f>_xlfn.NUMBERVALUE(Table1[[#This Row],[predicted]])</f>
        <v>47.2902358680182</v>
      </c>
    </row>
    <row r="296" spans="1:111" hidden="1" x14ac:dyDescent="0.25">
      <c r="A296">
        <v>96169</v>
      </c>
      <c r="B296">
        <v>7675</v>
      </c>
      <c r="C296" t="s">
        <v>3614</v>
      </c>
      <c r="D296" t="s">
        <v>475</v>
      </c>
      <c r="E296">
        <v>2021</v>
      </c>
      <c r="F296">
        <v>294077</v>
      </c>
      <c r="G296" t="s">
        <v>461</v>
      </c>
      <c r="H296" t="s">
        <v>3615</v>
      </c>
      <c r="I296" t="s">
        <v>391</v>
      </c>
      <c r="J296">
        <v>4</v>
      </c>
      <c r="K296">
        <v>46</v>
      </c>
      <c r="L296">
        <v>38</v>
      </c>
      <c r="M296">
        <v>60</v>
      </c>
      <c r="N296">
        <v>41</v>
      </c>
      <c r="O296">
        <v>57</v>
      </c>
      <c r="P296">
        <v>7</v>
      </c>
      <c r="Q296">
        <v>6</v>
      </c>
      <c r="R296">
        <v>5</v>
      </c>
      <c r="S296">
        <v>1</v>
      </c>
      <c r="T296">
        <v>0</v>
      </c>
      <c r="U296">
        <v>0</v>
      </c>
      <c r="V296">
        <v>2</v>
      </c>
      <c r="W296">
        <v>0</v>
      </c>
      <c r="X296">
        <v>0</v>
      </c>
      <c r="Y296" t="s">
        <v>113</v>
      </c>
      <c r="Z296" t="s">
        <v>179</v>
      </c>
      <c r="AA296" t="s">
        <v>3616</v>
      </c>
      <c r="AH296" t="s">
        <v>181</v>
      </c>
      <c r="AI296">
        <v>27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S296">
        <v>3</v>
      </c>
      <c r="AT296">
        <v>0</v>
      </c>
      <c r="AU296">
        <v>4</v>
      </c>
      <c r="AV296">
        <v>69</v>
      </c>
      <c r="AW296">
        <v>81</v>
      </c>
      <c r="AX296">
        <v>206</v>
      </c>
      <c r="AZ296" t="b">
        <v>0</v>
      </c>
      <c r="BA296">
        <v>1668</v>
      </c>
      <c r="BB296">
        <v>1633</v>
      </c>
      <c r="BC296">
        <v>10</v>
      </c>
      <c r="BD296" t="s">
        <v>3617</v>
      </c>
      <c r="BE296" s="1" t="s">
        <v>3618</v>
      </c>
      <c r="BF296">
        <v>0</v>
      </c>
      <c r="BG296">
        <v>71</v>
      </c>
      <c r="BH296">
        <v>0</v>
      </c>
      <c r="BI296">
        <v>13</v>
      </c>
      <c r="BJ296" s="1" t="s">
        <v>977</v>
      </c>
      <c r="BK296" s="1" t="s">
        <v>124</v>
      </c>
      <c r="BL296">
        <v>4.8</v>
      </c>
      <c r="BM296" s="1" t="s">
        <v>160</v>
      </c>
      <c r="BN296">
        <v>4.5999999999999996</v>
      </c>
      <c r="BO296" s="1" t="s">
        <v>161</v>
      </c>
      <c r="BP296">
        <v>1.8</v>
      </c>
      <c r="BQ296">
        <v>0</v>
      </c>
      <c r="BR296" s="1" t="s">
        <v>184</v>
      </c>
      <c r="BS296" s="1" t="s">
        <v>129</v>
      </c>
      <c r="BT296">
        <v>0.4</v>
      </c>
      <c r="BU296">
        <v>1</v>
      </c>
      <c r="BV296" s="1" t="s">
        <v>127</v>
      </c>
      <c r="BW296" s="1" t="s">
        <v>129</v>
      </c>
      <c r="BX296">
        <v>6.6666666666666596E-2</v>
      </c>
      <c r="BY296" s="1" t="s">
        <v>129</v>
      </c>
      <c r="BZ296">
        <v>6.6666666666666596E-2</v>
      </c>
      <c r="CA296">
        <v>0</v>
      </c>
      <c r="CB296" s="1" t="s">
        <v>3619</v>
      </c>
      <c r="CC296">
        <v>0</v>
      </c>
      <c r="CD296">
        <v>8.0666666666666595E-2</v>
      </c>
      <c r="CE296">
        <v>0</v>
      </c>
      <c r="CF296" s="1" t="s">
        <v>530</v>
      </c>
      <c r="CG296" s="1" t="s">
        <v>211</v>
      </c>
      <c r="CH296">
        <v>4.4000000000000004</v>
      </c>
      <c r="CI296" s="1" t="s">
        <v>128</v>
      </c>
      <c r="CJ296" s="1" t="s">
        <v>129</v>
      </c>
      <c r="CK296" s="1" t="s">
        <v>159</v>
      </c>
      <c r="CL296" s="1" t="s">
        <v>375</v>
      </c>
      <c r="CM296" s="1" t="s">
        <v>593</v>
      </c>
      <c r="CN296">
        <v>82.4</v>
      </c>
      <c r="CO296" s="1" t="s">
        <v>1665</v>
      </c>
      <c r="CP296" s="1" t="s">
        <v>3620</v>
      </c>
      <c r="CQ296">
        <v>357</v>
      </c>
      <c r="CS296">
        <v>1659</v>
      </c>
      <c r="CT296" s="1" t="s">
        <v>3621</v>
      </c>
      <c r="CU296">
        <v>1641</v>
      </c>
      <c r="CV296" s="1" t="s">
        <v>3622</v>
      </c>
      <c r="CW296">
        <v>71.45</v>
      </c>
      <c r="CX296">
        <v>75.599999999999994</v>
      </c>
      <c r="CY296">
        <v>79</v>
      </c>
      <c r="CZ296" s="1" t="s">
        <v>241</v>
      </c>
      <c r="DA296">
        <v>1</v>
      </c>
      <c r="DB296" t="s">
        <v>179</v>
      </c>
      <c r="DC296">
        <v>38</v>
      </c>
      <c r="DD296" s="1" t="s">
        <v>3623</v>
      </c>
      <c r="DE296">
        <v>-25.8209123173189</v>
      </c>
      <c r="DF296" t="e">
        <f>_xlfn.XLOOKUP(Table1[[#This Row],[Player ID]],Table2[feed_id],Table2[trade_status])</f>
        <v>#N/A</v>
      </c>
      <c r="DG296">
        <f>_xlfn.NUMBERVALUE(Table1[[#This Row],[predicted]])</f>
        <v>63.8209123173189</v>
      </c>
    </row>
    <row r="297" spans="1:111" hidden="1" x14ac:dyDescent="0.25">
      <c r="A297">
        <v>96643</v>
      </c>
      <c r="B297">
        <v>7685</v>
      </c>
      <c r="C297" t="s">
        <v>3624</v>
      </c>
      <c r="D297" t="s">
        <v>491</v>
      </c>
      <c r="E297">
        <v>2021</v>
      </c>
      <c r="F297">
        <v>281280</v>
      </c>
      <c r="G297" t="s">
        <v>3625</v>
      </c>
      <c r="H297" t="s">
        <v>3406</v>
      </c>
      <c r="I297" t="s">
        <v>291</v>
      </c>
      <c r="J297">
        <v>3</v>
      </c>
      <c r="K297">
        <v>40</v>
      </c>
      <c r="L297">
        <v>43</v>
      </c>
      <c r="M297">
        <v>34</v>
      </c>
      <c r="N297">
        <v>29</v>
      </c>
      <c r="O297">
        <v>39</v>
      </c>
      <c r="P297">
        <v>5</v>
      </c>
      <c r="Q297">
        <v>2</v>
      </c>
      <c r="R297">
        <v>3</v>
      </c>
      <c r="S297">
        <v>3</v>
      </c>
      <c r="T297">
        <v>0</v>
      </c>
      <c r="U297">
        <v>0</v>
      </c>
      <c r="V297">
        <v>0</v>
      </c>
      <c r="W297">
        <v>0</v>
      </c>
      <c r="X297">
        <v>0</v>
      </c>
      <c r="Y297" t="s">
        <v>113</v>
      </c>
      <c r="Z297" t="s">
        <v>542</v>
      </c>
      <c r="AA297" t="s">
        <v>3626</v>
      </c>
      <c r="AB297" t="s">
        <v>226</v>
      </c>
      <c r="AC297" t="s">
        <v>3627</v>
      </c>
      <c r="AH297" t="s">
        <v>181</v>
      </c>
      <c r="AI297">
        <v>39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S297">
        <v>2</v>
      </c>
      <c r="AT297">
        <v>0</v>
      </c>
      <c r="AU297">
        <v>1</v>
      </c>
      <c r="AV297">
        <v>85</v>
      </c>
      <c r="AW297">
        <v>65</v>
      </c>
      <c r="AX297">
        <v>86</v>
      </c>
      <c r="AZ297" t="b">
        <v>0</v>
      </c>
      <c r="BA297">
        <v>1674</v>
      </c>
      <c r="BB297">
        <v>1626</v>
      </c>
      <c r="BC297">
        <v>11</v>
      </c>
      <c r="BD297" t="s">
        <v>3628</v>
      </c>
      <c r="BE297" s="1" t="s">
        <v>1365</v>
      </c>
      <c r="BF297">
        <v>0</v>
      </c>
      <c r="BG297">
        <v>71</v>
      </c>
      <c r="BH297">
        <v>0</v>
      </c>
      <c r="BI297">
        <v>4</v>
      </c>
      <c r="BJ297" s="1" t="s">
        <v>256</v>
      </c>
      <c r="BK297">
        <v>3</v>
      </c>
      <c r="BL297">
        <v>4.2</v>
      </c>
      <c r="BM297">
        <v>2</v>
      </c>
      <c r="BN297">
        <v>2.2000000000000002</v>
      </c>
      <c r="BO297" s="1" t="s">
        <v>161</v>
      </c>
      <c r="BP297" s="1" t="s">
        <v>304</v>
      </c>
      <c r="BQ297">
        <v>0</v>
      </c>
      <c r="BR297">
        <v>0</v>
      </c>
      <c r="BS297">
        <v>1</v>
      </c>
      <c r="BT297">
        <v>1</v>
      </c>
      <c r="BU297" s="1" t="s">
        <v>128</v>
      </c>
      <c r="BV297" s="1" t="s">
        <v>162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 s="1" t="s">
        <v>211</v>
      </c>
      <c r="CH297">
        <v>4.4000000000000004</v>
      </c>
      <c r="CI297" s="1" t="s">
        <v>128</v>
      </c>
      <c r="CJ297" s="1" t="s">
        <v>213</v>
      </c>
      <c r="CK297" s="1" t="s">
        <v>159</v>
      </c>
      <c r="CL297" s="1" t="s">
        <v>304</v>
      </c>
      <c r="CM297" s="1" t="s">
        <v>306</v>
      </c>
      <c r="CN297" s="1" t="s">
        <v>733</v>
      </c>
      <c r="CO297">
        <v>69</v>
      </c>
      <c r="CP297">
        <v>72.400000000000006</v>
      </c>
      <c r="CQ297" s="1" t="s">
        <v>1459</v>
      </c>
      <c r="CS297" s="1" t="s">
        <v>3629</v>
      </c>
      <c r="CT297" s="1" t="s">
        <v>439</v>
      </c>
      <c r="CU297" s="1" t="s">
        <v>3630</v>
      </c>
      <c r="CV297">
        <v>1648.6</v>
      </c>
      <c r="CW297">
        <v>43</v>
      </c>
      <c r="CX297">
        <v>36.299999999999997</v>
      </c>
      <c r="CY297">
        <v>43</v>
      </c>
      <c r="CZ297" s="1" t="s">
        <v>420</v>
      </c>
      <c r="DA297">
        <v>1</v>
      </c>
      <c r="DB297" t="s">
        <v>542</v>
      </c>
      <c r="DC297">
        <v>43</v>
      </c>
      <c r="DD297" s="1" t="s">
        <v>3631</v>
      </c>
      <c r="DE297" s="1" t="s">
        <v>3632</v>
      </c>
      <c r="DF297" t="e">
        <f>_xlfn.XLOOKUP(Table1[[#This Row],[Player ID]],Table2[feed_id],Table2[trade_status])</f>
        <v>#N/A</v>
      </c>
      <c r="DG297">
        <f>_xlfn.NUMBERVALUE(Table1[[#This Row],[predicted]])</f>
        <v>38.841686860364902</v>
      </c>
    </row>
    <row r="298" spans="1:111" hidden="1" x14ac:dyDescent="0.25">
      <c r="A298">
        <v>96681</v>
      </c>
      <c r="B298">
        <v>7686</v>
      </c>
      <c r="C298" t="s">
        <v>3633</v>
      </c>
      <c r="D298" t="s">
        <v>491</v>
      </c>
      <c r="E298">
        <v>2021</v>
      </c>
      <c r="F298">
        <v>280038</v>
      </c>
      <c r="G298" t="s">
        <v>917</v>
      </c>
      <c r="H298" t="s">
        <v>3634</v>
      </c>
      <c r="I298" t="s">
        <v>152</v>
      </c>
      <c r="J298">
        <v>11</v>
      </c>
      <c r="K298">
        <v>60</v>
      </c>
      <c r="L298">
        <v>36</v>
      </c>
      <c r="M298">
        <v>39</v>
      </c>
      <c r="N298">
        <v>51</v>
      </c>
      <c r="O298">
        <v>64</v>
      </c>
      <c r="P298">
        <v>9</v>
      </c>
      <c r="Q298">
        <v>2</v>
      </c>
      <c r="R298">
        <v>4</v>
      </c>
      <c r="S298">
        <v>1</v>
      </c>
      <c r="T298">
        <v>9</v>
      </c>
      <c r="U298">
        <v>0</v>
      </c>
      <c r="V298">
        <v>1</v>
      </c>
      <c r="W298">
        <v>1</v>
      </c>
      <c r="X298">
        <v>1</v>
      </c>
      <c r="Y298" t="s">
        <v>113</v>
      </c>
      <c r="Z298" t="s">
        <v>656</v>
      </c>
      <c r="AA298" t="s">
        <v>3635</v>
      </c>
      <c r="AH298" t="s">
        <v>155</v>
      </c>
      <c r="AI298">
        <v>27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S298">
        <v>5</v>
      </c>
      <c r="AT298">
        <v>1</v>
      </c>
      <c r="AU298">
        <v>5</v>
      </c>
      <c r="AV298">
        <v>36</v>
      </c>
      <c r="AW298">
        <v>78</v>
      </c>
      <c r="AX298">
        <v>102</v>
      </c>
      <c r="AZ298" t="b">
        <v>0</v>
      </c>
      <c r="BA298">
        <v>1947</v>
      </c>
      <c r="BB298">
        <v>1350</v>
      </c>
      <c r="BC298">
        <v>11</v>
      </c>
      <c r="BD298" t="s">
        <v>3636</v>
      </c>
      <c r="BE298" s="1" t="s">
        <v>1365</v>
      </c>
      <c r="BF298">
        <v>0</v>
      </c>
      <c r="BG298">
        <v>71</v>
      </c>
      <c r="BH298">
        <v>0</v>
      </c>
      <c r="BI298" s="1" t="s">
        <v>397</v>
      </c>
      <c r="BJ298" s="1" t="s">
        <v>343</v>
      </c>
      <c r="BK298" s="1" t="s">
        <v>125</v>
      </c>
      <c r="BL298" s="1" t="s">
        <v>140</v>
      </c>
      <c r="BM298" s="1" t="s">
        <v>169</v>
      </c>
      <c r="BN298" s="1" t="s">
        <v>990</v>
      </c>
      <c r="BO298" s="1" t="s">
        <v>126</v>
      </c>
      <c r="BP298">
        <v>1.6</v>
      </c>
      <c r="BQ298">
        <v>9</v>
      </c>
      <c r="BR298">
        <v>6</v>
      </c>
      <c r="BS298" s="1" t="s">
        <v>129</v>
      </c>
      <c r="BT298" s="1" t="s">
        <v>238</v>
      </c>
      <c r="BU298" s="1" t="s">
        <v>126</v>
      </c>
      <c r="BV298" s="1" t="s">
        <v>566</v>
      </c>
      <c r="BW298" s="1" t="s">
        <v>128</v>
      </c>
      <c r="BX298" s="1" t="s">
        <v>128</v>
      </c>
      <c r="BY298" s="1" t="s">
        <v>129</v>
      </c>
      <c r="BZ298" s="1" t="s">
        <v>238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6</v>
      </c>
      <c r="CH298" s="1" t="s">
        <v>124</v>
      </c>
      <c r="CI298">
        <v>1</v>
      </c>
      <c r="CJ298" s="1" t="s">
        <v>298</v>
      </c>
      <c r="CK298">
        <v>5</v>
      </c>
      <c r="CL298">
        <v>4.2</v>
      </c>
      <c r="CM298" s="1" t="s">
        <v>2013</v>
      </c>
      <c r="CN298" s="1" t="s">
        <v>3637</v>
      </c>
      <c r="CO298" s="1" t="s">
        <v>305</v>
      </c>
      <c r="CP298" s="1" t="s">
        <v>1980</v>
      </c>
      <c r="CQ298" s="1" t="s">
        <v>645</v>
      </c>
      <c r="CS298">
        <v>1397</v>
      </c>
      <c r="CT298" s="1" t="s">
        <v>3638</v>
      </c>
      <c r="CU298" s="1" t="s">
        <v>3639</v>
      </c>
      <c r="CV298" s="1" t="s">
        <v>3640</v>
      </c>
      <c r="CW298">
        <v>55.55</v>
      </c>
      <c r="CX298">
        <v>39.200000000000003</v>
      </c>
      <c r="CY298">
        <v>42.6</v>
      </c>
      <c r="CZ298" s="1" t="s">
        <v>3641</v>
      </c>
      <c r="DA298">
        <v>1</v>
      </c>
      <c r="DB298" t="s">
        <v>656</v>
      </c>
      <c r="DC298">
        <v>36</v>
      </c>
      <c r="DD298" s="1" t="s">
        <v>3642</v>
      </c>
      <c r="DE298">
        <v>-27.3238562357235</v>
      </c>
      <c r="DF298" t="e">
        <f>_xlfn.XLOOKUP(Table1[[#This Row],[Player ID]],Table2[feed_id],Table2[trade_status])</f>
        <v>#N/A</v>
      </c>
      <c r="DG298">
        <f>_xlfn.NUMBERVALUE(Table1[[#This Row],[predicted]])</f>
        <v>63.323856235723497</v>
      </c>
    </row>
    <row r="299" spans="1:111" hidden="1" x14ac:dyDescent="0.25">
      <c r="A299">
        <v>96687</v>
      </c>
      <c r="B299">
        <v>7686</v>
      </c>
      <c r="C299" t="s">
        <v>3633</v>
      </c>
      <c r="D299" t="s">
        <v>491</v>
      </c>
      <c r="E299">
        <v>2021</v>
      </c>
      <c r="F299">
        <v>260288</v>
      </c>
      <c r="G299" t="s">
        <v>617</v>
      </c>
      <c r="H299" t="s">
        <v>3643</v>
      </c>
      <c r="I299" t="s">
        <v>152</v>
      </c>
      <c r="J299">
        <v>5</v>
      </c>
      <c r="K299">
        <v>47</v>
      </c>
      <c r="L299">
        <v>37</v>
      </c>
      <c r="M299">
        <v>35</v>
      </c>
      <c r="N299">
        <v>38</v>
      </c>
      <c r="O299">
        <v>51</v>
      </c>
      <c r="P299">
        <v>7</v>
      </c>
      <c r="Q299">
        <v>3</v>
      </c>
      <c r="R299">
        <v>5</v>
      </c>
      <c r="S299">
        <v>2</v>
      </c>
      <c r="T299">
        <v>0</v>
      </c>
      <c r="U299">
        <v>0</v>
      </c>
      <c r="V299">
        <v>1</v>
      </c>
      <c r="W299">
        <v>0</v>
      </c>
      <c r="X299">
        <v>0</v>
      </c>
      <c r="Y299" t="s">
        <v>113</v>
      </c>
      <c r="Z299" t="s">
        <v>778</v>
      </c>
      <c r="AA299" t="s">
        <v>3644</v>
      </c>
      <c r="AB299" t="s">
        <v>179</v>
      </c>
      <c r="AC299" t="s">
        <v>3645</v>
      </c>
      <c r="AH299" t="s">
        <v>181</v>
      </c>
      <c r="AI299">
        <v>24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S299">
        <v>2</v>
      </c>
      <c r="AT299">
        <v>0</v>
      </c>
      <c r="AU299">
        <v>2</v>
      </c>
      <c r="AV299">
        <v>70</v>
      </c>
      <c r="AW299">
        <v>77</v>
      </c>
      <c r="AX299">
        <v>155</v>
      </c>
      <c r="AZ299" t="b">
        <v>1</v>
      </c>
      <c r="BA299">
        <v>1947</v>
      </c>
      <c r="BB299">
        <v>1350</v>
      </c>
      <c r="BC299">
        <v>11</v>
      </c>
      <c r="BD299" t="s">
        <v>3636</v>
      </c>
      <c r="BE299" s="1" t="s">
        <v>1365</v>
      </c>
      <c r="BF299">
        <v>0</v>
      </c>
      <c r="BG299">
        <v>71</v>
      </c>
      <c r="BH299">
        <v>0</v>
      </c>
      <c r="BI299" s="1" t="s">
        <v>124</v>
      </c>
      <c r="BJ299" s="1" t="s">
        <v>124</v>
      </c>
      <c r="BK299">
        <v>5</v>
      </c>
      <c r="BL299" s="1" t="s">
        <v>766</v>
      </c>
      <c r="BM299">
        <v>5</v>
      </c>
      <c r="BN299">
        <v>3.2</v>
      </c>
      <c r="BO299" s="1" t="s">
        <v>126</v>
      </c>
      <c r="BP299">
        <v>0.8</v>
      </c>
      <c r="BQ299">
        <v>0</v>
      </c>
      <c r="BR299">
        <v>0</v>
      </c>
      <c r="BS299">
        <v>0</v>
      </c>
      <c r="BT299">
        <v>0.4</v>
      </c>
      <c r="BU299">
        <v>1</v>
      </c>
      <c r="BV299" s="1" t="s">
        <v>399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 s="1" t="s">
        <v>159</v>
      </c>
      <c r="CH299" s="1" t="s">
        <v>640</v>
      </c>
      <c r="CI299">
        <v>0</v>
      </c>
      <c r="CJ299">
        <v>0</v>
      </c>
      <c r="CK299" s="1" t="s">
        <v>161</v>
      </c>
      <c r="CL299" s="1" t="s">
        <v>206</v>
      </c>
      <c r="CM299" s="1" t="s">
        <v>239</v>
      </c>
      <c r="CN299">
        <v>82.4</v>
      </c>
      <c r="CO299">
        <v>78</v>
      </c>
      <c r="CP299">
        <v>86.2</v>
      </c>
      <c r="CQ299" s="1" t="s">
        <v>3646</v>
      </c>
      <c r="CR299">
        <v>136.4</v>
      </c>
      <c r="CS299">
        <v>1595</v>
      </c>
      <c r="CT299" s="1" t="s">
        <v>3647</v>
      </c>
      <c r="CU299" s="1" t="s">
        <v>2574</v>
      </c>
      <c r="CV299" s="1" t="s">
        <v>3648</v>
      </c>
      <c r="CW299">
        <v>55.3</v>
      </c>
      <c r="CX299">
        <v>53.8</v>
      </c>
      <c r="CY299">
        <v>53.4</v>
      </c>
      <c r="CZ299" s="1" t="s">
        <v>1861</v>
      </c>
      <c r="DA299">
        <v>1</v>
      </c>
      <c r="DB299" t="s">
        <v>778</v>
      </c>
      <c r="DC299">
        <v>37</v>
      </c>
      <c r="DD299" s="1" t="s">
        <v>3649</v>
      </c>
      <c r="DE299">
        <v>-30.828413699400802</v>
      </c>
      <c r="DF299" t="e">
        <f>_xlfn.XLOOKUP(Table1[[#This Row],[Player ID]],Table2[feed_id],Table2[trade_status])</f>
        <v>#N/A</v>
      </c>
      <c r="DG299">
        <f>_xlfn.NUMBERVALUE(Table1[[#This Row],[predicted]])</f>
        <v>67.828413699400798</v>
      </c>
    </row>
    <row r="300" spans="1:111" hidden="1" x14ac:dyDescent="0.25">
      <c r="A300">
        <v>97045</v>
      </c>
      <c r="B300">
        <v>7694</v>
      </c>
      <c r="C300" t="s">
        <v>3650</v>
      </c>
      <c r="D300" t="s">
        <v>539</v>
      </c>
      <c r="E300">
        <v>2021</v>
      </c>
      <c r="F300">
        <v>992015</v>
      </c>
      <c r="G300" t="s">
        <v>3651</v>
      </c>
      <c r="H300" t="s">
        <v>3652</v>
      </c>
      <c r="I300" t="s">
        <v>813</v>
      </c>
      <c r="J300">
        <v>4</v>
      </c>
      <c r="K300">
        <v>49</v>
      </c>
      <c r="L300">
        <v>52</v>
      </c>
      <c r="M300">
        <v>36</v>
      </c>
      <c r="N300">
        <v>43</v>
      </c>
      <c r="O300">
        <v>57</v>
      </c>
      <c r="P300">
        <v>6</v>
      </c>
      <c r="Q300">
        <v>8</v>
      </c>
      <c r="R300">
        <v>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t="s">
        <v>113</v>
      </c>
      <c r="Z300" t="s">
        <v>226</v>
      </c>
      <c r="AA300" t="s">
        <v>3653</v>
      </c>
      <c r="AH300" t="s">
        <v>118</v>
      </c>
      <c r="AI300">
        <v>31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S300">
        <v>4</v>
      </c>
      <c r="AT300">
        <v>1</v>
      </c>
      <c r="AU300">
        <v>2</v>
      </c>
      <c r="AV300">
        <v>78</v>
      </c>
      <c r="AW300">
        <v>78</v>
      </c>
      <c r="AX300">
        <v>152</v>
      </c>
      <c r="AZ300" t="b">
        <v>0</v>
      </c>
      <c r="BA300">
        <v>1766</v>
      </c>
      <c r="BB300">
        <v>1532</v>
      </c>
      <c r="BC300">
        <v>12</v>
      </c>
      <c r="BD300" t="s">
        <v>3654</v>
      </c>
      <c r="BE300">
        <v>100</v>
      </c>
      <c r="BF300">
        <v>0</v>
      </c>
      <c r="BG300">
        <v>71</v>
      </c>
      <c r="BH300">
        <v>0</v>
      </c>
      <c r="BI300" s="1" t="s">
        <v>124</v>
      </c>
      <c r="BJ300" s="1" t="s">
        <v>295</v>
      </c>
      <c r="BK300" s="1" t="s">
        <v>397</v>
      </c>
      <c r="BL300" s="1" t="s">
        <v>374</v>
      </c>
      <c r="BM300">
        <v>5</v>
      </c>
      <c r="BN300" s="1" t="s">
        <v>256</v>
      </c>
      <c r="BO300" s="1" t="s">
        <v>129</v>
      </c>
      <c r="BP300" s="1" t="s">
        <v>161</v>
      </c>
      <c r="BQ300">
        <v>0</v>
      </c>
      <c r="BR300">
        <v>0</v>
      </c>
      <c r="BS300">
        <v>0</v>
      </c>
      <c r="BT300">
        <v>0.8</v>
      </c>
      <c r="BU300">
        <v>0</v>
      </c>
      <c r="BV300" s="1" t="s">
        <v>231</v>
      </c>
      <c r="BW300">
        <v>0</v>
      </c>
      <c r="BX300">
        <v>0</v>
      </c>
      <c r="BY300">
        <v>0</v>
      </c>
      <c r="BZ300" s="1" t="s">
        <v>213</v>
      </c>
      <c r="CA300">
        <v>0</v>
      </c>
      <c r="CB300">
        <v>8.0000000000000002E-3</v>
      </c>
      <c r="CC300">
        <v>0</v>
      </c>
      <c r="CD300" s="1" t="s">
        <v>3655</v>
      </c>
      <c r="CE300">
        <v>0</v>
      </c>
      <c r="CF300" s="1" t="s">
        <v>3656</v>
      </c>
      <c r="CG300">
        <v>3</v>
      </c>
      <c r="CH300">
        <v>5</v>
      </c>
      <c r="CI300" s="1" t="s">
        <v>129</v>
      </c>
      <c r="CJ300" s="1" t="s">
        <v>238</v>
      </c>
      <c r="CK300" s="1" t="s">
        <v>128</v>
      </c>
      <c r="CL300">
        <v>1.6</v>
      </c>
      <c r="CM300" s="1" t="s">
        <v>941</v>
      </c>
      <c r="CN300" s="1" t="s">
        <v>2336</v>
      </c>
      <c r="CO300">
        <v>74</v>
      </c>
      <c r="CP300" s="1" t="s">
        <v>3657</v>
      </c>
      <c r="CQ300" s="1" t="s">
        <v>3658</v>
      </c>
      <c r="CS300" s="1" t="s">
        <v>3578</v>
      </c>
      <c r="CT300">
        <v>1587</v>
      </c>
      <c r="CU300" s="1" t="s">
        <v>534</v>
      </c>
      <c r="CV300">
        <v>1692</v>
      </c>
      <c r="CW300">
        <v>58.3</v>
      </c>
      <c r="CX300">
        <v>59.6</v>
      </c>
      <c r="CY300">
        <v>58</v>
      </c>
      <c r="CZ300">
        <v>51</v>
      </c>
      <c r="DA300">
        <v>1</v>
      </c>
      <c r="DB300" t="s">
        <v>226</v>
      </c>
      <c r="DC300">
        <v>52</v>
      </c>
      <c r="DD300" s="1" t="s">
        <v>3659</v>
      </c>
      <c r="DE300">
        <v>-30.138806809523199</v>
      </c>
      <c r="DF300" t="e">
        <f>_xlfn.XLOOKUP(Table1[[#This Row],[Player ID]],Table2[feed_id],Table2[trade_status])</f>
        <v>#N/A</v>
      </c>
      <c r="DG300">
        <f>_xlfn.NUMBERVALUE(Table1[[#This Row],[predicted]])</f>
        <v>82.138806809523203</v>
      </c>
    </row>
    <row r="301" spans="1:111" hidden="1" x14ac:dyDescent="0.25">
      <c r="A301">
        <v>97196</v>
      </c>
      <c r="B301">
        <v>7698</v>
      </c>
      <c r="C301" t="s">
        <v>3660</v>
      </c>
      <c r="D301" t="s">
        <v>539</v>
      </c>
      <c r="E301">
        <v>2021</v>
      </c>
      <c r="F301">
        <v>294737</v>
      </c>
      <c r="G301" t="s">
        <v>3661</v>
      </c>
      <c r="H301" t="s">
        <v>691</v>
      </c>
      <c r="I301" t="s">
        <v>338</v>
      </c>
      <c r="J301">
        <v>11</v>
      </c>
      <c r="K301">
        <v>73</v>
      </c>
      <c r="L301">
        <v>86</v>
      </c>
      <c r="M301">
        <v>86</v>
      </c>
      <c r="N301">
        <v>63</v>
      </c>
      <c r="O301">
        <v>75</v>
      </c>
      <c r="P301">
        <v>6</v>
      </c>
      <c r="Q301">
        <v>6</v>
      </c>
      <c r="R301">
        <v>3</v>
      </c>
      <c r="S301">
        <v>2</v>
      </c>
      <c r="T301">
        <v>24</v>
      </c>
      <c r="U301">
        <v>2</v>
      </c>
      <c r="V301">
        <v>0</v>
      </c>
      <c r="W301">
        <v>0</v>
      </c>
      <c r="X301">
        <v>0</v>
      </c>
      <c r="Y301" t="s">
        <v>113</v>
      </c>
      <c r="Z301" t="s">
        <v>602</v>
      </c>
      <c r="AA301" t="s">
        <v>603</v>
      </c>
      <c r="AH301" t="s">
        <v>274</v>
      </c>
      <c r="AI301">
        <v>18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S301">
        <v>8</v>
      </c>
      <c r="AT301">
        <v>5</v>
      </c>
      <c r="AU301">
        <v>1</v>
      </c>
      <c r="AV301">
        <v>83</v>
      </c>
      <c r="AW301">
        <v>85</v>
      </c>
      <c r="AX301">
        <v>138</v>
      </c>
      <c r="AZ301" t="b">
        <v>0</v>
      </c>
      <c r="BA301">
        <v>1423</v>
      </c>
      <c r="BB301">
        <v>1868</v>
      </c>
      <c r="BC301">
        <v>12</v>
      </c>
      <c r="BD301" t="s">
        <v>3662</v>
      </c>
      <c r="BE301">
        <v>100</v>
      </c>
      <c r="BF301">
        <v>0</v>
      </c>
      <c r="BG301">
        <v>71</v>
      </c>
      <c r="BH301">
        <v>1</v>
      </c>
      <c r="BI301">
        <v>4</v>
      </c>
      <c r="BJ301" s="1" t="s">
        <v>781</v>
      </c>
      <c r="BK301">
        <v>5</v>
      </c>
      <c r="BL301" s="1" t="s">
        <v>211</v>
      </c>
      <c r="BM301">
        <v>2</v>
      </c>
      <c r="BN301" s="1" t="s">
        <v>255</v>
      </c>
      <c r="BO301" s="1" t="s">
        <v>169</v>
      </c>
      <c r="BP301">
        <v>2.6</v>
      </c>
      <c r="BQ301">
        <v>15</v>
      </c>
      <c r="BR301" s="1" t="s">
        <v>3663</v>
      </c>
      <c r="BS301" s="1" t="s">
        <v>126</v>
      </c>
      <c r="BT301" s="1" t="s">
        <v>257</v>
      </c>
      <c r="BU301" s="1" t="s">
        <v>128</v>
      </c>
      <c r="BV301" s="1" t="s">
        <v>327</v>
      </c>
      <c r="BW301" s="1" t="s">
        <v>129</v>
      </c>
      <c r="BX301">
        <v>0.2</v>
      </c>
      <c r="BY301">
        <v>0</v>
      </c>
      <c r="BZ301">
        <v>0.2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 s="1" t="s">
        <v>204</v>
      </c>
      <c r="CH301" s="1" t="s">
        <v>963</v>
      </c>
      <c r="CI301" s="1" t="s">
        <v>169</v>
      </c>
      <c r="CJ301" s="1" t="s">
        <v>159</v>
      </c>
      <c r="CK301">
        <v>3</v>
      </c>
      <c r="CL301" s="1" t="s">
        <v>237</v>
      </c>
      <c r="CM301">
        <v>81</v>
      </c>
      <c r="CN301">
        <v>70.8</v>
      </c>
      <c r="CO301">
        <v>82</v>
      </c>
      <c r="CP301" s="1" t="s">
        <v>573</v>
      </c>
      <c r="CQ301" s="1" t="s">
        <v>610</v>
      </c>
      <c r="CR301" s="1" t="s">
        <v>3664</v>
      </c>
      <c r="CS301" s="1" t="s">
        <v>3665</v>
      </c>
      <c r="CT301">
        <v>1618</v>
      </c>
      <c r="CU301" s="1" t="s">
        <v>2439</v>
      </c>
      <c r="CV301">
        <v>1656.6</v>
      </c>
      <c r="CW301">
        <v>76.7</v>
      </c>
      <c r="CX301">
        <v>77.900000000000006</v>
      </c>
      <c r="CY301">
        <v>85.2</v>
      </c>
      <c r="CZ301">
        <v>73</v>
      </c>
      <c r="DA301">
        <v>1</v>
      </c>
      <c r="DB301" t="s">
        <v>602</v>
      </c>
      <c r="DC301">
        <v>86</v>
      </c>
      <c r="DD301" s="1" t="s">
        <v>3666</v>
      </c>
      <c r="DE301" s="1" t="s">
        <v>3667</v>
      </c>
      <c r="DF301" t="e">
        <f>_xlfn.XLOOKUP(Table1[[#This Row],[Player ID]],Table2[feed_id],Table2[trade_status])</f>
        <v>#N/A</v>
      </c>
      <c r="DG301">
        <f>_xlfn.NUMBERVALUE(Table1[[#This Row],[predicted]])</f>
        <v>83.931612971384894</v>
      </c>
    </row>
    <row r="302" spans="1:111" hidden="1" x14ac:dyDescent="0.25">
      <c r="A302">
        <v>97231</v>
      </c>
      <c r="B302">
        <v>7698</v>
      </c>
      <c r="C302" t="s">
        <v>3660</v>
      </c>
      <c r="D302" t="s">
        <v>539</v>
      </c>
      <c r="E302">
        <v>2021</v>
      </c>
      <c r="F302">
        <v>296200</v>
      </c>
      <c r="G302" t="s">
        <v>461</v>
      </c>
      <c r="H302" t="s">
        <v>3668</v>
      </c>
      <c r="I302" t="s">
        <v>249</v>
      </c>
      <c r="J302">
        <v>2</v>
      </c>
      <c r="K302">
        <v>24</v>
      </c>
      <c r="L302">
        <v>44</v>
      </c>
      <c r="M302">
        <v>20</v>
      </c>
      <c r="N302">
        <v>19</v>
      </c>
      <c r="O302">
        <v>27</v>
      </c>
      <c r="P302">
        <v>3</v>
      </c>
      <c r="Q302">
        <v>3</v>
      </c>
      <c r="R302">
        <v>1</v>
      </c>
      <c r="S302">
        <v>2</v>
      </c>
      <c r="T302">
        <v>0</v>
      </c>
      <c r="U302">
        <v>1</v>
      </c>
      <c r="V302">
        <v>1</v>
      </c>
      <c r="W302">
        <v>0</v>
      </c>
      <c r="X302">
        <v>0</v>
      </c>
      <c r="Y302" t="s">
        <v>113</v>
      </c>
      <c r="Z302" t="s">
        <v>114</v>
      </c>
      <c r="AA302" t="s">
        <v>3669</v>
      </c>
      <c r="AB302" t="s">
        <v>116</v>
      </c>
      <c r="AC302" t="s">
        <v>3670</v>
      </c>
      <c r="AH302" t="s">
        <v>118</v>
      </c>
      <c r="AI302">
        <v>40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S302">
        <v>4</v>
      </c>
      <c r="AT302">
        <v>0</v>
      </c>
      <c r="AU302">
        <v>1</v>
      </c>
      <c r="AV302">
        <v>100</v>
      </c>
      <c r="AW302">
        <v>47</v>
      </c>
      <c r="AX302">
        <v>35</v>
      </c>
      <c r="AZ302" t="b">
        <v>1</v>
      </c>
      <c r="BA302">
        <v>1868</v>
      </c>
      <c r="BB302">
        <v>1423</v>
      </c>
      <c r="BC302">
        <v>12</v>
      </c>
      <c r="BD302" t="s">
        <v>3671</v>
      </c>
      <c r="BE302">
        <v>100</v>
      </c>
      <c r="BF302">
        <v>0</v>
      </c>
      <c r="BG302">
        <v>71</v>
      </c>
      <c r="BH302">
        <v>0</v>
      </c>
      <c r="BI302" s="1" t="s">
        <v>397</v>
      </c>
      <c r="BJ302">
        <v>9.1999999999999993</v>
      </c>
      <c r="BK302" s="1" t="s">
        <v>211</v>
      </c>
      <c r="BL302" s="1" t="s">
        <v>449</v>
      </c>
      <c r="BM302" s="1" t="s">
        <v>125</v>
      </c>
      <c r="BN302">
        <v>3.8</v>
      </c>
      <c r="BO302" s="1" t="s">
        <v>159</v>
      </c>
      <c r="BP302">
        <v>2.8</v>
      </c>
      <c r="BQ302">
        <v>0</v>
      </c>
      <c r="BR302">
        <v>0</v>
      </c>
      <c r="BS302" s="1" t="s">
        <v>129</v>
      </c>
      <c r="BT302">
        <v>0.6</v>
      </c>
      <c r="BU302" s="1" t="s">
        <v>128</v>
      </c>
      <c r="BV302" s="1" t="s">
        <v>128</v>
      </c>
      <c r="BW302" s="1" t="s">
        <v>128</v>
      </c>
      <c r="BX302" s="1" t="s">
        <v>130</v>
      </c>
      <c r="BY302">
        <v>0</v>
      </c>
      <c r="BZ302">
        <v>0.4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 s="1" t="s">
        <v>169</v>
      </c>
      <c r="CH302" s="1" t="s">
        <v>781</v>
      </c>
      <c r="CI302" s="1" t="s">
        <v>128</v>
      </c>
      <c r="CJ302" s="1" t="s">
        <v>161</v>
      </c>
      <c r="CK302" s="1" t="s">
        <v>126</v>
      </c>
      <c r="CL302" s="1" t="s">
        <v>170</v>
      </c>
      <c r="CM302" s="1" t="s">
        <v>1123</v>
      </c>
      <c r="CN302">
        <v>67.400000000000006</v>
      </c>
      <c r="CO302" s="1" t="s">
        <v>1979</v>
      </c>
      <c r="CP302" s="1" t="s">
        <v>1532</v>
      </c>
      <c r="CQ302">
        <v>148</v>
      </c>
      <c r="CR302" s="1" t="s">
        <v>3672</v>
      </c>
      <c r="CS302" s="1" t="s">
        <v>2300</v>
      </c>
      <c r="CT302" s="1" t="s">
        <v>2593</v>
      </c>
      <c r="CU302">
        <v>1751</v>
      </c>
      <c r="CV302" s="1" t="s">
        <v>3673</v>
      </c>
      <c r="CW302">
        <v>67.95</v>
      </c>
      <c r="CX302">
        <v>63.3</v>
      </c>
      <c r="CY302">
        <v>62.4</v>
      </c>
      <c r="CZ302">
        <v>57</v>
      </c>
      <c r="DA302">
        <v>1</v>
      </c>
      <c r="DB302" t="s">
        <v>114</v>
      </c>
      <c r="DC302">
        <v>44</v>
      </c>
      <c r="DD302" s="1" t="s">
        <v>3674</v>
      </c>
      <c r="DE302">
        <v>-4.7976440615381302</v>
      </c>
      <c r="DF302" t="e">
        <f>_xlfn.XLOOKUP(Table1[[#This Row],[Player ID]],Table2[feed_id],Table2[trade_status])</f>
        <v>#N/A</v>
      </c>
      <c r="DG302">
        <f>_xlfn.NUMBERVALUE(Table1[[#This Row],[predicted]])</f>
        <v>48.797644061538101</v>
      </c>
    </row>
    <row r="303" spans="1:111" hidden="1" x14ac:dyDescent="0.25">
      <c r="A303">
        <v>97356</v>
      </c>
      <c r="B303">
        <v>7701</v>
      </c>
      <c r="C303" t="s">
        <v>3675</v>
      </c>
      <c r="D303" t="s">
        <v>579</v>
      </c>
      <c r="E303">
        <v>2021</v>
      </c>
      <c r="F303">
        <v>260113</v>
      </c>
      <c r="G303" t="s">
        <v>3676</v>
      </c>
      <c r="H303" t="s">
        <v>3677</v>
      </c>
      <c r="I303" t="s">
        <v>152</v>
      </c>
      <c r="J303">
        <v>13</v>
      </c>
      <c r="K303">
        <v>64</v>
      </c>
      <c r="L303">
        <v>50</v>
      </c>
      <c r="M303">
        <v>50</v>
      </c>
      <c r="N303">
        <v>52</v>
      </c>
      <c r="O303">
        <v>69</v>
      </c>
      <c r="P303">
        <v>8</v>
      </c>
      <c r="Q303">
        <v>7</v>
      </c>
      <c r="R303">
        <v>6</v>
      </c>
      <c r="S303">
        <v>2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113</v>
      </c>
      <c r="Z303" t="s">
        <v>114</v>
      </c>
      <c r="AA303" t="s">
        <v>3678</v>
      </c>
      <c r="AB303" t="s">
        <v>226</v>
      </c>
      <c r="AC303" t="s">
        <v>3679</v>
      </c>
      <c r="AH303" t="s">
        <v>181</v>
      </c>
      <c r="AI303">
        <v>14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S303">
        <v>1</v>
      </c>
      <c r="AT303">
        <v>0</v>
      </c>
      <c r="AU303">
        <v>1</v>
      </c>
      <c r="AV303">
        <v>80</v>
      </c>
      <c r="AW303">
        <v>63</v>
      </c>
      <c r="AX303">
        <v>73</v>
      </c>
      <c r="AZ303" t="b">
        <v>1</v>
      </c>
      <c r="BA303">
        <v>1682</v>
      </c>
      <c r="BB303">
        <v>1603</v>
      </c>
      <c r="BC303">
        <v>13</v>
      </c>
      <c r="BD303" t="s">
        <v>3680</v>
      </c>
      <c r="BE303" s="1" t="s">
        <v>3681</v>
      </c>
      <c r="BF303">
        <v>0</v>
      </c>
      <c r="BG303">
        <v>71</v>
      </c>
      <c r="BH303">
        <v>0</v>
      </c>
      <c r="BI303" s="1" t="s">
        <v>253</v>
      </c>
      <c r="BJ303" s="1" t="s">
        <v>1092</v>
      </c>
      <c r="BK303">
        <v>6</v>
      </c>
      <c r="BL303" s="1" t="s">
        <v>963</v>
      </c>
      <c r="BM303">
        <v>5</v>
      </c>
      <c r="BN303" s="1" t="s">
        <v>189</v>
      </c>
      <c r="BO303" s="1" t="s">
        <v>159</v>
      </c>
      <c r="BP303">
        <v>1.8</v>
      </c>
      <c r="BQ303">
        <v>0</v>
      </c>
      <c r="BR303">
        <v>0</v>
      </c>
      <c r="BS303">
        <v>0</v>
      </c>
      <c r="BT303">
        <v>0.4</v>
      </c>
      <c r="BU303" s="1" t="s">
        <v>126</v>
      </c>
      <c r="BV303" s="1" t="s">
        <v>128</v>
      </c>
      <c r="BW303" s="1" t="s">
        <v>129</v>
      </c>
      <c r="BX303" s="1" t="s">
        <v>184</v>
      </c>
      <c r="BY303" s="1" t="s">
        <v>129</v>
      </c>
      <c r="BZ303" s="1" t="s">
        <v>213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 s="1" t="s">
        <v>138</v>
      </c>
      <c r="CH303">
        <v>3.8</v>
      </c>
      <c r="CI303">
        <v>0</v>
      </c>
      <c r="CJ303" s="1" t="s">
        <v>130</v>
      </c>
      <c r="CK303" s="1" t="s">
        <v>161</v>
      </c>
      <c r="CL303" s="1" t="s">
        <v>126</v>
      </c>
      <c r="CM303" s="1" t="s">
        <v>593</v>
      </c>
      <c r="CN303" s="1" t="s">
        <v>216</v>
      </c>
      <c r="CO303">
        <v>71</v>
      </c>
      <c r="CP303" s="1" t="s">
        <v>1258</v>
      </c>
      <c r="CQ303" s="1" t="s">
        <v>3682</v>
      </c>
      <c r="CR303" s="1" t="s">
        <v>3333</v>
      </c>
      <c r="CS303">
        <v>1573</v>
      </c>
      <c r="CT303" s="1" t="s">
        <v>2905</v>
      </c>
      <c r="CU303" s="1" t="s">
        <v>1276</v>
      </c>
      <c r="CV303" s="1" t="s">
        <v>3683</v>
      </c>
      <c r="CW303">
        <v>58.1</v>
      </c>
      <c r="CX303">
        <v>67</v>
      </c>
      <c r="CY303">
        <v>69</v>
      </c>
      <c r="CZ303" s="1" t="s">
        <v>1316</v>
      </c>
      <c r="DA303">
        <v>1</v>
      </c>
      <c r="DB303" t="s">
        <v>114</v>
      </c>
      <c r="DC303">
        <v>50</v>
      </c>
      <c r="DD303" s="1" t="s">
        <v>3684</v>
      </c>
      <c r="DE303" s="1" t="s">
        <v>3685</v>
      </c>
      <c r="DF303" t="e">
        <f>_xlfn.XLOOKUP(Table1[[#This Row],[Player ID]],Table2[feed_id],Table2[trade_status])</f>
        <v>#N/A</v>
      </c>
      <c r="DG303">
        <f>_xlfn.NUMBERVALUE(Table1[[#This Row],[predicted]])</f>
        <v>44.951320050613297</v>
      </c>
    </row>
    <row r="304" spans="1:111" hidden="1" x14ac:dyDescent="0.25">
      <c r="A304">
        <v>97411</v>
      </c>
      <c r="B304">
        <v>7702</v>
      </c>
      <c r="C304" t="s">
        <v>3686</v>
      </c>
      <c r="D304" t="s">
        <v>579</v>
      </c>
      <c r="E304">
        <v>2021</v>
      </c>
      <c r="F304">
        <v>1003029</v>
      </c>
      <c r="G304" t="s">
        <v>3687</v>
      </c>
      <c r="H304" t="s">
        <v>3688</v>
      </c>
      <c r="I304" t="s">
        <v>112</v>
      </c>
      <c r="J304">
        <v>6</v>
      </c>
      <c r="K304">
        <v>29</v>
      </c>
      <c r="L304">
        <v>21</v>
      </c>
      <c r="M304">
        <v>32</v>
      </c>
      <c r="N304">
        <v>19</v>
      </c>
      <c r="O304">
        <v>27</v>
      </c>
      <c r="P304">
        <v>2</v>
      </c>
      <c r="Q304">
        <v>2</v>
      </c>
      <c r="R304">
        <v>1</v>
      </c>
      <c r="S304">
        <v>4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113</v>
      </c>
      <c r="Z304" t="s">
        <v>114</v>
      </c>
      <c r="AA304" t="s">
        <v>3689</v>
      </c>
      <c r="AB304" t="s">
        <v>116</v>
      </c>
      <c r="AC304" t="s">
        <v>3690</v>
      </c>
      <c r="AH304" t="s">
        <v>118</v>
      </c>
      <c r="AI304">
        <v>36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S304">
        <v>2</v>
      </c>
      <c r="AT304">
        <v>0</v>
      </c>
      <c r="AU304">
        <v>0</v>
      </c>
      <c r="AV304">
        <v>50</v>
      </c>
      <c r="AW304">
        <v>25</v>
      </c>
      <c r="AX304">
        <v>31</v>
      </c>
      <c r="AZ304" t="b">
        <v>1</v>
      </c>
      <c r="BA304">
        <v>1612</v>
      </c>
      <c r="BB304">
        <v>1675</v>
      </c>
      <c r="BC304">
        <v>13</v>
      </c>
      <c r="BD304" t="s">
        <v>3691</v>
      </c>
      <c r="BE304" s="1" t="s">
        <v>3681</v>
      </c>
      <c r="BF304">
        <v>0</v>
      </c>
      <c r="BG304">
        <v>71</v>
      </c>
      <c r="BH304">
        <v>0</v>
      </c>
      <c r="BI304" s="1" t="s">
        <v>449</v>
      </c>
      <c r="BJ304">
        <v>4.8</v>
      </c>
      <c r="BK304" s="1" t="s">
        <v>397</v>
      </c>
      <c r="BL304">
        <v>8.6</v>
      </c>
      <c r="BM304" s="1" t="s">
        <v>211</v>
      </c>
      <c r="BN304" s="1" t="s">
        <v>206</v>
      </c>
      <c r="BO304" s="1" t="s">
        <v>159</v>
      </c>
      <c r="BP304">
        <v>2.8</v>
      </c>
      <c r="BQ304">
        <v>0</v>
      </c>
      <c r="BR304">
        <v>0</v>
      </c>
      <c r="BS304" s="1" t="s">
        <v>129</v>
      </c>
      <c r="BT304">
        <v>0.4</v>
      </c>
      <c r="BU304">
        <v>0</v>
      </c>
      <c r="BV304" s="1" t="s">
        <v>130</v>
      </c>
      <c r="BW304">
        <v>0</v>
      </c>
      <c r="BX304" s="1" t="s">
        <v>184</v>
      </c>
      <c r="BY304">
        <v>0</v>
      </c>
      <c r="BZ304">
        <v>6.6666666666666596E-2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 s="1" t="s">
        <v>124</v>
      </c>
      <c r="CH304">
        <v>6.8</v>
      </c>
      <c r="CI304" s="1" t="s">
        <v>161</v>
      </c>
      <c r="CJ304" s="1" t="s">
        <v>528</v>
      </c>
      <c r="CK304" s="1" t="s">
        <v>129</v>
      </c>
      <c r="CL304" s="1" t="s">
        <v>170</v>
      </c>
      <c r="CM304" s="1" t="s">
        <v>333</v>
      </c>
      <c r="CN304" s="1" t="s">
        <v>2924</v>
      </c>
      <c r="CO304">
        <v>46</v>
      </c>
      <c r="CP304">
        <v>57.8</v>
      </c>
      <c r="CQ304" s="1" t="s">
        <v>3692</v>
      </c>
      <c r="CS304" s="1" t="s">
        <v>953</v>
      </c>
      <c r="CT304" s="1" t="s">
        <v>3693</v>
      </c>
      <c r="CU304" s="1" t="s">
        <v>3694</v>
      </c>
      <c r="CV304">
        <v>1677.4</v>
      </c>
      <c r="CW304">
        <v>55.6</v>
      </c>
      <c r="CX304">
        <v>53.1</v>
      </c>
      <c r="CY304">
        <v>43.6</v>
      </c>
      <c r="CZ304">
        <v>39</v>
      </c>
      <c r="DA304">
        <v>1</v>
      </c>
      <c r="DB304" t="s">
        <v>114</v>
      </c>
      <c r="DC304">
        <v>21</v>
      </c>
      <c r="DD304" s="1" t="s">
        <v>3695</v>
      </c>
      <c r="DE304">
        <v>-21.041420209572301</v>
      </c>
      <c r="DF304" t="e">
        <f>_xlfn.XLOOKUP(Table1[[#This Row],[Player ID]],Table2[feed_id],Table2[trade_status])</f>
        <v>#N/A</v>
      </c>
      <c r="DG304">
        <f>_xlfn.NUMBERVALUE(Table1[[#This Row],[predicted]])</f>
        <v>42.041420209572301</v>
      </c>
    </row>
    <row r="305" spans="1:111" hidden="1" x14ac:dyDescent="0.25">
      <c r="A305">
        <v>97430</v>
      </c>
      <c r="B305">
        <v>7703</v>
      </c>
      <c r="C305" t="s">
        <v>3696</v>
      </c>
      <c r="D305" t="s">
        <v>579</v>
      </c>
      <c r="E305">
        <v>2021</v>
      </c>
      <c r="F305">
        <v>295599</v>
      </c>
      <c r="G305" t="s">
        <v>3697</v>
      </c>
      <c r="H305" t="s">
        <v>3698</v>
      </c>
      <c r="I305" t="s">
        <v>619</v>
      </c>
      <c r="J305">
        <v>2</v>
      </c>
      <c r="K305">
        <v>21</v>
      </c>
      <c r="L305">
        <v>22</v>
      </c>
      <c r="M305">
        <v>26</v>
      </c>
      <c r="N305">
        <v>16</v>
      </c>
      <c r="O305">
        <v>22</v>
      </c>
      <c r="P305">
        <v>1</v>
      </c>
      <c r="Q305">
        <v>4</v>
      </c>
      <c r="R305">
        <v>0</v>
      </c>
      <c r="S305">
        <v>2</v>
      </c>
      <c r="T305">
        <v>0</v>
      </c>
      <c r="U305">
        <v>1</v>
      </c>
      <c r="V305">
        <v>0</v>
      </c>
      <c r="W305">
        <v>0</v>
      </c>
      <c r="X305">
        <v>1</v>
      </c>
      <c r="Y305" t="s">
        <v>113</v>
      </c>
      <c r="Z305" t="s">
        <v>3571</v>
      </c>
      <c r="AA305" t="s">
        <v>3699</v>
      </c>
      <c r="AB305" t="s">
        <v>525</v>
      </c>
      <c r="AC305" t="s">
        <v>2052</v>
      </c>
      <c r="AH305" t="s">
        <v>181</v>
      </c>
      <c r="AI305">
        <v>29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S305">
        <v>4</v>
      </c>
      <c r="AT305">
        <v>0</v>
      </c>
      <c r="AU305">
        <v>0</v>
      </c>
      <c r="AV305">
        <v>60</v>
      </c>
      <c r="AW305">
        <v>56</v>
      </c>
      <c r="AX305">
        <v>50</v>
      </c>
      <c r="AZ305" t="b">
        <v>0</v>
      </c>
      <c r="BA305">
        <v>1756</v>
      </c>
      <c r="BB305">
        <v>1542</v>
      </c>
      <c r="BC305">
        <v>13</v>
      </c>
      <c r="BD305" t="s">
        <v>3700</v>
      </c>
      <c r="BE305" s="1" t="s">
        <v>3681</v>
      </c>
      <c r="BF305">
        <v>0</v>
      </c>
      <c r="BG305">
        <v>71</v>
      </c>
      <c r="BH305">
        <v>0</v>
      </c>
      <c r="BI305" s="1" t="s">
        <v>253</v>
      </c>
      <c r="BJ305">
        <v>6.2</v>
      </c>
      <c r="BK305">
        <v>5</v>
      </c>
      <c r="BL305" s="1" t="s">
        <v>565</v>
      </c>
      <c r="BM305">
        <v>5</v>
      </c>
      <c r="BN305" s="1" t="s">
        <v>212</v>
      </c>
      <c r="BO305" s="1" t="s">
        <v>159</v>
      </c>
      <c r="BP305">
        <v>2.4</v>
      </c>
      <c r="BQ305">
        <v>0</v>
      </c>
      <c r="BR305">
        <v>0</v>
      </c>
      <c r="BS305">
        <v>1</v>
      </c>
      <c r="BT305" s="1" t="s">
        <v>399</v>
      </c>
      <c r="BU305" s="1" t="s">
        <v>126</v>
      </c>
      <c r="BV305" s="1" t="s">
        <v>298</v>
      </c>
      <c r="BW305">
        <v>0</v>
      </c>
      <c r="BX305">
        <v>0</v>
      </c>
      <c r="BY305" s="1" t="s">
        <v>128</v>
      </c>
      <c r="BZ305" s="1" t="s">
        <v>184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4</v>
      </c>
      <c r="CH305" s="1" t="s">
        <v>565</v>
      </c>
      <c r="CI305">
        <v>0</v>
      </c>
      <c r="CJ305" s="1" t="s">
        <v>213</v>
      </c>
      <c r="CK305">
        <v>2</v>
      </c>
      <c r="CL305" s="1" t="s">
        <v>375</v>
      </c>
      <c r="CM305" s="1" t="s">
        <v>483</v>
      </c>
      <c r="CN305">
        <v>78.2</v>
      </c>
      <c r="CO305">
        <v>80</v>
      </c>
      <c r="CP305">
        <v>87.6</v>
      </c>
      <c r="CS305">
        <v>1504</v>
      </c>
      <c r="CT305" s="1" t="s">
        <v>3701</v>
      </c>
      <c r="CU305" s="1" t="s">
        <v>3702</v>
      </c>
      <c r="CV305" s="1" t="s">
        <v>3703</v>
      </c>
      <c r="CW305">
        <v>52.75</v>
      </c>
      <c r="CX305">
        <v>52</v>
      </c>
      <c r="CY305">
        <v>55.2</v>
      </c>
      <c r="CZ305" s="1" t="s">
        <v>706</v>
      </c>
      <c r="DA305">
        <v>1</v>
      </c>
      <c r="DB305" t="s">
        <v>3571</v>
      </c>
      <c r="DC305">
        <v>22</v>
      </c>
      <c r="DD305" s="1" t="s">
        <v>3704</v>
      </c>
      <c r="DE305">
        <v>-26.5307834786502</v>
      </c>
      <c r="DF305" t="e">
        <f>_xlfn.XLOOKUP(Table1[[#This Row],[Player ID]],Table2[feed_id],Table2[trade_status])</f>
        <v>#N/A</v>
      </c>
      <c r="DG305">
        <f>_xlfn.NUMBERVALUE(Table1[[#This Row],[predicted]])</f>
        <v>48.5307834786502</v>
      </c>
    </row>
    <row r="306" spans="1:111" hidden="1" x14ac:dyDescent="0.25">
      <c r="A306">
        <v>97645</v>
      </c>
      <c r="B306">
        <v>7708</v>
      </c>
      <c r="C306" t="s">
        <v>3705</v>
      </c>
      <c r="D306" t="s">
        <v>1360</v>
      </c>
      <c r="E306">
        <v>2021</v>
      </c>
      <c r="F306">
        <v>998115</v>
      </c>
      <c r="G306" t="s">
        <v>3706</v>
      </c>
      <c r="H306" t="s">
        <v>3707</v>
      </c>
      <c r="I306" t="s">
        <v>178</v>
      </c>
      <c r="J306">
        <v>14</v>
      </c>
      <c r="K306">
        <v>87</v>
      </c>
      <c r="L306">
        <v>91</v>
      </c>
      <c r="M306">
        <v>112</v>
      </c>
      <c r="N306">
        <v>73</v>
      </c>
      <c r="O306">
        <v>96</v>
      </c>
      <c r="P306">
        <v>14</v>
      </c>
      <c r="Q306">
        <v>8</v>
      </c>
      <c r="R306">
        <v>9</v>
      </c>
      <c r="S306">
        <v>1</v>
      </c>
      <c r="T306">
        <v>0</v>
      </c>
      <c r="U306">
        <v>1</v>
      </c>
      <c r="V306">
        <v>1</v>
      </c>
      <c r="W306">
        <v>0</v>
      </c>
      <c r="X306">
        <v>0</v>
      </c>
      <c r="Y306" t="s">
        <v>113</v>
      </c>
      <c r="Z306" t="s">
        <v>179</v>
      </c>
      <c r="AA306" t="s">
        <v>3708</v>
      </c>
      <c r="AH306" t="s">
        <v>181</v>
      </c>
      <c r="AI306">
        <v>44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S306">
        <v>5</v>
      </c>
      <c r="AT306">
        <v>0</v>
      </c>
      <c r="AU306">
        <v>2</v>
      </c>
      <c r="AV306">
        <v>81</v>
      </c>
      <c r="AW306">
        <v>83</v>
      </c>
      <c r="AX306">
        <v>160</v>
      </c>
      <c r="AY306">
        <v>0</v>
      </c>
      <c r="AZ306" t="b">
        <v>0</v>
      </c>
      <c r="BA306">
        <v>1480</v>
      </c>
      <c r="BB306">
        <v>1824</v>
      </c>
      <c r="BC306">
        <v>14</v>
      </c>
      <c r="BD306" t="s">
        <v>3709</v>
      </c>
      <c r="BE306">
        <v>99</v>
      </c>
      <c r="BF306">
        <v>0</v>
      </c>
      <c r="BG306">
        <v>72</v>
      </c>
      <c r="BH306">
        <v>1</v>
      </c>
      <c r="BI306">
        <v>9</v>
      </c>
      <c r="BJ306" s="1" t="s">
        <v>1442</v>
      </c>
      <c r="BK306" s="1" t="s">
        <v>397</v>
      </c>
      <c r="BL306" s="1" t="s">
        <v>416</v>
      </c>
      <c r="BM306" s="1" t="s">
        <v>449</v>
      </c>
      <c r="BN306" s="1" t="s">
        <v>766</v>
      </c>
      <c r="BO306" s="1" t="s">
        <v>159</v>
      </c>
      <c r="BP306" s="1" t="s">
        <v>566</v>
      </c>
      <c r="BQ306">
        <v>0</v>
      </c>
      <c r="BR306">
        <v>0</v>
      </c>
      <c r="BS306" s="1" t="s">
        <v>129</v>
      </c>
      <c r="BT306">
        <v>0.6</v>
      </c>
      <c r="BU306" s="1" t="s">
        <v>129</v>
      </c>
      <c r="BV306" s="1" t="s">
        <v>128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3</v>
      </c>
      <c r="CH306" s="1" t="s">
        <v>211</v>
      </c>
      <c r="CI306">
        <v>0</v>
      </c>
      <c r="CJ306" s="1" t="s">
        <v>184</v>
      </c>
      <c r="CK306">
        <v>1</v>
      </c>
      <c r="CL306">
        <v>1.8</v>
      </c>
      <c r="CM306" s="1" t="s">
        <v>350</v>
      </c>
      <c r="CN306" s="1" t="s">
        <v>1805</v>
      </c>
      <c r="CO306" s="1" t="s">
        <v>994</v>
      </c>
      <c r="CP306" s="1" t="s">
        <v>2730</v>
      </c>
      <c r="CQ306">
        <v>118</v>
      </c>
      <c r="CR306" s="1" t="s">
        <v>3710</v>
      </c>
      <c r="CS306">
        <v>1605</v>
      </c>
      <c r="CT306" s="1" t="s">
        <v>2763</v>
      </c>
      <c r="CU306" s="1" t="s">
        <v>2904</v>
      </c>
      <c r="CV306" s="1" t="s">
        <v>3711</v>
      </c>
      <c r="CW306">
        <v>64.5</v>
      </c>
      <c r="CX306">
        <v>62.8</v>
      </c>
      <c r="CY306">
        <v>65.400000000000006</v>
      </c>
      <c r="CZ306" s="1" t="s">
        <v>883</v>
      </c>
      <c r="DA306">
        <v>1</v>
      </c>
      <c r="DB306" t="s">
        <v>179</v>
      </c>
      <c r="DC306">
        <v>91</v>
      </c>
      <c r="DD306" s="1" t="s">
        <v>3712</v>
      </c>
      <c r="DE306" s="1" t="s">
        <v>3713</v>
      </c>
      <c r="DF306" t="e">
        <f>_xlfn.XLOOKUP(Table1[[#This Row],[Player ID]],Table2[feed_id],Table2[trade_status])</f>
        <v>#N/A</v>
      </c>
      <c r="DG306">
        <f>_xlfn.NUMBERVALUE(Table1[[#This Row],[predicted]])</f>
        <v>56.9688765337756</v>
      </c>
    </row>
    <row r="307" spans="1:111" hidden="1" x14ac:dyDescent="0.25">
      <c r="A307">
        <v>97647</v>
      </c>
      <c r="B307">
        <v>7708</v>
      </c>
      <c r="C307" t="s">
        <v>3705</v>
      </c>
      <c r="D307" t="s">
        <v>1360</v>
      </c>
      <c r="E307">
        <v>2021</v>
      </c>
      <c r="F307">
        <v>290823</v>
      </c>
      <c r="G307" t="s">
        <v>3714</v>
      </c>
      <c r="H307" t="s">
        <v>3715</v>
      </c>
      <c r="I307" t="s">
        <v>178</v>
      </c>
      <c r="J307">
        <v>19</v>
      </c>
      <c r="K307">
        <v>85</v>
      </c>
      <c r="L307">
        <v>68</v>
      </c>
      <c r="M307">
        <v>115</v>
      </c>
      <c r="N307">
        <v>67</v>
      </c>
      <c r="O307">
        <v>90</v>
      </c>
      <c r="P307">
        <v>12</v>
      </c>
      <c r="Q307">
        <v>5</v>
      </c>
      <c r="R307">
        <v>8</v>
      </c>
      <c r="S307">
        <v>5</v>
      </c>
      <c r="T307">
        <v>0</v>
      </c>
      <c r="U307">
        <v>1</v>
      </c>
      <c r="V307">
        <v>2</v>
      </c>
      <c r="W307">
        <v>0</v>
      </c>
      <c r="X307">
        <v>0</v>
      </c>
      <c r="Y307" t="s">
        <v>113</v>
      </c>
      <c r="Z307" t="s">
        <v>226</v>
      </c>
      <c r="AA307" t="s">
        <v>3716</v>
      </c>
      <c r="AH307" t="s">
        <v>118</v>
      </c>
      <c r="AI307">
        <v>6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S307">
        <v>4</v>
      </c>
      <c r="AT307">
        <v>0</v>
      </c>
      <c r="AU307">
        <v>4</v>
      </c>
      <c r="AV307">
        <v>82</v>
      </c>
      <c r="AW307">
        <v>86</v>
      </c>
      <c r="AX307">
        <v>170</v>
      </c>
      <c r="AY307">
        <v>0</v>
      </c>
      <c r="AZ307" t="b">
        <v>0</v>
      </c>
      <c r="BA307">
        <v>1480</v>
      </c>
      <c r="BB307">
        <v>1824</v>
      </c>
      <c r="BC307">
        <v>14</v>
      </c>
      <c r="BD307" t="s">
        <v>3709</v>
      </c>
      <c r="BE307">
        <v>99</v>
      </c>
      <c r="BF307">
        <v>0</v>
      </c>
      <c r="BG307">
        <v>72</v>
      </c>
      <c r="BH307">
        <v>0</v>
      </c>
      <c r="BI307" s="1" t="s">
        <v>294</v>
      </c>
      <c r="BJ307" s="1" t="s">
        <v>1442</v>
      </c>
      <c r="BK307" s="1" t="s">
        <v>397</v>
      </c>
      <c r="BL307" s="1" t="s">
        <v>260</v>
      </c>
      <c r="BM307">
        <v>5</v>
      </c>
      <c r="BN307" s="1" t="s">
        <v>125</v>
      </c>
      <c r="BO307" s="1" t="s">
        <v>138</v>
      </c>
      <c r="BP307">
        <v>2.2000000000000002</v>
      </c>
      <c r="BQ307">
        <v>0</v>
      </c>
      <c r="BR307">
        <v>0</v>
      </c>
      <c r="BS307">
        <v>1</v>
      </c>
      <c r="BT307">
        <v>0.6</v>
      </c>
      <c r="BU307" s="1" t="s">
        <v>128</v>
      </c>
      <c r="BV307" s="1" t="s">
        <v>127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4</v>
      </c>
      <c r="CH307" s="1" t="s">
        <v>587</v>
      </c>
      <c r="CI307">
        <v>0</v>
      </c>
      <c r="CJ307" s="1" t="s">
        <v>184</v>
      </c>
      <c r="CK307">
        <v>2</v>
      </c>
      <c r="CL307" s="1" t="s">
        <v>255</v>
      </c>
      <c r="CM307" s="1" t="s">
        <v>406</v>
      </c>
      <c r="CN307">
        <v>79.400000000000006</v>
      </c>
      <c r="CO307">
        <v>82</v>
      </c>
      <c r="CP307">
        <v>83</v>
      </c>
      <c r="CQ307" s="1" t="s">
        <v>3717</v>
      </c>
      <c r="CR307" s="1" t="s">
        <v>3718</v>
      </c>
      <c r="CS307" s="1" t="s">
        <v>3630</v>
      </c>
      <c r="CT307">
        <v>1634.2</v>
      </c>
      <c r="CU307" s="1" t="s">
        <v>3719</v>
      </c>
      <c r="CV307">
        <v>1640.8</v>
      </c>
      <c r="CW307">
        <v>64.75</v>
      </c>
      <c r="CX307">
        <v>59.3</v>
      </c>
      <c r="CY307">
        <v>57.8</v>
      </c>
      <c r="CZ307">
        <v>61</v>
      </c>
      <c r="DA307">
        <v>1</v>
      </c>
      <c r="DB307" t="s">
        <v>226</v>
      </c>
      <c r="DC307">
        <v>68</v>
      </c>
      <c r="DD307" s="1" t="s">
        <v>3720</v>
      </c>
      <c r="DE307">
        <v>-22.940094115806399</v>
      </c>
      <c r="DF307" t="e">
        <f>_xlfn.XLOOKUP(Table1[[#This Row],[Player ID]],Table2[feed_id],Table2[trade_status])</f>
        <v>#N/A</v>
      </c>
      <c r="DG307">
        <f>_xlfn.NUMBERVALUE(Table1[[#This Row],[predicted]])</f>
        <v>90.940094115806403</v>
      </c>
    </row>
    <row r="308" spans="1:111" hidden="1" x14ac:dyDescent="0.25">
      <c r="A308">
        <v>97697</v>
      </c>
      <c r="B308">
        <v>7709</v>
      </c>
      <c r="C308" t="s">
        <v>3721</v>
      </c>
      <c r="D308" t="s">
        <v>1360</v>
      </c>
      <c r="E308">
        <v>2021</v>
      </c>
      <c r="F308">
        <v>992000</v>
      </c>
      <c r="G308" t="s">
        <v>1127</v>
      </c>
      <c r="H308" t="s">
        <v>3722</v>
      </c>
      <c r="I308" t="s">
        <v>152</v>
      </c>
      <c r="J308">
        <v>8</v>
      </c>
      <c r="K308">
        <v>57</v>
      </c>
      <c r="L308">
        <v>33</v>
      </c>
      <c r="M308">
        <v>75</v>
      </c>
      <c r="N308">
        <v>40</v>
      </c>
      <c r="O308">
        <v>53</v>
      </c>
      <c r="P308">
        <v>9</v>
      </c>
      <c r="Q308">
        <v>3</v>
      </c>
      <c r="R308">
        <v>1</v>
      </c>
      <c r="S308">
        <v>4</v>
      </c>
      <c r="T308">
        <v>0</v>
      </c>
      <c r="U308">
        <v>3</v>
      </c>
      <c r="V308">
        <v>0</v>
      </c>
      <c r="W308">
        <v>0</v>
      </c>
      <c r="X308">
        <v>2</v>
      </c>
      <c r="Y308" t="s">
        <v>113</v>
      </c>
      <c r="Z308" t="s">
        <v>525</v>
      </c>
      <c r="AA308" t="s">
        <v>3723</v>
      </c>
      <c r="AH308" t="s">
        <v>155</v>
      </c>
      <c r="AI308">
        <v>13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S308">
        <v>4</v>
      </c>
      <c r="AT308">
        <v>0</v>
      </c>
      <c r="AU308">
        <v>5</v>
      </c>
      <c r="AV308">
        <v>41</v>
      </c>
      <c r="AW308">
        <v>86</v>
      </c>
      <c r="AX308">
        <v>294</v>
      </c>
      <c r="AY308">
        <v>0</v>
      </c>
      <c r="AZ308" t="b">
        <v>0</v>
      </c>
      <c r="BA308">
        <v>1519</v>
      </c>
      <c r="BB308">
        <v>1781</v>
      </c>
      <c r="BC308">
        <v>14</v>
      </c>
      <c r="BD308" t="s">
        <v>3724</v>
      </c>
      <c r="BE308">
        <v>99</v>
      </c>
      <c r="BF308">
        <v>0</v>
      </c>
      <c r="BG308">
        <v>72</v>
      </c>
      <c r="BH308">
        <v>0</v>
      </c>
      <c r="BI308">
        <v>6</v>
      </c>
      <c r="BJ308" s="1" t="s">
        <v>430</v>
      </c>
      <c r="BK308">
        <v>3</v>
      </c>
      <c r="BL308" s="1" t="s">
        <v>138</v>
      </c>
      <c r="BM308" s="1" t="s">
        <v>128</v>
      </c>
      <c r="BN308" s="1" t="s">
        <v>373</v>
      </c>
      <c r="BO308">
        <v>2</v>
      </c>
      <c r="BP308">
        <v>1.8</v>
      </c>
      <c r="BQ308">
        <v>0</v>
      </c>
      <c r="BR308">
        <v>0</v>
      </c>
      <c r="BS308">
        <v>1</v>
      </c>
      <c r="BT308">
        <v>1</v>
      </c>
      <c r="BU308">
        <v>0</v>
      </c>
      <c r="BV308" s="1" t="s">
        <v>213</v>
      </c>
      <c r="BW308">
        <v>0</v>
      </c>
      <c r="BX308" s="1" t="s">
        <v>128</v>
      </c>
      <c r="BY308" s="1" t="s">
        <v>128</v>
      </c>
      <c r="BZ308">
        <v>0.6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 s="1" t="s">
        <v>169</v>
      </c>
      <c r="CH308" s="1" t="s">
        <v>237</v>
      </c>
      <c r="CI308" s="1" t="s">
        <v>129</v>
      </c>
      <c r="CJ308" s="1" t="s">
        <v>129</v>
      </c>
      <c r="CK308" s="1" t="s">
        <v>169</v>
      </c>
      <c r="CL308">
        <v>1.2</v>
      </c>
      <c r="CM308">
        <v>29</v>
      </c>
      <c r="CN308" s="1" t="s">
        <v>759</v>
      </c>
      <c r="CO308" s="1" t="s">
        <v>2464</v>
      </c>
      <c r="CP308">
        <v>75</v>
      </c>
      <c r="CQ308" s="1" t="s">
        <v>3725</v>
      </c>
      <c r="CR308" s="1" t="s">
        <v>3726</v>
      </c>
      <c r="CS308" s="1" t="s">
        <v>1473</v>
      </c>
      <c r="CT308" s="1" t="s">
        <v>3727</v>
      </c>
      <c r="CU308">
        <v>1666</v>
      </c>
      <c r="CV308" s="1" t="s">
        <v>1714</v>
      </c>
      <c r="CW308">
        <v>50.05</v>
      </c>
      <c r="CX308">
        <v>41.6</v>
      </c>
      <c r="CY308">
        <v>32.799999999999997</v>
      </c>
      <c r="CZ308" s="1" t="s">
        <v>2287</v>
      </c>
      <c r="DA308">
        <v>1</v>
      </c>
      <c r="DB308" t="s">
        <v>525</v>
      </c>
      <c r="DC308">
        <v>33</v>
      </c>
      <c r="DD308" s="1" t="s">
        <v>3728</v>
      </c>
      <c r="DE308">
        <v>-18.811734558634001</v>
      </c>
      <c r="DF308" t="e">
        <f>_xlfn.XLOOKUP(Table1[[#This Row],[Player ID]],Table2[feed_id],Table2[trade_status])</f>
        <v>#N/A</v>
      </c>
      <c r="DG308">
        <f>_xlfn.NUMBERVALUE(Table1[[#This Row],[predicted]])</f>
        <v>51.811734558634001</v>
      </c>
    </row>
    <row r="309" spans="1:111" hidden="1" x14ac:dyDescent="0.25">
      <c r="A309">
        <v>97747</v>
      </c>
      <c r="B309">
        <v>7710</v>
      </c>
      <c r="C309" t="s">
        <v>3729</v>
      </c>
      <c r="D309" t="s">
        <v>1360</v>
      </c>
      <c r="E309">
        <v>2021</v>
      </c>
      <c r="F309">
        <v>296078</v>
      </c>
      <c r="G309" t="s">
        <v>1422</v>
      </c>
      <c r="H309" t="s">
        <v>3730</v>
      </c>
      <c r="I309" t="s">
        <v>813</v>
      </c>
      <c r="J309">
        <v>3</v>
      </c>
      <c r="K309">
        <v>30</v>
      </c>
      <c r="L309">
        <v>33</v>
      </c>
      <c r="M309">
        <v>42</v>
      </c>
      <c r="N309">
        <v>25</v>
      </c>
      <c r="O309">
        <v>36</v>
      </c>
      <c r="P309">
        <v>5</v>
      </c>
      <c r="Q309">
        <v>2</v>
      </c>
      <c r="R309">
        <v>3</v>
      </c>
      <c r="S309">
        <v>2</v>
      </c>
      <c r="T309">
        <v>0</v>
      </c>
      <c r="U309">
        <v>0</v>
      </c>
      <c r="V309">
        <v>2</v>
      </c>
      <c r="W309">
        <v>0</v>
      </c>
      <c r="X309">
        <v>0</v>
      </c>
      <c r="Y309" t="s">
        <v>113</v>
      </c>
      <c r="Z309" t="s">
        <v>114</v>
      </c>
      <c r="AA309" t="s">
        <v>3731</v>
      </c>
      <c r="AB309" t="s">
        <v>525</v>
      </c>
      <c r="AC309" t="s">
        <v>2670</v>
      </c>
      <c r="AH309" t="s">
        <v>155</v>
      </c>
      <c r="AI309">
        <v>6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S309">
        <v>1</v>
      </c>
      <c r="AT309">
        <v>0</v>
      </c>
      <c r="AU309">
        <v>3</v>
      </c>
      <c r="AV309">
        <v>57</v>
      </c>
      <c r="AW309">
        <v>79</v>
      </c>
      <c r="AX309">
        <v>112</v>
      </c>
      <c r="AY309">
        <v>1</v>
      </c>
      <c r="AZ309" t="b">
        <v>1</v>
      </c>
      <c r="BA309">
        <v>1656</v>
      </c>
      <c r="BB309">
        <v>1645</v>
      </c>
      <c r="BC309">
        <v>14</v>
      </c>
      <c r="BD309" t="s">
        <v>3732</v>
      </c>
      <c r="BE309">
        <v>99</v>
      </c>
      <c r="BF309">
        <v>0</v>
      </c>
      <c r="BG309">
        <v>72</v>
      </c>
      <c r="BH309">
        <v>0</v>
      </c>
      <c r="BI309" s="1" t="s">
        <v>545</v>
      </c>
      <c r="BJ309" s="1" t="s">
        <v>729</v>
      </c>
      <c r="BK309" s="1" t="s">
        <v>449</v>
      </c>
      <c r="BL309" s="1" t="s">
        <v>124</v>
      </c>
      <c r="BM309" s="1" t="s">
        <v>449</v>
      </c>
      <c r="BN309" s="1" t="s">
        <v>990</v>
      </c>
      <c r="BO309">
        <v>1</v>
      </c>
      <c r="BP309">
        <v>2.6</v>
      </c>
      <c r="BQ309">
        <v>0</v>
      </c>
      <c r="BR309">
        <v>0</v>
      </c>
      <c r="BS309">
        <v>1</v>
      </c>
      <c r="BT309" s="1" t="s">
        <v>238</v>
      </c>
      <c r="BU309">
        <v>1</v>
      </c>
      <c r="BV309" s="1" t="s">
        <v>130</v>
      </c>
      <c r="BW309" s="1" t="s">
        <v>126</v>
      </c>
      <c r="BX309" s="1" t="s">
        <v>399</v>
      </c>
      <c r="BY309">
        <v>0</v>
      </c>
      <c r="BZ309" s="1" t="s">
        <v>231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 s="1" t="s">
        <v>211</v>
      </c>
      <c r="CH309" s="1" t="s">
        <v>449</v>
      </c>
      <c r="CI309">
        <v>0</v>
      </c>
      <c r="CJ309" s="1" t="s">
        <v>231</v>
      </c>
      <c r="CK309" s="1" t="s">
        <v>169</v>
      </c>
      <c r="CL309">
        <v>2.4</v>
      </c>
      <c r="CM309" s="1" t="s">
        <v>483</v>
      </c>
      <c r="CN309" s="1" t="s">
        <v>3733</v>
      </c>
      <c r="CO309" s="1" t="s">
        <v>516</v>
      </c>
      <c r="CP309" s="1" t="s">
        <v>241</v>
      </c>
      <c r="CQ309" s="1" t="s">
        <v>3734</v>
      </c>
      <c r="CS309" s="1" t="s">
        <v>1997</v>
      </c>
      <c r="CT309">
        <v>1616.4</v>
      </c>
      <c r="CU309" s="1" t="s">
        <v>3735</v>
      </c>
      <c r="CV309" s="1" t="s">
        <v>3736</v>
      </c>
      <c r="CW309">
        <v>65.45</v>
      </c>
      <c r="CX309">
        <v>61.8</v>
      </c>
      <c r="CY309">
        <v>60.6</v>
      </c>
      <c r="CZ309" s="1" t="s">
        <v>2464</v>
      </c>
      <c r="DA309">
        <v>1</v>
      </c>
      <c r="DB309" t="s">
        <v>114</v>
      </c>
      <c r="DC309">
        <v>33</v>
      </c>
      <c r="DD309" s="1" t="s">
        <v>3737</v>
      </c>
      <c r="DE309">
        <v>-17.678634339648301</v>
      </c>
      <c r="DF309" t="e">
        <f>_xlfn.XLOOKUP(Table1[[#This Row],[Player ID]],Table2[feed_id],Table2[trade_status])</f>
        <v>#N/A</v>
      </c>
      <c r="DG309">
        <f>_xlfn.NUMBERVALUE(Table1[[#This Row],[predicted]])</f>
        <v>50.678634339648298</v>
      </c>
    </row>
    <row r="310" spans="1:111" hidden="1" x14ac:dyDescent="0.25">
      <c r="A310">
        <v>97857</v>
      </c>
      <c r="B310">
        <v>7712</v>
      </c>
      <c r="C310" t="s">
        <v>3738</v>
      </c>
      <c r="D310" t="s">
        <v>1360</v>
      </c>
      <c r="E310">
        <v>2021</v>
      </c>
      <c r="F310">
        <v>290623</v>
      </c>
      <c r="G310" t="s">
        <v>1318</v>
      </c>
      <c r="H310" t="s">
        <v>3739</v>
      </c>
      <c r="I310" t="s">
        <v>317</v>
      </c>
      <c r="J310">
        <v>8</v>
      </c>
      <c r="K310">
        <v>53</v>
      </c>
      <c r="L310">
        <v>58</v>
      </c>
      <c r="M310">
        <v>41</v>
      </c>
      <c r="N310">
        <v>43</v>
      </c>
      <c r="O310">
        <v>61</v>
      </c>
      <c r="P310">
        <v>6</v>
      </c>
      <c r="Q310">
        <v>10</v>
      </c>
      <c r="R310">
        <v>2</v>
      </c>
      <c r="S310">
        <v>2</v>
      </c>
      <c r="T310">
        <v>0</v>
      </c>
      <c r="U310">
        <v>0</v>
      </c>
      <c r="V310">
        <v>0</v>
      </c>
      <c r="W310">
        <v>0</v>
      </c>
      <c r="X310">
        <v>1</v>
      </c>
      <c r="Y310" t="s">
        <v>113</v>
      </c>
      <c r="Z310" t="s">
        <v>525</v>
      </c>
      <c r="AA310" t="s">
        <v>3740</v>
      </c>
      <c r="AH310" t="s">
        <v>118</v>
      </c>
      <c r="AI310">
        <v>22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S310">
        <v>7</v>
      </c>
      <c r="AT310">
        <v>4</v>
      </c>
      <c r="AU310">
        <v>2</v>
      </c>
      <c r="AV310">
        <v>68</v>
      </c>
      <c r="AW310">
        <v>77</v>
      </c>
      <c r="AX310">
        <v>243</v>
      </c>
      <c r="AY310">
        <v>1</v>
      </c>
      <c r="AZ310" t="b">
        <v>0</v>
      </c>
      <c r="BA310">
        <v>1636</v>
      </c>
      <c r="BB310">
        <v>1666</v>
      </c>
      <c r="BC310">
        <v>14</v>
      </c>
      <c r="BD310" t="s">
        <v>3741</v>
      </c>
      <c r="BE310">
        <v>99</v>
      </c>
      <c r="BF310">
        <v>0</v>
      </c>
      <c r="BG310">
        <v>72</v>
      </c>
      <c r="BH310">
        <v>0</v>
      </c>
      <c r="BI310">
        <v>11</v>
      </c>
      <c r="BJ310" s="1" t="s">
        <v>294</v>
      </c>
      <c r="BK310" s="1" t="s">
        <v>253</v>
      </c>
      <c r="BL310" s="1" t="s">
        <v>429</v>
      </c>
      <c r="BM310" s="1" t="s">
        <v>397</v>
      </c>
      <c r="BN310" s="1" t="s">
        <v>752</v>
      </c>
      <c r="BO310" s="1" t="s">
        <v>126</v>
      </c>
      <c r="BP310" s="1" t="s">
        <v>375</v>
      </c>
      <c r="BQ310">
        <v>0</v>
      </c>
      <c r="BR310">
        <v>6.6666666666666596E-2</v>
      </c>
      <c r="BS310" s="1" t="s">
        <v>129</v>
      </c>
      <c r="BT310">
        <v>0.4</v>
      </c>
      <c r="BU310" s="1" t="s">
        <v>129</v>
      </c>
      <c r="BV310">
        <v>0.6</v>
      </c>
      <c r="BW310" s="1" t="s">
        <v>129</v>
      </c>
      <c r="BX310" s="1" t="s">
        <v>184</v>
      </c>
      <c r="BY310" s="1" t="s">
        <v>129</v>
      </c>
      <c r="BZ310" s="1" t="s">
        <v>231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6</v>
      </c>
      <c r="CH310" s="1" t="s">
        <v>565</v>
      </c>
      <c r="CI310" s="1" t="s">
        <v>161</v>
      </c>
      <c r="CJ310" s="1" t="s">
        <v>127</v>
      </c>
      <c r="CK310">
        <v>2</v>
      </c>
      <c r="CL310" s="1" t="s">
        <v>275</v>
      </c>
      <c r="CM310" s="1" t="s">
        <v>1080</v>
      </c>
      <c r="CN310" s="1" t="s">
        <v>1641</v>
      </c>
      <c r="CO310" s="1" t="s">
        <v>241</v>
      </c>
      <c r="CP310" s="1" t="s">
        <v>610</v>
      </c>
      <c r="CQ310" s="1" t="s">
        <v>3742</v>
      </c>
      <c r="CS310" s="1" t="s">
        <v>3194</v>
      </c>
      <c r="CT310" s="1" t="s">
        <v>3743</v>
      </c>
      <c r="CU310">
        <v>1516</v>
      </c>
      <c r="CV310" s="1" t="s">
        <v>2838</v>
      </c>
      <c r="CW310">
        <v>71.099999999999994</v>
      </c>
      <c r="CX310">
        <v>63.9</v>
      </c>
      <c r="CY310">
        <v>73.8</v>
      </c>
      <c r="CZ310" s="1" t="s">
        <v>261</v>
      </c>
      <c r="DA310">
        <v>1</v>
      </c>
      <c r="DB310" t="s">
        <v>525</v>
      </c>
      <c r="DC310">
        <v>58</v>
      </c>
      <c r="DD310" s="1" t="s">
        <v>3744</v>
      </c>
      <c r="DE310">
        <v>-13.298502009686899</v>
      </c>
      <c r="DF310" t="e">
        <f>_xlfn.XLOOKUP(Table1[[#This Row],[Player ID]],Table2[feed_id],Table2[trade_status])</f>
        <v>#N/A</v>
      </c>
      <c r="DG310">
        <f>_xlfn.NUMBERVALUE(Table1[[#This Row],[predicted]])</f>
        <v>71.298502009686899</v>
      </c>
    </row>
    <row r="311" spans="1:111" hidden="1" x14ac:dyDescent="0.25">
      <c r="A311">
        <v>97949</v>
      </c>
      <c r="B311">
        <v>7714</v>
      </c>
      <c r="C311" t="s">
        <v>3745</v>
      </c>
      <c r="D311" t="s">
        <v>1377</v>
      </c>
      <c r="E311">
        <v>2021</v>
      </c>
      <c r="F311">
        <v>261892</v>
      </c>
      <c r="G311" t="s">
        <v>3746</v>
      </c>
      <c r="H311" t="s">
        <v>3747</v>
      </c>
      <c r="I311" t="s">
        <v>425</v>
      </c>
      <c r="J311">
        <v>4</v>
      </c>
      <c r="K311">
        <v>45</v>
      </c>
      <c r="L311">
        <v>29</v>
      </c>
      <c r="M311">
        <v>26</v>
      </c>
      <c r="N311">
        <v>39</v>
      </c>
      <c r="O311">
        <v>51</v>
      </c>
      <c r="P311">
        <v>8</v>
      </c>
      <c r="Q311">
        <v>4</v>
      </c>
      <c r="R311">
        <v>5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 t="s">
        <v>113</v>
      </c>
      <c r="Z311" t="s">
        <v>3571</v>
      </c>
      <c r="AA311" t="s">
        <v>3748</v>
      </c>
      <c r="AH311" t="s">
        <v>181</v>
      </c>
      <c r="AI311">
        <v>8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S311">
        <v>4</v>
      </c>
      <c r="AT311">
        <v>0</v>
      </c>
      <c r="AU311">
        <v>1</v>
      </c>
      <c r="AV311">
        <v>66</v>
      </c>
      <c r="AW311">
        <v>47</v>
      </c>
      <c r="AX311">
        <v>160</v>
      </c>
      <c r="AY311">
        <v>0</v>
      </c>
      <c r="AZ311" t="b">
        <v>0</v>
      </c>
      <c r="BA311">
        <v>1392</v>
      </c>
      <c r="BB311">
        <v>1878</v>
      </c>
      <c r="BC311">
        <v>15</v>
      </c>
      <c r="BD311" t="s">
        <v>3749</v>
      </c>
      <c r="BE311">
        <v>101</v>
      </c>
      <c r="BF311">
        <v>0</v>
      </c>
      <c r="BG311">
        <v>70</v>
      </c>
      <c r="BH311">
        <v>0</v>
      </c>
      <c r="BI311">
        <v>8</v>
      </c>
      <c r="BJ311" s="1" t="s">
        <v>1106</v>
      </c>
      <c r="BK311">
        <v>4</v>
      </c>
      <c r="BL311" s="1" t="s">
        <v>430</v>
      </c>
      <c r="BM311" s="1" t="s">
        <v>169</v>
      </c>
      <c r="BN311" s="1" t="s">
        <v>125</v>
      </c>
      <c r="BO311" s="1" t="s">
        <v>161</v>
      </c>
      <c r="BP311">
        <v>2.4</v>
      </c>
      <c r="BQ311">
        <v>0</v>
      </c>
      <c r="BR311">
        <v>0</v>
      </c>
      <c r="BS311" s="1" t="s">
        <v>126</v>
      </c>
      <c r="BT311" s="1" t="s">
        <v>399</v>
      </c>
      <c r="BU311" s="1" t="s">
        <v>126</v>
      </c>
      <c r="BV311" s="1" t="s">
        <v>162</v>
      </c>
      <c r="BW311" s="1" t="s">
        <v>129</v>
      </c>
      <c r="BX311" s="1" t="s">
        <v>213</v>
      </c>
      <c r="BY311">
        <v>0</v>
      </c>
      <c r="BZ311" s="1" t="s">
        <v>213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 s="1" t="s">
        <v>125</v>
      </c>
      <c r="CH311">
        <v>4.8</v>
      </c>
      <c r="CI311" s="1" t="s">
        <v>129</v>
      </c>
      <c r="CJ311" s="1" t="s">
        <v>130</v>
      </c>
      <c r="CK311" s="1" t="s">
        <v>159</v>
      </c>
      <c r="CL311" s="1" t="s">
        <v>373</v>
      </c>
      <c r="CM311" s="1" t="s">
        <v>1459</v>
      </c>
      <c r="CN311">
        <v>69.2</v>
      </c>
      <c r="CO311">
        <v>68</v>
      </c>
      <c r="CP311" s="1" t="s">
        <v>1840</v>
      </c>
      <c r="CQ311" s="1" t="s">
        <v>3750</v>
      </c>
      <c r="CR311" s="1" t="s">
        <v>3751</v>
      </c>
      <c r="CS311">
        <v>1657</v>
      </c>
      <c r="CT311" s="1" t="s">
        <v>367</v>
      </c>
      <c r="CU311" s="1" t="s">
        <v>1164</v>
      </c>
      <c r="CV311">
        <v>1562</v>
      </c>
      <c r="CW311">
        <v>69</v>
      </c>
      <c r="CX311">
        <v>61.7</v>
      </c>
      <c r="CY311">
        <v>47.8</v>
      </c>
      <c r="CZ311">
        <v>37</v>
      </c>
      <c r="DA311">
        <v>1</v>
      </c>
      <c r="DB311" t="s">
        <v>3571</v>
      </c>
      <c r="DC311">
        <v>29</v>
      </c>
      <c r="DD311" s="1" t="s">
        <v>3752</v>
      </c>
      <c r="DE311">
        <v>-27.923653683905801</v>
      </c>
      <c r="DF311" t="e">
        <f>_xlfn.XLOOKUP(Table1[[#This Row],[Player ID]],Table2[feed_id],Table2[trade_status])</f>
        <v>#N/A</v>
      </c>
      <c r="DG311">
        <f>_xlfn.NUMBERVALUE(Table1[[#This Row],[predicted]])</f>
        <v>56.923653683905798</v>
      </c>
    </row>
    <row r="312" spans="1:111" hidden="1" x14ac:dyDescent="0.25">
      <c r="A312">
        <v>98352</v>
      </c>
      <c r="B312">
        <v>7723</v>
      </c>
      <c r="C312" t="s">
        <v>3753</v>
      </c>
      <c r="D312" t="s">
        <v>599</v>
      </c>
      <c r="E312">
        <v>2021</v>
      </c>
      <c r="F312">
        <v>295156</v>
      </c>
      <c r="G312" t="s">
        <v>3754</v>
      </c>
      <c r="H312" t="s">
        <v>3755</v>
      </c>
      <c r="I312" t="s">
        <v>338</v>
      </c>
      <c r="J312">
        <v>4</v>
      </c>
      <c r="K312">
        <v>44</v>
      </c>
      <c r="L312">
        <v>66</v>
      </c>
      <c r="M312">
        <v>28</v>
      </c>
      <c r="N312">
        <v>34</v>
      </c>
      <c r="O312">
        <v>48</v>
      </c>
      <c r="P312">
        <v>8</v>
      </c>
      <c r="Q312">
        <v>3</v>
      </c>
      <c r="R312">
        <v>2</v>
      </c>
      <c r="S312">
        <v>3</v>
      </c>
      <c r="T312">
        <v>0</v>
      </c>
      <c r="U312">
        <v>2</v>
      </c>
      <c r="V312">
        <v>2</v>
      </c>
      <c r="W312">
        <v>0</v>
      </c>
      <c r="X312">
        <v>0</v>
      </c>
      <c r="Y312" t="s">
        <v>113</v>
      </c>
      <c r="Z312" t="s">
        <v>179</v>
      </c>
      <c r="AA312" t="s">
        <v>3756</v>
      </c>
      <c r="AH312" t="s">
        <v>181</v>
      </c>
      <c r="AI312">
        <v>2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S312">
        <v>5</v>
      </c>
      <c r="AT312">
        <v>0</v>
      </c>
      <c r="AU312">
        <v>3</v>
      </c>
      <c r="AV312">
        <v>81</v>
      </c>
      <c r="AW312">
        <v>78</v>
      </c>
      <c r="AX312">
        <v>127</v>
      </c>
      <c r="AY312">
        <v>1</v>
      </c>
      <c r="AZ312" t="b">
        <v>0</v>
      </c>
      <c r="BA312">
        <v>1692</v>
      </c>
      <c r="BB312">
        <v>1609</v>
      </c>
      <c r="BC312">
        <v>16</v>
      </c>
      <c r="BD312" t="s">
        <v>3757</v>
      </c>
      <c r="BE312">
        <v>100</v>
      </c>
      <c r="BF312">
        <v>0</v>
      </c>
      <c r="BG312">
        <v>71</v>
      </c>
      <c r="BH312">
        <v>0</v>
      </c>
      <c r="BI312" s="1" t="s">
        <v>253</v>
      </c>
      <c r="BJ312" s="1" t="s">
        <v>729</v>
      </c>
      <c r="BK312" s="1" t="s">
        <v>449</v>
      </c>
      <c r="BL312" s="1" t="s">
        <v>160</v>
      </c>
      <c r="BM312" s="1" t="s">
        <v>138</v>
      </c>
      <c r="BN312" s="1" t="s">
        <v>230</v>
      </c>
      <c r="BO312">
        <v>2</v>
      </c>
      <c r="BP312" s="1" t="s">
        <v>206</v>
      </c>
      <c r="BQ312">
        <v>0</v>
      </c>
      <c r="BR312">
        <v>0</v>
      </c>
      <c r="BS312" s="1" t="s">
        <v>126</v>
      </c>
      <c r="BT312" s="1" t="s">
        <v>130</v>
      </c>
      <c r="BU312" s="1" t="s">
        <v>128</v>
      </c>
      <c r="BV312">
        <v>0.4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1.2E-2</v>
      </c>
      <c r="CC312">
        <v>0</v>
      </c>
      <c r="CD312" s="1" t="s">
        <v>2682</v>
      </c>
      <c r="CE312">
        <v>0</v>
      </c>
      <c r="CF312" s="1" t="s">
        <v>2682</v>
      </c>
      <c r="CG312" s="1" t="s">
        <v>449</v>
      </c>
      <c r="CH312">
        <v>4.5999999999999996</v>
      </c>
      <c r="CI312">
        <v>0</v>
      </c>
      <c r="CJ312" s="1" t="s">
        <v>213</v>
      </c>
      <c r="CK312" s="1" t="s">
        <v>161</v>
      </c>
      <c r="CL312">
        <v>1.8</v>
      </c>
      <c r="CM312">
        <v>76</v>
      </c>
      <c r="CN312" s="1" t="s">
        <v>683</v>
      </c>
      <c r="CO312" s="1" t="s">
        <v>755</v>
      </c>
      <c r="CP312" s="1" t="s">
        <v>941</v>
      </c>
      <c r="CQ312" s="1" t="s">
        <v>3333</v>
      </c>
      <c r="CS312" s="1" t="s">
        <v>2376</v>
      </c>
      <c r="CT312">
        <v>1653.6</v>
      </c>
      <c r="CU312" s="1" t="s">
        <v>1591</v>
      </c>
      <c r="CV312">
        <v>1611.6</v>
      </c>
      <c r="CW312">
        <v>59.6</v>
      </c>
      <c r="CX312">
        <v>59.8</v>
      </c>
      <c r="CY312">
        <v>62</v>
      </c>
      <c r="CZ312" s="1" t="s">
        <v>1979</v>
      </c>
      <c r="DA312">
        <v>1</v>
      </c>
      <c r="DB312" t="s">
        <v>179</v>
      </c>
      <c r="DC312">
        <v>66</v>
      </c>
      <c r="DD312" s="1" t="s">
        <v>3758</v>
      </c>
      <c r="DE312" s="1" t="s">
        <v>3759</v>
      </c>
      <c r="DF312" t="e">
        <f>_xlfn.XLOOKUP(Table1[[#This Row],[Player ID]],Table2[feed_id],Table2[trade_status])</f>
        <v>#N/A</v>
      </c>
      <c r="DG312">
        <f>_xlfn.NUMBERVALUE(Table1[[#This Row],[predicted]])</f>
        <v>51.903750660347903</v>
      </c>
    </row>
    <row r="313" spans="1:111" hidden="1" x14ac:dyDescent="0.25">
      <c r="A313">
        <v>98606</v>
      </c>
      <c r="B313">
        <v>7729</v>
      </c>
      <c r="C313" t="s">
        <v>3760</v>
      </c>
      <c r="D313" t="s">
        <v>616</v>
      </c>
      <c r="E313">
        <v>2021</v>
      </c>
      <c r="F313">
        <v>250312</v>
      </c>
      <c r="G313" t="s">
        <v>3761</v>
      </c>
      <c r="H313" t="s">
        <v>3762</v>
      </c>
      <c r="I313" t="s">
        <v>317</v>
      </c>
      <c r="J313">
        <v>14</v>
      </c>
      <c r="K313">
        <v>93</v>
      </c>
      <c r="L313">
        <v>112</v>
      </c>
      <c r="M313">
        <v>44</v>
      </c>
      <c r="N313">
        <v>67</v>
      </c>
      <c r="O313">
        <v>93</v>
      </c>
      <c r="P313">
        <v>20</v>
      </c>
      <c r="Q313">
        <v>4</v>
      </c>
      <c r="R313">
        <v>3</v>
      </c>
      <c r="S313">
        <v>4</v>
      </c>
      <c r="T313">
        <v>0</v>
      </c>
      <c r="U313">
        <v>3</v>
      </c>
      <c r="V313">
        <v>1</v>
      </c>
      <c r="W313">
        <v>0</v>
      </c>
      <c r="X313">
        <v>0</v>
      </c>
      <c r="Y313" t="s">
        <v>113</v>
      </c>
      <c r="Z313" t="s">
        <v>226</v>
      </c>
      <c r="AA313" t="s">
        <v>3763</v>
      </c>
      <c r="AH313" t="s">
        <v>181</v>
      </c>
      <c r="AI313">
        <v>14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S313">
        <v>6</v>
      </c>
      <c r="AT313">
        <v>0</v>
      </c>
      <c r="AU313">
        <v>5</v>
      </c>
      <c r="AV313">
        <v>70</v>
      </c>
      <c r="AW313">
        <v>91</v>
      </c>
      <c r="AX313">
        <v>499</v>
      </c>
      <c r="AY313">
        <v>0</v>
      </c>
      <c r="AZ313" t="b">
        <v>0</v>
      </c>
      <c r="BA313">
        <v>1845</v>
      </c>
      <c r="BB313">
        <v>1449</v>
      </c>
      <c r="BC313">
        <v>17</v>
      </c>
      <c r="BD313" t="s">
        <v>3764</v>
      </c>
      <c r="BE313">
        <v>98</v>
      </c>
      <c r="BF313">
        <v>1</v>
      </c>
      <c r="BG313">
        <v>72</v>
      </c>
      <c r="BH313">
        <v>1</v>
      </c>
      <c r="BI313">
        <v>17</v>
      </c>
      <c r="BJ313">
        <v>12.6</v>
      </c>
      <c r="BK313" s="1" t="s">
        <v>204</v>
      </c>
      <c r="BL313">
        <v>9.6</v>
      </c>
      <c r="BM313">
        <v>7</v>
      </c>
      <c r="BN313" s="1" t="s">
        <v>963</v>
      </c>
      <c r="BO313">
        <v>3</v>
      </c>
      <c r="BP313">
        <v>3</v>
      </c>
      <c r="BQ313">
        <v>0</v>
      </c>
      <c r="BR313">
        <v>0</v>
      </c>
      <c r="BS313">
        <v>1</v>
      </c>
      <c r="BT313" s="1" t="s">
        <v>130</v>
      </c>
      <c r="BU313" s="1" t="s">
        <v>129</v>
      </c>
      <c r="BV313" s="1" t="s">
        <v>238</v>
      </c>
      <c r="BW313">
        <v>0</v>
      </c>
      <c r="BX313">
        <v>6.6666666666666596E-2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 s="1" t="s">
        <v>160</v>
      </c>
      <c r="CH313" s="1" t="s">
        <v>781</v>
      </c>
      <c r="CI313" s="1" t="s">
        <v>129</v>
      </c>
      <c r="CJ313" s="1" t="s">
        <v>127</v>
      </c>
      <c r="CK313" s="1" t="s">
        <v>169</v>
      </c>
      <c r="CL313">
        <v>2.4</v>
      </c>
      <c r="CM313" s="1" t="s">
        <v>683</v>
      </c>
      <c r="CN313">
        <v>77.8</v>
      </c>
      <c r="CO313" s="1" t="s">
        <v>268</v>
      </c>
      <c r="CP313" s="1" t="s">
        <v>968</v>
      </c>
      <c r="CQ313" s="1" t="s">
        <v>3765</v>
      </c>
      <c r="CR313" s="1" t="s">
        <v>3766</v>
      </c>
      <c r="CS313">
        <v>1561</v>
      </c>
      <c r="CT313">
        <v>1624.2</v>
      </c>
      <c r="CU313" s="1" t="s">
        <v>3767</v>
      </c>
      <c r="CV313">
        <v>1656.2</v>
      </c>
      <c r="CW313">
        <v>89.6</v>
      </c>
      <c r="CX313">
        <v>94.6</v>
      </c>
      <c r="CY313">
        <v>92.4</v>
      </c>
      <c r="CZ313" s="1" t="s">
        <v>645</v>
      </c>
      <c r="DA313">
        <v>1</v>
      </c>
      <c r="DB313" t="s">
        <v>226</v>
      </c>
      <c r="DC313">
        <v>112</v>
      </c>
      <c r="DD313" s="1" t="s">
        <v>3768</v>
      </c>
      <c r="DE313" s="1" t="s">
        <v>3769</v>
      </c>
      <c r="DF313" t="e">
        <f>_xlfn.XLOOKUP(Table1[[#This Row],[Player ID]],Table2[feed_id],Table2[trade_status])</f>
        <v>#N/A</v>
      </c>
      <c r="DG313">
        <f>_xlfn.NUMBERVALUE(Table1[[#This Row],[predicted]])</f>
        <v>111.431966523291</v>
      </c>
    </row>
    <row r="314" spans="1:111" hidden="1" x14ac:dyDescent="0.25">
      <c r="A314">
        <v>99269</v>
      </c>
      <c r="B314">
        <v>7744</v>
      </c>
      <c r="C314" t="s">
        <v>3770</v>
      </c>
      <c r="D314" t="s">
        <v>653</v>
      </c>
      <c r="E314">
        <v>2021</v>
      </c>
      <c r="F314">
        <v>291947</v>
      </c>
      <c r="G314" t="s">
        <v>2379</v>
      </c>
      <c r="H314" t="s">
        <v>3771</v>
      </c>
      <c r="I314" t="s">
        <v>582</v>
      </c>
      <c r="J314">
        <v>5</v>
      </c>
      <c r="K314">
        <v>58</v>
      </c>
      <c r="L314">
        <v>69</v>
      </c>
      <c r="M314">
        <v>75</v>
      </c>
      <c r="N314">
        <v>45</v>
      </c>
      <c r="O314">
        <v>61</v>
      </c>
      <c r="P314">
        <v>7</v>
      </c>
      <c r="Q314">
        <v>6</v>
      </c>
      <c r="R314">
        <v>4</v>
      </c>
      <c r="S314">
        <v>3</v>
      </c>
      <c r="T314">
        <v>0</v>
      </c>
      <c r="U314">
        <v>0</v>
      </c>
      <c r="V314">
        <v>0</v>
      </c>
      <c r="W314">
        <v>0</v>
      </c>
      <c r="X314">
        <v>1</v>
      </c>
      <c r="Y314" t="s">
        <v>113</v>
      </c>
      <c r="Z314" t="s">
        <v>525</v>
      </c>
      <c r="AA314" t="s">
        <v>3772</v>
      </c>
      <c r="AH314" t="s">
        <v>118</v>
      </c>
      <c r="AI314">
        <v>41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S314">
        <v>8</v>
      </c>
      <c r="AT314">
        <v>3</v>
      </c>
      <c r="AU314">
        <v>2</v>
      </c>
      <c r="AV314">
        <v>46</v>
      </c>
      <c r="AW314">
        <v>72</v>
      </c>
      <c r="AX314">
        <v>192</v>
      </c>
      <c r="AY314">
        <v>0</v>
      </c>
      <c r="AZ314" t="b">
        <v>0</v>
      </c>
      <c r="BA314">
        <v>1759</v>
      </c>
      <c r="BB314">
        <v>1543</v>
      </c>
      <c r="BC314">
        <v>18</v>
      </c>
      <c r="BD314" t="s">
        <v>3773</v>
      </c>
      <c r="BE314">
        <v>98</v>
      </c>
      <c r="BF314">
        <v>0</v>
      </c>
      <c r="BG314">
        <v>72</v>
      </c>
      <c r="BH314">
        <v>0</v>
      </c>
      <c r="BI314" s="1" t="s">
        <v>211</v>
      </c>
      <c r="BJ314" s="1" t="s">
        <v>781</v>
      </c>
      <c r="BK314" s="1" t="s">
        <v>137</v>
      </c>
      <c r="BL314">
        <v>5.6</v>
      </c>
      <c r="BM314" s="1" t="s">
        <v>126</v>
      </c>
      <c r="BN314" s="1" t="s">
        <v>322</v>
      </c>
      <c r="BO314" s="1" t="s">
        <v>161</v>
      </c>
      <c r="BP314" s="1" t="s">
        <v>170</v>
      </c>
      <c r="BQ314">
        <v>0</v>
      </c>
      <c r="BR314">
        <v>0</v>
      </c>
      <c r="BS314" s="1" t="s">
        <v>129</v>
      </c>
      <c r="BT314" s="1" t="s">
        <v>238</v>
      </c>
      <c r="BU314" s="1" t="s">
        <v>129</v>
      </c>
      <c r="BV314" s="1" t="s">
        <v>129</v>
      </c>
      <c r="BW314" s="1" t="s">
        <v>129</v>
      </c>
      <c r="BX314">
        <v>0.6</v>
      </c>
      <c r="BY314" s="1" t="s">
        <v>128</v>
      </c>
      <c r="BZ314" s="1" t="s">
        <v>129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 s="1" t="s">
        <v>253</v>
      </c>
      <c r="CH314" s="1" t="s">
        <v>963</v>
      </c>
      <c r="CI314">
        <v>2</v>
      </c>
      <c r="CJ314" s="1" t="s">
        <v>298</v>
      </c>
      <c r="CK314" s="1" t="s">
        <v>125</v>
      </c>
      <c r="CL314">
        <v>2.2000000000000002</v>
      </c>
      <c r="CM314">
        <v>54</v>
      </c>
      <c r="CN314">
        <v>65.8</v>
      </c>
      <c r="CO314" s="1" t="s">
        <v>610</v>
      </c>
      <c r="CP314" s="1" t="s">
        <v>216</v>
      </c>
      <c r="CQ314" s="1" t="s">
        <v>3774</v>
      </c>
      <c r="CR314">
        <v>142.4</v>
      </c>
      <c r="CS314">
        <v>1496</v>
      </c>
      <c r="CT314" s="1" t="s">
        <v>3775</v>
      </c>
      <c r="CU314" s="1" t="s">
        <v>3776</v>
      </c>
      <c r="CV314" s="1" t="s">
        <v>3449</v>
      </c>
      <c r="CW314">
        <v>61.25</v>
      </c>
      <c r="CX314">
        <v>58.9</v>
      </c>
      <c r="CY314">
        <v>63.8</v>
      </c>
      <c r="CZ314" s="1" t="s">
        <v>2742</v>
      </c>
      <c r="DA314">
        <v>1</v>
      </c>
      <c r="DB314" t="s">
        <v>525</v>
      </c>
      <c r="DC314">
        <v>69</v>
      </c>
      <c r="DD314" s="1" t="s">
        <v>3777</v>
      </c>
      <c r="DE314" s="1" t="s">
        <v>3778</v>
      </c>
      <c r="DF314" t="e">
        <f>_xlfn.XLOOKUP(Table1[[#This Row],[Player ID]],Table2[feed_id],Table2[trade_status])</f>
        <v>#N/A</v>
      </c>
      <c r="DG314">
        <f>_xlfn.NUMBERVALUE(Table1[[#This Row],[predicted]])</f>
        <v>63.142660565261899</v>
      </c>
    </row>
    <row r="315" spans="1:111" hidden="1" x14ac:dyDescent="0.25">
      <c r="A315">
        <v>99921</v>
      </c>
      <c r="B315">
        <v>7758</v>
      </c>
      <c r="C315" t="s">
        <v>3779</v>
      </c>
      <c r="D315" t="s">
        <v>709</v>
      </c>
      <c r="E315">
        <v>2021</v>
      </c>
      <c r="F315">
        <v>1000959</v>
      </c>
      <c r="G315" t="s">
        <v>617</v>
      </c>
      <c r="H315" t="s">
        <v>3780</v>
      </c>
      <c r="I315" t="s">
        <v>391</v>
      </c>
      <c r="J315">
        <v>13</v>
      </c>
      <c r="K315">
        <v>64</v>
      </c>
      <c r="L315">
        <v>60</v>
      </c>
      <c r="M315">
        <v>55</v>
      </c>
      <c r="N315">
        <v>51</v>
      </c>
      <c r="O315">
        <v>76</v>
      </c>
      <c r="P315">
        <v>7</v>
      </c>
      <c r="Q315">
        <v>11</v>
      </c>
      <c r="R315">
        <v>2</v>
      </c>
      <c r="S315">
        <v>5</v>
      </c>
      <c r="T315">
        <v>0</v>
      </c>
      <c r="U315">
        <v>0</v>
      </c>
      <c r="V315">
        <v>2</v>
      </c>
      <c r="W315">
        <v>0</v>
      </c>
      <c r="X315">
        <v>1</v>
      </c>
      <c r="Y315" t="s">
        <v>113</v>
      </c>
      <c r="Z315" t="s">
        <v>114</v>
      </c>
      <c r="AA315" t="s">
        <v>3781</v>
      </c>
      <c r="AB315" t="s">
        <v>116</v>
      </c>
      <c r="AC315" t="s">
        <v>3690</v>
      </c>
      <c r="AH315" t="s">
        <v>118</v>
      </c>
      <c r="AI315">
        <v>24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S315">
        <v>9</v>
      </c>
      <c r="AT315">
        <v>2</v>
      </c>
      <c r="AU315">
        <v>4</v>
      </c>
      <c r="AV315">
        <v>50</v>
      </c>
      <c r="AW315">
        <v>65</v>
      </c>
      <c r="AX315">
        <v>95</v>
      </c>
      <c r="AY315">
        <v>1</v>
      </c>
      <c r="AZ315" t="b">
        <v>1</v>
      </c>
      <c r="BA315">
        <v>1664</v>
      </c>
      <c r="BB315">
        <v>1618</v>
      </c>
      <c r="BC315">
        <v>20</v>
      </c>
      <c r="BD315" t="s">
        <v>3782</v>
      </c>
      <c r="BE315">
        <v>96</v>
      </c>
      <c r="BF315">
        <v>0</v>
      </c>
      <c r="BG315">
        <v>71</v>
      </c>
      <c r="BH315">
        <v>0</v>
      </c>
      <c r="BI315" s="1" t="s">
        <v>1008</v>
      </c>
      <c r="BJ315">
        <v>10</v>
      </c>
      <c r="BK315" s="1" t="s">
        <v>294</v>
      </c>
      <c r="BL315" s="1" t="s">
        <v>2358</v>
      </c>
      <c r="BM315" s="1" t="s">
        <v>126</v>
      </c>
      <c r="BN315" s="1" t="s">
        <v>528</v>
      </c>
      <c r="BO315" s="1" t="s">
        <v>160</v>
      </c>
      <c r="BP315">
        <v>3.4</v>
      </c>
      <c r="BQ315">
        <v>0</v>
      </c>
      <c r="BR315">
        <v>0</v>
      </c>
      <c r="BS315" s="1" t="s">
        <v>128</v>
      </c>
      <c r="BT315" s="1" t="s">
        <v>399</v>
      </c>
      <c r="BU315" s="1" t="s">
        <v>128</v>
      </c>
      <c r="BV315" s="1" t="s">
        <v>128</v>
      </c>
      <c r="BW315">
        <v>0</v>
      </c>
      <c r="BX315">
        <v>0.2</v>
      </c>
      <c r="BY315" s="1" t="s">
        <v>129</v>
      </c>
      <c r="BZ315" s="1" t="s">
        <v>238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10</v>
      </c>
      <c r="CH315" s="1" t="s">
        <v>818</v>
      </c>
      <c r="CI315">
        <v>2</v>
      </c>
      <c r="CJ315" s="1" t="s">
        <v>322</v>
      </c>
      <c r="CK315" s="1" t="s">
        <v>125</v>
      </c>
      <c r="CL315">
        <v>2.4</v>
      </c>
      <c r="CM315">
        <v>62</v>
      </c>
      <c r="CN315">
        <v>66.599999999999994</v>
      </c>
      <c r="CO315" s="1" t="s">
        <v>1406</v>
      </c>
      <c r="CP315" s="1" t="s">
        <v>263</v>
      </c>
      <c r="CQ315" s="1" t="s">
        <v>3471</v>
      </c>
      <c r="CR315">
        <v>283.8</v>
      </c>
      <c r="CS315" s="1" t="s">
        <v>1915</v>
      </c>
      <c r="CT315" s="1" t="s">
        <v>2367</v>
      </c>
      <c r="CU315">
        <v>1647</v>
      </c>
      <c r="CV315" s="1" t="s">
        <v>3783</v>
      </c>
      <c r="CW315">
        <v>73.2</v>
      </c>
      <c r="CX315">
        <v>69.8</v>
      </c>
      <c r="CY315">
        <v>73</v>
      </c>
      <c r="CZ315" s="1" t="s">
        <v>350</v>
      </c>
      <c r="DA315">
        <v>1</v>
      </c>
      <c r="DB315" t="s">
        <v>114</v>
      </c>
      <c r="DC315">
        <v>60</v>
      </c>
      <c r="DD315" s="1" t="s">
        <v>3784</v>
      </c>
      <c r="DE315" s="1" t="s">
        <v>3785</v>
      </c>
      <c r="DF315" t="e">
        <f>_xlfn.XLOOKUP(Table1[[#This Row],[Player ID]],Table2[feed_id],Table2[trade_status])</f>
        <v>#N/A</v>
      </c>
      <c r="DG315">
        <f>_xlfn.NUMBERVALUE(Table1[[#This Row],[predicted]])</f>
        <v>57.433926798868903</v>
      </c>
    </row>
    <row r="316" spans="1:111" hidden="1" x14ac:dyDescent="0.25">
      <c r="A316">
        <v>100079</v>
      </c>
      <c r="B316">
        <v>7762</v>
      </c>
      <c r="C316" t="s">
        <v>3786</v>
      </c>
      <c r="D316" t="s">
        <v>709</v>
      </c>
      <c r="E316">
        <v>2021</v>
      </c>
      <c r="F316">
        <v>270588</v>
      </c>
      <c r="G316" t="s">
        <v>3787</v>
      </c>
      <c r="H316" t="s">
        <v>3788</v>
      </c>
      <c r="I316" t="s">
        <v>619</v>
      </c>
      <c r="J316">
        <v>10</v>
      </c>
      <c r="K316">
        <v>55</v>
      </c>
      <c r="L316">
        <v>68</v>
      </c>
      <c r="M316">
        <v>69</v>
      </c>
      <c r="N316">
        <v>47</v>
      </c>
      <c r="O316">
        <v>60</v>
      </c>
      <c r="P316">
        <v>8</v>
      </c>
      <c r="Q316">
        <v>4</v>
      </c>
      <c r="R316">
        <v>4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2</v>
      </c>
      <c r="Y316" t="s">
        <v>113</v>
      </c>
      <c r="Z316" t="s">
        <v>778</v>
      </c>
      <c r="AA316" t="s">
        <v>3789</v>
      </c>
      <c r="AB316" t="s">
        <v>656</v>
      </c>
      <c r="AC316" t="s">
        <v>3790</v>
      </c>
      <c r="AH316" t="s">
        <v>181</v>
      </c>
      <c r="AI316">
        <v>26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S316">
        <v>8</v>
      </c>
      <c r="AT316">
        <v>0</v>
      </c>
      <c r="AU316">
        <v>3</v>
      </c>
      <c r="AV316">
        <v>41</v>
      </c>
      <c r="AW316">
        <v>81</v>
      </c>
      <c r="AX316">
        <v>117</v>
      </c>
      <c r="AY316">
        <v>0</v>
      </c>
      <c r="AZ316" t="b">
        <v>1</v>
      </c>
      <c r="BA316">
        <v>1793</v>
      </c>
      <c r="BB316">
        <v>1507</v>
      </c>
      <c r="BC316">
        <v>20</v>
      </c>
      <c r="BD316" t="s">
        <v>3791</v>
      </c>
      <c r="BE316">
        <v>96</v>
      </c>
      <c r="BF316">
        <v>0</v>
      </c>
      <c r="BG316">
        <v>71</v>
      </c>
      <c r="BH316">
        <v>0</v>
      </c>
      <c r="BI316" s="1" t="s">
        <v>204</v>
      </c>
      <c r="BJ316">
        <v>6.4</v>
      </c>
      <c r="BK316">
        <v>5</v>
      </c>
      <c r="BL316" s="1" t="s">
        <v>260</v>
      </c>
      <c r="BM316" s="1" t="s">
        <v>125</v>
      </c>
      <c r="BN316" s="1" t="s">
        <v>587</v>
      </c>
      <c r="BO316" s="1" t="s">
        <v>159</v>
      </c>
      <c r="BP316">
        <v>1.6</v>
      </c>
      <c r="BQ316">
        <v>1</v>
      </c>
      <c r="BR316">
        <v>0.6</v>
      </c>
      <c r="BS316" s="1" t="s">
        <v>128</v>
      </c>
      <c r="BT316" s="1" t="s">
        <v>128</v>
      </c>
      <c r="BU316" s="1" t="s">
        <v>126</v>
      </c>
      <c r="BV316" s="1" t="s">
        <v>162</v>
      </c>
      <c r="BW316">
        <v>1</v>
      </c>
      <c r="BX316" s="1" t="s">
        <v>375</v>
      </c>
      <c r="BY316" s="1" t="s">
        <v>159</v>
      </c>
      <c r="BZ316" s="1" t="s">
        <v>126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6</v>
      </c>
      <c r="CH316" s="1" t="s">
        <v>343</v>
      </c>
      <c r="CI316" s="1" t="s">
        <v>129</v>
      </c>
      <c r="CJ316" s="1" t="s">
        <v>231</v>
      </c>
      <c r="CK316" s="1" t="s">
        <v>138</v>
      </c>
      <c r="CL316" s="1" t="s">
        <v>169</v>
      </c>
      <c r="CM316" s="1" t="s">
        <v>649</v>
      </c>
      <c r="CN316" s="1" t="s">
        <v>3792</v>
      </c>
      <c r="CO316" s="1" t="s">
        <v>406</v>
      </c>
      <c r="CP316" s="1" t="s">
        <v>1433</v>
      </c>
      <c r="CQ316">
        <v>111</v>
      </c>
      <c r="CR316" s="1" t="s">
        <v>3793</v>
      </c>
      <c r="CS316" s="1" t="s">
        <v>3794</v>
      </c>
      <c r="CT316" s="1" t="s">
        <v>1968</v>
      </c>
      <c r="CU316">
        <v>1588</v>
      </c>
      <c r="CV316">
        <v>1647.4</v>
      </c>
      <c r="CW316">
        <v>66.7</v>
      </c>
      <c r="CX316">
        <v>63.1</v>
      </c>
      <c r="CY316">
        <v>54</v>
      </c>
      <c r="CZ316">
        <v>69</v>
      </c>
      <c r="DA316">
        <v>1</v>
      </c>
      <c r="DB316" t="s">
        <v>778</v>
      </c>
      <c r="DC316">
        <v>68</v>
      </c>
      <c r="DD316" s="1" t="s">
        <v>3795</v>
      </c>
      <c r="DE316">
        <v>-7.4700362286676798</v>
      </c>
      <c r="DF316" t="e">
        <f>_xlfn.XLOOKUP(Table1[[#This Row],[Player ID]],Table2[feed_id],Table2[trade_status])</f>
        <v>#N/A</v>
      </c>
      <c r="DG316">
        <f>_xlfn.NUMBERVALUE(Table1[[#This Row],[predicted]])</f>
        <v>75.470036228667595</v>
      </c>
    </row>
    <row r="317" spans="1:111" hidden="1" x14ac:dyDescent="0.25">
      <c r="A317">
        <v>100081</v>
      </c>
      <c r="B317">
        <v>7762</v>
      </c>
      <c r="C317" t="s">
        <v>3786</v>
      </c>
      <c r="D317" t="s">
        <v>709</v>
      </c>
      <c r="E317">
        <v>2021</v>
      </c>
      <c r="F317">
        <v>270951</v>
      </c>
      <c r="G317" t="s">
        <v>409</v>
      </c>
      <c r="H317" t="s">
        <v>3796</v>
      </c>
      <c r="I317" t="s">
        <v>619</v>
      </c>
      <c r="J317">
        <v>10</v>
      </c>
      <c r="K317">
        <v>51</v>
      </c>
      <c r="L317">
        <v>48</v>
      </c>
      <c r="M317">
        <v>66</v>
      </c>
      <c r="N317">
        <v>39</v>
      </c>
      <c r="O317">
        <v>51</v>
      </c>
      <c r="P317">
        <v>8</v>
      </c>
      <c r="Q317">
        <v>2</v>
      </c>
      <c r="R317">
        <v>3</v>
      </c>
      <c r="S317">
        <v>2</v>
      </c>
      <c r="T317">
        <v>0</v>
      </c>
      <c r="U317">
        <v>0</v>
      </c>
      <c r="V317">
        <v>0</v>
      </c>
      <c r="W317">
        <v>1</v>
      </c>
      <c r="X317">
        <v>0</v>
      </c>
      <c r="Y317" t="s">
        <v>113</v>
      </c>
      <c r="Z317" t="s">
        <v>525</v>
      </c>
      <c r="AA317" t="s">
        <v>3797</v>
      </c>
      <c r="AH317" t="s">
        <v>118</v>
      </c>
      <c r="AI317">
        <v>11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S317">
        <v>2</v>
      </c>
      <c r="AT317">
        <v>0</v>
      </c>
      <c r="AU317">
        <v>1</v>
      </c>
      <c r="AV317">
        <v>60</v>
      </c>
      <c r="AW317">
        <v>76</v>
      </c>
      <c r="AX317">
        <v>256</v>
      </c>
      <c r="AY317">
        <v>0</v>
      </c>
      <c r="AZ317" t="b">
        <v>0</v>
      </c>
      <c r="BA317">
        <v>1793</v>
      </c>
      <c r="BB317">
        <v>1507</v>
      </c>
      <c r="BC317">
        <v>20</v>
      </c>
      <c r="BD317" t="s">
        <v>3791</v>
      </c>
      <c r="BE317">
        <v>96</v>
      </c>
      <c r="BF317">
        <v>0</v>
      </c>
      <c r="BG317">
        <v>71</v>
      </c>
      <c r="BH317">
        <v>0</v>
      </c>
      <c r="BI317">
        <v>5</v>
      </c>
      <c r="BJ317" s="1" t="s">
        <v>204</v>
      </c>
      <c r="BK317" s="1" t="s">
        <v>161</v>
      </c>
      <c r="BL317" s="1" t="s">
        <v>343</v>
      </c>
      <c r="BM317">
        <v>2</v>
      </c>
      <c r="BN317" s="1" t="s">
        <v>255</v>
      </c>
      <c r="BO317" s="1" t="s">
        <v>126</v>
      </c>
      <c r="BP317">
        <v>2.2000000000000002</v>
      </c>
      <c r="BQ317">
        <v>0</v>
      </c>
      <c r="BR317">
        <v>0</v>
      </c>
      <c r="BS317">
        <v>0</v>
      </c>
      <c r="BT317">
        <v>6.6666666666666596E-2</v>
      </c>
      <c r="BU317">
        <v>0</v>
      </c>
      <c r="BV317" s="1" t="s">
        <v>231</v>
      </c>
      <c r="BW317" s="1" t="s">
        <v>129</v>
      </c>
      <c r="BX317" s="1" t="s">
        <v>128</v>
      </c>
      <c r="BY317">
        <v>0</v>
      </c>
      <c r="BZ317">
        <v>0.4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 s="1" t="s">
        <v>159</v>
      </c>
      <c r="CH317" s="1" t="s">
        <v>256</v>
      </c>
      <c r="CI317" s="1" t="s">
        <v>128</v>
      </c>
      <c r="CJ317" s="1" t="s">
        <v>399</v>
      </c>
      <c r="CK317" s="1" t="s">
        <v>129</v>
      </c>
      <c r="CL317">
        <v>1.6</v>
      </c>
      <c r="CM317" s="1" t="s">
        <v>944</v>
      </c>
      <c r="CN317">
        <v>62.2</v>
      </c>
      <c r="CO317" s="1" t="s">
        <v>2710</v>
      </c>
      <c r="CP317" s="1" t="s">
        <v>2248</v>
      </c>
      <c r="CQ317">
        <v>173</v>
      </c>
      <c r="CR317" s="1" t="s">
        <v>3798</v>
      </c>
      <c r="CS317">
        <v>1539</v>
      </c>
      <c r="CT317">
        <v>1625.6</v>
      </c>
      <c r="CU317" s="1" t="s">
        <v>3799</v>
      </c>
      <c r="CV317" s="1" t="s">
        <v>3800</v>
      </c>
      <c r="CW317">
        <v>57.55</v>
      </c>
      <c r="CX317">
        <v>52.2</v>
      </c>
      <c r="CY317">
        <v>49.6</v>
      </c>
      <c r="CZ317" s="1" t="s">
        <v>2654</v>
      </c>
      <c r="DA317">
        <v>1</v>
      </c>
      <c r="DB317" t="s">
        <v>525</v>
      </c>
      <c r="DC317">
        <v>48</v>
      </c>
      <c r="DD317" s="1" t="s">
        <v>3801</v>
      </c>
      <c r="DE317">
        <v>-7.1423389386963496</v>
      </c>
      <c r="DF317" t="e">
        <f>_xlfn.XLOOKUP(Table1[[#This Row],[Player ID]],Table2[feed_id],Table2[trade_status])</f>
        <v>#N/A</v>
      </c>
      <c r="DG317">
        <f>_xlfn.NUMBERVALUE(Table1[[#This Row],[predicted]])</f>
        <v>55.142338938696298</v>
      </c>
    </row>
    <row r="318" spans="1:111" hidden="1" x14ac:dyDescent="0.25">
      <c r="A318">
        <v>100560</v>
      </c>
      <c r="B318">
        <v>7772</v>
      </c>
      <c r="C318" t="s">
        <v>3802</v>
      </c>
      <c r="D318" t="s">
        <v>810</v>
      </c>
      <c r="E318">
        <v>2021</v>
      </c>
      <c r="F318">
        <v>291797</v>
      </c>
      <c r="G318" t="s">
        <v>1002</v>
      </c>
      <c r="H318" t="s">
        <v>3803</v>
      </c>
      <c r="I318" t="s">
        <v>1089</v>
      </c>
      <c r="J318">
        <v>8</v>
      </c>
      <c r="K318">
        <v>29</v>
      </c>
      <c r="L318">
        <v>35</v>
      </c>
      <c r="M318">
        <v>24</v>
      </c>
      <c r="N318">
        <v>24</v>
      </c>
      <c r="O318">
        <v>31</v>
      </c>
      <c r="P318">
        <v>3</v>
      </c>
      <c r="Q318">
        <v>3</v>
      </c>
      <c r="R318">
        <v>0</v>
      </c>
      <c r="S318">
        <v>2</v>
      </c>
      <c r="T318">
        <v>0</v>
      </c>
      <c r="U318">
        <v>2</v>
      </c>
      <c r="V318">
        <v>1</v>
      </c>
      <c r="W318">
        <v>1</v>
      </c>
      <c r="X318">
        <v>1</v>
      </c>
      <c r="Y318" t="s">
        <v>113</v>
      </c>
      <c r="Z318" t="s">
        <v>542</v>
      </c>
      <c r="AA318" t="s">
        <v>3804</v>
      </c>
      <c r="AB318" t="s">
        <v>525</v>
      </c>
      <c r="AC318" t="s">
        <v>3805</v>
      </c>
      <c r="AH318" t="s">
        <v>181</v>
      </c>
      <c r="AI318">
        <v>21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S318">
        <v>5</v>
      </c>
      <c r="AT318">
        <v>0</v>
      </c>
      <c r="AU318">
        <v>2</v>
      </c>
      <c r="AV318">
        <v>66</v>
      </c>
      <c r="AW318">
        <v>78</v>
      </c>
      <c r="AX318">
        <v>111</v>
      </c>
      <c r="AY318">
        <v>0</v>
      </c>
      <c r="AZ318" t="b">
        <v>0</v>
      </c>
      <c r="BA318">
        <v>1615</v>
      </c>
      <c r="BB318">
        <v>1674</v>
      </c>
      <c r="BC318">
        <v>22</v>
      </c>
      <c r="BD318" t="s">
        <v>3806</v>
      </c>
      <c r="BE318" s="1" t="s">
        <v>3594</v>
      </c>
      <c r="BF318">
        <v>0</v>
      </c>
      <c r="BG318">
        <v>73</v>
      </c>
      <c r="BH318">
        <v>0</v>
      </c>
      <c r="BI318" s="1" t="s">
        <v>124</v>
      </c>
      <c r="BJ318">
        <v>7.4</v>
      </c>
      <c r="BK318">
        <v>3</v>
      </c>
      <c r="BL318">
        <v>3.2</v>
      </c>
      <c r="BM318" s="1" t="s">
        <v>159</v>
      </c>
      <c r="BN318" s="1" t="s">
        <v>640</v>
      </c>
      <c r="BO318" s="1" t="s">
        <v>138</v>
      </c>
      <c r="BP318">
        <v>2</v>
      </c>
      <c r="BQ318">
        <v>0</v>
      </c>
      <c r="BR318">
        <v>0</v>
      </c>
      <c r="BS318" s="1" t="s">
        <v>128</v>
      </c>
      <c r="BT318" s="1" t="s">
        <v>399</v>
      </c>
      <c r="BU318">
        <v>1</v>
      </c>
      <c r="BV318" s="1" t="s">
        <v>162</v>
      </c>
      <c r="BW318" s="1" t="s">
        <v>129</v>
      </c>
      <c r="BX318">
        <v>0.2</v>
      </c>
      <c r="BY318" s="1" t="s">
        <v>129</v>
      </c>
      <c r="BZ318">
        <v>0.2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4</v>
      </c>
      <c r="CH318" s="1" t="s">
        <v>766</v>
      </c>
      <c r="CI318" s="1" t="s">
        <v>128</v>
      </c>
      <c r="CJ318">
        <v>0.4</v>
      </c>
      <c r="CK318">
        <v>3</v>
      </c>
      <c r="CL318">
        <v>2.4</v>
      </c>
      <c r="CM318" s="1" t="s">
        <v>1012</v>
      </c>
      <c r="CN318">
        <v>66</v>
      </c>
      <c r="CO318">
        <v>83</v>
      </c>
      <c r="CP318">
        <v>77.599999999999994</v>
      </c>
      <c r="CQ318">
        <v>112</v>
      </c>
      <c r="CS318" s="1" t="s">
        <v>3178</v>
      </c>
      <c r="CT318">
        <v>1707.2</v>
      </c>
      <c r="CU318">
        <v>1603</v>
      </c>
      <c r="CV318">
        <v>1576.2</v>
      </c>
      <c r="CW318">
        <v>47.5</v>
      </c>
      <c r="CX318">
        <v>42.4</v>
      </c>
      <c r="CY318">
        <v>36</v>
      </c>
      <c r="CZ318" s="1" t="s">
        <v>999</v>
      </c>
      <c r="DA318">
        <v>1</v>
      </c>
      <c r="DB318" t="s">
        <v>542</v>
      </c>
      <c r="DC318">
        <v>35</v>
      </c>
      <c r="DD318" s="1" t="s">
        <v>3807</v>
      </c>
      <c r="DE318">
        <v>-7.3398162631236303</v>
      </c>
      <c r="DF318" t="e">
        <f>_xlfn.XLOOKUP(Table1[[#This Row],[Player ID]],Table2[feed_id],Table2[trade_status])</f>
        <v>#N/A</v>
      </c>
      <c r="DG318">
        <f>_xlfn.NUMBERVALUE(Table1[[#This Row],[predicted]])</f>
        <v>42.339816263123602</v>
      </c>
    </row>
    <row r="319" spans="1:111" hidden="1" x14ac:dyDescent="0.25">
      <c r="A319">
        <v>101082</v>
      </c>
      <c r="B319">
        <v>7784</v>
      </c>
      <c r="C319" t="s">
        <v>3808</v>
      </c>
      <c r="D319" t="s">
        <v>109</v>
      </c>
      <c r="E319">
        <v>2021</v>
      </c>
      <c r="F319">
        <v>250105</v>
      </c>
      <c r="G319" t="s">
        <v>3809</v>
      </c>
      <c r="H319" t="s">
        <v>1635</v>
      </c>
      <c r="I319" t="s">
        <v>249</v>
      </c>
      <c r="J319">
        <v>15</v>
      </c>
      <c r="K319">
        <v>92</v>
      </c>
      <c r="L319">
        <v>88</v>
      </c>
      <c r="M319">
        <v>64</v>
      </c>
      <c r="N319">
        <v>70</v>
      </c>
      <c r="O319">
        <v>99</v>
      </c>
      <c r="P319">
        <v>14</v>
      </c>
      <c r="Q319">
        <v>10</v>
      </c>
      <c r="R319">
        <v>4</v>
      </c>
      <c r="S319">
        <v>5</v>
      </c>
      <c r="T319">
        <v>0</v>
      </c>
      <c r="U319">
        <v>1</v>
      </c>
      <c r="V319">
        <v>1</v>
      </c>
      <c r="W319">
        <v>0</v>
      </c>
      <c r="X319">
        <v>0</v>
      </c>
      <c r="Y319" t="s">
        <v>113</v>
      </c>
      <c r="Z319" t="s">
        <v>877</v>
      </c>
      <c r="AA319" t="s">
        <v>3810</v>
      </c>
      <c r="AH319" t="s">
        <v>118</v>
      </c>
      <c r="AI319">
        <v>3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S319">
        <v>10</v>
      </c>
      <c r="AT319">
        <v>3</v>
      </c>
      <c r="AU319">
        <v>5</v>
      </c>
      <c r="AV319">
        <v>54</v>
      </c>
      <c r="AW319">
        <v>85</v>
      </c>
      <c r="AX319">
        <v>323</v>
      </c>
      <c r="AY319">
        <v>0</v>
      </c>
      <c r="AZ319" t="b">
        <v>0</v>
      </c>
      <c r="BA319">
        <v>1915</v>
      </c>
      <c r="BB319">
        <v>1384</v>
      </c>
      <c r="BC319">
        <v>23</v>
      </c>
      <c r="BD319" t="s">
        <v>3811</v>
      </c>
      <c r="BE319">
        <v>100</v>
      </c>
      <c r="BF319">
        <v>0</v>
      </c>
      <c r="BG319">
        <v>70</v>
      </c>
      <c r="BH319">
        <v>1</v>
      </c>
      <c r="BI319" s="1" t="s">
        <v>124</v>
      </c>
      <c r="BJ319" s="1" t="s">
        <v>498</v>
      </c>
      <c r="BK319" s="1" t="s">
        <v>125</v>
      </c>
      <c r="BL319" s="1" t="s">
        <v>416</v>
      </c>
      <c r="BM319" s="1" t="s">
        <v>126</v>
      </c>
      <c r="BN319" s="1" t="s">
        <v>138</v>
      </c>
      <c r="BO319" s="1" t="s">
        <v>161</v>
      </c>
      <c r="BP319">
        <v>2</v>
      </c>
      <c r="BQ319">
        <v>0</v>
      </c>
      <c r="BR319">
        <v>0</v>
      </c>
      <c r="BS319" s="1" t="s">
        <v>128</v>
      </c>
      <c r="BT319" s="1" t="s">
        <v>238</v>
      </c>
      <c r="BU319" s="1" t="s">
        <v>129</v>
      </c>
      <c r="BV319">
        <v>0.4</v>
      </c>
      <c r="BW319" s="1" t="s">
        <v>129</v>
      </c>
      <c r="BX319">
        <v>0.6</v>
      </c>
      <c r="BY319">
        <v>0</v>
      </c>
      <c r="BZ319" s="1" t="s">
        <v>184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4</v>
      </c>
      <c r="CH319" s="1" t="s">
        <v>256</v>
      </c>
      <c r="CI319">
        <v>1</v>
      </c>
      <c r="CJ319" s="1" t="s">
        <v>126</v>
      </c>
      <c r="CK319">
        <v>2</v>
      </c>
      <c r="CL319">
        <v>1.6</v>
      </c>
      <c r="CM319">
        <v>43</v>
      </c>
      <c r="CN319" s="1" t="s">
        <v>333</v>
      </c>
      <c r="CO319">
        <v>42</v>
      </c>
      <c r="CP319">
        <v>64</v>
      </c>
      <c r="CQ319">
        <v>122</v>
      </c>
      <c r="CR319" s="1" t="s">
        <v>3812</v>
      </c>
      <c r="CS319">
        <v>1507</v>
      </c>
      <c r="CT319" s="1" t="s">
        <v>3813</v>
      </c>
      <c r="CU319" s="1" t="s">
        <v>3814</v>
      </c>
      <c r="CV319" s="1" t="s">
        <v>3815</v>
      </c>
      <c r="CW319">
        <v>62.95</v>
      </c>
      <c r="CX319">
        <v>47.7</v>
      </c>
      <c r="CY319">
        <v>26</v>
      </c>
      <c r="CZ319" s="1" t="s">
        <v>2654</v>
      </c>
      <c r="DA319">
        <v>1</v>
      </c>
      <c r="DB319" t="s">
        <v>877</v>
      </c>
      <c r="DC319">
        <v>88</v>
      </c>
      <c r="DD319" s="1" t="s">
        <v>3816</v>
      </c>
      <c r="DE319" s="1" t="s">
        <v>3817</v>
      </c>
      <c r="DF319" t="e">
        <f>_xlfn.XLOOKUP(Table1[[#This Row],[Player ID]],Table2[feed_id],Table2[trade_status])</f>
        <v>#N/A</v>
      </c>
      <c r="DG319">
        <f>_xlfn.NUMBERVALUE(Table1[[#This Row],[predicted]])</f>
        <v>47.777124861280797</v>
      </c>
    </row>
    <row r="320" spans="1:111" hidden="1" x14ac:dyDescent="0.25">
      <c r="A320">
        <v>101214</v>
      </c>
      <c r="B320">
        <v>7787</v>
      </c>
      <c r="C320" t="s">
        <v>3818</v>
      </c>
      <c r="D320" t="s">
        <v>109</v>
      </c>
      <c r="E320">
        <v>2021</v>
      </c>
      <c r="F320">
        <v>297990</v>
      </c>
      <c r="G320" t="s">
        <v>2456</v>
      </c>
      <c r="H320" t="s">
        <v>3819</v>
      </c>
      <c r="I320" t="s">
        <v>291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113</v>
      </c>
      <c r="Z320" t="s">
        <v>3571</v>
      </c>
      <c r="AA320" t="s">
        <v>3572</v>
      </c>
      <c r="AH320" t="s">
        <v>155</v>
      </c>
      <c r="AI320">
        <v>22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 t="b">
        <v>0</v>
      </c>
      <c r="BA320">
        <v>1630</v>
      </c>
      <c r="BB320">
        <v>1666</v>
      </c>
      <c r="BC320">
        <v>23</v>
      </c>
      <c r="BD320" t="s">
        <v>3820</v>
      </c>
      <c r="BE320">
        <v>100</v>
      </c>
      <c r="BF320">
        <v>0</v>
      </c>
      <c r="BG320">
        <v>70</v>
      </c>
      <c r="BH320">
        <v>0</v>
      </c>
      <c r="BI320">
        <v>6</v>
      </c>
      <c r="BJ320">
        <v>6</v>
      </c>
      <c r="BK320">
        <v>3</v>
      </c>
      <c r="BL320">
        <v>4.8</v>
      </c>
      <c r="BM320">
        <v>1</v>
      </c>
      <c r="BN320" s="1" t="s">
        <v>322</v>
      </c>
      <c r="BO320" s="1" t="s">
        <v>169</v>
      </c>
      <c r="BP320">
        <v>2.4</v>
      </c>
      <c r="BQ320">
        <v>0</v>
      </c>
      <c r="BR320">
        <v>0</v>
      </c>
      <c r="BS320">
        <v>0</v>
      </c>
      <c r="BT320" s="1" t="s">
        <v>238</v>
      </c>
      <c r="BU320" s="1" t="s">
        <v>126</v>
      </c>
      <c r="BV320" s="1" t="s">
        <v>298</v>
      </c>
      <c r="BW320">
        <v>0</v>
      </c>
      <c r="BX320">
        <v>6.6666666666666596E-2</v>
      </c>
      <c r="BY320">
        <v>0</v>
      </c>
      <c r="BZ320">
        <v>6.6666666666666596E-2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2</v>
      </c>
      <c r="CH320">
        <v>4</v>
      </c>
      <c r="CI320">
        <v>1</v>
      </c>
      <c r="CJ320" s="1" t="s">
        <v>304</v>
      </c>
      <c r="CK320">
        <v>3</v>
      </c>
      <c r="CL320" s="1" t="s">
        <v>373</v>
      </c>
      <c r="CM320">
        <v>43</v>
      </c>
      <c r="CN320" s="1" t="s">
        <v>3821</v>
      </c>
      <c r="CO320">
        <v>41</v>
      </c>
      <c r="CP320" s="1" t="s">
        <v>3822</v>
      </c>
      <c r="CQ320" s="1" t="s">
        <v>3823</v>
      </c>
      <c r="CR320" s="1" t="s">
        <v>3824</v>
      </c>
      <c r="CS320" s="1" t="s">
        <v>3825</v>
      </c>
      <c r="CT320" s="1" t="s">
        <v>3826</v>
      </c>
      <c r="CU320" s="1" t="s">
        <v>1165</v>
      </c>
      <c r="CV320" s="1" t="s">
        <v>872</v>
      </c>
      <c r="CW320">
        <v>52.7</v>
      </c>
      <c r="CX320">
        <v>47.3</v>
      </c>
      <c r="CY320">
        <v>30.4</v>
      </c>
      <c r="CZ320" s="1" t="s">
        <v>3827</v>
      </c>
      <c r="DA320">
        <v>1</v>
      </c>
      <c r="DB320" t="s">
        <v>3571</v>
      </c>
      <c r="DC320">
        <v>0</v>
      </c>
      <c r="DD320" s="1" t="s">
        <v>3828</v>
      </c>
      <c r="DE320">
        <v>-46.083347609118199</v>
      </c>
      <c r="DF320" t="e">
        <f>_xlfn.XLOOKUP(Table1[[#This Row],[Player ID]],Table2[feed_id],Table2[trade_status])</f>
        <v>#N/A</v>
      </c>
      <c r="DG320">
        <f>_xlfn.NUMBERVALUE(Table1[[#This Row],[predicted]])</f>
        <v>46.083347609118199</v>
      </c>
    </row>
    <row r="321" spans="1:111" hidden="1" x14ac:dyDescent="0.25">
      <c r="A321">
        <v>101252</v>
      </c>
      <c r="B321">
        <v>7788</v>
      </c>
      <c r="C321" t="s">
        <v>3829</v>
      </c>
      <c r="D321" t="s">
        <v>109</v>
      </c>
      <c r="E321">
        <v>2021</v>
      </c>
      <c r="F321">
        <v>291891</v>
      </c>
      <c r="G321" t="s">
        <v>3830</v>
      </c>
      <c r="H321" t="s">
        <v>3831</v>
      </c>
      <c r="I321" t="s">
        <v>524</v>
      </c>
      <c r="J321">
        <v>9</v>
      </c>
      <c r="K321">
        <v>43</v>
      </c>
      <c r="L321">
        <v>44</v>
      </c>
      <c r="M321">
        <v>55</v>
      </c>
      <c r="N321">
        <v>42</v>
      </c>
      <c r="O321">
        <v>60</v>
      </c>
      <c r="P321">
        <v>7</v>
      </c>
      <c r="Q321">
        <v>7</v>
      </c>
      <c r="R321">
        <v>3</v>
      </c>
      <c r="S321">
        <v>1</v>
      </c>
      <c r="T321">
        <v>0</v>
      </c>
      <c r="U321">
        <v>1</v>
      </c>
      <c r="V321">
        <v>4</v>
      </c>
      <c r="W321">
        <v>1</v>
      </c>
      <c r="X321">
        <v>0</v>
      </c>
      <c r="Y321" t="s">
        <v>113</v>
      </c>
      <c r="Z321" t="s">
        <v>656</v>
      </c>
      <c r="AA321" t="s">
        <v>3832</v>
      </c>
      <c r="AH321" t="s">
        <v>118</v>
      </c>
      <c r="AI321">
        <v>21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S321">
        <v>7</v>
      </c>
      <c r="AT321">
        <v>1</v>
      </c>
      <c r="AU321">
        <v>10</v>
      </c>
      <c r="AV321">
        <v>85</v>
      </c>
      <c r="AW321">
        <v>84</v>
      </c>
      <c r="AX321">
        <v>245</v>
      </c>
      <c r="AY321">
        <v>0</v>
      </c>
      <c r="AZ321" t="b">
        <v>0</v>
      </c>
      <c r="BA321">
        <v>1866</v>
      </c>
      <c r="BB321">
        <v>1436</v>
      </c>
      <c r="BC321">
        <v>23</v>
      </c>
      <c r="BD321" t="s">
        <v>3833</v>
      </c>
      <c r="BE321">
        <v>100</v>
      </c>
      <c r="BF321">
        <v>0</v>
      </c>
      <c r="BG321">
        <v>70</v>
      </c>
      <c r="BH321">
        <v>0</v>
      </c>
      <c r="BI321" s="1" t="s">
        <v>204</v>
      </c>
      <c r="BJ321">
        <v>4.8</v>
      </c>
      <c r="BK321" s="1" t="s">
        <v>125</v>
      </c>
      <c r="BL321" s="1" t="s">
        <v>170</v>
      </c>
      <c r="BM321">
        <v>3</v>
      </c>
      <c r="BN321" s="1" t="s">
        <v>375</v>
      </c>
      <c r="BO321" s="1" t="s">
        <v>169</v>
      </c>
      <c r="BP321" s="1" t="s">
        <v>373</v>
      </c>
      <c r="BQ321">
        <v>1</v>
      </c>
      <c r="BR321" s="1" t="s">
        <v>184</v>
      </c>
      <c r="BS321" s="1" t="s">
        <v>161</v>
      </c>
      <c r="BT321" s="1" t="s">
        <v>162</v>
      </c>
      <c r="BU321" s="1" t="s">
        <v>169</v>
      </c>
      <c r="BV321" s="1" t="s">
        <v>304</v>
      </c>
      <c r="BW321">
        <v>1</v>
      </c>
      <c r="BX321" s="1" t="s">
        <v>399</v>
      </c>
      <c r="BY321">
        <v>0</v>
      </c>
      <c r="BZ321" s="1" t="s">
        <v>129</v>
      </c>
      <c r="CA321">
        <v>0</v>
      </c>
      <c r="CB321" s="1" t="s">
        <v>3092</v>
      </c>
      <c r="CC321">
        <v>0</v>
      </c>
      <c r="CD321">
        <v>8.4000000000000005E-2</v>
      </c>
      <c r="CE321">
        <v>0</v>
      </c>
      <c r="CF321">
        <v>4.0666666666666601E-2</v>
      </c>
      <c r="CG321" s="1" t="s">
        <v>124</v>
      </c>
      <c r="CH321">
        <v>3.8</v>
      </c>
      <c r="CI321" s="1" t="s">
        <v>128</v>
      </c>
      <c r="CJ321">
        <v>0.2</v>
      </c>
      <c r="CK321" s="1" t="s">
        <v>449</v>
      </c>
      <c r="CL321">
        <v>3</v>
      </c>
      <c r="CM321" s="1" t="s">
        <v>305</v>
      </c>
      <c r="CN321" s="1" t="s">
        <v>3834</v>
      </c>
      <c r="CO321" s="1" t="s">
        <v>755</v>
      </c>
      <c r="CP321" s="1" t="s">
        <v>531</v>
      </c>
      <c r="CQ321" s="1" t="s">
        <v>3835</v>
      </c>
      <c r="CS321" s="1" t="s">
        <v>647</v>
      </c>
      <c r="CT321" s="1" t="s">
        <v>2721</v>
      </c>
      <c r="CU321" s="1" t="s">
        <v>3836</v>
      </c>
      <c r="CV321">
        <v>1712.4</v>
      </c>
      <c r="CW321">
        <v>48.4</v>
      </c>
      <c r="CX321">
        <v>39.299999999999997</v>
      </c>
      <c r="CY321">
        <v>47.2</v>
      </c>
      <c r="CZ321" s="1" t="s">
        <v>1316</v>
      </c>
      <c r="DA321">
        <v>1</v>
      </c>
      <c r="DB321" t="s">
        <v>656</v>
      </c>
      <c r="DC321">
        <v>44</v>
      </c>
      <c r="DD321">
        <v>58.059512711390603</v>
      </c>
      <c r="DE321">
        <v>-14.0595127113906</v>
      </c>
      <c r="DF321" t="e">
        <f>_xlfn.XLOOKUP(Table1[[#This Row],[Player ID]],Table2[feed_id],Table2[trade_status])</f>
        <v>#N/A</v>
      </c>
      <c r="DG321">
        <f>_xlfn.NUMBERVALUE(Table1[[#This Row],[predicted]])</f>
        <v>58.059512711390603</v>
      </c>
    </row>
    <row r="322" spans="1:111" hidden="1" x14ac:dyDescent="0.25">
      <c r="A322">
        <v>101304</v>
      </c>
      <c r="B322">
        <v>7789</v>
      </c>
      <c r="C322" t="s">
        <v>3837</v>
      </c>
      <c r="D322" t="s">
        <v>109</v>
      </c>
      <c r="E322">
        <v>2021</v>
      </c>
      <c r="F322">
        <v>298450</v>
      </c>
      <c r="G322" t="s">
        <v>3651</v>
      </c>
      <c r="H322" t="s">
        <v>3838</v>
      </c>
      <c r="I322" t="s">
        <v>178</v>
      </c>
      <c r="J322">
        <v>2</v>
      </c>
      <c r="K322">
        <v>27</v>
      </c>
      <c r="L322">
        <v>15</v>
      </c>
      <c r="M322">
        <v>34</v>
      </c>
      <c r="N322">
        <v>23</v>
      </c>
      <c r="O322">
        <v>28</v>
      </c>
      <c r="P322">
        <v>4</v>
      </c>
      <c r="Q322">
        <v>2</v>
      </c>
      <c r="R322">
        <v>3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 t="s">
        <v>113</v>
      </c>
      <c r="Z322" t="s">
        <v>114</v>
      </c>
      <c r="AA322" t="s">
        <v>3839</v>
      </c>
      <c r="AB322" t="s">
        <v>116</v>
      </c>
      <c r="AC322" t="s">
        <v>3840</v>
      </c>
      <c r="AH322" t="s">
        <v>118</v>
      </c>
      <c r="AI322">
        <v>19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S322">
        <v>2</v>
      </c>
      <c r="AT322">
        <v>1</v>
      </c>
      <c r="AU322">
        <v>0</v>
      </c>
      <c r="AV322">
        <v>50</v>
      </c>
      <c r="AW322">
        <v>29</v>
      </c>
      <c r="AX322">
        <v>70</v>
      </c>
      <c r="AY322">
        <v>1</v>
      </c>
      <c r="AZ322" t="b">
        <v>1</v>
      </c>
      <c r="BA322">
        <v>1627</v>
      </c>
      <c r="BB322">
        <v>1656</v>
      </c>
      <c r="BC322">
        <v>23</v>
      </c>
      <c r="BD322" t="s">
        <v>3841</v>
      </c>
      <c r="BE322">
        <v>100</v>
      </c>
      <c r="BF322">
        <v>0</v>
      </c>
      <c r="BG322">
        <v>70</v>
      </c>
      <c r="BH322">
        <v>0</v>
      </c>
      <c r="BI322">
        <v>7</v>
      </c>
      <c r="BJ322" s="1" t="s">
        <v>230</v>
      </c>
      <c r="BK322" s="1" t="s">
        <v>449</v>
      </c>
      <c r="BL322">
        <v>6</v>
      </c>
      <c r="BM322" s="1" t="s">
        <v>211</v>
      </c>
      <c r="BN322" s="1" t="s">
        <v>159</v>
      </c>
      <c r="BO322">
        <v>1</v>
      </c>
      <c r="BP322" s="1" t="s">
        <v>257</v>
      </c>
      <c r="BQ322">
        <v>0</v>
      </c>
      <c r="BR322">
        <v>0</v>
      </c>
      <c r="BS322" s="1" t="s">
        <v>126</v>
      </c>
      <c r="BT322" s="1" t="s">
        <v>130</v>
      </c>
      <c r="BU322" s="1" t="s">
        <v>129</v>
      </c>
      <c r="BV322">
        <v>0.4</v>
      </c>
      <c r="BW322">
        <v>0</v>
      </c>
      <c r="BX322">
        <v>6.6666666666666596E-2</v>
      </c>
      <c r="BY322" s="1" t="s">
        <v>129</v>
      </c>
      <c r="BZ322" s="1" t="s">
        <v>213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5</v>
      </c>
      <c r="CH322">
        <v>4.2</v>
      </c>
      <c r="CI322" s="1" t="s">
        <v>161</v>
      </c>
      <c r="CJ322" s="1" t="s">
        <v>126</v>
      </c>
      <c r="CK322" s="1" t="s">
        <v>129</v>
      </c>
      <c r="CL322">
        <v>1</v>
      </c>
      <c r="CM322" s="1" t="s">
        <v>350</v>
      </c>
      <c r="CN322" s="1" t="s">
        <v>3365</v>
      </c>
      <c r="CO322" s="1" t="s">
        <v>1715</v>
      </c>
      <c r="CP322">
        <v>42.4</v>
      </c>
      <c r="CQ322">
        <v>139</v>
      </c>
      <c r="CR322" s="1" t="s">
        <v>3842</v>
      </c>
      <c r="CS322" s="1" t="s">
        <v>703</v>
      </c>
      <c r="CT322" s="1" t="s">
        <v>3843</v>
      </c>
      <c r="CU322" s="1" t="s">
        <v>3844</v>
      </c>
      <c r="CV322">
        <v>1671.2</v>
      </c>
      <c r="CW322">
        <v>48.05</v>
      </c>
      <c r="CX322">
        <v>39.799999999999997</v>
      </c>
      <c r="CY322">
        <v>42</v>
      </c>
      <c r="CZ322">
        <v>63</v>
      </c>
      <c r="DA322">
        <v>1</v>
      </c>
      <c r="DB322" t="s">
        <v>114</v>
      </c>
      <c r="DC322">
        <v>15</v>
      </c>
      <c r="DD322" s="1" t="s">
        <v>3845</v>
      </c>
      <c r="DE322">
        <v>-22.723219217399201</v>
      </c>
      <c r="DF322" t="e">
        <f>_xlfn.XLOOKUP(Table1[[#This Row],[Player ID]],Table2[feed_id],Table2[trade_status])</f>
        <v>#N/A</v>
      </c>
      <c r="DG322">
        <f>_xlfn.NUMBERVALUE(Table1[[#This Row],[predicted]])</f>
        <v>37.723219217399198</v>
      </c>
    </row>
    <row r="323" spans="1:111" hidden="1" x14ac:dyDescent="0.25">
      <c r="A323">
        <v>101317</v>
      </c>
      <c r="B323">
        <v>7789</v>
      </c>
      <c r="C323" t="s">
        <v>3837</v>
      </c>
      <c r="D323" t="s">
        <v>109</v>
      </c>
      <c r="E323">
        <v>2021</v>
      </c>
      <c r="F323">
        <v>281080</v>
      </c>
      <c r="G323" t="s">
        <v>828</v>
      </c>
      <c r="H323" t="s">
        <v>3846</v>
      </c>
      <c r="I323" t="s">
        <v>582</v>
      </c>
      <c r="J323">
        <v>13</v>
      </c>
      <c r="K323">
        <v>71</v>
      </c>
      <c r="L323">
        <v>68</v>
      </c>
      <c r="M323">
        <v>48</v>
      </c>
      <c r="N323">
        <v>58</v>
      </c>
      <c r="O323">
        <v>75</v>
      </c>
      <c r="P323">
        <v>11</v>
      </c>
      <c r="Q323">
        <v>5</v>
      </c>
      <c r="R323">
        <v>8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 t="s">
        <v>113</v>
      </c>
      <c r="Z323" t="s">
        <v>179</v>
      </c>
      <c r="AA323" t="s">
        <v>3847</v>
      </c>
      <c r="AH323" t="s">
        <v>181</v>
      </c>
      <c r="AI323">
        <v>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S323">
        <v>2</v>
      </c>
      <c r="AT323">
        <v>0</v>
      </c>
      <c r="AU323">
        <v>0</v>
      </c>
      <c r="AV323">
        <v>93</v>
      </c>
      <c r="AW323">
        <v>89</v>
      </c>
      <c r="AX323">
        <v>82</v>
      </c>
      <c r="AY323">
        <v>1</v>
      </c>
      <c r="AZ323" t="b">
        <v>0</v>
      </c>
      <c r="BA323">
        <v>1656</v>
      </c>
      <c r="BB323">
        <v>1627</v>
      </c>
      <c r="BC323">
        <v>23</v>
      </c>
      <c r="BD323" t="s">
        <v>3848</v>
      </c>
      <c r="BE323">
        <v>100</v>
      </c>
      <c r="BF323">
        <v>0</v>
      </c>
      <c r="BG323">
        <v>70</v>
      </c>
      <c r="BH323">
        <v>0</v>
      </c>
      <c r="BI323" s="1" t="s">
        <v>294</v>
      </c>
      <c r="BJ323" s="1" t="s">
        <v>3207</v>
      </c>
      <c r="BK323">
        <v>7</v>
      </c>
      <c r="BL323" s="1" t="s">
        <v>430</v>
      </c>
      <c r="BM323" s="1" t="s">
        <v>449</v>
      </c>
      <c r="BN323" s="1" t="s">
        <v>343</v>
      </c>
      <c r="BO323" s="1" t="s">
        <v>161</v>
      </c>
      <c r="BP323" s="1" t="s">
        <v>304</v>
      </c>
      <c r="BQ323">
        <v>0</v>
      </c>
      <c r="BR323">
        <v>0</v>
      </c>
      <c r="BS323" s="1" t="s">
        <v>129</v>
      </c>
      <c r="BT323" s="1" t="s">
        <v>130</v>
      </c>
      <c r="BU323">
        <v>0</v>
      </c>
      <c r="BV323">
        <v>0.2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 s="1" t="s">
        <v>138</v>
      </c>
      <c r="CH323" s="1" t="s">
        <v>781</v>
      </c>
      <c r="CI323" s="1" t="s">
        <v>129</v>
      </c>
      <c r="CJ323" s="1" t="s">
        <v>129</v>
      </c>
      <c r="CK323">
        <v>1</v>
      </c>
      <c r="CL323" s="1" t="s">
        <v>206</v>
      </c>
      <c r="CM323">
        <v>73</v>
      </c>
      <c r="CN323">
        <v>78.2</v>
      </c>
      <c r="CO323" s="1" t="s">
        <v>1739</v>
      </c>
      <c r="CP323" s="1" t="s">
        <v>3849</v>
      </c>
      <c r="CQ323">
        <v>198</v>
      </c>
      <c r="CR323" s="1" t="s">
        <v>3850</v>
      </c>
      <c r="CS323">
        <v>1556</v>
      </c>
      <c r="CT323" s="1" t="s">
        <v>3851</v>
      </c>
      <c r="CU323" s="1" t="s">
        <v>3852</v>
      </c>
      <c r="CV323" s="1" t="s">
        <v>3853</v>
      </c>
      <c r="CW323">
        <v>71.55</v>
      </c>
      <c r="CX323">
        <v>72.099999999999994</v>
      </c>
      <c r="CY323">
        <v>67.8</v>
      </c>
      <c r="CZ323">
        <v>69</v>
      </c>
      <c r="DA323">
        <v>1</v>
      </c>
      <c r="DB323" t="s">
        <v>179</v>
      </c>
      <c r="DC323">
        <v>68</v>
      </c>
      <c r="DD323" s="1" t="s">
        <v>3854</v>
      </c>
      <c r="DE323" s="1" t="s">
        <v>3855</v>
      </c>
      <c r="DF323" t="e">
        <f>_xlfn.XLOOKUP(Table1[[#This Row],[Player ID]],Table2[feed_id],Table2[trade_status])</f>
        <v>#N/A</v>
      </c>
      <c r="DG323">
        <f>_xlfn.NUMBERVALUE(Table1[[#This Row],[predicted]])</f>
        <v>59.288434359566303</v>
      </c>
    </row>
    <row r="324" spans="1:111" hidden="1" x14ac:dyDescent="0.25">
      <c r="A324">
        <v>101374</v>
      </c>
      <c r="B324">
        <v>7791</v>
      </c>
      <c r="C324" t="s">
        <v>3856</v>
      </c>
      <c r="D324" t="s">
        <v>198</v>
      </c>
      <c r="E324">
        <v>2021</v>
      </c>
      <c r="F324">
        <v>290198</v>
      </c>
      <c r="G324" t="s">
        <v>409</v>
      </c>
      <c r="H324" t="s">
        <v>3857</v>
      </c>
      <c r="I324" t="s">
        <v>317</v>
      </c>
      <c r="J324">
        <v>21</v>
      </c>
      <c r="K324">
        <v>94</v>
      </c>
      <c r="L324">
        <v>82</v>
      </c>
      <c r="M324">
        <v>123</v>
      </c>
      <c r="N324">
        <v>82</v>
      </c>
      <c r="O324">
        <v>105</v>
      </c>
      <c r="P324">
        <v>12</v>
      </c>
      <c r="Q324">
        <v>8</v>
      </c>
      <c r="R324">
        <v>13</v>
      </c>
      <c r="S324">
        <v>2</v>
      </c>
      <c r="T324">
        <v>0</v>
      </c>
      <c r="U324">
        <v>1</v>
      </c>
      <c r="V324">
        <v>2</v>
      </c>
      <c r="W324">
        <v>0</v>
      </c>
      <c r="X324">
        <v>0</v>
      </c>
      <c r="Y324" t="s">
        <v>113</v>
      </c>
      <c r="Z324" t="s">
        <v>179</v>
      </c>
      <c r="AA324" t="s">
        <v>3858</v>
      </c>
      <c r="AD324">
        <v>0</v>
      </c>
      <c r="AF324">
        <v>0</v>
      </c>
      <c r="AH324" t="s">
        <v>181</v>
      </c>
      <c r="AI324">
        <v>12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S324">
        <v>5</v>
      </c>
      <c r="AT324">
        <v>0</v>
      </c>
      <c r="AU324">
        <v>3</v>
      </c>
      <c r="AV324">
        <v>95</v>
      </c>
      <c r="AW324">
        <v>98</v>
      </c>
      <c r="AX324">
        <v>144</v>
      </c>
      <c r="AY324">
        <v>0</v>
      </c>
      <c r="AZ324" t="b">
        <v>0</v>
      </c>
      <c r="BA324">
        <v>1758</v>
      </c>
      <c r="BB324">
        <v>1536</v>
      </c>
      <c r="BC324">
        <v>24</v>
      </c>
      <c r="BD324" t="s">
        <v>3859</v>
      </c>
      <c r="BE324">
        <v>98</v>
      </c>
      <c r="BF324">
        <v>0</v>
      </c>
      <c r="BG324">
        <v>69</v>
      </c>
      <c r="BH324">
        <v>1</v>
      </c>
      <c r="BI324" s="1" t="s">
        <v>1008</v>
      </c>
      <c r="BJ324" s="1" t="s">
        <v>1442</v>
      </c>
      <c r="BK324" s="1" t="s">
        <v>397</v>
      </c>
      <c r="BL324" s="1" t="s">
        <v>124</v>
      </c>
      <c r="BM324">
        <v>10</v>
      </c>
      <c r="BN324" s="1" t="s">
        <v>963</v>
      </c>
      <c r="BO324">
        <v>2</v>
      </c>
      <c r="BP324" s="1" t="s">
        <v>257</v>
      </c>
      <c r="BQ324">
        <v>0</v>
      </c>
      <c r="BR324">
        <v>0.8</v>
      </c>
      <c r="BS324" s="1" t="s">
        <v>129</v>
      </c>
      <c r="BT324" s="1" t="s">
        <v>128</v>
      </c>
      <c r="BU324">
        <v>1</v>
      </c>
      <c r="BV324">
        <v>0.6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3</v>
      </c>
      <c r="CH324" s="1" t="s">
        <v>587</v>
      </c>
      <c r="CI324">
        <v>0</v>
      </c>
      <c r="CJ324">
        <v>0.4</v>
      </c>
      <c r="CK324">
        <v>2</v>
      </c>
      <c r="CL324" s="1" t="s">
        <v>304</v>
      </c>
      <c r="CM324">
        <v>90</v>
      </c>
      <c r="CN324" s="1" t="s">
        <v>663</v>
      </c>
      <c r="CO324" s="1" t="s">
        <v>645</v>
      </c>
      <c r="CP324">
        <v>91.2</v>
      </c>
      <c r="CQ324">
        <v>214</v>
      </c>
      <c r="CR324" s="1" t="s">
        <v>3860</v>
      </c>
      <c r="CS324" s="1" t="s">
        <v>954</v>
      </c>
      <c r="CT324" s="1" t="s">
        <v>3861</v>
      </c>
      <c r="CU324" s="1" t="s">
        <v>3862</v>
      </c>
      <c r="CV324" s="1" t="s">
        <v>3863</v>
      </c>
      <c r="CW324">
        <v>59.7</v>
      </c>
      <c r="CX324">
        <v>62.1</v>
      </c>
      <c r="CY324">
        <v>75.2</v>
      </c>
      <c r="CZ324">
        <v>72</v>
      </c>
      <c r="DA324">
        <v>1</v>
      </c>
      <c r="DB324" t="s">
        <v>179</v>
      </c>
      <c r="DC324">
        <v>82</v>
      </c>
      <c r="DD324">
        <v>54.215103995499298</v>
      </c>
      <c r="DE324" s="1" t="s">
        <v>3864</v>
      </c>
      <c r="DF324" t="e">
        <f>_xlfn.XLOOKUP(Table1[[#This Row],[Player ID]],Table2[feed_id],Table2[trade_status])</f>
        <v>#N/A</v>
      </c>
      <c r="DG324">
        <f>_xlfn.NUMBERVALUE(Table1[[#This Row],[predicted]])</f>
        <v>54.215103995499298</v>
      </c>
    </row>
    <row r="325" spans="1:111" hidden="1" x14ac:dyDescent="0.25">
      <c r="A325">
        <v>101411</v>
      </c>
      <c r="B325">
        <v>7791</v>
      </c>
      <c r="C325" t="s">
        <v>3856</v>
      </c>
      <c r="D325" t="s">
        <v>198</v>
      </c>
      <c r="E325">
        <v>2021</v>
      </c>
      <c r="F325">
        <v>210012</v>
      </c>
      <c r="G325" t="s">
        <v>917</v>
      </c>
      <c r="H325" t="s">
        <v>3865</v>
      </c>
      <c r="I325" t="s">
        <v>391</v>
      </c>
      <c r="J325">
        <v>8</v>
      </c>
      <c r="K325">
        <v>62</v>
      </c>
      <c r="L325">
        <v>64</v>
      </c>
      <c r="M325">
        <v>32</v>
      </c>
      <c r="N325">
        <v>51</v>
      </c>
      <c r="O325">
        <v>72</v>
      </c>
      <c r="P325">
        <v>11</v>
      </c>
      <c r="Q325">
        <v>10</v>
      </c>
      <c r="R325">
        <v>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113</v>
      </c>
      <c r="Z325" t="s">
        <v>226</v>
      </c>
      <c r="AA325" t="s">
        <v>3866</v>
      </c>
      <c r="AD325">
        <v>0</v>
      </c>
      <c r="AF325">
        <v>0</v>
      </c>
      <c r="AH325" t="s">
        <v>181</v>
      </c>
      <c r="AI325">
        <v>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S325">
        <v>5</v>
      </c>
      <c r="AT325">
        <v>0</v>
      </c>
      <c r="AU325">
        <v>3</v>
      </c>
      <c r="AV325">
        <v>76</v>
      </c>
      <c r="AW325">
        <v>78</v>
      </c>
      <c r="AX325">
        <v>372</v>
      </c>
      <c r="AY325">
        <v>0</v>
      </c>
      <c r="AZ325" t="b">
        <v>0</v>
      </c>
      <c r="BA325">
        <v>1536</v>
      </c>
      <c r="BB325">
        <v>1758</v>
      </c>
      <c r="BC325">
        <v>24</v>
      </c>
      <c r="BD325" t="s">
        <v>3867</v>
      </c>
      <c r="BE325">
        <v>98</v>
      </c>
      <c r="BF325">
        <v>0</v>
      </c>
      <c r="BG325">
        <v>69</v>
      </c>
      <c r="BH325">
        <v>0</v>
      </c>
      <c r="BI325" s="1" t="s">
        <v>356</v>
      </c>
      <c r="BJ325" s="1" t="s">
        <v>158</v>
      </c>
      <c r="BK325" s="1" t="s">
        <v>204</v>
      </c>
      <c r="BL325" s="1" t="s">
        <v>752</v>
      </c>
      <c r="BM325">
        <v>6</v>
      </c>
      <c r="BN325" s="1" t="s">
        <v>237</v>
      </c>
      <c r="BO325" s="1" t="s">
        <v>126</v>
      </c>
      <c r="BP325" s="1" t="s">
        <v>566</v>
      </c>
      <c r="BQ325">
        <v>0</v>
      </c>
      <c r="BR325">
        <v>0</v>
      </c>
      <c r="BS325" s="1" t="s">
        <v>129</v>
      </c>
      <c r="BT325" s="1" t="s">
        <v>184</v>
      </c>
      <c r="BU325" s="1" t="s">
        <v>129</v>
      </c>
      <c r="BV325" s="1" t="s">
        <v>129</v>
      </c>
      <c r="BW325" s="1" t="s">
        <v>129</v>
      </c>
      <c r="BX325">
        <v>6.6666666666666596E-2</v>
      </c>
      <c r="BY325">
        <v>0</v>
      </c>
      <c r="BZ325">
        <v>6.6666666666666596E-2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 s="1" t="s">
        <v>125</v>
      </c>
      <c r="CH325" s="1" t="s">
        <v>431</v>
      </c>
      <c r="CI325">
        <v>0</v>
      </c>
      <c r="CJ325" s="1" t="s">
        <v>129</v>
      </c>
      <c r="CK325" s="1" t="s">
        <v>161</v>
      </c>
      <c r="CL325" s="1" t="s">
        <v>566</v>
      </c>
      <c r="CM325">
        <v>90</v>
      </c>
      <c r="CN325" s="1" t="s">
        <v>1951</v>
      </c>
      <c r="CO325">
        <v>80</v>
      </c>
      <c r="CP325" s="1" t="s">
        <v>350</v>
      </c>
      <c r="CQ325">
        <v>284</v>
      </c>
      <c r="CR325" s="1" t="s">
        <v>3868</v>
      </c>
      <c r="CS325" s="1" t="s">
        <v>3869</v>
      </c>
      <c r="CT325">
        <v>1654.4</v>
      </c>
      <c r="CU325" s="1" t="s">
        <v>3312</v>
      </c>
      <c r="CV325">
        <v>1643</v>
      </c>
      <c r="CW325">
        <v>59.75</v>
      </c>
      <c r="CX325">
        <v>55.2</v>
      </c>
      <c r="CY325">
        <v>68</v>
      </c>
      <c r="CZ325" s="1" t="s">
        <v>483</v>
      </c>
      <c r="DA325">
        <v>1</v>
      </c>
      <c r="DB325" t="s">
        <v>226</v>
      </c>
      <c r="DC325">
        <v>64</v>
      </c>
      <c r="DD325" s="1" t="s">
        <v>3870</v>
      </c>
      <c r="DE325">
        <v>-23.921542994349998</v>
      </c>
      <c r="DF325" t="e">
        <f>_xlfn.XLOOKUP(Table1[[#This Row],[Player ID]],Table2[feed_id],Table2[trade_status])</f>
        <v>#N/A</v>
      </c>
      <c r="DG325">
        <f>_xlfn.NUMBERVALUE(Table1[[#This Row],[predicted]])</f>
        <v>87.921542994350006</v>
      </c>
    </row>
    <row r="326" spans="1:111" hidden="1" x14ac:dyDescent="0.25">
      <c r="A326">
        <v>101414</v>
      </c>
      <c r="B326">
        <v>7791</v>
      </c>
      <c r="C326" t="s">
        <v>3856</v>
      </c>
      <c r="D326" t="s">
        <v>198</v>
      </c>
      <c r="E326">
        <v>2021</v>
      </c>
      <c r="F326">
        <v>1001043</v>
      </c>
      <c r="G326" t="s">
        <v>3871</v>
      </c>
      <c r="H326" t="s">
        <v>3872</v>
      </c>
      <c r="I326" t="s">
        <v>391</v>
      </c>
      <c r="J326">
        <v>9</v>
      </c>
      <c r="K326">
        <v>47</v>
      </c>
      <c r="L326">
        <v>61</v>
      </c>
      <c r="M326">
        <v>28</v>
      </c>
      <c r="N326">
        <v>40</v>
      </c>
      <c r="O326">
        <v>51</v>
      </c>
      <c r="P326">
        <v>7</v>
      </c>
      <c r="Q326">
        <v>6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1</v>
      </c>
      <c r="X326">
        <v>0</v>
      </c>
      <c r="Y326" t="s">
        <v>113</v>
      </c>
      <c r="Z326" t="s">
        <v>861</v>
      </c>
      <c r="AA326" t="s">
        <v>3873</v>
      </c>
      <c r="AD326">
        <v>0</v>
      </c>
      <c r="AF326">
        <v>0</v>
      </c>
      <c r="AH326" t="s">
        <v>118</v>
      </c>
      <c r="AI326">
        <v>13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S326">
        <v>6</v>
      </c>
      <c r="AT326">
        <v>0</v>
      </c>
      <c r="AU326">
        <v>1</v>
      </c>
      <c r="AV326">
        <v>69</v>
      </c>
      <c r="AW326">
        <v>69</v>
      </c>
      <c r="AX326">
        <v>108</v>
      </c>
      <c r="AY326">
        <v>1</v>
      </c>
      <c r="AZ326" t="b">
        <v>0</v>
      </c>
      <c r="BA326">
        <v>1536</v>
      </c>
      <c r="BB326">
        <v>1758</v>
      </c>
      <c r="BC326">
        <v>24</v>
      </c>
      <c r="BD326" t="s">
        <v>3867</v>
      </c>
      <c r="BE326">
        <v>98</v>
      </c>
      <c r="BF326">
        <v>0</v>
      </c>
      <c r="BG326">
        <v>69</v>
      </c>
      <c r="BH326">
        <v>0</v>
      </c>
      <c r="BI326" s="1" t="s">
        <v>204</v>
      </c>
      <c r="BJ326" s="1" t="s">
        <v>374</v>
      </c>
      <c r="BK326" s="1" t="s">
        <v>397</v>
      </c>
      <c r="BL326" s="1" t="s">
        <v>205</v>
      </c>
      <c r="BM326" s="1" t="s">
        <v>159</v>
      </c>
      <c r="BN326">
        <v>2.2000000000000002</v>
      </c>
      <c r="BO326">
        <v>1</v>
      </c>
      <c r="BP326" s="1" t="s">
        <v>298</v>
      </c>
      <c r="BQ326">
        <v>0</v>
      </c>
      <c r="BR326">
        <v>0</v>
      </c>
      <c r="BS326">
        <v>1</v>
      </c>
      <c r="BT326">
        <v>0.6</v>
      </c>
      <c r="BU326">
        <v>0</v>
      </c>
      <c r="BV326" s="1" t="s">
        <v>129</v>
      </c>
      <c r="BW326" s="1" t="s">
        <v>128</v>
      </c>
      <c r="BX326" s="1" t="s">
        <v>238</v>
      </c>
      <c r="BY326">
        <v>0</v>
      </c>
      <c r="BZ326">
        <v>0.6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 s="1" t="s">
        <v>160</v>
      </c>
      <c r="CH326" s="1" t="s">
        <v>990</v>
      </c>
      <c r="CI326" s="1" t="s">
        <v>129</v>
      </c>
      <c r="CJ326">
        <v>6.6666666666666596E-2</v>
      </c>
      <c r="CK326" s="1" t="s">
        <v>126</v>
      </c>
      <c r="CL326">
        <v>1.6</v>
      </c>
      <c r="CM326">
        <v>68</v>
      </c>
      <c r="CN326" s="1" t="s">
        <v>681</v>
      </c>
      <c r="CO326" s="1" t="s">
        <v>2147</v>
      </c>
      <c r="CP326" s="1" t="s">
        <v>2511</v>
      </c>
      <c r="CQ326" s="1" t="s">
        <v>3874</v>
      </c>
      <c r="CR326" s="1" t="s">
        <v>3875</v>
      </c>
      <c r="CS326" s="1" t="s">
        <v>3869</v>
      </c>
      <c r="CT326">
        <v>1614.8</v>
      </c>
      <c r="CU326" s="1" t="s">
        <v>3312</v>
      </c>
      <c r="CV326" s="1" t="s">
        <v>3876</v>
      </c>
      <c r="CW326">
        <v>42.15</v>
      </c>
      <c r="CX326">
        <v>38.9</v>
      </c>
      <c r="CY326">
        <v>33.4</v>
      </c>
      <c r="CZ326" s="1" t="s">
        <v>2953</v>
      </c>
      <c r="DA326">
        <v>1</v>
      </c>
      <c r="DB326" t="s">
        <v>861</v>
      </c>
      <c r="DC326">
        <v>61</v>
      </c>
      <c r="DD326" s="1" t="s">
        <v>3877</v>
      </c>
      <c r="DE326" s="1" t="s">
        <v>3878</v>
      </c>
      <c r="DF326" t="e">
        <f>_xlfn.XLOOKUP(Table1[[#This Row],[Player ID]],Table2[feed_id],Table2[trade_status])</f>
        <v>#N/A</v>
      </c>
      <c r="DG326">
        <f>_xlfn.NUMBERVALUE(Table1[[#This Row],[predicted]])</f>
        <v>52.410230167625699</v>
      </c>
    </row>
    <row r="327" spans="1:111" hidden="1" x14ac:dyDescent="0.25">
      <c r="A327">
        <v>101442</v>
      </c>
      <c r="B327">
        <v>7792</v>
      </c>
      <c r="C327" t="s">
        <v>3879</v>
      </c>
      <c r="D327" t="s">
        <v>198</v>
      </c>
      <c r="E327">
        <v>2021</v>
      </c>
      <c r="F327">
        <v>240254</v>
      </c>
      <c r="G327" t="s">
        <v>2604</v>
      </c>
      <c r="H327" t="s">
        <v>3880</v>
      </c>
      <c r="I327" t="s">
        <v>524</v>
      </c>
      <c r="J327">
        <v>15</v>
      </c>
      <c r="K327">
        <v>89</v>
      </c>
      <c r="L327">
        <v>60</v>
      </c>
      <c r="M327">
        <v>53</v>
      </c>
      <c r="N327">
        <v>71</v>
      </c>
      <c r="O327">
        <v>94</v>
      </c>
      <c r="P327">
        <v>16</v>
      </c>
      <c r="Q327">
        <v>5</v>
      </c>
      <c r="R327">
        <v>8</v>
      </c>
      <c r="S327">
        <v>2</v>
      </c>
      <c r="T327">
        <v>0</v>
      </c>
      <c r="U327">
        <v>1</v>
      </c>
      <c r="V327">
        <v>1</v>
      </c>
      <c r="W327">
        <v>0</v>
      </c>
      <c r="X327">
        <v>1</v>
      </c>
      <c r="Y327" t="s">
        <v>113</v>
      </c>
      <c r="Z327" t="s">
        <v>114</v>
      </c>
      <c r="AA327" t="s">
        <v>3881</v>
      </c>
      <c r="AB327" t="s">
        <v>116</v>
      </c>
      <c r="AC327" t="s">
        <v>3882</v>
      </c>
      <c r="AD327">
        <v>0</v>
      </c>
      <c r="AF327">
        <v>0</v>
      </c>
      <c r="AH327" t="s">
        <v>181</v>
      </c>
      <c r="AI327">
        <v>5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S327">
        <v>3</v>
      </c>
      <c r="AT327">
        <v>0</v>
      </c>
      <c r="AU327">
        <v>5</v>
      </c>
      <c r="AV327">
        <v>61</v>
      </c>
      <c r="AW327">
        <v>77</v>
      </c>
      <c r="AX327">
        <v>256</v>
      </c>
      <c r="AY327">
        <v>1</v>
      </c>
      <c r="AZ327" t="b">
        <v>1</v>
      </c>
      <c r="BA327">
        <v>1939</v>
      </c>
      <c r="BB327">
        <v>1356</v>
      </c>
      <c r="BC327">
        <v>24</v>
      </c>
      <c r="BD327" t="s">
        <v>3883</v>
      </c>
      <c r="BE327">
        <v>98</v>
      </c>
      <c r="BF327">
        <v>0</v>
      </c>
      <c r="BG327">
        <v>69</v>
      </c>
      <c r="BH327">
        <v>0</v>
      </c>
      <c r="BI327">
        <v>12</v>
      </c>
      <c r="BJ327" s="1" t="s">
        <v>1761</v>
      </c>
      <c r="BK327" s="1" t="s">
        <v>169</v>
      </c>
      <c r="BL327" s="1" t="s">
        <v>431</v>
      </c>
      <c r="BM327" s="1" t="s">
        <v>397</v>
      </c>
      <c r="BN327" s="1" t="s">
        <v>230</v>
      </c>
      <c r="BO327">
        <v>2</v>
      </c>
      <c r="BP327" s="1" t="s">
        <v>127</v>
      </c>
      <c r="BQ327">
        <v>0</v>
      </c>
      <c r="BR327">
        <v>0</v>
      </c>
      <c r="BS327" s="1" t="s">
        <v>129</v>
      </c>
      <c r="BT327" s="1" t="s">
        <v>231</v>
      </c>
      <c r="BU327">
        <v>1</v>
      </c>
      <c r="BV327" s="1" t="s">
        <v>130</v>
      </c>
      <c r="BW327">
        <v>0</v>
      </c>
      <c r="BX327">
        <v>0</v>
      </c>
      <c r="BY327" s="1" t="s">
        <v>129</v>
      </c>
      <c r="BZ327">
        <v>6.6666666666666596E-2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 s="1" t="s">
        <v>159</v>
      </c>
      <c r="CH327">
        <v>3</v>
      </c>
      <c r="CI327">
        <v>0</v>
      </c>
      <c r="CJ327" s="1" t="s">
        <v>184</v>
      </c>
      <c r="CK327" s="1" t="s">
        <v>169</v>
      </c>
      <c r="CL327">
        <v>2.2000000000000002</v>
      </c>
      <c r="CM327" s="1" t="s">
        <v>994</v>
      </c>
      <c r="CN327">
        <v>76.2</v>
      </c>
      <c r="CO327" s="1" t="s">
        <v>261</v>
      </c>
      <c r="CP327" s="1" t="s">
        <v>2386</v>
      </c>
      <c r="CQ327" s="1" t="s">
        <v>3884</v>
      </c>
      <c r="CR327">
        <v>193.8</v>
      </c>
      <c r="CS327" s="1" t="s">
        <v>2623</v>
      </c>
      <c r="CT327">
        <v>1523.2</v>
      </c>
      <c r="CU327" s="1" t="s">
        <v>3885</v>
      </c>
      <c r="CV327" s="1" t="s">
        <v>3886</v>
      </c>
      <c r="CW327">
        <v>59.05</v>
      </c>
      <c r="CX327">
        <v>55.2</v>
      </c>
      <c r="CY327">
        <v>54</v>
      </c>
      <c r="CZ327">
        <v>51</v>
      </c>
      <c r="DA327">
        <v>1</v>
      </c>
      <c r="DB327" t="s">
        <v>114</v>
      </c>
      <c r="DC327">
        <v>60</v>
      </c>
      <c r="DD327" s="1" t="s">
        <v>3887</v>
      </c>
      <c r="DE327" s="1" t="s">
        <v>3888</v>
      </c>
      <c r="DF327" t="e">
        <f>_xlfn.XLOOKUP(Table1[[#This Row],[Player ID]],Table2[feed_id],Table2[trade_status])</f>
        <v>#N/A</v>
      </c>
      <c r="DG327">
        <f>_xlfn.NUMBERVALUE(Table1[[#This Row],[predicted]])</f>
        <v>46.859193773195798</v>
      </c>
    </row>
    <row r="328" spans="1:111" hidden="1" x14ac:dyDescent="0.25">
      <c r="A328">
        <v>101448</v>
      </c>
      <c r="B328">
        <v>7792</v>
      </c>
      <c r="C328" t="s">
        <v>3879</v>
      </c>
      <c r="D328" t="s">
        <v>198</v>
      </c>
      <c r="E328">
        <v>2021</v>
      </c>
      <c r="F328">
        <v>280722</v>
      </c>
      <c r="G328" t="s">
        <v>1139</v>
      </c>
      <c r="H328" t="s">
        <v>1538</v>
      </c>
      <c r="I328" t="s">
        <v>524</v>
      </c>
      <c r="J328">
        <v>20</v>
      </c>
      <c r="K328">
        <v>66</v>
      </c>
      <c r="L328">
        <v>82</v>
      </c>
      <c r="M328">
        <v>69</v>
      </c>
      <c r="N328">
        <v>57</v>
      </c>
      <c r="O328">
        <v>71</v>
      </c>
      <c r="P328">
        <v>3</v>
      </c>
      <c r="Q328">
        <v>5</v>
      </c>
      <c r="R328">
        <v>2</v>
      </c>
      <c r="S328">
        <v>5</v>
      </c>
      <c r="T328">
        <v>26</v>
      </c>
      <c r="U328">
        <v>1</v>
      </c>
      <c r="V328">
        <v>2</v>
      </c>
      <c r="W328">
        <v>0</v>
      </c>
      <c r="X328">
        <v>0</v>
      </c>
      <c r="Y328" t="s">
        <v>113</v>
      </c>
      <c r="Z328" t="s">
        <v>602</v>
      </c>
      <c r="AA328" t="s">
        <v>3889</v>
      </c>
      <c r="AD328">
        <v>0</v>
      </c>
      <c r="AF328">
        <v>0</v>
      </c>
      <c r="AH328" t="s">
        <v>274</v>
      </c>
      <c r="AI328">
        <v>32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S328">
        <v>3</v>
      </c>
      <c r="AT328">
        <v>2</v>
      </c>
      <c r="AU328">
        <v>3</v>
      </c>
      <c r="AV328">
        <v>75</v>
      </c>
      <c r="AW328">
        <v>76</v>
      </c>
      <c r="AX328">
        <v>38</v>
      </c>
      <c r="AY328">
        <v>1</v>
      </c>
      <c r="AZ328" t="b">
        <v>0</v>
      </c>
      <c r="BA328">
        <v>1939</v>
      </c>
      <c r="BB328">
        <v>1356</v>
      </c>
      <c r="BC328">
        <v>24</v>
      </c>
      <c r="BD328" t="s">
        <v>3883</v>
      </c>
      <c r="BE328">
        <v>98</v>
      </c>
      <c r="BF328">
        <v>0</v>
      </c>
      <c r="BG328">
        <v>69</v>
      </c>
      <c r="BH328">
        <v>1</v>
      </c>
      <c r="BI328" s="1" t="s">
        <v>138</v>
      </c>
      <c r="BJ328" s="1" t="s">
        <v>321</v>
      </c>
      <c r="BK328" s="1" t="s">
        <v>211</v>
      </c>
      <c r="BL328" s="1" t="s">
        <v>397</v>
      </c>
      <c r="BM328" s="1" t="s">
        <v>126</v>
      </c>
      <c r="BN328" s="1" t="s">
        <v>206</v>
      </c>
      <c r="BO328" s="1" t="s">
        <v>159</v>
      </c>
      <c r="BP328">
        <v>2.6</v>
      </c>
      <c r="BQ328">
        <v>25</v>
      </c>
      <c r="BR328">
        <v>22.8</v>
      </c>
      <c r="BS328" s="1" t="s">
        <v>161</v>
      </c>
      <c r="BT328" s="1" t="s">
        <v>126</v>
      </c>
      <c r="BU328">
        <v>1</v>
      </c>
      <c r="BV328">
        <v>1.6</v>
      </c>
      <c r="BW328" s="1" t="s">
        <v>129</v>
      </c>
      <c r="BX328" s="1" t="s">
        <v>184</v>
      </c>
      <c r="BY328">
        <v>0</v>
      </c>
      <c r="BZ328">
        <v>0</v>
      </c>
      <c r="CA328">
        <v>0</v>
      </c>
      <c r="CB328">
        <v>4.1333333333333298E-2</v>
      </c>
      <c r="CC328">
        <v>0</v>
      </c>
      <c r="CD328">
        <v>0.05</v>
      </c>
      <c r="CE328">
        <v>0</v>
      </c>
      <c r="CF328">
        <v>4.7333333333333297E-2</v>
      </c>
      <c r="CG328">
        <v>6</v>
      </c>
      <c r="CH328" s="1" t="s">
        <v>729</v>
      </c>
      <c r="CI328" s="1" t="s">
        <v>125</v>
      </c>
      <c r="CJ328" s="1" t="s">
        <v>321</v>
      </c>
      <c r="CK328" s="1" t="s">
        <v>161</v>
      </c>
      <c r="CL328">
        <v>3.2</v>
      </c>
      <c r="CM328">
        <v>85</v>
      </c>
      <c r="CN328" s="1" t="s">
        <v>2057</v>
      </c>
      <c r="CO328" s="1" t="s">
        <v>305</v>
      </c>
      <c r="CP328">
        <v>75.400000000000006</v>
      </c>
      <c r="CQ328">
        <v>53</v>
      </c>
      <c r="CS328" s="1" t="s">
        <v>3890</v>
      </c>
      <c r="CT328">
        <v>1545.6</v>
      </c>
      <c r="CU328">
        <v>1760</v>
      </c>
      <c r="CV328">
        <v>1739.6</v>
      </c>
      <c r="CW328">
        <v>76.75</v>
      </c>
      <c r="CX328">
        <v>72</v>
      </c>
      <c r="CY328">
        <v>75.2</v>
      </c>
      <c r="CZ328" s="1" t="s">
        <v>1258</v>
      </c>
      <c r="DA328">
        <v>1</v>
      </c>
      <c r="DB328" t="s">
        <v>602</v>
      </c>
      <c r="DC328">
        <v>82</v>
      </c>
      <c r="DD328" s="1" t="s">
        <v>3891</v>
      </c>
      <c r="DE328">
        <v>-1.3617101680152699</v>
      </c>
      <c r="DF328" t="e">
        <f>_xlfn.XLOOKUP(Table1[[#This Row],[Player ID]],Table2[feed_id],Table2[trade_status])</f>
        <v>#N/A</v>
      </c>
      <c r="DG328">
        <f>_xlfn.NUMBERVALUE(Table1[[#This Row],[predicted]])</f>
        <v>83.361710168015193</v>
      </c>
    </row>
    <row r="329" spans="1:111" hidden="1" x14ac:dyDescent="0.25">
      <c r="A329">
        <v>101499</v>
      </c>
      <c r="B329">
        <v>7793</v>
      </c>
      <c r="C329" t="s">
        <v>3892</v>
      </c>
      <c r="D329" t="s">
        <v>198</v>
      </c>
      <c r="E329">
        <v>2021</v>
      </c>
      <c r="F329">
        <v>281052</v>
      </c>
      <c r="G329" t="s">
        <v>2555</v>
      </c>
      <c r="H329" t="s">
        <v>3893</v>
      </c>
      <c r="I329" t="s">
        <v>582</v>
      </c>
      <c r="J329">
        <v>3</v>
      </c>
      <c r="K329">
        <v>46</v>
      </c>
      <c r="L329">
        <v>36</v>
      </c>
      <c r="M329">
        <v>30</v>
      </c>
      <c r="N329">
        <v>37</v>
      </c>
      <c r="O329">
        <v>51</v>
      </c>
      <c r="P329">
        <v>7</v>
      </c>
      <c r="Q329">
        <v>6</v>
      </c>
      <c r="R329">
        <v>3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113</v>
      </c>
      <c r="Z329" t="s">
        <v>542</v>
      </c>
      <c r="AA329" t="s">
        <v>3894</v>
      </c>
      <c r="AB329" t="s">
        <v>1563</v>
      </c>
      <c r="AC329" t="s">
        <v>3895</v>
      </c>
      <c r="AD329">
        <v>0</v>
      </c>
      <c r="AF329">
        <v>0</v>
      </c>
      <c r="AH329" t="s">
        <v>118</v>
      </c>
      <c r="AI329">
        <v>34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S329">
        <v>3</v>
      </c>
      <c r="AT329">
        <v>2</v>
      </c>
      <c r="AU329">
        <v>3</v>
      </c>
      <c r="AV329">
        <v>76</v>
      </c>
      <c r="AW329">
        <v>81</v>
      </c>
      <c r="AX329">
        <v>155</v>
      </c>
      <c r="AY329">
        <v>0</v>
      </c>
      <c r="AZ329" t="b">
        <v>0</v>
      </c>
      <c r="BA329">
        <v>1728</v>
      </c>
      <c r="BB329">
        <v>1557</v>
      </c>
      <c r="BC329">
        <v>24</v>
      </c>
      <c r="BD329" t="s">
        <v>3896</v>
      </c>
      <c r="BE329">
        <v>98</v>
      </c>
      <c r="BF329">
        <v>0</v>
      </c>
      <c r="BG329">
        <v>69</v>
      </c>
      <c r="BH329">
        <v>0</v>
      </c>
      <c r="BI329" s="1" t="s">
        <v>183</v>
      </c>
      <c r="BJ329" s="1" t="s">
        <v>1079</v>
      </c>
      <c r="BK329">
        <v>5</v>
      </c>
      <c r="BL329" s="1" t="s">
        <v>781</v>
      </c>
      <c r="BM329">
        <v>3</v>
      </c>
      <c r="BN329">
        <v>3</v>
      </c>
      <c r="BO329" s="1" t="s">
        <v>169</v>
      </c>
      <c r="BP329" s="1" t="s">
        <v>304</v>
      </c>
      <c r="BQ329">
        <v>0</v>
      </c>
      <c r="BR329">
        <v>0</v>
      </c>
      <c r="BS329" s="1" t="s">
        <v>129</v>
      </c>
      <c r="BT329" s="1" t="s">
        <v>128</v>
      </c>
      <c r="BU329">
        <v>0</v>
      </c>
      <c r="BV329" s="1" t="s">
        <v>213</v>
      </c>
      <c r="BW329">
        <v>0</v>
      </c>
      <c r="BX329">
        <v>0</v>
      </c>
      <c r="BY329">
        <v>0</v>
      </c>
      <c r="BZ329">
        <v>0.2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 s="1" t="s">
        <v>125</v>
      </c>
      <c r="CH329" s="1" t="s">
        <v>211</v>
      </c>
      <c r="CI329" s="1" t="s">
        <v>161</v>
      </c>
      <c r="CJ329" s="1" t="s">
        <v>298</v>
      </c>
      <c r="CK329" s="1" t="s">
        <v>159</v>
      </c>
      <c r="CL329" s="1" t="s">
        <v>304</v>
      </c>
      <c r="CM329">
        <v>68</v>
      </c>
      <c r="CN329" s="1" t="s">
        <v>1163</v>
      </c>
      <c r="CO329">
        <v>80</v>
      </c>
      <c r="CP329" s="1" t="s">
        <v>1554</v>
      </c>
      <c r="CQ329">
        <v>159</v>
      </c>
      <c r="CS329" s="1" t="s">
        <v>3897</v>
      </c>
      <c r="CT329" s="1" t="s">
        <v>3898</v>
      </c>
      <c r="CU329">
        <v>1645</v>
      </c>
      <c r="CV329" s="1" t="s">
        <v>1164</v>
      </c>
      <c r="CW329">
        <v>48.75</v>
      </c>
      <c r="CX329">
        <v>41.3</v>
      </c>
      <c r="CY329">
        <v>41.2</v>
      </c>
      <c r="CZ329" s="1" t="s">
        <v>2710</v>
      </c>
      <c r="DA329">
        <v>1</v>
      </c>
      <c r="DB329" t="s">
        <v>542</v>
      </c>
      <c r="DC329">
        <v>36</v>
      </c>
      <c r="DD329" s="1" t="s">
        <v>3899</v>
      </c>
      <c r="DE329">
        <v>-10.0170129318084</v>
      </c>
      <c r="DF329" t="e">
        <f>_xlfn.XLOOKUP(Table1[[#This Row],[Player ID]],Table2[feed_id],Table2[trade_status])</f>
        <v>#N/A</v>
      </c>
      <c r="DG329">
        <f>_xlfn.NUMBERVALUE(Table1[[#This Row],[predicted]])</f>
        <v>46.017012931808402</v>
      </c>
    </row>
    <row r="330" spans="1:111" hidden="1" x14ac:dyDescent="0.25">
      <c r="A330">
        <v>101501</v>
      </c>
      <c r="B330">
        <v>7793</v>
      </c>
      <c r="C330" t="s">
        <v>3892</v>
      </c>
      <c r="D330" t="s">
        <v>198</v>
      </c>
      <c r="E330">
        <v>2021</v>
      </c>
      <c r="F330">
        <v>280959</v>
      </c>
      <c r="G330" t="s">
        <v>508</v>
      </c>
      <c r="H330" t="s">
        <v>3900</v>
      </c>
      <c r="I330" t="s">
        <v>582</v>
      </c>
      <c r="J330">
        <v>10</v>
      </c>
      <c r="K330">
        <v>41</v>
      </c>
      <c r="L330">
        <v>46</v>
      </c>
      <c r="M330">
        <v>36</v>
      </c>
      <c r="N330">
        <v>38</v>
      </c>
      <c r="O330">
        <v>46</v>
      </c>
      <c r="P330">
        <v>3</v>
      </c>
      <c r="Q330">
        <v>3</v>
      </c>
      <c r="R330">
        <v>2</v>
      </c>
      <c r="S330">
        <v>1</v>
      </c>
      <c r="T330">
        <v>7</v>
      </c>
      <c r="U330">
        <v>0</v>
      </c>
      <c r="V330">
        <v>1</v>
      </c>
      <c r="W330">
        <v>2</v>
      </c>
      <c r="X330">
        <v>0</v>
      </c>
      <c r="Y330" t="s">
        <v>113</v>
      </c>
      <c r="Z330" t="s">
        <v>656</v>
      </c>
      <c r="AA330" t="s">
        <v>3901</v>
      </c>
      <c r="AD330">
        <v>0</v>
      </c>
      <c r="AF330">
        <v>0</v>
      </c>
      <c r="AH330" t="s">
        <v>274</v>
      </c>
      <c r="AI330">
        <v>19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S330">
        <v>2</v>
      </c>
      <c r="AT330">
        <v>0</v>
      </c>
      <c r="AU330">
        <v>2</v>
      </c>
      <c r="AV330">
        <v>66</v>
      </c>
      <c r="AW330">
        <v>62</v>
      </c>
      <c r="AX330">
        <v>91</v>
      </c>
      <c r="AY330">
        <v>0</v>
      </c>
      <c r="AZ330" t="b">
        <v>0</v>
      </c>
      <c r="BA330">
        <v>1728</v>
      </c>
      <c r="BB330">
        <v>1557</v>
      </c>
      <c r="BC330">
        <v>24</v>
      </c>
      <c r="BD330" t="s">
        <v>3896</v>
      </c>
      <c r="BE330">
        <v>98</v>
      </c>
      <c r="BF330">
        <v>0</v>
      </c>
      <c r="BG330">
        <v>69</v>
      </c>
      <c r="BH330">
        <v>0</v>
      </c>
      <c r="BI330" s="1" t="s">
        <v>161</v>
      </c>
      <c r="BJ330" s="1" t="s">
        <v>566</v>
      </c>
      <c r="BK330" s="1" t="s">
        <v>169</v>
      </c>
      <c r="BL330">
        <v>3.2</v>
      </c>
      <c r="BM330" s="1" t="s">
        <v>161</v>
      </c>
      <c r="BN330" s="1" t="s">
        <v>206</v>
      </c>
      <c r="BO330">
        <v>1</v>
      </c>
      <c r="BP330" s="1" t="s">
        <v>566</v>
      </c>
      <c r="BQ330" s="1" t="s">
        <v>977</v>
      </c>
      <c r="BR330" s="1" t="s">
        <v>3902</v>
      </c>
      <c r="BS330" s="1" t="s">
        <v>129</v>
      </c>
      <c r="BT330" s="1" t="s">
        <v>231</v>
      </c>
      <c r="BU330" s="1" t="s">
        <v>126</v>
      </c>
      <c r="BV330" s="1" t="s">
        <v>128</v>
      </c>
      <c r="BW330" s="1" t="s">
        <v>128</v>
      </c>
      <c r="BX330" s="1" t="s">
        <v>129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 s="1" t="s">
        <v>169</v>
      </c>
      <c r="CH330" s="1" t="s">
        <v>528</v>
      </c>
      <c r="CI330">
        <v>1</v>
      </c>
      <c r="CJ330">
        <v>1</v>
      </c>
      <c r="CK330" s="1" t="s">
        <v>159</v>
      </c>
      <c r="CL330" s="1" t="s">
        <v>257</v>
      </c>
      <c r="CM330">
        <v>82</v>
      </c>
      <c r="CN330">
        <v>82.4</v>
      </c>
      <c r="CO330" s="1" t="s">
        <v>1857</v>
      </c>
      <c r="CP330">
        <v>67</v>
      </c>
      <c r="CQ330" s="1" t="s">
        <v>2998</v>
      </c>
      <c r="CS330" s="1" t="s">
        <v>1290</v>
      </c>
      <c r="CT330" s="1" t="s">
        <v>3903</v>
      </c>
      <c r="CU330" s="1" t="s">
        <v>2904</v>
      </c>
      <c r="CV330">
        <v>1652.6</v>
      </c>
      <c r="CW330">
        <v>51.4</v>
      </c>
      <c r="CX330">
        <v>45.9</v>
      </c>
      <c r="CY330">
        <v>43.6</v>
      </c>
      <c r="CZ330">
        <v>37</v>
      </c>
      <c r="DA330">
        <v>1</v>
      </c>
      <c r="DB330" t="s">
        <v>656</v>
      </c>
      <c r="DC330">
        <v>46</v>
      </c>
      <c r="DD330" s="1" t="s">
        <v>3904</v>
      </c>
      <c r="DE330">
        <v>-7.8806127167478701</v>
      </c>
      <c r="DF330" t="e">
        <f>_xlfn.XLOOKUP(Table1[[#This Row],[Player ID]],Table2[feed_id],Table2[trade_status])</f>
        <v>#N/A</v>
      </c>
      <c r="DG330">
        <f>_xlfn.NUMBERVALUE(Table1[[#This Row],[predicted]])</f>
        <v>53.880612716747798</v>
      </c>
    </row>
    <row r="331" spans="1:111" hidden="1" x14ac:dyDescent="0.25">
      <c r="A331">
        <v>101568</v>
      </c>
      <c r="B331">
        <v>7795</v>
      </c>
      <c r="C331" t="s">
        <v>3905</v>
      </c>
      <c r="D331" t="s">
        <v>198</v>
      </c>
      <c r="E331">
        <v>2021</v>
      </c>
      <c r="F331">
        <v>240060</v>
      </c>
      <c r="G331" t="s">
        <v>3906</v>
      </c>
      <c r="H331" t="s">
        <v>3907</v>
      </c>
      <c r="I331" t="s">
        <v>249</v>
      </c>
      <c r="J331">
        <v>9</v>
      </c>
      <c r="K331">
        <v>41</v>
      </c>
      <c r="L331">
        <v>56</v>
      </c>
      <c r="M331">
        <v>49</v>
      </c>
      <c r="N331">
        <v>37</v>
      </c>
      <c r="O331">
        <v>48</v>
      </c>
      <c r="P331">
        <v>4</v>
      </c>
      <c r="Q331">
        <v>5</v>
      </c>
      <c r="R331">
        <v>2</v>
      </c>
      <c r="S331">
        <v>1</v>
      </c>
      <c r="T331">
        <v>0</v>
      </c>
      <c r="U331">
        <v>0</v>
      </c>
      <c r="V331">
        <v>1</v>
      </c>
      <c r="W331">
        <v>2</v>
      </c>
      <c r="X331">
        <v>0</v>
      </c>
      <c r="Y331" t="s">
        <v>113</v>
      </c>
      <c r="Z331" t="s">
        <v>861</v>
      </c>
      <c r="AA331" t="s">
        <v>3908</v>
      </c>
      <c r="AD331">
        <v>0</v>
      </c>
      <c r="AF331">
        <v>0</v>
      </c>
      <c r="AH331" t="s">
        <v>155</v>
      </c>
      <c r="AI331">
        <v>19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S331">
        <v>4</v>
      </c>
      <c r="AT331">
        <v>0</v>
      </c>
      <c r="AU331">
        <v>2</v>
      </c>
      <c r="AV331">
        <v>77</v>
      </c>
      <c r="AW331">
        <v>84</v>
      </c>
      <c r="AX331">
        <v>88</v>
      </c>
      <c r="AY331">
        <v>0</v>
      </c>
      <c r="AZ331" t="b">
        <v>0</v>
      </c>
      <c r="BA331">
        <v>1741</v>
      </c>
      <c r="BB331">
        <v>1542</v>
      </c>
      <c r="BC331">
        <v>24</v>
      </c>
      <c r="BD331" t="s">
        <v>3909</v>
      </c>
      <c r="BE331">
        <v>98</v>
      </c>
      <c r="BF331">
        <v>0</v>
      </c>
      <c r="BG331">
        <v>69</v>
      </c>
      <c r="BH331">
        <v>0</v>
      </c>
      <c r="BI331" s="1" t="s">
        <v>138</v>
      </c>
      <c r="BJ331" s="1" t="s">
        <v>680</v>
      </c>
      <c r="BK331" s="1" t="s">
        <v>211</v>
      </c>
      <c r="BL331" s="1" t="s">
        <v>528</v>
      </c>
      <c r="BM331" s="1" t="s">
        <v>161</v>
      </c>
      <c r="BN331">
        <v>2.2000000000000002</v>
      </c>
      <c r="BO331" s="1" t="s">
        <v>128</v>
      </c>
      <c r="BP331">
        <v>1.6</v>
      </c>
      <c r="BQ331">
        <v>0</v>
      </c>
      <c r="BR331">
        <v>0</v>
      </c>
      <c r="BS331">
        <v>0</v>
      </c>
      <c r="BT331" s="1" t="s">
        <v>231</v>
      </c>
      <c r="BU331" s="1" t="s">
        <v>128</v>
      </c>
      <c r="BV331" s="1" t="s">
        <v>130</v>
      </c>
      <c r="BW331">
        <v>1</v>
      </c>
      <c r="BX331" s="1" t="s">
        <v>161</v>
      </c>
      <c r="BY331">
        <v>0</v>
      </c>
      <c r="BZ331" s="1" t="s">
        <v>238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3</v>
      </c>
      <c r="CH331" s="1" t="s">
        <v>212</v>
      </c>
      <c r="CI331">
        <v>0</v>
      </c>
      <c r="CJ331" s="1" t="s">
        <v>238</v>
      </c>
      <c r="CK331" s="1" t="s">
        <v>159</v>
      </c>
      <c r="CL331">
        <v>2</v>
      </c>
      <c r="CM331">
        <v>61</v>
      </c>
      <c r="CN331" s="1" t="s">
        <v>3910</v>
      </c>
      <c r="CO331" s="1" t="s">
        <v>516</v>
      </c>
      <c r="CP331" s="1" t="s">
        <v>3911</v>
      </c>
      <c r="CQ331" s="1" t="s">
        <v>883</v>
      </c>
      <c r="CR331" s="1" t="s">
        <v>3912</v>
      </c>
      <c r="CS331">
        <v>1467</v>
      </c>
      <c r="CT331" s="1" t="s">
        <v>3913</v>
      </c>
      <c r="CU331" s="1" t="s">
        <v>3914</v>
      </c>
      <c r="CV331">
        <v>1726.2</v>
      </c>
      <c r="CW331">
        <v>55.9</v>
      </c>
      <c r="CX331">
        <v>48.6</v>
      </c>
      <c r="CY331">
        <v>42.8</v>
      </c>
      <c r="CZ331" s="1" t="s">
        <v>536</v>
      </c>
      <c r="DA331">
        <v>1</v>
      </c>
      <c r="DB331" t="s">
        <v>861</v>
      </c>
      <c r="DC331">
        <v>56</v>
      </c>
      <c r="DD331" s="1" t="s">
        <v>3915</v>
      </c>
      <c r="DE331">
        <v>-2.81318696283072</v>
      </c>
      <c r="DF331" t="e">
        <f>_xlfn.XLOOKUP(Table1[[#This Row],[Player ID]],Table2[feed_id],Table2[trade_status])</f>
        <v>#N/A</v>
      </c>
      <c r="DG331">
        <f>_xlfn.NUMBERVALUE(Table1[[#This Row],[predicted]])</f>
        <v>58.813186962830699</v>
      </c>
    </row>
    <row r="332" spans="1:111" hidden="1" x14ac:dyDescent="0.25">
      <c r="A332">
        <v>101635</v>
      </c>
      <c r="B332">
        <v>7796</v>
      </c>
      <c r="C332" t="s">
        <v>3916</v>
      </c>
      <c r="D332" t="s">
        <v>198</v>
      </c>
      <c r="E332">
        <v>2021</v>
      </c>
      <c r="F332">
        <v>296371</v>
      </c>
      <c r="G332" t="s">
        <v>3050</v>
      </c>
      <c r="H332" t="s">
        <v>3917</v>
      </c>
      <c r="I332" t="s">
        <v>178</v>
      </c>
      <c r="J332">
        <v>3</v>
      </c>
      <c r="K332">
        <v>44</v>
      </c>
      <c r="L332">
        <v>40</v>
      </c>
      <c r="M332">
        <v>29</v>
      </c>
      <c r="N332">
        <v>38</v>
      </c>
      <c r="O332">
        <v>51</v>
      </c>
      <c r="P332">
        <v>6</v>
      </c>
      <c r="Q332">
        <v>8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 t="s">
        <v>113</v>
      </c>
      <c r="Z332" t="s">
        <v>861</v>
      </c>
      <c r="AA332" t="s">
        <v>3918</v>
      </c>
      <c r="AD332">
        <v>0</v>
      </c>
      <c r="AF332">
        <v>0</v>
      </c>
      <c r="AH332" t="s">
        <v>118</v>
      </c>
      <c r="AI332">
        <v>17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S332">
        <v>3</v>
      </c>
      <c r="AT332">
        <v>0</v>
      </c>
      <c r="AU332">
        <v>3</v>
      </c>
      <c r="AV332">
        <v>71</v>
      </c>
      <c r="AW332">
        <v>80</v>
      </c>
      <c r="AX332">
        <v>133</v>
      </c>
      <c r="AY332">
        <v>1</v>
      </c>
      <c r="AZ332" t="b">
        <v>0</v>
      </c>
      <c r="BA332">
        <v>1838</v>
      </c>
      <c r="BB332">
        <v>1428</v>
      </c>
      <c r="BC332">
        <v>24</v>
      </c>
      <c r="BD332" t="s">
        <v>3919</v>
      </c>
      <c r="BE332">
        <v>98</v>
      </c>
      <c r="BF332">
        <v>0</v>
      </c>
      <c r="BG332">
        <v>69</v>
      </c>
      <c r="BH332">
        <v>0</v>
      </c>
      <c r="BI332">
        <v>6</v>
      </c>
      <c r="BJ332" s="1" t="s">
        <v>253</v>
      </c>
      <c r="BK332" s="1" t="s">
        <v>160</v>
      </c>
      <c r="BL332" s="1" t="s">
        <v>1092</v>
      </c>
      <c r="BM332" s="1" t="s">
        <v>169</v>
      </c>
      <c r="BN332">
        <v>2.8</v>
      </c>
      <c r="BO332" s="1" t="s">
        <v>126</v>
      </c>
      <c r="BP332" s="1" t="s">
        <v>566</v>
      </c>
      <c r="BQ332">
        <v>0</v>
      </c>
      <c r="BR332">
        <v>0</v>
      </c>
      <c r="BS332" s="1" t="s">
        <v>128</v>
      </c>
      <c r="BT332" s="1" t="s">
        <v>128</v>
      </c>
      <c r="BU332" s="1" t="s">
        <v>129</v>
      </c>
      <c r="BV332" s="1" t="s">
        <v>184</v>
      </c>
      <c r="BW332">
        <v>0</v>
      </c>
      <c r="BX332" s="1" t="s">
        <v>231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 s="1" t="s">
        <v>169</v>
      </c>
      <c r="CH332">
        <v>3.8</v>
      </c>
      <c r="CI332" s="1" t="s">
        <v>129</v>
      </c>
      <c r="CJ332" s="1" t="s">
        <v>399</v>
      </c>
      <c r="CK332">
        <v>2</v>
      </c>
      <c r="CL332" s="1" t="s">
        <v>257</v>
      </c>
      <c r="CM332" s="1" t="s">
        <v>1053</v>
      </c>
      <c r="CN332" s="1" t="s">
        <v>1243</v>
      </c>
      <c r="CO332" s="1" t="s">
        <v>2013</v>
      </c>
      <c r="CP332" s="1" t="s">
        <v>261</v>
      </c>
      <c r="CQ332">
        <v>126</v>
      </c>
      <c r="CR332">
        <v>194.2</v>
      </c>
      <c r="CS332">
        <v>1511</v>
      </c>
      <c r="CT332" s="1" t="s">
        <v>1290</v>
      </c>
      <c r="CU332">
        <v>1770</v>
      </c>
      <c r="CV332" s="1" t="s">
        <v>3920</v>
      </c>
      <c r="CW332">
        <v>63.55</v>
      </c>
      <c r="CX332">
        <v>55.6</v>
      </c>
      <c r="CY332">
        <v>44.6</v>
      </c>
      <c r="CZ332">
        <v>32</v>
      </c>
      <c r="DA332">
        <v>1</v>
      </c>
      <c r="DB332" t="s">
        <v>861</v>
      </c>
      <c r="DC332">
        <v>40</v>
      </c>
      <c r="DD332" s="1" t="s">
        <v>3921</v>
      </c>
      <c r="DE332">
        <v>-24.602492809206399</v>
      </c>
      <c r="DF332" t="e">
        <f>_xlfn.XLOOKUP(Table1[[#This Row],[Player ID]],Table2[feed_id],Table2[trade_status])</f>
        <v>#N/A</v>
      </c>
      <c r="DG332">
        <f>_xlfn.NUMBERVALUE(Table1[[#This Row],[predicted]])</f>
        <v>64.602492809206396</v>
      </c>
    </row>
    <row r="333" spans="1:111" hidden="1" x14ac:dyDescent="0.25">
      <c r="A333">
        <v>101659</v>
      </c>
      <c r="B333">
        <v>7797</v>
      </c>
      <c r="C333" t="s">
        <v>3922</v>
      </c>
      <c r="D333" t="s">
        <v>198</v>
      </c>
      <c r="E333">
        <v>2021</v>
      </c>
      <c r="F333">
        <v>998109</v>
      </c>
      <c r="G333" t="s">
        <v>1986</v>
      </c>
      <c r="H333" t="s">
        <v>200</v>
      </c>
      <c r="I333" t="s">
        <v>619</v>
      </c>
      <c r="J333">
        <v>9</v>
      </c>
      <c r="K333">
        <v>57</v>
      </c>
      <c r="L333">
        <v>55</v>
      </c>
      <c r="M333">
        <v>71</v>
      </c>
      <c r="N333">
        <v>47</v>
      </c>
      <c r="O333">
        <v>63</v>
      </c>
      <c r="P333">
        <v>6</v>
      </c>
      <c r="Q333">
        <v>9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0</v>
      </c>
      <c r="Y333" t="s">
        <v>113</v>
      </c>
      <c r="Z333" t="s">
        <v>861</v>
      </c>
      <c r="AA333" t="s">
        <v>3923</v>
      </c>
      <c r="AD333">
        <v>0</v>
      </c>
      <c r="AF333">
        <v>0</v>
      </c>
      <c r="AH333" t="s">
        <v>118</v>
      </c>
      <c r="AI333">
        <v>37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S333">
        <v>3</v>
      </c>
      <c r="AT333">
        <v>1</v>
      </c>
      <c r="AU333">
        <v>2</v>
      </c>
      <c r="AV333">
        <v>86</v>
      </c>
      <c r="AW333">
        <v>79</v>
      </c>
      <c r="AX333">
        <v>102</v>
      </c>
      <c r="AY333">
        <v>0</v>
      </c>
      <c r="AZ333" t="b">
        <v>0</v>
      </c>
      <c r="BA333">
        <v>1485</v>
      </c>
      <c r="BB333">
        <v>1820</v>
      </c>
      <c r="BC333">
        <v>24</v>
      </c>
      <c r="BD333" t="s">
        <v>3924</v>
      </c>
      <c r="BE333">
        <v>98</v>
      </c>
      <c r="BF333">
        <v>0</v>
      </c>
      <c r="BG333">
        <v>69</v>
      </c>
      <c r="BH333">
        <v>0</v>
      </c>
      <c r="BI333" s="1" t="s">
        <v>204</v>
      </c>
      <c r="BJ333" s="1" t="s">
        <v>229</v>
      </c>
      <c r="BK333" s="1" t="s">
        <v>977</v>
      </c>
      <c r="BL333" s="1" t="s">
        <v>498</v>
      </c>
      <c r="BM333" s="1" t="s">
        <v>211</v>
      </c>
      <c r="BN333" s="1" t="s">
        <v>255</v>
      </c>
      <c r="BO333" s="1" t="s">
        <v>169</v>
      </c>
      <c r="BP333" s="1" t="s">
        <v>528</v>
      </c>
      <c r="BQ333">
        <v>0</v>
      </c>
      <c r="BR333">
        <v>0</v>
      </c>
      <c r="BS333">
        <v>1</v>
      </c>
      <c r="BT333" s="1" t="s">
        <v>399</v>
      </c>
      <c r="BU333">
        <v>1</v>
      </c>
      <c r="BV333" s="1" t="s">
        <v>127</v>
      </c>
      <c r="BW333" s="1" t="s">
        <v>129</v>
      </c>
      <c r="BX333">
        <v>0.4</v>
      </c>
      <c r="BY333">
        <v>0</v>
      </c>
      <c r="BZ333">
        <v>6.6666666666666596E-2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 s="1" t="s">
        <v>449</v>
      </c>
      <c r="CH333" s="1" t="s">
        <v>449</v>
      </c>
      <c r="CI333" s="1" t="s">
        <v>159</v>
      </c>
      <c r="CJ333" s="1" t="s">
        <v>327</v>
      </c>
      <c r="CK333" s="1" t="s">
        <v>169</v>
      </c>
      <c r="CL333" s="1" t="s">
        <v>375</v>
      </c>
      <c r="CM333" s="1" t="s">
        <v>968</v>
      </c>
      <c r="CN333">
        <v>75.599999999999994</v>
      </c>
      <c r="CO333">
        <v>82</v>
      </c>
      <c r="CP333" s="1" t="s">
        <v>1889</v>
      </c>
      <c r="CQ333" s="1" t="s">
        <v>3925</v>
      </c>
      <c r="CS333" s="1" t="s">
        <v>3814</v>
      </c>
      <c r="CT333">
        <v>1575.4</v>
      </c>
      <c r="CU333" s="1" t="s">
        <v>3926</v>
      </c>
      <c r="CV333">
        <v>1705.8</v>
      </c>
      <c r="CW333">
        <v>63</v>
      </c>
      <c r="CX333">
        <v>65.599999999999994</v>
      </c>
      <c r="CY333">
        <v>60.8</v>
      </c>
      <c r="CZ333">
        <v>59</v>
      </c>
      <c r="DA333">
        <v>1</v>
      </c>
      <c r="DB333" t="s">
        <v>861</v>
      </c>
      <c r="DC333">
        <v>55</v>
      </c>
      <c r="DD333" s="1" t="s">
        <v>3927</v>
      </c>
      <c r="DE333">
        <v>-12.7998775917999</v>
      </c>
      <c r="DF333" t="e">
        <f>_xlfn.XLOOKUP(Table1[[#This Row],[Player ID]],Table2[feed_id],Table2[trade_status])</f>
        <v>#N/A</v>
      </c>
      <c r="DG333">
        <f>_xlfn.NUMBERVALUE(Table1[[#This Row],[predicted]])</f>
        <v>67.799877591799898</v>
      </c>
    </row>
    <row r="334" spans="1:111" hidden="1" x14ac:dyDescent="0.25">
      <c r="A334">
        <v>101670</v>
      </c>
      <c r="B334">
        <v>7797</v>
      </c>
      <c r="C334" t="s">
        <v>3922</v>
      </c>
      <c r="D334" t="s">
        <v>198</v>
      </c>
      <c r="E334">
        <v>2021</v>
      </c>
      <c r="F334">
        <v>280416</v>
      </c>
      <c r="G334" t="s">
        <v>315</v>
      </c>
      <c r="H334" t="s">
        <v>3928</v>
      </c>
      <c r="I334" t="s">
        <v>112</v>
      </c>
      <c r="J334">
        <v>10</v>
      </c>
      <c r="K334">
        <v>76</v>
      </c>
      <c r="L334">
        <v>110</v>
      </c>
      <c r="M334">
        <v>69</v>
      </c>
      <c r="N334">
        <v>66</v>
      </c>
      <c r="O334">
        <v>93</v>
      </c>
      <c r="P334">
        <v>6</v>
      </c>
      <c r="Q334">
        <v>17</v>
      </c>
      <c r="R334">
        <v>5</v>
      </c>
      <c r="S334">
        <v>3</v>
      </c>
      <c r="T334">
        <v>0</v>
      </c>
      <c r="U334">
        <v>0</v>
      </c>
      <c r="V334">
        <v>1</v>
      </c>
      <c r="W334">
        <v>0</v>
      </c>
      <c r="X334">
        <v>0</v>
      </c>
      <c r="Y334" t="s">
        <v>113</v>
      </c>
      <c r="Z334" t="s">
        <v>525</v>
      </c>
      <c r="AA334" t="s">
        <v>3929</v>
      </c>
      <c r="AD334">
        <v>0</v>
      </c>
      <c r="AF334">
        <v>0</v>
      </c>
      <c r="AH334" t="s">
        <v>155</v>
      </c>
      <c r="AI334">
        <v>16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S334">
        <v>10</v>
      </c>
      <c r="AT334">
        <v>0</v>
      </c>
      <c r="AU334">
        <v>1</v>
      </c>
      <c r="AV334">
        <v>100</v>
      </c>
      <c r="AW334">
        <v>96</v>
      </c>
      <c r="AX334">
        <v>134</v>
      </c>
      <c r="AY334">
        <v>0</v>
      </c>
      <c r="AZ334" t="b">
        <v>0</v>
      </c>
      <c r="BA334">
        <v>1820</v>
      </c>
      <c r="BB334">
        <v>1485</v>
      </c>
      <c r="BC334">
        <v>24</v>
      </c>
      <c r="BD334" t="s">
        <v>3930</v>
      </c>
      <c r="BE334">
        <v>98</v>
      </c>
      <c r="BF334">
        <v>1</v>
      </c>
      <c r="BG334">
        <v>69</v>
      </c>
      <c r="BH334">
        <v>1</v>
      </c>
      <c r="BI334" s="1" t="s">
        <v>977</v>
      </c>
      <c r="BJ334" s="1" t="s">
        <v>1874</v>
      </c>
      <c r="BK334" s="1" t="s">
        <v>123</v>
      </c>
      <c r="BL334" s="1" t="s">
        <v>157</v>
      </c>
      <c r="BM334">
        <v>6</v>
      </c>
      <c r="BN334">
        <v>7.8</v>
      </c>
      <c r="BO334" s="1" t="s">
        <v>169</v>
      </c>
      <c r="BP334">
        <v>2.4</v>
      </c>
      <c r="BQ334">
        <v>0</v>
      </c>
      <c r="BR334">
        <v>0</v>
      </c>
      <c r="BS334" s="1" t="s">
        <v>129</v>
      </c>
      <c r="BT334" s="1" t="s">
        <v>130</v>
      </c>
      <c r="BU334" s="1" t="s">
        <v>129</v>
      </c>
      <c r="BV334">
        <v>0.6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 s="1" t="s">
        <v>449</v>
      </c>
      <c r="CH334">
        <v>4.5999999999999996</v>
      </c>
      <c r="CI334" s="1" t="s">
        <v>129</v>
      </c>
      <c r="CJ334" s="1" t="s">
        <v>231</v>
      </c>
      <c r="CK334" s="1" t="s">
        <v>159</v>
      </c>
      <c r="CL334" s="1" t="s">
        <v>275</v>
      </c>
      <c r="CM334" s="1" t="s">
        <v>552</v>
      </c>
      <c r="CN334" s="1" t="s">
        <v>1013</v>
      </c>
      <c r="CO334" s="1" t="s">
        <v>306</v>
      </c>
      <c r="CP334" s="1" t="s">
        <v>1433</v>
      </c>
      <c r="CQ334" s="1" t="s">
        <v>3931</v>
      </c>
      <c r="CR334" s="1" t="s">
        <v>3932</v>
      </c>
      <c r="CS334" s="1" t="s">
        <v>3933</v>
      </c>
      <c r="CT334" s="1" t="s">
        <v>1473</v>
      </c>
      <c r="CU334">
        <v>1790</v>
      </c>
      <c r="CV334" s="1" t="s">
        <v>3934</v>
      </c>
      <c r="CW334">
        <v>88.75</v>
      </c>
      <c r="CX334">
        <v>97.3</v>
      </c>
      <c r="CY334">
        <v>92.6</v>
      </c>
      <c r="CZ334" s="1" t="s">
        <v>406</v>
      </c>
      <c r="DA334">
        <v>1</v>
      </c>
      <c r="DB334" t="s">
        <v>525</v>
      </c>
      <c r="DC334">
        <v>110</v>
      </c>
      <c r="DD334" s="1" t="s">
        <v>3935</v>
      </c>
      <c r="DE334" s="1" t="s">
        <v>3936</v>
      </c>
      <c r="DF334" t="e">
        <f>_xlfn.XLOOKUP(Table1[[#This Row],[Player ID]],Table2[feed_id],Table2[trade_status])</f>
        <v>#N/A</v>
      </c>
      <c r="DG334">
        <f>_xlfn.NUMBERVALUE(Table1[[#This Row],[predicted]])</f>
        <v>82.938741722553303</v>
      </c>
    </row>
    <row r="335" spans="1:111" hidden="1" x14ac:dyDescent="0.25">
      <c r="A335">
        <v>101672</v>
      </c>
      <c r="B335">
        <v>7797</v>
      </c>
      <c r="C335" t="s">
        <v>3922</v>
      </c>
      <c r="D335" t="s">
        <v>198</v>
      </c>
      <c r="E335">
        <v>2021</v>
      </c>
      <c r="F335">
        <v>290289</v>
      </c>
      <c r="G335" t="s">
        <v>1318</v>
      </c>
      <c r="H335" t="s">
        <v>2222</v>
      </c>
      <c r="I335" t="s">
        <v>112</v>
      </c>
      <c r="J335">
        <v>15</v>
      </c>
      <c r="K335">
        <v>73</v>
      </c>
      <c r="L335">
        <v>75</v>
      </c>
      <c r="M335">
        <v>55</v>
      </c>
      <c r="N335">
        <v>60</v>
      </c>
      <c r="O335">
        <v>76</v>
      </c>
      <c r="P335">
        <v>9</v>
      </c>
      <c r="Q335">
        <v>7</v>
      </c>
      <c r="R335">
        <v>5</v>
      </c>
      <c r="S335">
        <v>2</v>
      </c>
      <c r="T335">
        <v>0</v>
      </c>
      <c r="U335">
        <v>2</v>
      </c>
      <c r="V335">
        <v>0</v>
      </c>
      <c r="W335">
        <v>1</v>
      </c>
      <c r="X335">
        <v>1</v>
      </c>
      <c r="Y335" t="s">
        <v>113</v>
      </c>
      <c r="Z335" t="s">
        <v>525</v>
      </c>
      <c r="AA335" t="s">
        <v>3937</v>
      </c>
      <c r="AD335">
        <v>0</v>
      </c>
      <c r="AF335">
        <v>0</v>
      </c>
      <c r="AH335" t="s">
        <v>118</v>
      </c>
      <c r="AI335">
        <v>24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S335">
        <v>6</v>
      </c>
      <c r="AT335">
        <v>1</v>
      </c>
      <c r="AU335">
        <v>1</v>
      </c>
      <c r="AV335">
        <v>62</v>
      </c>
      <c r="AW335">
        <v>76</v>
      </c>
      <c r="AX335">
        <v>202</v>
      </c>
      <c r="AY335">
        <v>0</v>
      </c>
      <c r="AZ335" t="b">
        <v>0</v>
      </c>
      <c r="BA335">
        <v>1820</v>
      </c>
      <c r="BB335">
        <v>1485</v>
      </c>
      <c r="BC335">
        <v>24</v>
      </c>
      <c r="BD335" t="s">
        <v>3930</v>
      </c>
      <c r="BE335">
        <v>98</v>
      </c>
      <c r="BF335">
        <v>0</v>
      </c>
      <c r="BG335">
        <v>69</v>
      </c>
      <c r="BH335">
        <v>1</v>
      </c>
      <c r="BI335" s="1" t="s">
        <v>253</v>
      </c>
      <c r="BJ335" s="1" t="s">
        <v>498</v>
      </c>
      <c r="BK335" s="1" t="s">
        <v>183</v>
      </c>
      <c r="BL335" s="1" t="s">
        <v>139</v>
      </c>
      <c r="BM335" s="1" t="s">
        <v>211</v>
      </c>
      <c r="BN335" s="1" t="s">
        <v>189</v>
      </c>
      <c r="BO335" s="1" t="s">
        <v>126</v>
      </c>
      <c r="BP335" s="1" t="s">
        <v>255</v>
      </c>
      <c r="BQ335">
        <v>0</v>
      </c>
      <c r="BR335">
        <v>0</v>
      </c>
      <c r="BS335" s="1" t="s">
        <v>128</v>
      </c>
      <c r="BT335" s="1" t="s">
        <v>399</v>
      </c>
      <c r="BU335">
        <v>0</v>
      </c>
      <c r="BV335">
        <v>0.2</v>
      </c>
      <c r="BW335">
        <v>1</v>
      </c>
      <c r="BX335" s="1" t="s">
        <v>128</v>
      </c>
      <c r="BY335" s="1" t="s">
        <v>128</v>
      </c>
      <c r="BZ335">
        <v>0.4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 s="1" t="s">
        <v>211</v>
      </c>
      <c r="CH335" s="1" t="s">
        <v>229</v>
      </c>
      <c r="CI335" s="1" t="s">
        <v>128</v>
      </c>
      <c r="CJ335" s="1" t="s">
        <v>130</v>
      </c>
      <c r="CK335" s="1" t="s">
        <v>126</v>
      </c>
      <c r="CL335">
        <v>1.4</v>
      </c>
      <c r="CM335" s="1" t="s">
        <v>1080</v>
      </c>
      <c r="CN335">
        <v>63.8</v>
      </c>
      <c r="CO335" s="1" t="s">
        <v>610</v>
      </c>
      <c r="CP335" s="1" t="s">
        <v>1406</v>
      </c>
      <c r="CQ335" s="1" t="s">
        <v>3938</v>
      </c>
      <c r="CR335">
        <v>187</v>
      </c>
      <c r="CS335" s="1" t="s">
        <v>3933</v>
      </c>
      <c r="CT335" s="1" t="s">
        <v>1859</v>
      </c>
      <c r="CU335">
        <v>1790</v>
      </c>
      <c r="CV335">
        <v>1647.6</v>
      </c>
      <c r="CW335">
        <v>59.15</v>
      </c>
      <c r="CX335">
        <v>62.4</v>
      </c>
      <c r="CY335">
        <v>51</v>
      </c>
      <c r="CZ335">
        <v>63</v>
      </c>
      <c r="DA335">
        <v>1</v>
      </c>
      <c r="DB335" t="s">
        <v>525</v>
      </c>
      <c r="DC335">
        <v>75</v>
      </c>
      <c r="DD335" s="1" t="s">
        <v>3939</v>
      </c>
      <c r="DE335" s="1" t="s">
        <v>3940</v>
      </c>
      <c r="DF335" t="e">
        <f>_xlfn.XLOOKUP(Table1[[#This Row],[Player ID]],Table2[feed_id],Table2[trade_status])</f>
        <v>#N/A</v>
      </c>
      <c r="DG335">
        <f>_xlfn.NUMBERVALUE(Table1[[#This Row],[predicted]])</f>
        <v>60.753713044228299</v>
      </c>
    </row>
    <row r="336" spans="1:111" hidden="1" x14ac:dyDescent="0.25">
      <c r="A336">
        <v>101693</v>
      </c>
      <c r="B336">
        <v>7798</v>
      </c>
      <c r="C336" t="s">
        <v>3941</v>
      </c>
      <c r="D336" t="s">
        <v>198</v>
      </c>
      <c r="E336">
        <v>2021</v>
      </c>
      <c r="F336">
        <v>270938</v>
      </c>
      <c r="G336" t="s">
        <v>3942</v>
      </c>
      <c r="H336" t="s">
        <v>3943</v>
      </c>
      <c r="I336" t="s">
        <v>510</v>
      </c>
      <c r="J336">
        <v>20</v>
      </c>
      <c r="K336">
        <v>87</v>
      </c>
      <c r="L336">
        <v>107</v>
      </c>
      <c r="M336">
        <v>109</v>
      </c>
      <c r="N336">
        <v>73</v>
      </c>
      <c r="O336">
        <v>99</v>
      </c>
      <c r="P336">
        <v>12</v>
      </c>
      <c r="Q336">
        <v>11</v>
      </c>
      <c r="R336">
        <v>6</v>
      </c>
      <c r="S336">
        <v>2</v>
      </c>
      <c r="T336">
        <v>0</v>
      </c>
      <c r="U336">
        <v>0</v>
      </c>
      <c r="V336">
        <v>1</v>
      </c>
      <c r="W336">
        <v>1</v>
      </c>
      <c r="X336">
        <v>0</v>
      </c>
      <c r="Y336" t="s">
        <v>113</v>
      </c>
      <c r="Z336" t="s">
        <v>525</v>
      </c>
      <c r="AA336" t="s">
        <v>3944</v>
      </c>
      <c r="AD336">
        <v>0</v>
      </c>
      <c r="AF336">
        <v>0</v>
      </c>
      <c r="AH336" t="s">
        <v>155</v>
      </c>
      <c r="AI336">
        <v>27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S336">
        <v>8</v>
      </c>
      <c r="AT336">
        <v>2</v>
      </c>
      <c r="AU336">
        <v>2</v>
      </c>
      <c r="AV336">
        <v>87</v>
      </c>
      <c r="AW336">
        <v>87</v>
      </c>
      <c r="AX336">
        <v>168</v>
      </c>
      <c r="AY336">
        <v>0</v>
      </c>
      <c r="AZ336" t="b">
        <v>0</v>
      </c>
      <c r="BA336">
        <v>1391</v>
      </c>
      <c r="BB336">
        <v>1892</v>
      </c>
      <c r="BC336">
        <v>24</v>
      </c>
      <c r="BD336" t="s">
        <v>3945</v>
      </c>
      <c r="BE336">
        <v>98</v>
      </c>
      <c r="BF336">
        <v>1</v>
      </c>
      <c r="BG336">
        <v>69</v>
      </c>
      <c r="BH336">
        <v>1</v>
      </c>
      <c r="BI336" s="1" t="s">
        <v>395</v>
      </c>
      <c r="BJ336">
        <v>11.2</v>
      </c>
      <c r="BK336">
        <v>12</v>
      </c>
      <c r="BL336">
        <v>7.6</v>
      </c>
      <c r="BM336" s="1" t="s">
        <v>397</v>
      </c>
      <c r="BN336" s="1" t="s">
        <v>416</v>
      </c>
      <c r="BO336">
        <v>1</v>
      </c>
      <c r="BP336">
        <v>1.4</v>
      </c>
      <c r="BQ336">
        <v>0</v>
      </c>
      <c r="BR336">
        <v>0</v>
      </c>
      <c r="BS336" s="1" t="s">
        <v>129</v>
      </c>
      <c r="BT336" s="1" t="s">
        <v>298</v>
      </c>
      <c r="BU336">
        <v>1</v>
      </c>
      <c r="BV336" s="1" t="s">
        <v>130</v>
      </c>
      <c r="BW336">
        <v>1</v>
      </c>
      <c r="BX336">
        <v>0.6</v>
      </c>
      <c r="BY336" s="1" t="s">
        <v>128</v>
      </c>
      <c r="BZ336" s="1" t="s">
        <v>128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 s="1" t="s">
        <v>137</v>
      </c>
      <c r="CH336">
        <v>5.4</v>
      </c>
      <c r="CI336" s="1" t="s">
        <v>126</v>
      </c>
      <c r="CJ336" s="1" t="s">
        <v>162</v>
      </c>
      <c r="CK336" s="1" t="s">
        <v>138</v>
      </c>
      <c r="CL336" s="1" t="s">
        <v>375</v>
      </c>
      <c r="CM336" s="1" t="s">
        <v>930</v>
      </c>
      <c r="CN336">
        <v>77.599999999999994</v>
      </c>
      <c r="CO336">
        <v>85</v>
      </c>
      <c r="CP336">
        <v>77.400000000000006</v>
      </c>
      <c r="CQ336" s="1" t="s">
        <v>3946</v>
      </c>
      <c r="CR336" s="1" t="s">
        <v>3947</v>
      </c>
      <c r="CS336" s="1" t="s">
        <v>3948</v>
      </c>
      <c r="CT336" s="1" t="s">
        <v>3949</v>
      </c>
      <c r="CU336" s="1" t="s">
        <v>790</v>
      </c>
      <c r="CV336" s="1" t="s">
        <v>3950</v>
      </c>
      <c r="CW336">
        <v>80.400000000000006</v>
      </c>
      <c r="CX336">
        <v>78.2</v>
      </c>
      <c r="CY336">
        <v>88</v>
      </c>
      <c r="CZ336" s="1" t="s">
        <v>3951</v>
      </c>
      <c r="DA336">
        <v>1</v>
      </c>
      <c r="DB336" t="s">
        <v>525</v>
      </c>
      <c r="DC336">
        <v>107</v>
      </c>
      <c r="DD336" s="1" t="s">
        <v>3952</v>
      </c>
      <c r="DE336" s="1" t="s">
        <v>3953</v>
      </c>
      <c r="DF336" t="e">
        <f>_xlfn.XLOOKUP(Table1[[#This Row],[Player ID]],Table2[feed_id],Table2[trade_status])</f>
        <v>#N/A</v>
      </c>
      <c r="DG336">
        <f>_xlfn.NUMBERVALUE(Table1[[#This Row],[predicted]])</f>
        <v>80.716159242482703</v>
      </c>
    </row>
    <row r="337" spans="1:111" hidden="1" x14ac:dyDescent="0.25">
      <c r="A337">
        <v>101694</v>
      </c>
      <c r="B337">
        <v>7798</v>
      </c>
      <c r="C337" t="s">
        <v>3941</v>
      </c>
      <c r="D337" t="s">
        <v>198</v>
      </c>
      <c r="E337">
        <v>2021</v>
      </c>
      <c r="F337">
        <v>294733</v>
      </c>
      <c r="G337" t="s">
        <v>223</v>
      </c>
      <c r="H337" t="s">
        <v>3954</v>
      </c>
      <c r="I337" t="s">
        <v>510</v>
      </c>
      <c r="J337">
        <v>16</v>
      </c>
      <c r="K337">
        <v>83</v>
      </c>
      <c r="L337">
        <v>85</v>
      </c>
      <c r="M337">
        <v>103</v>
      </c>
      <c r="N337">
        <v>70</v>
      </c>
      <c r="O337">
        <v>96</v>
      </c>
      <c r="P337">
        <v>11</v>
      </c>
      <c r="Q337">
        <v>12</v>
      </c>
      <c r="R337">
        <v>5</v>
      </c>
      <c r="S337">
        <v>2</v>
      </c>
      <c r="T337">
        <v>0</v>
      </c>
      <c r="U337">
        <v>0</v>
      </c>
      <c r="V337">
        <v>1</v>
      </c>
      <c r="W337">
        <v>1</v>
      </c>
      <c r="X337">
        <v>0</v>
      </c>
      <c r="Y337" t="s">
        <v>113</v>
      </c>
      <c r="Z337" t="s">
        <v>3955</v>
      </c>
      <c r="AA337" t="s">
        <v>3956</v>
      </c>
      <c r="AB337" t="s">
        <v>525</v>
      </c>
      <c r="AC337" t="s">
        <v>3957</v>
      </c>
      <c r="AD337">
        <v>0</v>
      </c>
      <c r="AF337">
        <v>0</v>
      </c>
      <c r="AH337" t="s">
        <v>118</v>
      </c>
      <c r="AI337">
        <v>11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S337">
        <v>5</v>
      </c>
      <c r="AT337">
        <v>2</v>
      </c>
      <c r="AU337">
        <v>3</v>
      </c>
      <c r="AV337">
        <v>78</v>
      </c>
      <c r="AW337">
        <v>87</v>
      </c>
      <c r="AX337">
        <v>462</v>
      </c>
      <c r="AY337">
        <v>0</v>
      </c>
      <c r="AZ337" t="b">
        <v>0</v>
      </c>
      <c r="BA337">
        <v>1391</v>
      </c>
      <c r="BB337">
        <v>1892</v>
      </c>
      <c r="BC337">
        <v>24</v>
      </c>
      <c r="BD337" t="s">
        <v>3945</v>
      </c>
      <c r="BE337">
        <v>98</v>
      </c>
      <c r="BF337">
        <v>0</v>
      </c>
      <c r="BG337">
        <v>69</v>
      </c>
      <c r="BH337">
        <v>1</v>
      </c>
      <c r="BI337">
        <v>16</v>
      </c>
      <c r="BJ337">
        <v>16</v>
      </c>
      <c r="BK337">
        <v>14</v>
      </c>
      <c r="BL337" s="1" t="s">
        <v>949</v>
      </c>
      <c r="BM337" s="1" t="s">
        <v>138</v>
      </c>
      <c r="BN337">
        <v>5</v>
      </c>
      <c r="BO337" s="1" t="s">
        <v>159</v>
      </c>
      <c r="BP337" s="1" t="s">
        <v>322</v>
      </c>
      <c r="BQ337">
        <v>0</v>
      </c>
      <c r="BR337">
        <v>0</v>
      </c>
      <c r="BS337" s="1" t="s">
        <v>129</v>
      </c>
      <c r="BT337" s="1" t="s">
        <v>399</v>
      </c>
      <c r="BU337" s="1" t="s">
        <v>129</v>
      </c>
      <c r="BV337">
        <v>0.6</v>
      </c>
      <c r="BW337" s="1" t="s">
        <v>128</v>
      </c>
      <c r="BX337">
        <v>0.6</v>
      </c>
      <c r="BY337" s="1" t="s">
        <v>129</v>
      </c>
      <c r="BZ337" s="1" t="s">
        <v>231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 s="1" t="s">
        <v>183</v>
      </c>
      <c r="CH337">
        <v>6.8</v>
      </c>
      <c r="CI337" s="1" t="s">
        <v>169</v>
      </c>
      <c r="CJ337" s="1" t="s">
        <v>170</v>
      </c>
      <c r="CK337" s="1" t="s">
        <v>161</v>
      </c>
      <c r="CL337">
        <v>3.6</v>
      </c>
      <c r="CM337" s="1" t="s">
        <v>350</v>
      </c>
      <c r="CN337">
        <v>69.400000000000006</v>
      </c>
      <c r="CO337" s="1" t="s">
        <v>2177</v>
      </c>
      <c r="CP337">
        <v>82</v>
      </c>
      <c r="CQ337">
        <v>623</v>
      </c>
      <c r="CR337" s="1" t="s">
        <v>3958</v>
      </c>
      <c r="CS337" s="1" t="s">
        <v>3948</v>
      </c>
      <c r="CT337">
        <v>1549</v>
      </c>
      <c r="CU337" s="1" t="s">
        <v>790</v>
      </c>
      <c r="CV337">
        <v>1744</v>
      </c>
      <c r="CW337">
        <v>97.45</v>
      </c>
      <c r="CX337">
        <v>94.6</v>
      </c>
      <c r="CY337">
        <v>94.6</v>
      </c>
      <c r="CZ337">
        <v>109</v>
      </c>
      <c r="DA337">
        <v>1</v>
      </c>
      <c r="DB337" t="s">
        <v>3955</v>
      </c>
      <c r="DC337">
        <v>85</v>
      </c>
      <c r="DD337" s="1" t="s">
        <v>3959</v>
      </c>
      <c r="DE337">
        <v>-7.0275548291288397</v>
      </c>
      <c r="DF337" t="e">
        <f>_xlfn.XLOOKUP(Table1[[#This Row],[Player ID]],Table2[feed_id],Table2[trade_status])</f>
        <v>#N/A</v>
      </c>
      <c r="DG337">
        <f>_xlfn.NUMBERVALUE(Table1[[#This Row],[predicted]])</f>
        <v>92.027554829128803</v>
      </c>
    </row>
    <row r="338" spans="1:111" hidden="1" x14ac:dyDescent="0.25">
      <c r="A338">
        <v>101697</v>
      </c>
      <c r="B338">
        <v>7798</v>
      </c>
      <c r="C338" t="s">
        <v>3941</v>
      </c>
      <c r="D338" t="s">
        <v>198</v>
      </c>
      <c r="E338">
        <v>2021</v>
      </c>
      <c r="F338">
        <v>250362</v>
      </c>
      <c r="G338" t="s">
        <v>409</v>
      </c>
      <c r="H338" t="s">
        <v>3960</v>
      </c>
      <c r="I338" t="s">
        <v>510</v>
      </c>
      <c r="J338">
        <v>15</v>
      </c>
      <c r="K338">
        <v>80</v>
      </c>
      <c r="L338">
        <v>92</v>
      </c>
      <c r="M338">
        <v>101</v>
      </c>
      <c r="N338">
        <v>63</v>
      </c>
      <c r="O338">
        <v>84</v>
      </c>
      <c r="P338">
        <v>13</v>
      </c>
      <c r="Q338">
        <v>6</v>
      </c>
      <c r="R338">
        <v>4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3</v>
      </c>
      <c r="Y338" t="s">
        <v>113</v>
      </c>
      <c r="Z338" t="s">
        <v>2050</v>
      </c>
      <c r="AA338" t="s">
        <v>830</v>
      </c>
      <c r="AB338" t="s">
        <v>525</v>
      </c>
      <c r="AC338" t="s">
        <v>3840</v>
      </c>
      <c r="AD338">
        <v>0</v>
      </c>
      <c r="AF338">
        <v>0</v>
      </c>
      <c r="AH338" t="s">
        <v>118</v>
      </c>
      <c r="AI338">
        <v>14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S338">
        <v>8</v>
      </c>
      <c r="AT338">
        <v>2</v>
      </c>
      <c r="AU338">
        <v>2</v>
      </c>
      <c r="AV338">
        <v>52</v>
      </c>
      <c r="AW338">
        <v>85</v>
      </c>
      <c r="AX338">
        <v>424</v>
      </c>
      <c r="AY338">
        <v>0</v>
      </c>
      <c r="AZ338" t="b">
        <v>0</v>
      </c>
      <c r="BA338">
        <v>1391</v>
      </c>
      <c r="BB338">
        <v>1892</v>
      </c>
      <c r="BC338">
        <v>24</v>
      </c>
      <c r="BD338" t="s">
        <v>3945</v>
      </c>
      <c r="BE338">
        <v>98</v>
      </c>
      <c r="BF338">
        <v>0</v>
      </c>
      <c r="BG338">
        <v>69</v>
      </c>
      <c r="BH338">
        <v>1</v>
      </c>
      <c r="BI338" s="1" t="s">
        <v>1008</v>
      </c>
      <c r="BJ338">
        <v>9</v>
      </c>
      <c r="BK338" s="1" t="s">
        <v>397</v>
      </c>
      <c r="BL338">
        <v>5.8</v>
      </c>
      <c r="BM338" s="1" t="s">
        <v>138</v>
      </c>
      <c r="BN338" s="1" t="s">
        <v>169</v>
      </c>
      <c r="BO338" s="1" t="s">
        <v>138</v>
      </c>
      <c r="BP338" s="1" t="s">
        <v>255</v>
      </c>
      <c r="BQ338">
        <v>0</v>
      </c>
      <c r="BR338">
        <v>0</v>
      </c>
      <c r="BS338" s="1" t="s">
        <v>128</v>
      </c>
      <c r="BT338" s="1" t="s">
        <v>127</v>
      </c>
      <c r="BU338">
        <v>0</v>
      </c>
      <c r="BV338" s="1" t="s">
        <v>129</v>
      </c>
      <c r="BW338">
        <v>1</v>
      </c>
      <c r="BX338">
        <v>0.4</v>
      </c>
      <c r="BY338" s="1" t="s">
        <v>161</v>
      </c>
      <c r="BZ338">
        <v>0.4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6</v>
      </c>
      <c r="CH338" s="1" t="s">
        <v>499</v>
      </c>
      <c r="CI338">
        <v>1</v>
      </c>
      <c r="CJ338">
        <v>1</v>
      </c>
      <c r="CK338" s="1" t="s">
        <v>159</v>
      </c>
      <c r="CL338">
        <v>1.8</v>
      </c>
      <c r="CM338">
        <v>63</v>
      </c>
      <c r="CN338" s="1" t="s">
        <v>3961</v>
      </c>
      <c r="CO338">
        <v>88</v>
      </c>
      <c r="CP338" s="1" t="s">
        <v>1204</v>
      </c>
      <c r="CQ338" s="1" t="s">
        <v>3471</v>
      </c>
      <c r="CR338" s="1" t="s">
        <v>3962</v>
      </c>
      <c r="CS338" s="1" t="s">
        <v>3948</v>
      </c>
      <c r="CT338" s="1" t="s">
        <v>3963</v>
      </c>
      <c r="CU338" s="1" t="s">
        <v>790</v>
      </c>
      <c r="CV338">
        <v>1746</v>
      </c>
      <c r="CW338">
        <v>66.05</v>
      </c>
      <c r="CX338">
        <v>61</v>
      </c>
      <c r="CY338">
        <v>61.6</v>
      </c>
      <c r="CZ338" s="1" t="s">
        <v>406</v>
      </c>
      <c r="DA338">
        <v>1</v>
      </c>
      <c r="DB338" t="s">
        <v>2050</v>
      </c>
      <c r="DC338">
        <v>92</v>
      </c>
      <c r="DD338">
        <v>65.966550058265597</v>
      </c>
      <c r="DE338" s="1" t="s">
        <v>3964</v>
      </c>
      <c r="DF338" t="e">
        <f>_xlfn.XLOOKUP(Table1[[#This Row],[Player ID]],Table2[feed_id],Table2[trade_status])</f>
        <v>#N/A</v>
      </c>
      <c r="DG338">
        <f>_xlfn.NUMBERVALUE(Table1[[#This Row],[predicted]])</f>
        <v>65.966550058265597</v>
      </c>
    </row>
    <row r="339" spans="1:111" hidden="1" x14ac:dyDescent="0.25">
      <c r="A339">
        <v>101722</v>
      </c>
      <c r="B339">
        <v>7798</v>
      </c>
      <c r="C339" t="s">
        <v>3941</v>
      </c>
      <c r="D339" t="s">
        <v>198</v>
      </c>
      <c r="E339">
        <v>2021</v>
      </c>
      <c r="F339">
        <v>290787</v>
      </c>
      <c r="G339" t="s">
        <v>917</v>
      </c>
      <c r="H339" t="s">
        <v>3965</v>
      </c>
      <c r="I339" t="s">
        <v>813</v>
      </c>
      <c r="J339">
        <v>8</v>
      </c>
      <c r="K339">
        <v>52</v>
      </c>
      <c r="L339">
        <v>55</v>
      </c>
      <c r="M339">
        <v>46</v>
      </c>
      <c r="N339">
        <v>44</v>
      </c>
      <c r="O339">
        <v>63</v>
      </c>
      <c r="P339">
        <v>4</v>
      </c>
      <c r="Q339">
        <v>13</v>
      </c>
      <c r="R339">
        <v>2</v>
      </c>
      <c r="S339">
        <v>2</v>
      </c>
      <c r="T339">
        <v>0</v>
      </c>
      <c r="U339">
        <v>0</v>
      </c>
      <c r="V339">
        <v>0</v>
      </c>
      <c r="W339">
        <v>0</v>
      </c>
      <c r="X339">
        <v>0</v>
      </c>
      <c r="Y339" t="s">
        <v>113</v>
      </c>
      <c r="Z339" t="s">
        <v>226</v>
      </c>
      <c r="AA339" t="s">
        <v>3966</v>
      </c>
      <c r="AD339">
        <v>0</v>
      </c>
      <c r="AF339">
        <v>0</v>
      </c>
      <c r="AH339" t="s">
        <v>181</v>
      </c>
      <c r="AI339">
        <v>18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S339">
        <v>8</v>
      </c>
      <c r="AT339">
        <v>0</v>
      </c>
      <c r="AU339">
        <v>2</v>
      </c>
      <c r="AV339">
        <v>70</v>
      </c>
      <c r="AW339">
        <v>90</v>
      </c>
      <c r="AX339">
        <v>125</v>
      </c>
      <c r="AY339">
        <v>1</v>
      </c>
      <c r="AZ339" t="b">
        <v>0</v>
      </c>
      <c r="BA339">
        <v>1892</v>
      </c>
      <c r="BB339">
        <v>1391</v>
      </c>
      <c r="BC339">
        <v>24</v>
      </c>
      <c r="BD339" t="s">
        <v>3967</v>
      </c>
      <c r="BE339">
        <v>98</v>
      </c>
      <c r="BF339">
        <v>0</v>
      </c>
      <c r="BG339">
        <v>69</v>
      </c>
      <c r="BH339">
        <v>0</v>
      </c>
      <c r="BI339">
        <v>5</v>
      </c>
      <c r="BJ339">
        <v>8.4</v>
      </c>
      <c r="BK339" s="1" t="s">
        <v>449</v>
      </c>
      <c r="BL339" s="1" t="s">
        <v>448</v>
      </c>
      <c r="BM339">
        <v>3</v>
      </c>
      <c r="BN339" s="1" t="s">
        <v>752</v>
      </c>
      <c r="BO339">
        <v>1</v>
      </c>
      <c r="BP339">
        <v>1</v>
      </c>
      <c r="BQ339">
        <v>0</v>
      </c>
      <c r="BR339">
        <v>0</v>
      </c>
      <c r="BS339">
        <v>0</v>
      </c>
      <c r="BT339" s="1" t="s">
        <v>129</v>
      </c>
      <c r="BU339">
        <v>0</v>
      </c>
      <c r="BV339">
        <v>0.2</v>
      </c>
      <c r="BW339">
        <v>0</v>
      </c>
      <c r="BX339">
        <v>6.6666666666666596E-2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 s="1" t="s">
        <v>138</v>
      </c>
      <c r="CH339" s="1" t="s">
        <v>528</v>
      </c>
      <c r="CI339">
        <v>0</v>
      </c>
      <c r="CJ339">
        <v>0.2</v>
      </c>
      <c r="CK339" s="1" t="s">
        <v>128</v>
      </c>
      <c r="CL339" s="1" t="s">
        <v>206</v>
      </c>
      <c r="CM339">
        <v>54</v>
      </c>
      <c r="CN339">
        <v>76.8</v>
      </c>
      <c r="CO339" s="1" t="s">
        <v>2490</v>
      </c>
      <c r="CP339" s="1" t="s">
        <v>3003</v>
      </c>
      <c r="CQ339" s="1" t="s">
        <v>3968</v>
      </c>
      <c r="CR339">
        <v>196.6</v>
      </c>
      <c r="CS339" s="1" t="s">
        <v>3969</v>
      </c>
      <c r="CT339" s="1" t="s">
        <v>3970</v>
      </c>
      <c r="CU339" s="1" t="s">
        <v>3971</v>
      </c>
      <c r="CV339" s="1" t="s">
        <v>3972</v>
      </c>
      <c r="CW339">
        <v>64.45</v>
      </c>
      <c r="CX339">
        <v>49.8</v>
      </c>
      <c r="CY339">
        <v>44.4</v>
      </c>
      <c r="CZ339" s="1" t="s">
        <v>608</v>
      </c>
      <c r="DA339">
        <v>1</v>
      </c>
      <c r="DB339" t="s">
        <v>226</v>
      </c>
      <c r="DC339">
        <v>55</v>
      </c>
      <c r="DD339">
        <v>84.010064585688895</v>
      </c>
      <c r="DE339">
        <v>-29.010064585688799</v>
      </c>
      <c r="DF339" t="e">
        <f>_xlfn.XLOOKUP(Table1[[#This Row],[Player ID]],Table2[feed_id],Table2[trade_status])</f>
        <v>#N/A</v>
      </c>
      <c r="DG339">
        <f>_xlfn.NUMBERVALUE(Table1[[#This Row],[predicted]])</f>
        <v>84.010064585688895</v>
      </c>
    </row>
    <row r="340" spans="1:111" hidden="1" x14ac:dyDescent="0.25">
      <c r="A340">
        <v>101820</v>
      </c>
      <c r="B340">
        <v>7802</v>
      </c>
      <c r="C340" t="s">
        <v>3973</v>
      </c>
      <c r="D340" t="s">
        <v>314</v>
      </c>
      <c r="E340">
        <v>2021</v>
      </c>
      <c r="F340">
        <v>261374</v>
      </c>
      <c r="G340" t="s">
        <v>3974</v>
      </c>
      <c r="H340" t="s">
        <v>3256</v>
      </c>
      <c r="I340" t="s">
        <v>1089</v>
      </c>
      <c r="J340">
        <v>2</v>
      </c>
      <c r="K340">
        <v>30</v>
      </c>
      <c r="L340">
        <v>17</v>
      </c>
      <c r="M340">
        <v>22</v>
      </c>
      <c r="N340">
        <v>22</v>
      </c>
      <c r="O340">
        <v>33</v>
      </c>
      <c r="P340">
        <v>4</v>
      </c>
      <c r="Q340">
        <v>5</v>
      </c>
      <c r="R340">
        <v>0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113</v>
      </c>
      <c r="Z340" t="s">
        <v>226</v>
      </c>
      <c r="AA340" t="s">
        <v>3975</v>
      </c>
      <c r="AD340">
        <v>0</v>
      </c>
      <c r="AF340">
        <v>0</v>
      </c>
      <c r="AH340" t="s">
        <v>155</v>
      </c>
      <c r="AI340">
        <v>50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S340">
        <v>4</v>
      </c>
      <c r="AT340">
        <v>0</v>
      </c>
      <c r="AU340">
        <v>4</v>
      </c>
      <c r="AV340">
        <v>33</v>
      </c>
      <c r="AW340">
        <v>76</v>
      </c>
      <c r="AX340">
        <v>98</v>
      </c>
      <c r="AY340">
        <v>1</v>
      </c>
      <c r="AZ340" t="b">
        <v>0</v>
      </c>
      <c r="BA340">
        <v>1623</v>
      </c>
      <c r="BB340">
        <v>1663</v>
      </c>
      <c r="BC340">
        <v>30</v>
      </c>
      <c r="BD340" t="s">
        <v>3976</v>
      </c>
      <c r="BE340">
        <v>97</v>
      </c>
      <c r="BF340">
        <v>0</v>
      </c>
      <c r="BG340">
        <v>72</v>
      </c>
      <c r="BH340">
        <v>0</v>
      </c>
      <c r="BI340" s="1" t="s">
        <v>211</v>
      </c>
      <c r="BJ340" s="1" t="s">
        <v>230</v>
      </c>
      <c r="BK340" s="1" t="s">
        <v>138</v>
      </c>
      <c r="BL340">
        <v>4</v>
      </c>
      <c r="BM340" s="1" t="s">
        <v>159</v>
      </c>
      <c r="BN340" s="1" t="s">
        <v>327</v>
      </c>
      <c r="BO340" s="1" t="s">
        <v>169</v>
      </c>
      <c r="BP340" s="1" t="s">
        <v>322</v>
      </c>
      <c r="BQ340">
        <v>0</v>
      </c>
      <c r="BR340">
        <v>0</v>
      </c>
      <c r="BS340" s="1" t="s">
        <v>128</v>
      </c>
      <c r="BT340">
        <v>0.4</v>
      </c>
      <c r="BU340" s="1" t="s">
        <v>128</v>
      </c>
      <c r="BV340" s="1" t="s">
        <v>127</v>
      </c>
      <c r="BW340" s="1" t="s">
        <v>129</v>
      </c>
      <c r="BX340" s="1" t="s">
        <v>184</v>
      </c>
      <c r="BY340" s="1" t="s">
        <v>129</v>
      </c>
      <c r="BZ340" s="1" t="s">
        <v>184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 s="1" t="s">
        <v>160</v>
      </c>
      <c r="CH340">
        <v>3.4</v>
      </c>
      <c r="CI340">
        <v>0</v>
      </c>
      <c r="CJ340" s="1" t="s">
        <v>213</v>
      </c>
      <c r="CK340" s="1" t="s">
        <v>159</v>
      </c>
      <c r="CL340" s="1" t="s">
        <v>170</v>
      </c>
      <c r="CM340" s="1" t="s">
        <v>1080</v>
      </c>
      <c r="CN340">
        <v>73.400000000000006</v>
      </c>
      <c r="CO340" s="1" t="s">
        <v>483</v>
      </c>
      <c r="CP340">
        <v>80.8</v>
      </c>
      <c r="CQ340" s="1" t="s">
        <v>217</v>
      </c>
      <c r="CR340" s="1" t="s">
        <v>3977</v>
      </c>
      <c r="CS340" s="1" t="s">
        <v>823</v>
      </c>
      <c r="CT340" s="1" t="s">
        <v>3366</v>
      </c>
      <c r="CU340" s="1" t="s">
        <v>703</v>
      </c>
      <c r="CV340" s="1" t="s">
        <v>3978</v>
      </c>
      <c r="CW340">
        <v>41.55</v>
      </c>
      <c r="CX340">
        <v>42.8</v>
      </c>
      <c r="CY340">
        <v>35.799999999999997</v>
      </c>
      <c r="CZ340" s="1" t="s">
        <v>385</v>
      </c>
      <c r="DA340">
        <v>1</v>
      </c>
      <c r="DB340" t="s">
        <v>226</v>
      </c>
      <c r="DC340">
        <v>17</v>
      </c>
      <c r="DD340" s="1" t="s">
        <v>3979</v>
      </c>
      <c r="DE340">
        <v>-53.554142085956101</v>
      </c>
      <c r="DF340" t="e">
        <f>_xlfn.XLOOKUP(Table1[[#This Row],[Player ID]],Table2[feed_id],Table2[trade_status])</f>
        <v>#N/A</v>
      </c>
      <c r="DG340">
        <f>_xlfn.NUMBERVALUE(Table1[[#This Row],[predicted]])</f>
        <v>70.554142085956101</v>
      </c>
    </row>
    <row r="341" spans="1:111" hidden="1" x14ac:dyDescent="0.25">
      <c r="A341">
        <v>101903</v>
      </c>
      <c r="B341">
        <v>7804</v>
      </c>
      <c r="C341" t="s">
        <v>3980</v>
      </c>
      <c r="D341" t="s">
        <v>314</v>
      </c>
      <c r="E341">
        <v>2021</v>
      </c>
      <c r="F341">
        <v>297438</v>
      </c>
      <c r="G341" t="s">
        <v>3981</v>
      </c>
      <c r="H341" t="s">
        <v>3982</v>
      </c>
      <c r="I341" t="s">
        <v>619</v>
      </c>
      <c r="J341">
        <v>12</v>
      </c>
      <c r="K341">
        <v>64</v>
      </c>
      <c r="L341">
        <v>76</v>
      </c>
      <c r="M341">
        <v>39</v>
      </c>
      <c r="N341">
        <v>55</v>
      </c>
      <c r="O341">
        <v>75</v>
      </c>
      <c r="P341">
        <v>11</v>
      </c>
      <c r="Q341">
        <v>7</v>
      </c>
      <c r="R341">
        <v>6</v>
      </c>
      <c r="S341">
        <v>1</v>
      </c>
      <c r="T341">
        <v>0</v>
      </c>
      <c r="U341">
        <v>1</v>
      </c>
      <c r="V341">
        <v>2</v>
      </c>
      <c r="W341">
        <v>0</v>
      </c>
      <c r="X341">
        <v>0</v>
      </c>
      <c r="Y341" t="s">
        <v>113</v>
      </c>
      <c r="Z341" t="s">
        <v>226</v>
      </c>
      <c r="AA341" t="s">
        <v>1660</v>
      </c>
      <c r="AD341">
        <v>0</v>
      </c>
      <c r="AF341">
        <v>0</v>
      </c>
      <c r="AH341" t="s">
        <v>181</v>
      </c>
      <c r="AI341">
        <v>8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S341">
        <v>4</v>
      </c>
      <c r="AT341">
        <v>0</v>
      </c>
      <c r="AU341">
        <v>3</v>
      </c>
      <c r="AV341">
        <v>77</v>
      </c>
      <c r="AW341">
        <v>80</v>
      </c>
      <c r="AX341">
        <v>233</v>
      </c>
      <c r="AY341">
        <v>0</v>
      </c>
      <c r="AZ341" t="b">
        <v>0</v>
      </c>
      <c r="BA341">
        <v>1597</v>
      </c>
      <c r="BB341">
        <v>1704</v>
      </c>
      <c r="BC341">
        <v>30</v>
      </c>
      <c r="BD341" t="s">
        <v>3983</v>
      </c>
      <c r="BE341">
        <v>97</v>
      </c>
      <c r="BF341">
        <v>0</v>
      </c>
      <c r="BG341">
        <v>72</v>
      </c>
      <c r="BH341">
        <v>1</v>
      </c>
      <c r="BI341">
        <v>8</v>
      </c>
      <c r="BJ341" s="1" t="s">
        <v>964</v>
      </c>
      <c r="BK341" s="1" t="s">
        <v>124</v>
      </c>
      <c r="BL341" s="1" t="s">
        <v>124</v>
      </c>
      <c r="BM341" s="1" t="s">
        <v>449</v>
      </c>
      <c r="BN341">
        <v>3.8</v>
      </c>
      <c r="BO341">
        <v>3</v>
      </c>
      <c r="BP341" s="1" t="s">
        <v>304</v>
      </c>
      <c r="BQ341">
        <v>0</v>
      </c>
      <c r="BR341">
        <v>0</v>
      </c>
      <c r="BS341" s="1" t="s">
        <v>128</v>
      </c>
      <c r="BT341" s="1" t="s">
        <v>184</v>
      </c>
      <c r="BU341" s="1" t="s">
        <v>128</v>
      </c>
      <c r="BV341" s="1" t="s">
        <v>128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 s="1" t="s">
        <v>169</v>
      </c>
      <c r="CH341" s="1" t="s">
        <v>237</v>
      </c>
      <c r="CI341" s="1" t="s">
        <v>129</v>
      </c>
      <c r="CJ341">
        <v>0.2</v>
      </c>
      <c r="CK341">
        <v>1</v>
      </c>
      <c r="CL341" s="1" t="s">
        <v>327</v>
      </c>
      <c r="CM341">
        <v>86</v>
      </c>
      <c r="CN341">
        <v>85.2</v>
      </c>
      <c r="CO341">
        <v>83</v>
      </c>
      <c r="CP341" s="1" t="s">
        <v>3984</v>
      </c>
      <c r="CQ341" s="1" t="s">
        <v>3985</v>
      </c>
      <c r="CR341" s="1" t="s">
        <v>3986</v>
      </c>
      <c r="CS341">
        <v>1756</v>
      </c>
      <c r="CT341" s="1" t="s">
        <v>1124</v>
      </c>
      <c r="CU341" s="1" t="s">
        <v>3987</v>
      </c>
      <c r="CV341">
        <v>1690</v>
      </c>
      <c r="CW341">
        <v>61.15</v>
      </c>
      <c r="CX341">
        <v>58.6</v>
      </c>
      <c r="CY341">
        <v>67.8</v>
      </c>
      <c r="CZ341">
        <v>76</v>
      </c>
      <c r="DA341">
        <v>1</v>
      </c>
      <c r="DB341" t="s">
        <v>226</v>
      </c>
      <c r="DC341">
        <v>76</v>
      </c>
      <c r="DD341" s="1" t="s">
        <v>3988</v>
      </c>
      <c r="DE341">
        <v>-10.084433275703899</v>
      </c>
      <c r="DF341" t="e">
        <f>_xlfn.XLOOKUP(Table1[[#This Row],[Player ID]],Table2[feed_id],Table2[trade_status])</f>
        <v>#N/A</v>
      </c>
      <c r="DG341">
        <f>_xlfn.NUMBERVALUE(Table1[[#This Row],[predicted]])</f>
        <v>86.084433275703901</v>
      </c>
    </row>
    <row r="342" spans="1:111" hidden="1" x14ac:dyDescent="0.25">
      <c r="A342">
        <v>101937</v>
      </c>
      <c r="B342">
        <v>7805</v>
      </c>
      <c r="C342" t="s">
        <v>3989</v>
      </c>
      <c r="D342" t="s">
        <v>336</v>
      </c>
      <c r="E342">
        <v>2021</v>
      </c>
      <c r="F342">
        <v>280762</v>
      </c>
      <c r="G342" t="s">
        <v>2181</v>
      </c>
      <c r="H342" t="s">
        <v>3990</v>
      </c>
      <c r="I342" t="s">
        <v>1089</v>
      </c>
      <c r="J342">
        <v>45</v>
      </c>
      <c r="K342">
        <v>104</v>
      </c>
      <c r="L342">
        <v>98</v>
      </c>
      <c r="M342">
        <v>110</v>
      </c>
      <c r="N342">
        <v>84</v>
      </c>
      <c r="O342">
        <v>101</v>
      </c>
      <c r="P342">
        <v>4</v>
      </c>
      <c r="Q342">
        <v>6</v>
      </c>
      <c r="R342">
        <v>2</v>
      </c>
      <c r="S342">
        <v>8</v>
      </c>
      <c r="T342">
        <v>35</v>
      </c>
      <c r="U342">
        <v>1</v>
      </c>
      <c r="V342">
        <v>0</v>
      </c>
      <c r="W342">
        <v>1</v>
      </c>
      <c r="X342">
        <v>0</v>
      </c>
      <c r="Y342" t="s">
        <v>113</v>
      </c>
      <c r="Z342" t="s">
        <v>1757</v>
      </c>
      <c r="AA342" t="s">
        <v>3991</v>
      </c>
      <c r="AB342" t="s">
        <v>602</v>
      </c>
      <c r="AC342" t="s">
        <v>2391</v>
      </c>
      <c r="AD342">
        <v>0</v>
      </c>
      <c r="AF342">
        <v>0</v>
      </c>
      <c r="AH342" t="s">
        <v>274</v>
      </c>
      <c r="AI342">
        <v>41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S342">
        <v>10</v>
      </c>
      <c r="AT342">
        <v>8</v>
      </c>
      <c r="AU342">
        <v>5</v>
      </c>
      <c r="AV342">
        <v>50</v>
      </c>
      <c r="AW342">
        <v>88</v>
      </c>
      <c r="AX342">
        <v>93</v>
      </c>
      <c r="AY342">
        <v>0</v>
      </c>
      <c r="AZ342" t="b">
        <v>1</v>
      </c>
      <c r="BA342">
        <v>1829</v>
      </c>
      <c r="BB342">
        <v>1471</v>
      </c>
      <c r="BC342">
        <v>32</v>
      </c>
      <c r="BD342" t="s">
        <v>3992</v>
      </c>
      <c r="BE342">
        <v>104</v>
      </c>
      <c r="BF342">
        <v>0</v>
      </c>
      <c r="BG342">
        <v>70</v>
      </c>
      <c r="BH342">
        <v>1</v>
      </c>
      <c r="BI342">
        <v>4</v>
      </c>
      <c r="BJ342" s="1" t="s">
        <v>528</v>
      </c>
      <c r="BK342" s="1" t="s">
        <v>124</v>
      </c>
      <c r="BL342" s="1" t="s">
        <v>398</v>
      </c>
      <c r="BM342" s="1" t="s">
        <v>126</v>
      </c>
      <c r="BN342" s="1" t="s">
        <v>126</v>
      </c>
      <c r="BO342">
        <v>5</v>
      </c>
      <c r="BP342" s="1" t="s">
        <v>160</v>
      </c>
      <c r="BQ342">
        <v>33</v>
      </c>
      <c r="BR342" s="1" t="s">
        <v>3993</v>
      </c>
      <c r="BS342">
        <v>2</v>
      </c>
      <c r="BT342">
        <v>1.8</v>
      </c>
      <c r="BU342" s="1" t="s">
        <v>128</v>
      </c>
      <c r="BV342">
        <v>1.8</v>
      </c>
      <c r="BW342" s="1" t="s">
        <v>128</v>
      </c>
      <c r="BX342" s="1" t="s">
        <v>184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 s="1" t="s">
        <v>183</v>
      </c>
      <c r="CH342" s="1" t="s">
        <v>168</v>
      </c>
      <c r="CI342">
        <v>6</v>
      </c>
      <c r="CJ342">
        <v>4.4000000000000004</v>
      </c>
      <c r="CK342" s="1" t="s">
        <v>169</v>
      </c>
      <c r="CL342">
        <v>2.6</v>
      </c>
      <c r="CM342">
        <v>76</v>
      </c>
      <c r="CN342">
        <v>83</v>
      </c>
      <c r="CO342">
        <v>83</v>
      </c>
      <c r="CP342">
        <v>78.2</v>
      </c>
      <c r="CQ342">
        <v>80</v>
      </c>
      <c r="CR342">
        <v>55.2</v>
      </c>
      <c r="CS342">
        <v>1619</v>
      </c>
      <c r="CT342">
        <v>1683.2</v>
      </c>
      <c r="CU342" s="1" t="s">
        <v>3994</v>
      </c>
      <c r="CV342">
        <v>1610.6</v>
      </c>
      <c r="CW342">
        <v>90.85</v>
      </c>
      <c r="CX342">
        <v>87.2</v>
      </c>
      <c r="CY342">
        <v>88.2</v>
      </c>
      <c r="CZ342">
        <v>98</v>
      </c>
      <c r="DA342">
        <v>1</v>
      </c>
      <c r="DB342" t="s">
        <v>1757</v>
      </c>
      <c r="DC342">
        <v>98</v>
      </c>
      <c r="DD342" s="1" t="s">
        <v>3995</v>
      </c>
      <c r="DE342" s="1" t="s">
        <v>3996</v>
      </c>
      <c r="DF342" t="e">
        <f>_xlfn.XLOOKUP(Table1[[#This Row],[Player ID]],Table2[feed_id],Table2[trade_status])</f>
        <v>#N/A</v>
      </c>
      <c r="DG342">
        <f>_xlfn.NUMBERVALUE(Table1[[#This Row],[predicted]])</f>
        <v>85.1772343086473</v>
      </c>
    </row>
    <row r="343" spans="1:111" hidden="1" x14ac:dyDescent="0.25">
      <c r="A343">
        <v>101968</v>
      </c>
      <c r="B343">
        <v>7806</v>
      </c>
      <c r="C343" t="s">
        <v>3997</v>
      </c>
      <c r="D343" t="s">
        <v>336</v>
      </c>
      <c r="E343">
        <v>2021</v>
      </c>
      <c r="F343">
        <v>240302</v>
      </c>
      <c r="G343" t="s">
        <v>1549</v>
      </c>
      <c r="H343" t="s">
        <v>3998</v>
      </c>
      <c r="I343" t="s">
        <v>201</v>
      </c>
      <c r="J343">
        <v>8</v>
      </c>
      <c r="K343">
        <v>64</v>
      </c>
      <c r="L343">
        <v>62</v>
      </c>
      <c r="M343">
        <v>82</v>
      </c>
      <c r="N343">
        <v>50</v>
      </c>
      <c r="O343">
        <v>69</v>
      </c>
      <c r="P343">
        <v>12</v>
      </c>
      <c r="Q343">
        <v>6</v>
      </c>
      <c r="R343">
        <v>4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113</v>
      </c>
      <c r="Z343" t="s">
        <v>226</v>
      </c>
      <c r="AA343" t="s">
        <v>3999</v>
      </c>
      <c r="AD343">
        <v>0</v>
      </c>
      <c r="AF343">
        <v>0</v>
      </c>
      <c r="AH343" t="s">
        <v>181</v>
      </c>
      <c r="AI343">
        <v>14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S343">
        <v>1</v>
      </c>
      <c r="AT343">
        <v>1</v>
      </c>
      <c r="AU343">
        <v>1</v>
      </c>
      <c r="AV343">
        <v>88</v>
      </c>
      <c r="AW343">
        <v>79</v>
      </c>
      <c r="AX343">
        <v>438</v>
      </c>
      <c r="AY343">
        <v>1</v>
      </c>
      <c r="AZ343" t="b">
        <v>0</v>
      </c>
      <c r="BA343">
        <v>1632</v>
      </c>
      <c r="BB343">
        <v>1644</v>
      </c>
      <c r="BC343">
        <v>32</v>
      </c>
      <c r="BD343" t="s">
        <v>4000</v>
      </c>
      <c r="BE343">
        <v>104</v>
      </c>
      <c r="BF343">
        <v>0</v>
      </c>
      <c r="BG343">
        <v>70</v>
      </c>
      <c r="BH343">
        <v>0</v>
      </c>
      <c r="BI343" s="1" t="s">
        <v>395</v>
      </c>
      <c r="BJ343" s="1" t="s">
        <v>4001</v>
      </c>
      <c r="BK343">
        <v>4</v>
      </c>
      <c r="BL343">
        <v>5.2</v>
      </c>
      <c r="BM343" s="1" t="s">
        <v>449</v>
      </c>
      <c r="BN343" s="1" t="s">
        <v>680</v>
      </c>
      <c r="BO343" s="1" t="s">
        <v>126</v>
      </c>
      <c r="BP343" s="1" t="s">
        <v>298</v>
      </c>
      <c r="BQ343">
        <v>0</v>
      </c>
      <c r="BR343">
        <v>0</v>
      </c>
      <c r="BS343" s="1" t="s">
        <v>129</v>
      </c>
      <c r="BT343">
        <v>0.2</v>
      </c>
      <c r="BU343">
        <v>1</v>
      </c>
      <c r="BV343">
        <v>0.4</v>
      </c>
      <c r="BW343">
        <v>0</v>
      </c>
      <c r="BX343" s="1" t="s">
        <v>213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 s="1" t="s">
        <v>138</v>
      </c>
      <c r="CH343" s="1" t="s">
        <v>237</v>
      </c>
      <c r="CI343">
        <v>1</v>
      </c>
      <c r="CJ343" s="1" t="s">
        <v>231</v>
      </c>
      <c r="CK343" s="1" t="s">
        <v>161</v>
      </c>
      <c r="CL343" s="1" t="s">
        <v>304</v>
      </c>
      <c r="CM343" s="1" t="s">
        <v>268</v>
      </c>
      <c r="CN343" s="1" t="s">
        <v>3984</v>
      </c>
      <c r="CO343">
        <v>75</v>
      </c>
      <c r="CP343" s="1" t="s">
        <v>216</v>
      </c>
      <c r="CQ343" s="1" t="s">
        <v>4002</v>
      </c>
      <c r="CR343" s="1" t="s">
        <v>4003</v>
      </c>
      <c r="CS343" s="1" t="s">
        <v>1192</v>
      </c>
      <c r="CT343" s="1" t="s">
        <v>4004</v>
      </c>
      <c r="CU343" s="1" t="s">
        <v>555</v>
      </c>
      <c r="CV343" s="1" t="s">
        <v>4005</v>
      </c>
      <c r="CW343">
        <v>72.150000000000006</v>
      </c>
      <c r="CX343">
        <v>70.2</v>
      </c>
      <c r="CY343">
        <v>74.599999999999994</v>
      </c>
      <c r="CZ343">
        <v>69</v>
      </c>
      <c r="DA343">
        <v>1</v>
      </c>
      <c r="DB343" t="s">
        <v>226</v>
      </c>
      <c r="DC343">
        <v>62</v>
      </c>
      <c r="DD343" s="1" t="s">
        <v>4006</v>
      </c>
      <c r="DE343">
        <v>-31.893638943860999</v>
      </c>
      <c r="DF343" t="e">
        <f>_xlfn.XLOOKUP(Table1[[#This Row],[Player ID]],Table2[feed_id],Table2[trade_status])</f>
        <v>#N/A</v>
      </c>
      <c r="DG343">
        <f>_xlfn.NUMBERVALUE(Table1[[#This Row],[predicted]])</f>
        <v>93.893638943861006</v>
      </c>
    </row>
    <row r="344" spans="1:111" hidden="1" x14ac:dyDescent="0.25">
      <c r="A344">
        <v>102044</v>
      </c>
      <c r="B344">
        <v>7807</v>
      </c>
      <c r="C344" t="s">
        <v>4007</v>
      </c>
      <c r="D344" t="s">
        <v>1058</v>
      </c>
      <c r="E344">
        <v>2021</v>
      </c>
      <c r="F344">
        <v>270326</v>
      </c>
      <c r="G344" t="s">
        <v>4008</v>
      </c>
      <c r="H344" t="s">
        <v>3143</v>
      </c>
      <c r="I344" t="s">
        <v>1061</v>
      </c>
      <c r="J344">
        <v>2</v>
      </c>
      <c r="K344">
        <v>30</v>
      </c>
      <c r="L344">
        <v>51</v>
      </c>
      <c r="M344">
        <v>22</v>
      </c>
      <c r="N344">
        <v>24</v>
      </c>
      <c r="O344">
        <v>33</v>
      </c>
      <c r="P344">
        <v>4</v>
      </c>
      <c r="Q344">
        <v>4</v>
      </c>
      <c r="R344">
        <v>2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113</v>
      </c>
      <c r="Z344" t="s">
        <v>742</v>
      </c>
      <c r="AA344" t="s">
        <v>225</v>
      </c>
      <c r="AB344" t="s">
        <v>179</v>
      </c>
      <c r="AC344" t="s">
        <v>4009</v>
      </c>
      <c r="AD344">
        <v>0</v>
      </c>
      <c r="AF344">
        <v>0</v>
      </c>
      <c r="AH344" t="s">
        <v>181</v>
      </c>
      <c r="AI344">
        <v>25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S344">
        <v>3</v>
      </c>
      <c r="AT344">
        <v>1</v>
      </c>
      <c r="AU344">
        <v>1</v>
      </c>
      <c r="AV344">
        <v>87</v>
      </c>
      <c r="AW344">
        <v>100</v>
      </c>
      <c r="AX344">
        <v>160</v>
      </c>
      <c r="AY344">
        <v>0</v>
      </c>
      <c r="AZ344" t="b">
        <v>0</v>
      </c>
      <c r="BA344">
        <v>1869</v>
      </c>
      <c r="BB344">
        <v>1422</v>
      </c>
      <c r="BC344">
        <v>33</v>
      </c>
      <c r="BD344" t="s">
        <v>4010</v>
      </c>
      <c r="BE344" s="1" t="s">
        <v>4011</v>
      </c>
      <c r="BF344">
        <v>0</v>
      </c>
      <c r="BG344">
        <v>67.5</v>
      </c>
      <c r="BH344">
        <v>0</v>
      </c>
      <c r="BI344" s="1" t="s">
        <v>397</v>
      </c>
      <c r="BJ344" s="1" t="s">
        <v>4012</v>
      </c>
      <c r="BK344">
        <v>3</v>
      </c>
      <c r="BL344">
        <v>4.4000000000000004</v>
      </c>
      <c r="BM344">
        <v>3</v>
      </c>
      <c r="BN344" s="1" t="s">
        <v>624</v>
      </c>
      <c r="BO344" s="1" t="s">
        <v>126</v>
      </c>
      <c r="BP344" s="1" t="s">
        <v>298</v>
      </c>
      <c r="BQ344">
        <v>0</v>
      </c>
      <c r="BR344">
        <v>0</v>
      </c>
      <c r="BS344" s="1" t="s">
        <v>128</v>
      </c>
      <c r="BT344" s="1" t="s">
        <v>162</v>
      </c>
      <c r="BU344" s="1" t="s">
        <v>129</v>
      </c>
      <c r="BV344" s="1" t="s">
        <v>399</v>
      </c>
      <c r="BW344">
        <v>0</v>
      </c>
      <c r="BX344">
        <v>6.6666666666666596E-2</v>
      </c>
      <c r="BY344">
        <v>0</v>
      </c>
      <c r="BZ344">
        <v>6.6666666666666596E-2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 s="1" t="s">
        <v>160</v>
      </c>
      <c r="CH344" s="1" t="s">
        <v>211</v>
      </c>
      <c r="CI344" s="1" t="s">
        <v>128</v>
      </c>
      <c r="CJ344" s="1" t="s">
        <v>184</v>
      </c>
      <c r="CK344">
        <v>2</v>
      </c>
      <c r="CL344">
        <v>2.2000000000000002</v>
      </c>
      <c r="CM344" s="1" t="s">
        <v>630</v>
      </c>
      <c r="CN344">
        <v>81.2</v>
      </c>
      <c r="CO344">
        <v>100</v>
      </c>
      <c r="CP344">
        <v>100</v>
      </c>
      <c r="CQ344">
        <v>213</v>
      </c>
      <c r="CR344" s="1" t="s">
        <v>4013</v>
      </c>
      <c r="CS344">
        <v>1568</v>
      </c>
      <c r="CT344">
        <v>1735.4</v>
      </c>
      <c r="CU344">
        <v>1722</v>
      </c>
      <c r="CV344" s="1" t="s">
        <v>4014</v>
      </c>
      <c r="CW344">
        <v>78.2</v>
      </c>
      <c r="CX344">
        <v>71.599999999999994</v>
      </c>
      <c r="CY344">
        <v>72.2</v>
      </c>
      <c r="CZ344">
        <v>61</v>
      </c>
      <c r="DA344">
        <v>1</v>
      </c>
      <c r="DB344" t="s">
        <v>742</v>
      </c>
      <c r="DC344">
        <v>51</v>
      </c>
      <c r="DD344" s="1" t="s">
        <v>4015</v>
      </c>
      <c r="DE344" s="1" t="s">
        <v>4016</v>
      </c>
      <c r="DF344" t="e">
        <f>_xlfn.XLOOKUP(Table1[[#This Row],[Player ID]],Table2[feed_id],Table2[trade_status])</f>
        <v>#N/A</v>
      </c>
      <c r="DG344">
        <f>_xlfn.NUMBERVALUE(Table1[[#This Row],[predicted]])</f>
        <v>46.825516468150802</v>
      </c>
    </row>
    <row r="345" spans="1:111" hidden="1" x14ac:dyDescent="0.25">
      <c r="A345">
        <v>102130</v>
      </c>
      <c r="B345">
        <v>7809</v>
      </c>
      <c r="C345" t="s">
        <v>4017</v>
      </c>
      <c r="D345" t="s">
        <v>388</v>
      </c>
      <c r="E345">
        <v>2021</v>
      </c>
      <c r="F345">
        <v>281139</v>
      </c>
      <c r="G345" t="s">
        <v>4018</v>
      </c>
      <c r="H345" t="s">
        <v>272</v>
      </c>
      <c r="I345" t="s">
        <v>712</v>
      </c>
      <c r="J345">
        <v>4</v>
      </c>
      <c r="K345">
        <v>43</v>
      </c>
      <c r="L345">
        <v>36</v>
      </c>
      <c r="M345">
        <v>41</v>
      </c>
      <c r="N345">
        <v>35</v>
      </c>
      <c r="O345">
        <v>48</v>
      </c>
      <c r="P345">
        <v>4</v>
      </c>
      <c r="Q345">
        <v>5</v>
      </c>
      <c r="R345">
        <v>4</v>
      </c>
      <c r="S345">
        <v>3</v>
      </c>
      <c r="T345">
        <v>0</v>
      </c>
      <c r="U345">
        <v>0</v>
      </c>
      <c r="V345">
        <v>1</v>
      </c>
      <c r="W345">
        <v>0</v>
      </c>
      <c r="X345">
        <v>0</v>
      </c>
      <c r="Y345" t="s">
        <v>113</v>
      </c>
      <c r="Z345" t="s">
        <v>778</v>
      </c>
      <c r="AA345" t="s">
        <v>4019</v>
      </c>
      <c r="AB345" t="s">
        <v>226</v>
      </c>
      <c r="AC345" t="s">
        <v>4020</v>
      </c>
      <c r="AD345">
        <v>0</v>
      </c>
      <c r="AF345">
        <v>0</v>
      </c>
      <c r="AH345" t="s">
        <v>181</v>
      </c>
      <c r="AI345">
        <v>10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S345">
        <v>2</v>
      </c>
      <c r="AT345">
        <v>0</v>
      </c>
      <c r="AU345">
        <v>2</v>
      </c>
      <c r="AV345">
        <v>66</v>
      </c>
      <c r="AW345">
        <v>83</v>
      </c>
      <c r="AX345">
        <v>142</v>
      </c>
      <c r="AY345">
        <v>0</v>
      </c>
      <c r="AZ345" t="b">
        <v>1</v>
      </c>
      <c r="BA345">
        <v>1682</v>
      </c>
      <c r="BB345">
        <v>1617</v>
      </c>
      <c r="BC345">
        <v>34</v>
      </c>
      <c r="BD345" t="s">
        <v>4021</v>
      </c>
      <c r="BE345" s="1" t="s">
        <v>4022</v>
      </c>
      <c r="BF345">
        <v>0</v>
      </c>
      <c r="BG345">
        <v>69</v>
      </c>
      <c r="BH345">
        <v>0</v>
      </c>
      <c r="BI345" s="1" t="s">
        <v>545</v>
      </c>
      <c r="BJ345" s="1" t="s">
        <v>183</v>
      </c>
      <c r="BK345">
        <v>4</v>
      </c>
      <c r="BL345">
        <v>4.5999999999999996</v>
      </c>
      <c r="BM345" s="1" t="s">
        <v>211</v>
      </c>
      <c r="BN345" s="1" t="s">
        <v>781</v>
      </c>
      <c r="BO345">
        <v>2</v>
      </c>
      <c r="BP345">
        <v>1.6</v>
      </c>
      <c r="BQ345">
        <v>0</v>
      </c>
      <c r="BR345">
        <v>0</v>
      </c>
      <c r="BS345" s="1" t="s">
        <v>129</v>
      </c>
      <c r="BT345" s="1" t="s">
        <v>128</v>
      </c>
      <c r="BU345" s="1" t="s">
        <v>129</v>
      </c>
      <c r="BV345">
        <v>0.8</v>
      </c>
      <c r="BW345">
        <v>0</v>
      </c>
      <c r="BX345" s="1" t="s">
        <v>213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 s="1" t="s">
        <v>125</v>
      </c>
      <c r="CH345" s="1" t="s">
        <v>212</v>
      </c>
      <c r="CI345">
        <v>0</v>
      </c>
      <c r="CJ345">
        <v>6.6666666666666596E-2</v>
      </c>
      <c r="CK345" s="1" t="s">
        <v>169</v>
      </c>
      <c r="CL345" s="1" t="s">
        <v>214</v>
      </c>
      <c r="CM345" s="1" t="s">
        <v>1012</v>
      </c>
      <c r="CN345">
        <v>79.599999999999994</v>
      </c>
      <c r="CO345" s="1" t="s">
        <v>142</v>
      </c>
      <c r="CP345" s="1" t="s">
        <v>2385</v>
      </c>
      <c r="CQ345">
        <v>199</v>
      </c>
      <c r="CR345">
        <v>172.8</v>
      </c>
      <c r="CS345">
        <v>1685</v>
      </c>
      <c r="CT345">
        <v>1683.6</v>
      </c>
      <c r="CU345" s="1" t="s">
        <v>4023</v>
      </c>
      <c r="CV345" s="1" t="s">
        <v>4024</v>
      </c>
      <c r="CW345">
        <v>54.35</v>
      </c>
      <c r="CX345">
        <v>52.9</v>
      </c>
      <c r="CY345">
        <v>46.4</v>
      </c>
      <c r="CZ345">
        <v>48</v>
      </c>
      <c r="DA345">
        <v>1</v>
      </c>
      <c r="DB345" t="s">
        <v>778</v>
      </c>
      <c r="DC345">
        <v>36</v>
      </c>
      <c r="DD345">
        <v>68.0233540276962</v>
      </c>
      <c r="DE345">
        <v>-32.0233540276962</v>
      </c>
      <c r="DF345" t="e">
        <f>_xlfn.XLOOKUP(Table1[[#This Row],[Player ID]],Table2[feed_id],Table2[trade_status])</f>
        <v>#N/A</v>
      </c>
      <c r="DG345">
        <f>_xlfn.NUMBERVALUE(Table1[[#This Row],[predicted]])</f>
        <v>68.0233540276962</v>
      </c>
    </row>
    <row r="346" spans="1:111" hidden="1" x14ac:dyDescent="0.25">
      <c r="A346">
        <v>102204</v>
      </c>
      <c r="B346">
        <v>7902</v>
      </c>
      <c r="C346" t="s">
        <v>4025</v>
      </c>
      <c r="D346" t="s">
        <v>1893</v>
      </c>
      <c r="E346">
        <v>2022</v>
      </c>
      <c r="F346">
        <v>998167</v>
      </c>
      <c r="G346" t="s">
        <v>776</v>
      </c>
      <c r="H346" t="s">
        <v>4026</v>
      </c>
      <c r="I346" t="s">
        <v>249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113</v>
      </c>
      <c r="Z346" t="s">
        <v>3571</v>
      </c>
      <c r="AA346" t="s">
        <v>4027</v>
      </c>
      <c r="AD346">
        <v>152800</v>
      </c>
      <c r="AF346">
        <v>146300</v>
      </c>
      <c r="AH346" t="s">
        <v>181</v>
      </c>
      <c r="AI346">
        <v>31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260000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 t="b">
        <v>0</v>
      </c>
      <c r="BA346">
        <v>1445</v>
      </c>
      <c r="BB346">
        <v>1826</v>
      </c>
      <c r="BC346">
        <v>2</v>
      </c>
      <c r="BD346" t="s">
        <v>4028</v>
      </c>
      <c r="BE346" s="1" t="s">
        <v>4029</v>
      </c>
      <c r="BF346">
        <v>0</v>
      </c>
      <c r="BG346">
        <v>33</v>
      </c>
      <c r="BH346">
        <v>0</v>
      </c>
      <c r="BI346">
        <v>6</v>
      </c>
      <c r="BJ346" s="1" t="s">
        <v>624</v>
      </c>
      <c r="BK346" s="1" t="s">
        <v>161</v>
      </c>
      <c r="BL346" s="1" t="s">
        <v>321</v>
      </c>
      <c r="BM346" s="1" t="s">
        <v>159</v>
      </c>
      <c r="BN346">
        <v>3.6</v>
      </c>
      <c r="BO346">
        <v>1</v>
      </c>
      <c r="BP346">
        <v>1.4</v>
      </c>
      <c r="BQ346">
        <v>0</v>
      </c>
      <c r="BR346">
        <v>0</v>
      </c>
      <c r="BS346" s="1" t="s">
        <v>129</v>
      </c>
      <c r="BT346" s="1" t="s">
        <v>184</v>
      </c>
      <c r="BU346" s="1" t="s">
        <v>128</v>
      </c>
      <c r="BV346" s="1" t="s">
        <v>128</v>
      </c>
      <c r="BW346">
        <v>0</v>
      </c>
      <c r="BX346">
        <v>0.2</v>
      </c>
      <c r="BY346">
        <v>0</v>
      </c>
      <c r="BZ346">
        <v>0.2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 s="1" t="s">
        <v>169</v>
      </c>
      <c r="CH346" s="1" t="s">
        <v>140</v>
      </c>
      <c r="CI346" s="1" t="s">
        <v>128</v>
      </c>
      <c r="CJ346" s="1" t="s">
        <v>128</v>
      </c>
      <c r="CK346">
        <v>3</v>
      </c>
      <c r="CL346" s="1" t="s">
        <v>214</v>
      </c>
      <c r="CM346">
        <v>46</v>
      </c>
      <c r="CN346">
        <v>66</v>
      </c>
      <c r="CO346" s="1" t="s">
        <v>2953</v>
      </c>
      <c r="CP346" s="1" t="s">
        <v>1417</v>
      </c>
      <c r="CQ346" s="1" t="s">
        <v>4030</v>
      </c>
      <c r="CR346" s="1" t="s">
        <v>4031</v>
      </c>
      <c r="CS346">
        <v>1584</v>
      </c>
      <c r="CT346">
        <v>1583.2</v>
      </c>
      <c r="CU346" s="1" t="s">
        <v>4032</v>
      </c>
      <c r="CV346" s="1" t="s">
        <v>347</v>
      </c>
      <c r="CW346">
        <v>50.2</v>
      </c>
      <c r="CX346">
        <v>41.8</v>
      </c>
      <c r="CY346">
        <v>39.799999999999997</v>
      </c>
      <c r="CZ346">
        <v>27</v>
      </c>
      <c r="DA346">
        <v>1</v>
      </c>
      <c r="DB346" t="s">
        <v>3571</v>
      </c>
      <c r="DC346">
        <v>0</v>
      </c>
      <c r="DD346" s="1" t="s">
        <v>4033</v>
      </c>
      <c r="DE346">
        <v>-43.112644347642899</v>
      </c>
      <c r="DF346" t="e">
        <f>_xlfn.XLOOKUP(Table1[[#This Row],[Player ID]],Table2[feed_id],Table2[trade_status])</f>
        <v>#N/A</v>
      </c>
      <c r="DG346">
        <f>_xlfn.NUMBERVALUE(Table1[[#This Row],[predicted]])</f>
        <v>43.112644347642899</v>
      </c>
    </row>
    <row r="347" spans="1:111" hidden="1" x14ac:dyDescent="0.25">
      <c r="A347">
        <v>102472</v>
      </c>
      <c r="B347">
        <v>7908</v>
      </c>
      <c r="C347" t="s">
        <v>4034</v>
      </c>
      <c r="D347" t="s">
        <v>1893</v>
      </c>
      <c r="E347">
        <v>2022</v>
      </c>
      <c r="F347">
        <v>997206</v>
      </c>
      <c r="G347" t="s">
        <v>247</v>
      </c>
      <c r="H347" t="s">
        <v>4035</v>
      </c>
      <c r="I347" t="s">
        <v>510</v>
      </c>
      <c r="J347">
        <v>3</v>
      </c>
      <c r="K347">
        <v>40</v>
      </c>
      <c r="L347">
        <v>20</v>
      </c>
      <c r="M347">
        <v>51</v>
      </c>
      <c r="N347">
        <v>32</v>
      </c>
      <c r="O347">
        <v>42</v>
      </c>
      <c r="P347">
        <v>6</v>
      </c>
      <c r="Q347">
        <v>4</v>
      </c>
      <c r="R347">
        <v>3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0</v>
      </c>
      <c r="Y347" t="s">
        <v>113</v>
      </c>
      <c r="Z347" t="s">
        <v>114</v>
      </c>
      <c r="AA347" t="s">
        <v>4036</v>
      </c>
      <c r="AB347" t="s">
        <v>116</v>
      </c>
      <c r="AC347" t="s">
        <v>4037</v>
      </c>
      <c r="AD347">
        <v>152800</v>
      </c>
      <c r="AF347">
        <v>123900</v>
      </c>
      <c r="AH347" t="s">
        <v>118</v>
      </c>
      <c r="AI347">
        <v>36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170000</v>
      </c>
      <c r="AS347">
        <v>4</v>
      </c>
      <c r="AT347">
        <v>0</v>
      </c>
      <c r="AU347">
        <v>5</v>
      </c>
      <c r="AV347">
        <v>60</v>
      </c>
      <c r="AW347">
        <v>24</v>
      </c>
      <c r="AX347">
        <v>151</v>
      </c>
      <c r="AY347">
        <v>1</v>
      </c>
      <c r="AZ347" t="b">
        <v>1</v>
      </c>
      <c r="BA347">
        <v>1601</v>
      </c>
      <c r="BB347">
        <v>1703</v>
      </c>
      <c r="BC347">
        <v>2</v>
      </c>
      <c r="BD347" t="s">
        <v>4038</v>
      </c>
      <c r="BE347" s="1" t="s">
        <v>4029</v>
      </c>
      <c r="BF347">
        <v>0</v>
      </c>
      <c r="BG347">
        <v>33</v>
      </c>
      <c r="BH347">
        <v>0</v>
      </c>
      <c r="BI347" s="1" t="s">
        <v>1008</v>
      </c>
      <c r="BJ347" s="1" t="s">
        <v>962</v>
      </c>
      <c r="BK347">
        <v>6</v>
      </c>
      <c r="BL347" s="1" t="s">
        <v>1092</v>
      </c>
      <c r="BM347" s="1" t="s">
        <v>138</v>
      </c>
      <c r="BN347" s="1" t="s">
        <v>766</v>
      </c>
      <c r="BO347" s="1" t="s">
        <v>159</v>
      </c>
      <c r="BP347" s="1" t="s">
        <v>161</v>
      </c>
      <c r="BQ347">
        <v>0</v>
      </c>
      <c r="BR347">
        <v>0</v>
      </c>
      <c r="BS347" s="1" t="s">
        <v>128</v>
      </c>
      <c r="BT347" s="1" t="s">
        <v>231</v>
      </c>
      <c r="BU347">
        <v>0</v>
      </c>
      <c r="BV347" s="1" t="s">
        <v>129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 s="1" t="s">
        <v>211</v>
      </c>
      <c r="CH347" s="1" t="s">
        <v>766</v>
      </c>
      <c r="CI347" s="1" t="s">
        <v>129</v>
      </c>
      <c r="CJ347">
        <v>0.4</v>
      </c>
      <c r="CK347">
        <v>3</v>
      </c>
      <c r="CL347" s="1" t="s">
        <v>322</v>
      </c>
      <c r="CM347">
        <v>68</v>
      </c>
      <c r="CN347">
        <v>78.2</v>
      </c>
      <c r="CO347" s="1" t="s">
        <v>1979</v>
      </c>
      <c r="CP347">
        <v>75</v>
      </c>
      <c r="CQ347">
        <v>266</v>
      </c>
      <c r="CR347">
        <v>265</v>
      </c>
      <c r="CS347" s="1" t="s">
        <v>2463</v>
      </c>
      <c r="CT347" s="1" t="s">
        <v>1809</v>
      </c>
      <c r="CU347" s="1" t="s">
        <v>4039</v>
      </c>
      <c r="CV347">
        <v>1689.8</v>
      </c>
      <c r="CW347">
        <v>57.25</v>
      </c>
      <c r="CX347">
        <v>61.5</v>
      </c>
      <c r="CY347">
        <v>64.599999999999994</v>
      </c>
      <c r="CZ347" s="1" t="s">
        <v>706</v>
      </c>
      <c r="DA347">
        <v>1</v>
      </c>
      <c r="DB347" t="s">
        <v>114</v>
      </c>
      <c r="DC347">
        <v>20</v>
      </c>
      <c r="DD347" s="1" t="s">
        <v>4040</v>
      </c>
      <c r="DE347">
        <v>-24.386149346040099</v>
      </c>
      <c r="DF347" t="e">
        <f>_xlfn.XLOOKUP(Table1[[#This Row],[Player ID]],Table2[feed_id],Table2[trade_status])</f>
        <v>#N/A</v>
      </c>
      <c r="DG347">
        <f>_xlfn.NUMBERVALUE(Table1[[#This Row],[predicted]])</f>
        <v>44.386149346040099</v>
      </c>
    </row>
    <row r="348" spans="1:111" hidden="1" x14ac:dyDescent="0.25">
      <c r="A348">
        <v>103211</v>
      </c>
      <c r="B348">
        <v>7924</v>
      </c>
      <c r="C348" t="s">
        <v>4041</v>
      </c>
      <c r="D348" t="s">
        <v>1155</v>
      </c>
      <c r="E348">
        <v>2022</v>
      </c>
      <c r="F348">
        <v>290738</v>
      </c>
      <c r="G348" t="s">
        <v>4042</v>
      </c>
      <c r="H348" t="s">
        <v>4043</v>
      </c>
      <c r="I348" t="s">
        <v>813</v>
      </c>
      <c r="J348">
        <v>8</v>
      </c>
      <c r="K348">
        <v>41</v>
      </c>
      <c r="L348">
        <v>38</v>
      </c>
      <c r="M348">
        <v>28</v>
      </c>
      <c r="N348">
        <v>35</v>
      </c>
      <c r="O348">
        <v>45</v>
      </c>
      <c r="P348">
        <v>6</v>
      </c>
      <c r="Q348">
        <v>3</v>
      </c>
      <c r="R348">
        <v>3</v>
      </c>
      <c r="S348">
        <v>1</v>
      </c>
      <c r="T348">
        <v>0</v>
      </c>
      <c r="U348">
        <v>1</v>
      </c>
      <c r="V348">
        <v>1</v>
      </c>
      <c r="W348">
        <v>1</v>
      </c>
      <c r="X348">
        <v>0</v>
      </c>
      <c r="Y348" t="s">
        <v>113</v>
      </c>
      <c r="Z348" t="s">
        <v>4044</v>
      </c>
      <c r="AA348" t="s">
        <v>4045</v>
      </c>
      <c r="AB348" t="s">
        <v>525</v>
      </c>
      <c r="AC348" t="s">
        <v>4046</v>
      </c>
      <c r="AH348" t="s">
        <v>118</v>
      </c>
      <c r="AI348">
        <v>13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S348">
        <v>2</v>
      </c>
      <c r="AT348">
        <v>1</v>
      </c>
      <c r="AU348">
        <v>3</v>
      </c>
      <c r="AV348">
        <v>77</v>
      </c>
      <c r="AW348">
        <v>77</v>
      </c>
      <c r="AX348">
        <v>113</v>
      </c>
      <c r="AY348">
        <v>0</v>
      </c>
      <c r="AZ348" t="b">
        <v>0</v>
      </c>
      <c r="BA348">
        <v>2018</v>
      </c>
      <c r="BB348">
        <v>1283</v>
      </c>
      <c r="BC348">
        <v>4</v>
      </c>
      <c r="BD348" t="s">
        <v>4047</v>
      </c>
      <c r="BE348" s="1" t="s">
        <v>3594</v>
      </c>
      <c r="BF348">
        <v>0</v>
      </c>
      <c r="BG348">
        <v>71</v>
      </c>
      <c r="BH348">
        <v>0</v>
      </c>
      <c r="BI348">
        <v>11</v>
      </c>
      <c r="BJ348">
        <v>11.8</v>
      </c>
      <c r="BK348">
        <v>2</v>
      </c>
      <c r="BL348">
        <v>5.2</v>
      </c>
      <c r="BM348" s="1" t="s">
        <v>449</v>
      </c>
      <c r="BN348">
        <v>3.8</v>
      </c>
      <c r="BO348" s="1" t="s">
        <v>161</v>
      </c>
      <c r="BP348" s="1" t="s">
        <v>170</v>
      </c>
      <c r="BQ348">
        <v>0</v>
      </c>
      <c r="BR348">
        <v>0</v>
      </c>
      <c r="BS348" s="1" t="s">
        <v>128</v>
      </c>
      <c r="BT348">
        <v>1</v>
      </c>
      <c r="BU348" s="1" t="s">
        <v>129</v>
      </c>
      <c r="BV348" s="1" t="s">
        <v>162</v>
      </c>
      <c r="BW348" s="1" t="s">
        <v>129</v>
      </c>
      <c r="BX348">
        <v>0.2</v>
      </c>
      <c r="BY348" s="1" t="s">
        <v>129</v>
      </c>
      <c r="BZ348" s="1" t="s">
        <v>184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2</v>
      </c>
      <c r="CH348" s="1" t="s">
        <v>1092</v>
      </c>
      <c r="CI348" s="1" t="s">
        <v>126</v>
      </c>
      <c r="CJ348" s="1" t="s">
        <v>275</v>
      </c>
      <c r="CK348" s="1" t="s">
        <v>169</v>
      </c>
      <c r="CL348" s="1" t="s">
        <v>237</v>
      </c>
      <c r="CM348" s="1" t="s">
        <v>683</v>
      </c>
      <c r="CN348" s="1" t="s">
        <v>1471</v>
      </c>
      <c r="CO348">
        <v>78</v>
      </c>
      <c r="CP348" s="1" t="s">
        <v>516</v>
      </c>
      <c r="CQ348" s="1" t="s">
        <v>4048</v>
      </c>
      <c r="CR348" s="1" t="s">
        <v>4049</v>
      </c>
      <c r="CS348">
        <v>1537</v>
      </c>
      <c r="CT348">
        <v>1508.2</v>
      </c>
      <c r="CU348" s="1" t="s">
        <v>2474</v>
      </c>
      <c r="CV348" s="1" t="s">
        <v>4050</v>
      </c>
      <c r="CW348">
        <v>80.650000000000006</v>
      </c>
      <c r="CX348">
        <v>68.8</v>
      </c>
      <c r="CY348">
        <v>54.2</v>
      </c>
      <c r="CZ348">
        <v>54</v>
      </c>
      <c r="DA348">
        <v>1</v>
      </c>
      <c r="DB348" t="s">
        <v>4044</v>
      </c>
      <c r="DC348">
        <v>38</v>
      </c>
      <c r="DD348" s="1" t="s">
        <v>4051</v>
      </c>
      <c r="DE348">
        <v>-41.571685136819298</v>
      </c>
      <c r="DF348" t="e">
        <f>_xlfn.XLOOKUP(Table1[[#This Row],[Player ID]],Table2[feed_id],Table2[trade_status])</f>
        <v>#N/A</v>
      </c>
      <c r="DG348">
        <f>_xlfn.NUMBERVALUE(Table1[[#This Row],[predicted]])</f>
        <v>79.571685136819298</v>
      </c>
    </row>
    <row r="349" spans="1:111" hidden="1" x14ac:dyDescent="0.25">
      <c r="A349">
        <v>103801</v>
      </c>
      <c r="B349">
        <v>7937</v>
      </c>
      <c r="C349" t="s">
        <v>4052</v>
      </c>
      <c r="D349" t="s">
        <v>3116</v>
      </c>
      <c r="E349">
        <v>2022</v>
      </c>
      <c r="F349">
        <v>280012</v>
      </c>
      <c r="G349" t="s">
        <v>2755</v>
      </c>
      <c r="H349" t="s">
        <v>2897</v>
      </c>
      <c r="I349" t="s">
        <v>112</v>
      </c>
      <c r="J349">
        <v>2</v>
      </c>
      <c r="K349">
        <v>25</v>
      </c>
      <c r="L349">
        <v>24</v>
      </c>
      <c r="M349">
        <v>16</v>
      </c>
      <c r="N349">
        <v>21</v>
      </c>
      <c r="O349">
        <v>27</v>
      </c>
      <c r="P349">
        <v>4</v>
      </c>
      <c r="Q349">
        <v>2</v>
      </c>
      <c r="R349">
        <v>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113</v>
      </c>
      <c r="Z349" t="s">
        <v>179</v>
      </c>
      <c r="AA349" t="s">
        <v>4053</v>
      </c>
      <c r="AH349" t="s">
        <v>274</v>
      </c>
      <c r="AI349">
        <v>23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S349">
        <v>2</v>
      </c>
      <c r="AT349">
        <v>0</v>
      </c>
      <c r="AU349">
        <v>2</v>
      </c>
      <c r="AV349">
        <v>50</v>
      </c>
      <c r="AW349">
        <v>90</v>
      </c>
      <c r="AX349">
        <v>132</v>
      </c>
      <c r="AY349">
        <v>0</v>
      </c>
      <c r="AZ349" t="b">
        <v>0</v>
      </c>
      <c r="BA349">
        <v>1719</v>
      </c>
      <c r="BB349">
        <v>1560</v>
      </c>
      <c r="BC349">
        <v>6</v>
      </c>
      <c r="BD349" t="s">
        <v>4054</v>
      </c>
      <c r="BE349">
        <v>97</v>
      </c>
      <c r="BF349">
        <v>0</v>
      </c>
      <c r="BG349">
        <v>73</v>
      </c>
      <c r="BH349">
        <v>0</v>
      </c>
      <c r="BI349">
        <v>8</v>
      </c>
      <c r="BJ349" s="1" t="s">
        <v>294</v>
      </c>
      <c r="BK349" s="1" t="s">
        <v>169</v>
      </c>
      <c r="BL349">
        <v>4</v>
      </c>
      <c r="BM349" s="1" t="s">
        <v>124</v>
      </c>
      <c r="BN349">
        <v>6.6</v>
      </c>
      <c r="BO349">
        <v>0</v>
      </c>
      <c r="BP349">
        <v>1.6</v>
      </c>
      <c r="BQ349">
        <v>0</v>
      </c>
      <c r="BR349">
        <v>0.6</v>
      </c>
      <c r="BS349" s="1" t="s">
        <v>129</v>
      </c>
      <c r="BT349">
        <v>0.6</v>
      </c>
      <c r="BU349">
        <v>0</v>
      </c>
      <c r="BV349" s="1" t="s">
        <v>128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 s="1" t="s">
        <v>138</v>
      </c>
      <c r="CH349" s="1" t="s">
        <v>256</v>
      </c>
      <c r="CI349">
        <v>0</v>
      </c>
      <c r="CJ349" s="1" t="s">
        <v>213</v>
      </c>
      <c r="CK349" s="1" t="s">
        <v>126</v>
      </c>
      <c r="CL349" s="1" t="s">
        <v>304</v>
      </c>
      <c r="CM349" s="1" t="s">
        <v>572</v>
      </c>
      <c r="CN349" s="1" t="s">
        <v>789</v>
      </c>
      <c r="CO349" s="1" t="s">
        <v>630</v>
      </c>
      <c r="CP349" s="1" t="s">
        <v>218</v>
      </c>
      <c r="CQ349" s="1" t="s">
        <v>4055</v>
      </c>
      <c r="CR349" s="1" t="s">
        <v>4056</v>
      </c>
      <c r="CS349">
        <v>1523</v>
      </c>
      <c r="CT349" s="1" t="s">
        <v>943</v>
      </c>
      <c r="CU349" s="1" t="s">
        <v>2462</v>
      </c>
      <c r="CV349">
        <v>1644.4</v>
      </c>
      <c r="CW349">
        <v>70.95</v>
      </c>
      <c r="CX349">
        <v>67.8</v>
      </c>
      <c r="CY349">
        <v>58.6</v>
      </c>
      <c r="CZ349" s="1" t="s">
        <v>687</v>
      </c>
      <c r="DA349">
        <v>1</v>
      </c>
      <c r="DB349" t="s">
        <v>179</v>
      </c>
      <c r="DC349">
        <v>24</v>
      </c>
      <c r="DD349" s="1" t="s">
        <v>4057</v>
      </c>
      <c r="DE349">
        <v>-33.7455760313564</v>
      </c>
      <c r="DF349" t="e">
        <f>_xlfn.XLOOKUP(Table1[[#This Row],[Player ID]],Table2[feed_id],Table2[trade_status])</f>
        <v>#N/A</v>
      </c>
      <c r="DG349">
        <f>_xlfn.NUMBERVALUE(Table1[[#This Row],[predicted]])</f>
        <v>57.7455760313564</v>
      </c>
    </row>
    <row r="350" spans="1:111" hidden="1" x14ac:dyDescent="0.25">
      <c r="A350">
        <v>104136</v>
      </c>
      <c r="B350">
        <v>7945</v>
      </c>
      <c r="C350" t="s">
        <v>4058</v>
      </c>
      <c r="D350" t="s">
        <v>3116</v>
      </c>
      <c r="E350">
        <v>2022</v>
      </c>
      <c r="F350">
        <v>996487</v>
      </c>
      <c r="G350" t="s">
        <v>776</v>
      </c>
      <c r="H350" t="s">
        <v>4059</v>
      </c>
      <c r="I350" t="s">
        <v>391</v>
      </c>
      <c r="J350">
        <v>7</v>
      </c>
      <c r="K350">
        <v>39</v>
      </c>
      <c r="L350">
        <v>43</v>
      </c>
      <c r="M350">
        <v>52</v>
      </c>
      <c r="N350">
        <v>29</v>
      </c>
      <c r="O350">
        <v>42</v>
      </c>
      <c r="P350">
        <v>4</v>
      </c>
      <c r="Q350">
        <v>5</v>
      </c>
      <c r="R350">
        <v>1</v>
      </c>
      <c r="S350">
        <v>4</v>
      </c>
      <c r="T350">
        <v>0</v>
      </c>
      <c r="U350">
        <v>1</v>
      </c>
      <c r="V350">
        <v>1</v>
      </c>
      <c r="W350">
        <v>0</v>
      </c>
      <c r="X350">
        <v>0</v>
      </c>
      <c r="Y350" t="s">
        <v>113</v>
      </c>
      <c r="Z350" t="s">
        <v>525</v>
      </c>
      <c r="AA350" t="s">
        <v>4060</v>
      </c>
      <c r="AH350" t="s">
        <v>118</v>
      </c>
      <c r="AI350">
        <v>21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S350">
        <v>3</v>
      </c>
      <c r="AT350">
        <v>0</v>
      </c>
      <c r="AU350">
        <v>3</v>
      </c>
      <c r="AV350">
        <v>88</v>
      </c>
      <c r="AW350">
        <v>76</v>
      </c>
      <c r="AX350">
        <v>66</v>
      </c>
      <c r="AY350">
        <v>0</v>
      </c>
      <c r="AZ350" t="b">
        <v>0</v>
      </c>
      <c r="BA350">
        <v>1596</v>
      </c>
      <c r="BB350">
        <v>1689</v>
      </c>
      <c r="BC350">
        <v>6</v>
      </c>
      <c r="BD350" t="s">
        <v>4061</v>
      </c>
      <c r="BE350">
        <v>97</v>
      </c>
      <c r="BF350">
        <v>0</v>
      </c>
      <c r="BG350">
        <v>73</v>
      </c>
      <c r="BH350">
        <v>0</v>
      </c>
      <c r="BI350" s="1" t="s">
        <v>204</v>
      </c>
      <c r="BJ350" s="1" t="s">
        <v>977</v>
      </c>
      <c r="BK350" s="1" t="s">
        <v>124</v>
      </c>
      <c r="BL350" s="1" t="s">
        <v>343</v>
      </c>
      <c r="BM350" s="1" t="s">
        <v>125</v>
      </c>
      <c r="BN350" s="1" t="s">
        <v>189</v>
      </c>
      <c r="BO350" s="1" t="s">
        <v>211</v>
      </c>
      <c r="BP350" s="1" t="s">
        <v>373</v>
      </c>
      <c r="BQ350">
        <v>0</v>
      </c>
      <c r="BR350">
        <v>0</v>
      </c>
      <c r="BS350" s="1" t="s">
        <v>128</v>
      </c>
      <c r="BT350" s="1" t="s">
        <v>298</v>
      </c>
      <c r="BU350" s="1" t="s">
        <v>128</v>
      </c>
      <c r="BV350" s="1" t="s">
        <v>184</v>
      </c>
      <c r="BW350">
        <v>0</v>
      </c>
      <c r="BX350" s="1" t="s">
        <v>128</v>
      </c>
      <c r="BY350">
        <v>0</v>
      </c>
      <c r="BZ350">
        <v>0.2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 s="1" t="s">
        <v>125</v>
      </c>
      <c r="CH350">
        <v>5.4</v>
      </c>
      <c r="CI350" s="1" t="s">
        <v>129</v>
      </c>
      <c r="CJ350" s="1" t="s">
        <v>257</v>
      </c>
      <c r="CK350" s="1" t="s">
        <v>159</v>
      </c>
      <c r="CL350" s="1" t="s">
        <v>375</v>
      </c>
      <c r="CM350" s="1" t="s">
        <v>483</v>
      </c>
      <c r="CN350">
        <v>73.2</v>
      </c>
      <c r="CO350" s="1" t="s">
        <v>1391</v>
      </c>
      <c r="CP350" s="1" t="s">
        <v>803</v>
      </c>
      <c r="CQ350" s="1" t="s">
        <v>4062</v>
      </c>
      <c r="CR350" s="1" t="s">
        <v>4063</v>
      </c>
      <c r="CS350" s="1" t="s">
        <v>4064</v>
      </c>
      <c r="CT350">
        <v>1552.2</v>
      </c>
      <c r="CU350" s="1" t="s">
        <v>4065</v>
      </c>
      <c r="CV350" s="1" t="s">
        <v>4066</v>
      </c>
      <c r="CW350">
        <v>62.3</v>
      </c>
      <c r="CX350">
        <v>55.4</v>
      </c>
      <c r="CY350">
        <v>41.4</v>
      </c>
      <c r="CZ350" s="1" t="s">
        <v>4067</v>
      </c>
      <c r="DA350">
        <v>1</v>
      </c>
      <c r="DB350" t="s">
        <v>525</v>
      </c>
      <c r="DC350">
        <v>43</v>
      </c>
      <c r="DD350" s="1" t="s">
        <v>4068</v>
      </c>
      <c r="DE350">
        <v>-20.3475773440903</v>
      </c>
      <c r="DF350" t="e">
        <f>_xlfn.XLOOKUP(Table1[[#This Row],[Player ID]],Table2[feed_id],Table2[trade_status])</f>
        <v>#N/A</v>
      </c>
      <c r="DG350">
        <f>_xlfn.NUMBERVALUE(Table1[[#This Row],[predicted]])</f>
        <v>63.347577344090297</v>
      </c>
    </row>
    <row r="351" spans="1:111" hidden="1" x14ac:dyDescent="0.25">
      <c r="A351">
        <v>104453</v>
      </c>
      <c r="B351">
        <v>7952</v>
      </c>
      <c r="C351" t="s">
        <v>4069</v>
      </c>
      <c r="D351" t="s">
        <v>443</v>
      </c>
      <c r="E351">
        <v>2022</v>
      </c>
      <c r="F351">
        <v>1000267</v>
      </c>
      <c r="G351" t="s">
        <v>1002</v>
      </c>
      <c r="H351" t="s">
        <v>4070</v>
      </c>
      <c r="I351" t="s">
        <v>317</v>
      </c>
      <c r="J351">
        <v>1</v>
      </c>
      <c r="K351">
        <v>17</v>
      </c>
      <c r="L351">
        <v>9</v>
      </c>
      <c r="M351">
        <v>23</v>
      </c>
      <c r="N351">
        <v>14</v>
      </c>
      <c r="O351">
        <v>21</v>
      </c>
      <c r="P351">
        <v>1</v>
      </c>
      <c r="Q351">
        <v>3</v>
      </c>
      <c r="R351">
        <v>1</v>
      </c>
      <c r="S351">
        <v>2</v>
      </c>
      <c r="T351">
        <v>0</v>
      </c>
      <c r="U351">
        <v>0</v>
      </c>
      <c r="V351">
        <v>1</v>
      </c>
      <c r="W351">
        <v>0</v>
      </c>
      <c r="X351">
        <v>0</v>
      </c>
      <c r="Y351" t="s">
        <v>113</v>
      </c>
      <c r="Z351" t="s">
        <v>3571</v>
      </c>
      <c r="AA351" t="s">
        <v>4071</v>
      </c>
      <c r="AH351" t="s">
        <v>155</v>
      </c>
      <c r="AI351">
        <v>37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S351">
        <v>2</v>
      </c>
      <c r="AT351">
        <v>0</v>
      </c>
      <c r="AU351">
        <v>3</v>
      </c>
      <c r="AV351">
        <v>75</v>
      </c>
      <c r="AW351">
        <v>34</v>
      </c>
      <c r="AX351">
        <v>16</v>
      </c>
      <c r="AY351">
        <v>0</v>
      </c>
      <c r="AZ351" t="b">
        <v>0</v>
      </c>
      <c r="BA351">
        <v>1841</v>
      </c>
      <c r="BB351">
        <v>1462</v>
      </c>
      <c r="BC351">
        <v>7</v>
      </c>
      <c r="BD351" t="s">
        <v>4072</v>
      </c>
      <c r="BE351" s="1" t="s">
        <v>4073</v>
      </c>
      <c r="BF351">
        <v>0</v>
      </c>
      <c r="BG351">
        <v>72</v>
      </c>
      <c r="BH351">
        <v>0</v>
      </c>
      <c r="BI351">
        <v>6</v>
      </c>
      <c r="BJ351" s="1" t="s">
        <v>448</v>
      </c>
      <c r="BK351">
        <v>4</v>
      </c>
      <c r="BL351" s="1" t="s">
        <v>212</v>
      </c>
      <c r="BM351" s="1" t="s">
        <v>138</v>
      </c>
      <c r="BN351" s="1" t="s">
        <v>640</v>
      </c>
      <c r="BO351">
        <v>2</v>
      </c>
      <c r="BP351" s="1" t="s">
        <v>640</v>
      </c>
      <c r="BQ351">
        <v>0</v>
      </c>
      <c r="BR351">
        <v>0</v>
      </c>
      <c r="BS351" s="1" t="s">
        <v>129</v>
      </c>
      <c r="BT351">
        <v>0.6</v>
      </c>
      <c r="BU351">
        <v>1</v>
      </c>
      <c r="BV351" s="1" t="s">
        <v>162</v>
      </c>
      <c r="BW351" s="1" t="s">
        <v>129</v>
      </c>
      <c r="BX351">
        <v>0.6</v>
      </c>
      <c r="BY351" s="1" t="s">
        <v>128</v>
      </c>
      <c r="BZ351" s="1" t="s">
        <v>128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4</v>
      </c>
      <c r="CH351" s="1" t="s">
        <v>256</v>
      </c>
      <c r="CI351" s="1" t="s">
        <v>128</v>
      </c>
      <c r="CJ351">
        <v>0.8</v>
      </c>
      <c r="CK351" s="1" t="s">
        <v>138</v>
      </c>
      <c r="CL351">
        <v>2.8</v>
      </c>
      <c r="CM351" s="1" t="s">
        <v>329</v>
      </c>
      <c r="CN351" s="1" t="s">
        <v>1231</v>
      </c>
      <c r="CO351">
        <v>66</v>
      </c>
      <c r="CP351">
        <v>77</v>
      </c>
      <c r="CQ351">
        <v>198</v>
      </c>
      <c r="CS351">
        <v>1541</v>
      </c>
      <c r="CT351" s="1" t="s">
        <v>2137</v>
      </c>
      <c r="CU351" s="1" t="s">
        <v>4074</v>
      </c>
      <c r="CV351" s="1" t="s">
        <v>4075</v>
      </c>
      <c r="CW351">
        <v>53.85</v>
      </c>
      <c r="CX351">
        <v>58.1</v>
      </c>
      <c r="CY351">
        <v>51</v>
      </c>
      <c r="CZ351" s="1" t="s">
        <v>4076</v>
      </c>
      <c r="DA351">
        <v>1</v>
      </c>
      <c r="DB351" t="s">
        <v>3571</v>
      </c>
      <c r="DC351">
        <v>9</v>
      </c>
      <c r="DD351" s="1" t="s">
        <v>4077</v>
      </c>
      <c r="DE351">
        <v>-38.4217182678859</v>
      </c>
      <c r="DF351" t="e">
        <f>_xlfn.XLOOKUP(Table1[[#This Row],[Player ID]],Table2[feed_id],Table2[trade_status])</f>
        <v>#N/A</v>
      </c>
      <c r="DG351">
        <f>_xlfn.NUMBERVALUE(Table1[[#This Row],[predicted]])</f>
        <v>47.4217182678859</v>
      </c>
    </row>
    <row r="352" spans="1:111" hidden="1" x14ac:dyDescent="0.25">
      <c r="A352">
        <v>105084</v>
      </c>
      <c r="B352">
        <v>7966</v>
      </c>
      <c r="C352" t="s">
        <v>4078</v>
      </c>
      <c r="D352" t="s">
        <v>460</v>
      </c>
      <c r="E352">
        <v>2022</v>
      </c>
      <c r="F352">
        <v>1002583</v>
      </c>
      <c r="G352" t="s">
        <v>4079</v>
      </c>
      <c r="H352" t="s">
        <v>4080</v>
      </c>
      <c r="I352" t="s">
        <v>317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113</v>
      </c>
      <c r="Z352" t="s">
        <v>3571</v>
      </c>
      <c r="AA352" t="s">
        <v>4081</v>
      </c>
      <c r="AH352" t="s">
        <v>155</v>
      </c>
      <c r="AI352">
        <v>44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 t="b">
        <v>0</v>
      </c>
      <c r="BA352">
        <v>1515</v>
      </c>
      <c r="BB352">
        <v>1784</v>
      </c>
      <c r="BC352">
        <v>9</v>
      </c>
      <c r="BD352" t="s">
        <v>4082</v>
      </c>
      <c r="BE352">
        <v>98</v>
      </c>
      <c r="BF352">
        <v>0</v>
      </c>
      <c r="BG352">
        <v>72</v>
      </c>
      <c r="BH352">
        <v>0</v>
      </c>
      <c r="BI352">
        <v>4</v>
      </c>
      <c r="BJ352">
        <v>5.4</v>
      </c>
      <c r="BK352" s="1" t="s">
        <v>169</v>
      </c>
      <c r="BL352" s="1" t="s">
        <v>818</v>
      </c>
      <c r="BM352">
        <v>2</v>
      </c>
      <c r="BN352" s="1" t="s">
        <v>138</v>
      </c>
      <c r="BO352" s="1" t="s">
        <v>161</v>
      </c>
      <c r="BP352" s="1" t="s">
        <v>255</v>
      </c>
      <c r="BQ352">
        <v>0</v>
      </c>
      <c r="BR352">
        <v>0</v>
      </c>
      <c r="BS352" s="1" t="s">
        <v>129</v>
      </c>
      <c r="BT352" s="1" t="s">
        <v>231</v>
      </c>
      <c r="BU352" s="1" t="s">
        <v>129</v>
      </c>
      <c r="BV352" s="1" t="s">
        <v>162</v>
      </c>
      <c r="BW352" s="1" t="s">
        <v>128</v>
      </c>
      <c r="BX352" s="1" t="s">
        <v>184</v>
      </c>
      <c r="BY352" s="1" t="s">
        <v>129</v>
      </c>
      <c r="BZ352" s="1" t="s">
        <v>184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 s="1" t="s">
        <v>159</v>
      </c>
      <c r="CH352" s="1" t="s">
        <v>230</v>
      </c>
      <c r="CI352" s="1" t="s">
        <v>129</v>
      </c>
      <c r="CJ352" s="1" t="s">
        <v>238</v>
      </c>
      <c r="CK352" s="1" t="s">
        <v>161</v>
      </c>
      <c r="CL352">
        <v>2.6</v>
      </c>
      <c r="CM352" s="1" t="s">
        <v>576</v>
      </c>
      <c r="CN352" s="1" t="s">
        <v>2248</v>
      </c>
      <c r="CO352">
        <v>52</v>
      </c>
      <c r="CP352">
        <v>68.8</v>
      </c>
      <c r="CQ352" s="1" t="s">
        <v>437</v>
      </c>
      <c r="CR352" s="1" t="s">
        <v>4083</v>
      </c>
      <c r="CS352" s="1" t="s">
        <v>472</v>
      </c>
      <c r="CT352" s="1" t="s">
        <v>4084</v>
      </c>
      <c r="CU352" s="1" t="s">
        <v>307</v>
      </c>
      <c r="CV352" s="1" t="s">
        <v>2985</v>
      </c>
      <c r="CW352">
        <v>57.3</v>
      </c>
      <c r="CX352">
        <v>60.9</v>
      </c>
      <c r="CY352">
        <v>49.8</v>
      </c>
      <c r="CZ352" s="1" t="s">
        <v>4085</v>
      </c>
      <c r="DA352">
        <v>1</v>
      </c>
      <c r="DB352" t="s">
        <v>3571</v>
      </c>
      <c r="DC352">
        <v>0</v>
      </c>
      <c r="DD352" s="1" t="s">
        <v>4086</v>
      </c>
      <c r="DE352">
        <v>-45.513269579102101</v>
      </c>
      <c r="DF352" t="e">
        <f>_xlfn.XLOOKUP(Table1[[#This Row],[Player ID]],Table2[feed_id],Table2[trade_status])</f>
        <v>#N/A</v>
      </c>
      <c r="DG352">
        <f>_xlfn.NUMBERVALUE(Table1[[#This Row],[predicted]])</f>
        <v>45.513269579102101</v>
      </c>
    </row>
    <row r="353" spans="1:111" hidden="1" x14ac:dyDescent="0.25">
      <c r="A353">
        <v>105397</v>
      </c>
      <c r="B353">
        <v>7973</v>
      </c>
      <c r="C353" t="s">
        <v>4087</v>
      </c>
      <c r="D353" t="s">
        <v>475</v>
      </c>
      <c r="E353">
        <v>2022</v>
      </c>
      <c r="F353">
        <v>1010841</v>
      </c>
      <c r="G353" t="s">
        <v>1127</v>
      </c>
      <c r="H353" t="s">
        <v>4088</v>
      </c>
      <c r="I353" t="s">
        <v>112</v>
      </c>
      <c r="J353">
        <v>1</v>
      </c>
      <c r="K353">
        <v>14</v>
      </c>
      <c r="L353">
        <v>19</v>
      </c>
      <c r="M353">
        <v>18</v>
      </c>
      <c r="N353">
        <v>10</v>
      </c>
      <c r="O353">
        <v>15</v>
      </c>
      <c r="P353">
        <v>0</v>
      </c>
      <c r="Q353">
        <v>3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113</v>
      </c>
      <c r="Z353" t="s">
        <v>114</v>
      </c>
      <c r="AA353" t="s">
        <v>4089</v>
      </c>
      <c r="AB353" t="s">
        <v>116</v>
      </c>
      <c r="AC353" t="s">
        <v>4090</v>
      </c>
      <c r="AH353" t="s">
        <v>181</v>
      </c>
      <c r="AI353">
        <v>44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S353">
        <v>0</v>
      </c>
      <c r="AT353">
        <v>0</v>
      </c>
      <c r="AU353">
        <v>0</v>
      </c>
      <c r="AV353">
        <v>100</v>
      </c>
      <c r="AW353">
        <v>27</v>
      </c>
      <c r="AX353">
        <v>0</v>
      </c>
      <c r="AY353">
        <v>1</v>
      </c>
      <c r="AZ353" t="b">
        <v>1</v>
      </c>
      <c r="BA353">
        <v>1927</v>
      </c>
      <c r="BB353">
        <v>1375</v>
      </c>
      <c r="BC353">
        <v>10</v>
      </c>
      <c r="BD353" t="s">
        <v>4091</v>
      </c>
      <c r="BE353">
        <v>101</v>
      </c>
      <c r="BF353">
        <v>0</v>
      </c>
      <c r="BG353">
        <v>70</v>
      </c>
      <c r="BH353">
        <v>0</v>
      </c>
      <c r="BI353" s="1" t="s">
        <v>169</v>
      </c>
      <c r="BJ353" s="1" t="s">
        <v>729</v>
      </c>
      <c r="BK353" s="1" t="s">
        <v>138</v>
      </c>
      <c r="BL353">
        <v>7</v>
      </c>
      <c r="BM353" s="1" t="s">
        <v>161</v>
      </c>
      <c r="BN353" s="1" t="s">
        <v>990</v>
      </c>
      <c r="BO353" s="1" t="s">
        <v>161</v>
      </c>
      <c r="BP353" s="1" t="s">
        <v>206</v>
      </c>
      <c r="BQ353">
        <v>0</v>
      </c>
      <c r="BR353">
        <v>0</v>
      </c>
      <c r="BS353">
        <v>0</v>
      </c>
      <c r="BT353">
        <v>0.6</v>
      </c>
      <c r="BU353" s="1" t="s">
        <v>128</v>
      </c>
      <c r="BV353" s="1" t="s">
        <v>129</v>
      </c>
      <c r="BW353" s="1" t="s">
        <v>129</v>
      </c>
      <c r="BX353">
        <v>6.6666666666666596E-2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2</v>
      </c>
      <c r="CH353" s="1" t="s">
        <v>565</v>
      </c>
      <c r="CI353">
        <v>0</v>
      </c>
      <c r="CJ353">
        <v>0.2</v>
      </c>
      <c r="CK353" s="1" t="s">
        <v>128</v>
      </c>
      <c r="CL353" s="1" t="s">
        <v>162</v>
      </c>
      <c r="CM353">
        <v>96</v>
      </c>
      <c r="CN353">
        <v>87.8</v>
      </c>
      <c r="CO353" s="1" t="s">
        <v>1459</v>
      </c>
      <c r="CP353" s="1" t="s">
        <v>663</v>
      </c>
      <c r="CQ353" s="1" t="s">
        <v>483</v>
      </c>
      <c r="CR353" s="1" t="s">
        <v>4092</v>
      </c>
      <c r="CS353" s="1" t="s">
        <v>4093</v>
      </c>
      <c r="CT353" s="1" t="s">
        <v>4094</v>
      </c>
      <c r="CU353">
        <v>1729</v>
      </c>
      <c r="CV353" s="1" t="s">
        <v>4095</v>
      </c>
      <c r="CW353">
        <v>65.400000000000006</v>
      </c>
      <c r="CX353">
        <v>61</v>
      </c>
      <c r="CY353">
        <v>48</v>
      </c>
      <c r="CZ353" s="1" t="s">
        <v>4096</v>
      </c>
      <c r="DA353">
        <v>1</v>
      </c>
      <c r="DB353" t="s">
        <v>114</v>
      </c>
      <c r="DC353">
        <v>19</v>
      </c>
      <c r="DD353" s="1" t="s">
        <v>4097</v>
      </c>
      <c r="DE353">
        <v>-22.5283299883307</v>
      </c>
      <c r="DF353" t="e">
        <f>_xlfn.XLOOKUP(Table1[[#This Row],[Player ID]],Table2[feed_id],Table2[trade_status])</f>
        <v>#N/A</v>
      </c>
      <c r="DG353">
        <f>_xlfn.NUMBERVALUE(Table1[[#This Row],[predicted]])</f>
        <v>41.528329988330697</v>
      </c>
    </row>
    <row r="354" spans="1:111" hidden="1" x14ac:dyDescent="0.25">
      <c r="A354">
        <v>105668</v>
      </c>
      <c r="B354">
        <v>7979</v>
      </c>
      <c r="C354" t="s">
        <v>4098</v>
      </c>
      <c r="D354" t="s">
        <v>475</v>
      </c>
      <c r="E354">
        <v>2022</v>
      </c>
      <c r="F354">
        <v>281075</v>
      </c>
      <c r="G354" t="s">
        <v>4099</v>
      </c>
      <c r="H354" t="s">
        <v>1395</v>
      </c>
      <c r="I354" t="s">
        <v>524</v>
      </c>
      <c r="J354">
        <v>3</v>
      </c>
      <c r="K354">
        <v>25</v>
      </c>
      <c r="L354">
        <v>51</v>
      </c>
      <c r="M354">
        <v>36</v>
      </c>
      <c r="N354">
        <v>20</v>
      </c>
      <c r="O354">
        <v>30</v>
      </c>
      <c r="P354">
        <v>3</v>
      </c>
      <c r="Q354">
        <v>2</v>
      </c>
      <c r="R354">
        <v>2</v>
      </c>
      <c r="S354">
        <v>3</v>
      </c>
      <c r="T354">
        <v>0</v>
      </c>
      <c r="U354">
        <v>0</v>
      </c>
      <c r="V354">
        <v>2</v>
      </c>
      <c r="W354">
        <v>0</v>
      </c>
      <c r="X354">
        <v>0</v>
      </c>
      <c r="Y354" t="s">
        <v>113</v>
      </c>
      <c r="Z354" t="s">
        <v>179</v>
      </c>
      <c r="AA354" t="s">
        <v>4100</v>
      </c>
      <c r="AH354" t="s">
        <v>181</v>
      </c>
      <c r="AI354">
        <v>16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S354">
        <v>3</v>
      </c>
      <c r="AT354">
        <v>0</v>
      </c>
      <c r="AU354">
        <v>4</v>
      </c>
      <c r="AV354">
        <v>60</v>
      </c>
      <c r="AW354">
        <v>94</v>
      </c>
      <c r="AX354">
        <v>43</v>
      </c>
      <c r="AY354">
        <v>0</v>
      </c>
      <c r="AZ354" t="b">
        <v>0</v>
      </c>
      <c r="BA354">
        <v>1604</v>
      </c>
      <c r="BB354">
        <v>1684</v>
      </c>
      <c r="BC354">
        <v>10</v>
      </c>
      <c r="BD354" t="s">
        <v>4101</v>
      </c>
      <c r="BE354">
        <v>101</v>
      </c>
      <c r="BF354">
        <v>0</v>
      </c>
      <c r="BG354">
        <v>70</v>
      </c>
      <c r="BH354">
        <v>0</v>
      </c>
      <c r="BI354" s="1" t="s">
        <v>138</v>
      </c>
      <c r="BJ354" s="1" t="s">
        <v>416</v>
      </c>
      <c r="BK354" s="1" t="s">
        <v>159</v>
      </c>
      <c r="BL354">
        <v>3.2</v>
      </c>
      <c r="BM354" s="1" t="s">
        <v>169</v>
      </c>
      <c r="BN354">
        <v>2.6</v>
      </c>
      <c r="BO354" s="1" t="s">
        <v>169</v>
      </c>
      <c r="BP354" s="1" t="s">
        <v>304</v>
      </c>
      <c r="BQ354">
        <v>0</v>
      </c>
      <c r="BR354">
        <v>0</v>
      </c>
      <c r="BS354">
        <v>0</v>
      </c>
      <c r="BT354" s="1" t="s">
        <v>129</v>
      </c>
      <c r="BU354">
        <v>1</v>
      </c>
      <c r="BV354" s="1" t="s">
        <v>127</v>
      </c>
      <c r="BW354">
        <v>0</v>
      </c>
      <c r="BX354">
        <v>0</v>
      </c>
      <c r="BY354" s="1" t="s">
        <v>129</v>
      </c>
      <c r="BZ354">
        <v>6.6666666666666596E-2</v>
      </c>
      <c r="CA354" s="1" t="s">
        <v>4102</v>
      </c>
      <c r="CB354" s="1" t="s">
        <v>4103</v>
      </c>
      <c r="CC354" s="1" t="s">
        <v>2008</v>
      </c>
      <c r="CD354" s="1" t="s">
        <v>4104</v>
      </c>
      <c r="CE354">
        <v>0.53</v>
      </c>
      <c r="CF354">
        <v>0.626</v>
      </c>
      <c r="CG354" s="1" t="s">
        <v>159</v>
      </c>
      <c r="CH354">
        <v>3.8</v>
      </c>
      <c r="CI354">
        <v>0</v>
      </c>
      <c r="CJ354">
        <v>0</v>
      </c>
      <c r="CK354">
        <v>2</v>
      </c>
      <c r="CL354" s="1" t="s">
        <v>375</v>
      </c>
      <c r="CM354">
        <v>57</v>
      </c>
      <c r="CN354">
        <v>72.2</v>
      </c>
      <c r="CO354">
        <v>90</v>
      </c>
      <c r="CP354" s="1" t="s">
        <v>4105</v>
      </c>
      <c r="CS354" s="1" t="s">
        <v>455</v>
      </c>
      <c r="CT354" s="1" t="s">
        <v>4106</v>
      </c>
      <c r="CU354">
        <v>1645</v>
      </c>
      <c r="CV354">
        <v>1752</v>
      </c>
      <c r="CW354">
        <v>50.05</v>
      </c>
      <c r="CX354">
        <v>49.9</v>
      </c>
      <c r="CY354">
        <v>55.8</v>
      </c>
      <c r="CZ354" s="1" t="s">
        <v>825</v>
      </c>
      <c r="DA354">
        <v>1</v>
      </c>
      <c r="DB354" t="s">
        <v>179</v>
      </c>
      <c r="DC354">
        <v>51</v>
      </c>
      <c r="DD354" s="1" t="s">
        <v>4107</v>
      </c>
      <c r="DE354" s="1" t="s">
        <v>4108</v>
      </c>
      <c r="DF354" t="e">
        <f>_xlfn.XLOOKUP(Table1[[#This Row],[Player ID]],Table2[feed_id],Table2[trade_status])</f>
        <v>#N/A</v>
      </c>
      <c r="DG354">
        <f>_xlfn.NUMBERVALUE(Table1[[#This Row],[predicted]])</f>
        <v>40.910169979710901</v>
      </c>
    </row>
    <row r="355" spans="1:111" hidden="1" x14ac:dyDescent="0.25">
      <c r="A355">
        <v>105825</v>
      </c>
      <c r="B355">
        <v>7982</v>
      </c>
      <c r="C355" t="s">
        <v>4109</v>
      </c>
      <c r="D355" t="s">
        <v>491</v>
      </c>
      <c r="E355">
        <v>2022</v>
      </c>
      <c r="F355">
        <v>1002291</v>
      </c>
      <c r="G355" t="s">
        <v>617</v>
      </c>
      <c r="H355" t="s">
        <v>1894</v>
      </c>
      <c r="I355" t="s">
        <v>338</v>
      </c>
      <c r="J355">
        <v>2</v>
      </c>
      <c r="K355">
        <v>38</v>
      </c>
      <c r="L355">
        <v>22</v>
      </c>
      <c r="M355">
        <v>25</v>
      </c>
      <c r="N355">
        <v>30</v>
      </c>
      <c r="O355">
        <v>40</v>
      </c>
      <c r="P355">
        <v>6</v>
      </c>
      <c r="Q355">
        <v>3</v>
      </c>
      <c r="R355">
        <v>3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1</v>
      </c>
      <c r="Y355" t="s">
        <v>113</v>
      </c>
      <c r="Z355" t="s">
        <v>525</v>
      </c>
      <c r="AA355" t="s">
        <v>2451</v>
      </c>
      <c r="AH355" t="s">
        <v>118</v>
      </c>
      <c r="AI355">
        <v>32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S355">
        <v>3</v>
      </c>
      <c r="AT355">
        <v>0</v>
      </c>
      <c r="AU355">
        <v>3</v>
      </c>
      <c r="AV355">
        <v>44</v>
      </c>
      <c r="AW355">
        <v>62</v>
      </c>
      <c r="AX355">
        <v>153</v>
      </c>
      <c r="AY355">
        <v>1</v>
      </c>
      <c r="AZ355" t="b">
        <v>0</v>
      </c>
      <c r="BA355">
        <v>1831</v>
      </c>
      <c r="BB355">
        <v>1428</v>
      </c>
      <c r="BC355">
        <v>11</v>
      </c>
      <c r="BD355" t="s">
        <v>4110</v>
      </c>
      <c r="BE355">
        <v>97</v>
      </c>
      <c r="BF355">
        <v>0</v>
      </c>
      <c r="BG355">
        <v>72</v>
      </c>
      <c r="BH355">
        <v>0</v>
      </c>
      <c r="BI355" s="1" t="s">
        <v>160</v>
      </c>
      <c r="BJ355">
        <v>4.4000000000000004</v>
      </c>
      <c r="BK355" s="1" t="s">
        <v>159</v>
      </c>
      <c r="BL355" s="1" t="s">
        <v>528</v>
      </c>
      <c r="BM355">
        <v>2</v>
      </c>
      <c r="BN355" s="1" t="s">
        <v>322</v>
      </c>
      <c r="BO355">
        <v>2</v>
      </c>
      <c r="BP355" s="1" t="s">
        <v>375</v>
      </c>
      <c r="BQ355">
        <v>0</v>
      </c>
      <c r="BR355">
        <v>0</v>
      </c>
      <c r="BS355">
        <v>1</v>
      </c>
      <c r="BT355" s="1" t="s">
        <v>128</v>
      </c>
      <c r="BU355">
        <v>0</v>
      </c>
      <c r="BV355" s="1" t="s">
        <v>129</v>
      </c>
      <c r="BW355" s="1" t="s">
        <v>129</v>
      </c>
      <c r="BX355">
        <v>0.4</v>
      </c>
      <c r="BY355" s="1" t="s">
        <v>128</v>
      </c>
      <c r="BZ355" s="1" t="s">
        <v>129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3</v>
      </c>
      <c r="CH355" s="1" t="s">
        <v>140</v>
      </c>
      <c r="CI355">
        <v>0</v>
      </c>
      <c r="CJ355" s="1" t="s">
        <v>184</v>
      </c>
      <c r="CK355" s="1" t="s">
        <v>161</v>
      </c>
      <c r="CL355">
        <v>1.4</v>
      </c>
      <c r="CM355" s="1" t="s">
        <v>1926</v>
      </c>
      <c r="CN355" s="1" t="s">
        <v>2872</v>
      </c>
      <c r="CO355" s="1" t="s">
        <v>1926</v>
      </c>
      <c r="CP355" s="1" t="s">
        <v>4111</v>
      </c>
      <c r="CQ355" s="1" t="s">
        <v>3478</v>
      </c>
      <c r="CR355" s="1" t="s">
        <v>4112</v>
      </c>
      <c r="CS355">
        <v>1644</v>
      </c>
      <c r="CT355">
        <v>1729</v>
      </c>
      <c r="CU355" s="1" t="s">
        <v>1164</v>
      </c>
      <c r="CV355" s="1" t="s">
        <v>4113</v>
      </c>
      <c r="CW355">
        <v>34.450000000000003</v>
      </c>
      <c r="CX355">
        <v>34.200000000000003</v>
      </c>
      <c r="CY355">
        <v>35.6</v>
      </c>
      <c r="CZ355" s="1" t="s">
        <v>3139</v>
      </c>
      <c r="DA355">
        <v>1</v>
      </c>
      <c r="DB355" t="s">
        <v>525</v>
      </c>
      <c r="DC355">
        <v>22</v>
      </c>
      <c r="DD355" s="1" t="s">
        <v>4114</v>
      </c>
      <c r="DE355">
        <v>-19.051741513209102</v>
      </c>
      <c r="DF355" t="e">
        <f>_xlfn.XLOOKUP(Table1[[#This Row],[Player ID]],Table2[feed_id],Table2[trade_status])</f>
        <v>#N/A</v>
      </c>
      <c r="DG355">
        <f>_xlfn.NUMBERVALUE(Table1[[#This Row],[predicted]])</f>
        <v>41.051741513209102</v>
      </c>
    </row>
    <row r="356" spans="1:111" hidden="1" x14ac:dyDescent="0.25">
      <c r="A356">
        <v>106318</v>
      </c>
      <c r="B356">
        <v>7993</v>
      </c>
      <c r="C356" t="s">
        <v>4115</v>
      </c>
      <c r="D356" t="s">
        <v>539</v>
      </c>
      <c r="E356">
        <v>2022</v>
      </c>
      <c r="F356">
        <v>293193</v>
      </c>
      <c r="G356" t="s">
        <v>176</v>
      </c>
      <c r="H356" t="s">
        <v>2955</v>
      </c>
      <c r="I356" t="s">
        <v>510</v>
      </c>
      <c r="J356">
        <v>4</v>
      </c>
      <c r="K356">
        <v>46</v>
      </c>
      <c r="L356">
        <v>53</v>
      </c>
      <c r="M356">
        <v>37</v>
      </c>
      <c r="N356">
        <v>39</v>
      </c>
      <c r="O356">
        <v>51</v>
      </c>
      <c r="P356">
        <v>5</v>
      </c>
      <c r="Q356">
        <v>7</v>
      </c>
      <c r="R356">
        <v>4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0</v>
      </c>
      <c r="Y356" t="s">
        <v>113</v>
      </c>
      <c r="Z356" t="s">
        <v>226</v>
      </c>
      <c r="AA356" t="s">
        <v>4116</v>
      </c>
      <c r="AH356" t="s">
        <v>181</v>
      </c>
      <c r="AI356">
        <v>16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S356">
        <v>7</v>
      </c>
      <c r="AT356">
        <v>2</v>
      </c>
      <c r="AU356">
        <v>1</v>
      </c>
      <c r="AV356">
        <v>91</v>
      </c>
      <c r="AW356">
        <v>81</v>
      </c>
      <c r="AX356">
        <v>106</v>
      </c>
      <c r="AY356">
        <v>0</v>
      </c>
      <c r="AZ356" t="b">
        <v>0</v>
      </c>
      <c r="BA356">
        <v>1736</v>
      </c>
      <c r="BB356">
        <v>1537</v>
      </c>
      <c r="BC356">
        <v>12</v>
      </c>
      <c r="BD356" t="s">
        <v>4117</v>
      </c>
      <c r="BE356" s="1" t="s">
        <v>4118</v>
      </c>
      <c r="BF356">
        <v>0</v>
      </c>
      <c r="BG356">
        <v>72</v>
      </c>
      <c r="BH356">
        <v>0</v>
      </c>
      <c r="BI356">
        <v>6</v>
      </c>
      <c r="BJ356" s="1" t="s">
        <v>545</v>
      </c>
      <c r="BK356">
        <v>5</v>
      </c>
      <c r="BL356">
        <v>4.8</v>
      </c>
      <c r="BM356">
        <v>4</v>
      </c>
      <c r="BN356">
        <v>3.4</v>
      </c>
      <c r="BO356">
        <v>1</v>
      </c>
      <c r="BP356">
        <v>1.8</v>
      </c>
      <c r="BQ356">
        <v>0</v>
      </c>
      <c r="BR356">
        <v>0</v>
      </c>
      <c r="BS356" s="1" t="s">
        <v>126</v>
      </c>
      <c r="BT356" s="1" t="s">
        <v>126</v>
      </c>
      <c r="BU356" s="1" t="s">
        <v>129</v>
      </c>
      <c r="BV356">
        <v>0.4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 s="1" t="s">
        <v>160</v>
      </c>
      <c r="CH356" s="1" t="s">
        <v>436</v>
      </c>
      <c r="CI356">
        <v>1</v>
      </c>
      <c r="CJ356" s="1" t="s">
        <v>231</v>
      </c>
      <c r="CK356">
        <v>1</v>
      </c>
      <c r="CL356" s="1" t="s">
        <v>327</v>
      </c>
      <c r="CM356">
        <v>87</v>
      </c>
      <c r="CN356">
        <v>84.2</v>
      </c>
      <c r="CO356">
        <v>86</v>
      </c>
      <c r="CP356">
        <v>84</v>
      </c>
      <c r="CQ356" s="1" t="s">
        <v>4119</v>
      </c>
      <c r="CR356" s="1" t="s">
        <v>4120</v>
      </c>
      <c r="CS356" s="1" t="s">
        <v>2903</v>
      </c>
      <c r="CT356" s="1" t="s">
        <v>4121</v>
      </c>
      <c r="CU356" s="1" t="s">
        <v>4032</v>
      </c>
      <c r="CV356" s="1" t="s">
        <v>4122</v>
      </c>
      <c r="CW356">
        <v>60.4</v>
      </c>
      <c r="CX356">
        <v>54</v>
      </c>
      <c r="CY356">
        <v>54</v>
      </c>
      <c r="CZ356" s="1" t="s">
        <v>4123</v>
      </c>
      <c r="DA356">
        <v>1</v>
      </c>
      <c r="DB356" t="s">
        <v>226</v>
      </c>
      <c r="DC356">
        <v>53</v>
      </c>
      <c r="DD356" s="1" t="s">
        <v>4124</v>
      </c>
      <c r="DE356">
        <v>-29.802955016471699</v>
      </c>
      <c r="DF356" t="e">
        <f>_xlfn.XLOOKUP(Table1[[#This Row],[Player ID]],Table2[feed_id],Table2[trade_status])</f>
        <v>#N/A</v>
      </c>
      <c r="DG356">
        <f>_xlfn.NUMBERVALUE(Table1[[#This Row],[predicted]])</f>
        <v>82.802955016471699</v>
      </c>
    </row>
    <row r="357" spans="1:111" hidden="1" x14ac:dyDescent="0.25">
      <c r="A357">
        <v>106587</v>
      </c>
      <c r="B357">
        <v>7999</v>
      </c>
      <c r="C357" t="s">
        <v>4125</v>
      </c>
      <c r="D357" t="s">
        <v>539</v>
      </c>
      <c r="E357">
        <v>2022</v>
      </c>
      <c r="F357">
        <v>291771</v>
      </c>
      <c r="G357" t="s">
        <v>4126</v>
      </c>
      <c r="H357" t="s">
        <v>1538</v>
      </c>
      <c r="I357" t="s">
        <v>619</v>
      </c>
      <c r="J357">
        <v>2</v>
      </c>
      <c r="K357">
        <v>37</v>
      </c>
      <c r="L357">
        <v>41</v>
      </c>
      <c r="M357">
        <v>32</v>
      </c>
      <c r="N357">
        <v>27</v>
      </c>
      <c r="O357">
        <v>38</v>
      </c>
      <c r="P357">
        <v>4</v>
      </c>
      <c r="Q357">
        <v>4</v>
      </c>
      <c r="R357">
        <v>1</v>
      </c>
      <c r="S357">
        <v>3</v>
      </c>
      <c r="T357">
        <v>0</v>
      </c>
      <c r="U357">
        <v>0</v>
      </c>
      <c r="V357">
        <v>0</v>
      </c>
      <c r="W357">
        <v>0</v>
      </c>
      <c r="X357">
        <v>2</v>
      </c>
      <c r="Y357" t="s">
        <v>113</v>
      </c>
      <c r="Z357" t="s">
        <v>861</v>
      </c>
      <c r="AA357" t="s">
        <v>4127</v>
      </c>
      <c r="AH357" t="s">
        <v>155</v>
      </c>
      <c r="AI357">
        <v>5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S357">
        <v>4</v>
      </c>
      <c r="AT357">
        <v>0</v>
      </c>
      <c r="AU357">
        <v>0</v>
      </c>
      <c r="AV357">
        <v>37</v>
      </c>
      <c r="AW357">
        <v>72</v>
      </c>
      <c r="AX357">
        <v>99</v>
      </c>
      <c r="AY357">
        <v>1</v>
      </c>
      <c r="AZ357" t="b">
        <v>0</v>
      </c>
      <c r="BA357">
        <v>1665</v>
      </c>
      <c r="BB357">
        <v>1623</v>
      </c>
      <c r="BC357">
        <v>12</v>
      </c>
      <c r="BD357" t="s">
        <v>4128</v>
      </c>
      <c r="BE357" s="1" t="s">
        <v>4118</v>
      </c>
      <c r="BF357">
        <v>0</v>
      </c>
      <c r="BG357">
        <v>72</v>
      </c>
      <c r="BH357">
        <v>0</v>
      </c>
      <c r="BI357">
        <v>5</v>
      </c>
      <c r="BJ357" s="1" t="s">
        <v>1079</v>
      </c>
      <c r="BK357" s="1" t="s">
        <v>160</v>
      </c>
      <c r="BL357">
        <v>5.6</v>
      </c>
      <c r="BM357" s="1" t="s">
        <v>126</v>
      </c>
      <c r="BN357" s="1" t="s">
        <v>170</v>
      </c>
      <c r="BO357">
        <v>3</v>
      </c>
      <c r="BP357" s="1" t="s">
        <v>237</v>
      </c>
      <c r="BQ357">
        <v>0</v>
      </c>
      <c r="BR357">
        <v>0</v>
      </c>
      <c r="BS357">
        <v>0</v>
      </c>
      <c r="BT357">
        <v>0.6</v>
      </c>
      <c r="BU357">
        <v>1</v>
      </c>
      <c r="BV357">
        <v>1</v>
      </c>
      <c r="BW357">
        <v>0</v>
      </c>
      <c r="BX357">
        <v>0.8</v>
      </c>
      <c r="BY357">
        <v>1</v>
      </c>
      <c r="BZ357" s="1" t="s">
        <v>257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 s="1" t="s">
        <v>125</v>
      </c>
      <c r="CH357" s="1" t="s">
        <v>436</v>
      </c>
      <c r="CI357" s="1" t="s">
        <v>128</v>
      </c>
      <c r="CJ357" s="1" t="s">
        <v>130</v>
      </c>
      <c r="CK357" s="1" t="s">
        <v>159</v>
      </c>
      <c r="CL357" s="1" t="s">
        <v>375</v>
      </c>
      <c r="CM357" s="1" t="s">
        <v>283</v>
      </c>
      <c r="CN357" s="1" t="s">
        <v>609</v>
      </c>
      <c r="CO357" s="1" t="s">
        <v>755</v>
      </c>
      <c r="CP357" s="1" t="s">
        <v>1889</v>
      </c>
      <c r="CQ357">
        <v>97</v>
      </c>
      <c r="CR357">
        <v>190.4</v>
      </c>
      <c r="CS357" s="1" t="s">
        <v>1533</v>
      </c>
      <c r="CT357">
        <v>1663</v>
      </c>
      <c r="CU357" s="1" t="s">
        <v>4129</v>
      </c>
      <c r="CV357" s="1" t="s">
        <v>145</v>
      </c>
      <c r="CW357">
        <v>59.55</v>
      </c>
      <c r="CX357">
        <v>69.099999999999994</v>
      </c>
      <c r="CY357">
        <v>64.599999999999994</v>
      </c>
      <c r="CZ357" s="1" t="s">
        <v>1861</v>
      </c>
      <c r="DA357">
        <v>1</v>
      </c>
      <c r="DB357" t="s">
        <v>861</v>
      </c>
      <c r="DC357">
        <v>41</v>
      </c>
      <c r="DD357" s="1" t="s">
        <v>4130</v>
      </c>
      <c r="DE357">
        <v>-21.2099635430028</v>
      </c>
      <c r="DF357" t="e">
        <f>_xlfn.XLOOKUP(Table1[[#This Row],[Player ID]],Table2[feed_id],Table2[trade_status])</f>
        <v>#N/A</v>
      </c>
      <c r="DG357">
        <f>_xlfn.NUMBERVALUE(Table1[[#This Row],[predicted]])</f>
        <v>62.2099635430028</v>
      </c>
    </row>
    <row r="358" spans="1:111" hidden="1" x14ac:dyDescent="0.25">
      <c r="A358">
        <v>106614</v>
      </c>
      <c r="B358">
        <v>8000</v>
      </c>
      <c r="C358" t="s">
        <v>4131</v>
      </c>
      <c r="D358" t="s">
        <v>579</v>
      </c>
      <c r="E358">
        <v>2022</v>
      </c>
      <c r="F358">
        <v>291545</v>
      </c>
      <c r="G358" t="s">
        <v>1718</v>
      </c>
      <c r="H358" t="s">
        <v>4132</v>
      </c>
      <c r="I358" t="s">
        <v>712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t="s">
        <v>113</v>
      </c>
      <c r="Z358" t="s">
        <v>3571</v>
      </c>
      <c r="AA358" t="s">
        <v>4081</v>
      </c>
      <c r="AH358" t="s">
        <v>118</v>
      </c>
      <c r="AI358">
        <v>3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 t="b">
        <v>0</v>
      </c>
      <c r="BA358">
        <v>1690</v>
      </c>
      <c r="BB358">
        <v>1576</v>
      </c>
      <c r="BC358">
        <v>13</v>
      </c>
      <c r="BD358" t="s">
        <v>4133</v>
      </c>
      <c r="BE358">
        <v>98</v>
      </c>
      <c r="BF358">
        <v>0</v>
      </c>
      <c r="BG358">
        <v>71</v>
      </c>
      <c r="BH358">
        <v>0</v>
      </c>
      <c r="BI358" s="1" t="s">
        <v>160</v>
      </c>
      <c r="BJ358" s="1" t="s">
        <v>436</v>
      </c>
      <c r="BK358" s="1" t="s">
        <v>126</v>
      </c>
      <c r="BL358">
        <v>4</v>
      </c>
      <c r="BM358" s="1" t="s">
        <v>169</v>
      </c>
      <c r="BN358" s="1" t="s">
        <v>255</v>
      </c>
      <c r="BO358">
        <v>2</v>
      </c>
      <c r="BP358">
        <v>1.2</v>
      </c>
      <c r="BQ358">
        <v>0</v>
      </c>
      <c r="BR358">
        <v>0</v>
      </c>
      <c r="BS358" s="1" t="s">
        <v>129</v>
      </c>
      <c r="BT358" s="1" t="s">
        <v>162</v>
      </c>
      <c r="BU358" s="1" t="s">
        <v>129</v>
      </c>
      <c r="BV358" s="1" t="s">
        <v>129</v>
      </c>
      <c r="BW358">
        <v>1</v>
      </c>
      <c r="BX358" s="1" t="s">
        <v>399</v>
      </c>
      <c r="BY358" s="1" t="s">
        <v>128</v>
      </c>
      <c r="BZ358">
        <v>0.8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1</v>
      </c>
      <c r="CH358">
        <v>4</v>
      </c>
      <c r="CI358">
        <v>0</v>
      </c>
      <c r="CJ358" s="1" t="s">
        <v>129</v>
      </c>
      <c r="CK358" s="1" t="s">
        <v>126</v>
      </c>
      <c r="CL358" s="1" t="s">
        <v>206</v>
      </c>
      <c r="CM358">
        <v>46</v>
      </c>
      <c r="CN358" s="1" t="s">
        <v>3199</v>
      </c>
      <c r="CO358">
        <v>37</v>
      </c>
      <c r="CP358" s="1" t="s">
        <v>4134</v>
      </c>
      <c r="CQ358">
        <v>105</v>
      </c>
      <c r="CR358">
        <v>102.4</v>
      </c>
      <c r="CS358" s="1" t="s">
        <v>4135</v>
      </c>
      <c r="CT358" s="1" t="s">
        <v>4136</v>
      </c>
      <c r="CU358" s="1" t="s">
        <v>4137</v>
      </c>
      <c r="CV358">
        <v>1570</v>
      </c>
      <c r="CW358">
        <v>52.7</v>
      </c>
      <c r="CX358">
        <v>39.700000000000003</v>
      </c>
      <c r="CY358">
        <v>33.6</v>
      </c>
      <c r="CZ358" s="1" t="s">
        <v>4138</v>
      </c>
      <c r="DA358">
        <v>1</v>
      </c>
      <c r="DB358" t="s">
        <v>3571</v>
      </c>
      <c r="DC358">
        <v>0</v>
      </c>
      <c r="DD358" s="1" t="s">
        <v>4139</v>
      </c>
      <c r="DE358">
        <v>-43.416115684180603</v>
      </c>
      <c r="DF358" t="e">
        <f>_xlfn.XLOOKUP(Table1[[#This Row],[Player ID]],Table2[feed_id],Table2[trade_status])</f>
        <v>#N/A</v>
      </c>
      <c r="DG358">
        <f>_xlfn.NUMBERVALUE(Table1[[#This Row],[predicted]])</f>
        <v>43.416115684180603</v>
      </c>
    </row>
    <row r="359" spans="1:111" hidden="1" x14ac:dyDescent="0.25">
      <c r="A359">
        <v>106771</v>
      </c>
      <c r="B359">
        <v>8003</v>
      </c>
      <c r="C359" t="s">
        <v>4140</v>
      </c>
      <c r="D359" t="s">
        <v>579</v>
      </c>
      <c r="E359">
        <v>2022</v>
      </c>
      <c r="F359">
        <v>1004880</v>
      </c>
      <c r="G359" t="s">
        <v>670</v>
      </c>
      <c r="H359" t="s">
        <v>4141</v>
      </c>
      <c r="I359" t="s">
        <v>338</v>
      </c>
      <c r="J359">
        <v>0</v>
      </c>
      <c r="K359">
        <v>12</v>
      </c>
      <c r="L359">
        <v>19</v>
      </c>
      <c r="M359">
        <v>10</v>
      </c>
      <c r="N359">
        <v>11</v>
      </c>
      <c r="O359">
        <v>15</v>
      </c>
      <c r="P359">
        <v>1</v>
      </c>
      <c r="Q359">
        <v>3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113</v>
      </c>
      <c r="Z359" t="s">
        <v>3571</v>
      </c>
      <c r="AA359" t="s">
        <v>4142</v>
      </c>
      <c r="AH359" t="s">
        <v>118</v>
      </c>
      <c r="AI359">
        <v>25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S359">
        <v>2</v>
      </c>
      <c r="AT359">
        <v>0</v>
      </c>
      <c r="AU359">
        <v>0</v>
      </c>
      <c r="AV359">
        <v>100</v>
      </c>
      <c r="AW359">
        <v>46</v>
      </c>
      <c r="AX359">
        <v>5</v>
      </c>
      <c r="AY359">
        <v>1</v>
      </c>
      <c r="AZ359" t="b">
        <v>0</v>
      </c>
      <c r="BA359">
        <v>1614</v>
      </c>
      <c r="BB359">
        <v>1682</v>
      </c>
      <c r="BC359">
        <v>13</v>
      </c>
      <c r="BD359" t="s">
        <v>4143</v>
      </c>
      <c r="BE359">
        <v>98</v>
      </c>
      <c r="BF359">
        <v>0</v>
      </c>
      <c r="BG359">
        <v>71</v>
      </c>
      <c r="BH359">
        <v>0</v>
      </c>
      <c r="BI359" s="1" t="s">
        <v>211</v>
      </c>
      <c r="BJ359">
        <v>6.8</v>
      </c>
      <c r="BK359" s="1" t="s">
        <v>125</v>
      </c>
      <c r="BL359">
        <v>4</v>
      </c>
      <c r="BM359" s="1" t="s">
        <v>161</v>
      </c>
      <c r="BN359" s="1" t="s">
        <v>528</v>
      </c>
      <c r="BO359" s="1" t="s">
        <v>161</v>
      </c>
      <c r="BP359">
        <v>2.4</v>
      </c>
      <c r="BQ359">
        <v>0</v>
      </c>
      <c r="BR359">
        <v>0</v>
      </c>
      <c r="BS359">
        <v>1</v>
      </c>
      <c r="BT359">
        <v>0.6</v>
      </c>
      <c r="BU359">
        <v>0</v>
      </c>
      <c r="BV359" s="1" t="s">
        <v>129</v>
      </c>
      <c r="BW359">
        <v>0</v>
      </c>
      <c r="BX359" s="1" t="s">
        <v>128</v>
      </c>
      <c r="BY359" s="1" t="s">
        <v>129</v>
      </c>
      <c r="BZ359" s="1" t="s">
        <v>128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 s="1" t="s">
        <v>449</v>
      </c>
      <c r="CH359">
        <v>4.4000000000000004</v>
      </c>
      <c r="CI359">
        <v>0</v>
      </c>
      <c r="CJ359" s="1" t="s">
        <v>184</v>
      </c>
      <c r="CK359" s="1" t="s">
        <v>128</v>
      </c>
      <c r="CL359" s="1" t="s">
        <v>161</v>
      </c>
      <c r="CM359">
        <v>75</v>
      </c>
      <c r="CN359" s="1" t="s">
        <v>4144</v>
      </c>
      <c r="CO359" s="1" t="s">
        <v>1166</v>
      </c>
      <c r="CP359">
        <v>67.599999999999994</v>
      </c>
      <c r="CQ359" s="1" t="s">
        <v>261</v>
      </c>
      <c r="CS359">
        <v>1610</v>
      </c>
      <c r="CT359" s="1" t="s">
        <v>4145</v>
      </c>
      <c r="CU359" s="1" t="s">
        <v>2080</v>
      </c>
      <c r="CV359" s="1" t="s">
        <v>4146</v>
      </c>
      <c r="CW359">
        <v>52.6</v>
      </c>
      <c r="CX359">
        <v>54.7</v>
      </c>
      <c r="CY359">
        <v>56.8</v>
      </c>
      <c r="CZ359" s="1" t="s">
        <v>2127</v>
      </c>
      <c r="DA359">
        <v>1</v>
      </c>
      <c r="DB359" t="s">
        <v>3571</v>
      </c>
      <c r="DC359">
        <v>19</v>
      </c>
      <c r="DD359" s="1" t="s">
        <v>4147</v>
      </c>
      <c r="DE359">
        <v>-25.719598561472399</v>
      </c>
      <c r="DF359" t="e">
        <f>_xlfn.XLOOKUP(Table1[[#This Row],[Player ID]],Table2[feed_id],Table2[trade_status])</f>
        <v>#N/A</v>
      </c>
      <c r="DG359">
        <f>_xlfn.NUMBERVALUE(Table1[[#This Row],[predicted]])</f>
        <v>44.719598561472402</v>
      </c>
    </row>
    <row r="360" spans="1:111" hidden="1" x14ac:dyDescent="0.25">
      <c r="A360">
        <v>106839</v>
      </c>
      <c r="B360">
        <v>8005</v>
      </c>
      <c r="C360" t="s">
        <v>4148</v>
      </c>
      <c r="D360" t="s">
        <v>579</v>
      </c>
      <c r="E360">
        <v>2022</v>
      </c>
      <c r="F360">
        <v>1002353</v>
      </c>
      <c r="G360" t="s">
        <v>1718</v>
      </c>
      <c r="H360" t="s">
        <v>4149</v>
      </c>
      <c r="I360" t="s">
        <v>178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113</v>
      </c>
      <c r="Z360" t="s">
        <v>3571</v>
      </c>
      <c r="AA360" t="s">
        <v>4081</v>
      </c>
      <c r="AH360" t="s">
        <v>118</v>
      </c>
      <c r="AI360">
        <v>12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 t="b">
        <v>0</v>
      </c>
      <c r="BA360">
        <v>1560</v>
      </c>
      <c r="BB360">
        <v>1721</v>
      </c>
      <c r="BC360">
        <v>13</v>
      </c>
      <c r="BD360" t="s">
        <v>4150</v>
      </c>
      <c r="BE360">
        <v>98</v>
      </c>
      <c r="BF360">
        <v>0</v>
      </c>
      <c r="BG360">
        <v>71</v>
      </c>
      <c r="BH360">
        <v>0</v>
      </c>
      <c r="BI360">
        <v>5</v>
      </c>
      <c r="BJ360" s="1" t="s">
        <v>212</v>
      </c>
      <c r="BK360" s="1" t="s">
        <v>253</v>
      </c>
      <c r="BL360" s="1" t="s">
        <v>1092</v>
      </c>
      <c r="BM360" s="1" t="s">
        <v>128</v>
      </c>
      <c r="BN360">
        <v>2</v>
      </c>
      <c r="BO360" s="1" t="s">
        <v>126</v>
      </c>
      <c r="BP360" s="1" t="s">
        <v>161</v>
      </c>
      <c r="BQ360">
        <v>0</v>
      </c>
      <c r="BR360">
        <v>0</v>
      </c>
      <c r="BS360">
        <v>0</v>
      </c>
      <c r="BT360" s="1" t="s">
        <v>231</v>
      </c>
      <c r="BU360" s="1" t="s">
        <v>129</v>
      </c>
      <c r="BV360" s="1" t="s">
        <v>184</v>
      </c>
      <c r="BW360" s="1" t="s">
        <v>129</v>
      </c>
      <c r="BX360" s="1" t="s">
        <v>129</v>
      </c>
      <c r="BY360" s="1" t="s">
        <v>128</v>
      </c>
      <c r="BZ360" s="1" t="s">
        <v>129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6</v>
      </c>
      <c r="CH360">
        <v>3.8</v>
      </c>
      <c r="CI360" s="1" t="s">
        <v>161</v>
      </c>
      <c r="CJ360" s="1" t="s">
        <v>130</v>
      </c>
      <c r="CK360" s="1" t="s">
        <v>128</v>
      </c>
      <c r="CL360" s="1" t="s">
        <v>130</v>
      </c>
      <c r="CM360">
        <v>48</v>
      </c>
      <c r="CN360" s="1" t="s">
        <v>2248</v>
      </c>
      <c r="CO360" s="1" t="s">
        <v>1969</v>
      </c>
      <c r="CP360" s="1" t="s">
        <v>4151</v>
      </c>
      <c r="CQ360" s="1" t="s">
        <v>4152</v>
      </c>
      <c r="CR360">
        <v>115</v>
      </c>
      <c r="CS360" s="1" t="s">
        <v>3630</v>
      </c>
      <c r="CT360" s="1" t="s">
        <v>4153</v>
      </c>
      <c r="CU360">
        <v>1675</v>
      </c>
      <c r="CV360" s="1" t="s">
        <v>4154</v>
      </c>
      <c r="CW360">
        <v>43.25</v>
      </c>
      <c r="CX360">
        <v>40.9</v>
      </c>
      <c r="CY360">
        <v>47</v>
      </c>
      <c r="CZ360" s="1" t="s">
        <v>2953</v>
      </c>
      <c r="DA360">
        <v>1</v>
      </c>
      <c r="DB360" t="s">
        <v>3571</v>
      </c>
      <c r="DC360">
        <v>0</v>
      </c>
      <c r="DD360" s="1" t="s">
        <v>4155</v>
      </c>
      <c r="DE360">
        <v>-40.246472486144398</v>
      </c>
      <c r="DF360" t="e">
        <f>_xlfn.XLOOKUP(Table1[[#This Row],[Player ID]],Table2[feed_id],Table2[trade_status])</f>
        <v>#N/A</v>
      </c>
      <c r="DG360">
        <f>_xlfn.NUMBERVALUE(Table1[[#This Row],[predicted]])</f>
        <v>40.246472486144398</v>
      </c>
    </row>
    <row r="361" spans="1:111" hidden="1" x14ac:dyDescent="0.25">
      <c r="A361">
        <v>106903</v>
      </c>
      <c r="B361">
        <v>8006</v>
      </c>
      <c r="C361" t="s">
        <v>4156</v>
      </c>
      <c r="D361" t="s">
        <v>1360</v>
      </c>
      <c r="E361">
        <v>2022</v>
      </c>
      <c r="F361">
        <v>296035</v>
      </c>
      <c r="G361" t="s">
        <v>4157</v>
      </c>
      <c r="H361" t="s">
        <v>4158</v>
      </c>
      <c r="I361" t="s">
        <v>425</v>
      </c>
      <c r="J361">
        <v>6</v>
      </c>
      <c r="K361">
        <v>38</v>
      </c>
      <c r="L361">
        <v>36</v>
      </c>
      <c r="M361">
        <v>28</v>
      </c>
      <c r="N361">
        <v>32</v>
      </c>
      <c r="O361">
        <v>48</v>
      </c>
      <c r="P361">
        <v>4</v>
      </c>
      <c r="Q361">
        <v>11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113</v>
      </c>
      <c r="Z361" t="s">
        <v>114</v>
      </c>
      <c r="AA361" t="s">
        <v>4159</v>
      </c>
      <c r="AB361" t="s">
        <v>116</v>
      </c>
      <c r="AC361" t="s">
        <v>4160</v>
      </c>
      <c r="AH361" t="s">
        <v>118</v>
      </c>
      <c r="AI361">
        <v>43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S361">
        <v>4</v>
      </c>
      <c r="AT361">
        <v>2</v>
      </c>
      <c r="AU361">
        <v>3</v>
      </c>
      <c r="AV361">
        <v>60</v>
      </c>
      <c r="AW361">
        <v>57</v>
      </c>
      <c r="AX361">
        <v>114</v>
      </c>
      <c r="AY361">
        <v>1</v>
      </c>
      <c r="AZ361" t="b">
        <v>1</v>
      </c>
      <c r="BA361">
        <v>1676</v>
      </c>
      <c r="BB361">
        <v>1616</v>
      </c>
      <c r="BC361">
        <v>14</v>
      </c>
      <c r="BD361" t="s">
        <v>4161</v>
      </c>
      <c r="BE361">
        <v>99</v>
      </c>
      <c r="BF361">
        <v>0</v>
      </c>
      <c r="BG361">
        <v>70</v>
      </c>
      <c r="BH361">
        <v>0</v>
      </c>
      <c r="BI361" s="1" t="s">
        <v>294</v>
      </c>
      <c r="BJ361" s="1" t="s">
        <v>879</v>
      </c>
      <c r="BK361" s="1" t="s">
        <v>545</v>
      </c>
      <c r="BL361" s="1" t="s">
        <v>430</v>
      </c>
      <c r="BM361">
        <v>4</v>
      </c>
      <c r="BN361" s="1" t="s">
        <v>565</v>
      </c>
      <c r="BO361" s="1" t="s">
        <v>161</v>
      </c>
      <c r="BP361" s="1" t="s">
        <v>304</v>
      </c>
      <c r="BQ361">
        <v>0</v>
      </c>
      <c r="BR361">
        <v>0</v>
      </c>
      <c r="BS361">
        <v>0</v>
      </c>
      <c r="BT361">
        <v>0.2</v>
      </c>
      <c r="BU361">
        <v>0</v>
      </c>
      <c r="BV361">
        <v>0.4</v>
      </c>
      <c r="BW361" s="1" t="s">
        <v>129</v>
      </c>
      <c r="BX361" s="1" t="s">
        <v>213</v>
      </c>
      <c r="BY361" s="1" t="s">
        <v>128</v>
      </c>
      <c r="BZ361" s="1" t="s">
        <v>213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4</v>
      </c>
      <c r="CH361" s="1" t="s">
        <v>189</v>
      </c>
      <c r="CI361" s="1" t="s">
        <v>126</v>
      </c>
      <c r="CJ361" s="1" t="s">
        <v>257</v>
      </c>
      <c r="CK361" s="1" t="s">
        <v>161</v>
      </c>
      <c r="CL361" s="1" t="s">
        <v>375</v>
      </c>
      <c r="CM361">
        <v>63</v>
      </c>
      <c r="CN361" s="1" t="s">
        <v>263</v>
      </c>
      <c r="CO361" s="1" t="s">
        <v>215</v>
      </c>
      <c r="CP361">
        <v>76</v>
      </c>
      <c r="CQ361">
        <v>237</v>
      </c>
      <c r="CR361" s="1" t="s">
        <v>4162</v>
      </c>
      <c r="CS361" s="1" t="s">
        <v>2231</v>
      </c>
      <c r="CT361">
        <v>1640.8</v>
      </c>
      <c r="CU361" s="1" t="s">
        <v>4163</v>
      </c>
      <c r="CV361">
        <v>1648</v>
      </c>
      <c r="CW361">
        <v>65.05</v>
      </c>
      <c r="CX361">
        <v>60.2</v>
      </c>
      <c r="CY361">
        <v>69.8</v>
      </c>
      <c r="CZ361" s="1" t="s">
        <v>418</v>
      </c>
      <c r="DA361">
        <v>1</v>
      </c>
      <c r="DB361" t="s">
        <v>114</v>
      </c>
      <c r="DC361">
        <v>36</v>
      </c>
      <c r="DD361" s="1" t="s">
        <v>4164</v>
      </c>
      <c r="DE361">
        <v>-13.825148550303</v>
      </c>
      <c r="DF361" t="e">
        <f>_xlfn.XLOOKUP(Table1[[#This Row],[Player ID]],Table2[feed_id],Table2[trade_status])</f>
        <v>#N/A</v>
      </c>
      <c r="DG361">
        <f>_xlfn.NUMBERVALUE(Table1[[#This Row],[predicted]])</f>
        <v>49.825148550302998</v>
      </c>
    </row>
    <row r="362" spans="1:111" hidden="1" x14ac:dyDescent="0.25">
      <c r="A362">
        <v>106921</v>
      </c>
      <c r="B362">
        <v>8007</v>
      </c>
      <c r="C362" t="s">
        <v>4165</v>
      </c>
      <c r="D362" t="s">
        <v>1360</v>
      </c>
      <c r="E362">
        <v>2022</v>
      </c>
      <c r="F362">
        <v>297406</v>
      </c>
      <c r="G362" t="s">
        <v>776</v>
      </c>
      <c r="H362" t="s">
        <v>4166</v>
      </c>
      <c r="I362" t="s">
        <v>619</v>
      </c>
      <c r="J362">
        <v>9</v>
      </c>
      <c r="K362">
        <v>59</v>
      </c>
      <c r="L362">
        <v>43</v>
      </c>
      <c r="M362">
        <v>79</v>
      </c>
      <c r="N362">
        <v>49</v>
      </c>
      <c r="O362">
        <v>66</v>
      </c>
      <c r="P362">
        <v>10</v>
      </c>
      <c r="Q362">
        <v>4</v>
      </c>
      <c r="R362">
        <v>6</v>
      </c>
      <c r="S362">
        <v>2</v>
      </c>
      <c r="T362">
        <v>0</v>
      </c>
      <c r="U362">
        <v>1</v>
      </c>
      <c r="V362">
        <v>2</v>
      </c>
      <c r="W362">
        <v>0</v>
      </c>
      <c r="X362">
        <v>0</v>
      </c>
      <c r="Y362" t="s">
        <v>113</v>
      </c>
      <c r="Z362" t="s">
        <v>542</v>
      </c>
      <c r="AA362" t="s">
        <v>4167</v>
      </c>
      <c r="AB362" t="s">
        <v>525</v>
      </c>
      <c r="AC362" t="s">
        <v>1440</v>
      </c>
      <c r="AH362" t="s">
        <v>118</v>
      </c>
      <c r="AI362">
        <v>12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S362">
        <v>2</v>
      </c>
      <c r="AT362">
        <v>0</v>
      </c>
      <c r="AU362">
        <v>4</v>
      </c>
      <c r="AV362">
        <v>78</v>
      </c>
      <c r="AW362">
        <v>80</v>
      </c>
      <c r="AX362">
        <v>309</v>
      </c>
      <c r="AY362">
        <v>0</v>
      </c>
      <c r="AZ362" t="b">
        <v>0</v>
      </c>
      <c r="BA362">
        <v>1765</v>
      </c>
      <c r="BB362">
        <v>1527</v>
      </c>
      <c r="BC362">
        <v>14</v>
      </c>
      <c r="BD362" t="s">
        <v>4168</v>
      </c>
      <c r="BE362">
        <v>99</v>
      </c>
      <c r="BF362">
        <v>0</v>
      </c>
      <c r="BG362">
        <v>70</v>
      </c>
      <c r="BH362">
        <v>0</v>
      </c>
      <c r="BI362">
        <v>12</v>
      </c>
      <c r="BJ362" s="1" t="s">
        <v>4169</v>
      </c>
      <c r="BK362" s="1" t="s">
        <v>160</v>
      </c>
      <c r="BL362">
        <v>5.6</v>
      </c>
      <c r="BM362" s="1" t="s">
        <v>160</v>
      </c>
      <c r="BN362" s="1" t="s">
        <v>963</v>
      </c>
      <c r="BO362" s="1" t="s">
        <v>161</v>
      </c>
      <c r="BP362" s="1" t="s">
        <v>298</v>
      </c>
      <c r="BQ362">
        <v>0</v>
      </c>
      <c r="BR362">
        <v>0</v>
      </c>
      <c r="BS362" s="1" t="s">
        <v>129</v>
      </c>
      <c r="BT362" s="1" t="s">
        <v>129</v>
      </c>
      <c r="BU362" s="1" t="s">
        <v>126</v>
      </c>
      <c r="BV362" s="1" t="s">
        <v>128</v>
      </c>
      <c r="BW362">
        <v>0</v>
      </c>
      <c r="BX362">
        <v>0.4</v>
      </c>
      <c r="BY362">
        <v>0</v>
      </c>
      <c r="BZ362">
        <v>0.4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 s="1" t="s">
        <v>211</v>
      </c>
      <c r="CH362">
        <v>4.4000000000000004</v>
      </c>
      <c r="CI362" s="1" t="s">
        <v>129</v>
      </c>
      <c r="CJ362" s="1" t="s">
        <v>231</v>
      </c>
      <c r="CK362">
        <v>3</v>
      </c>
      <c r="CL362" s="1" t="s">
        <v>214</v>
      </c>
      <c r="CM362" s="1" t="s">
        <v>141</v>
      </c>
      <c r="CN362">
        <v>76</v>
      </c>
      <c r="CO362" s="1" t="s">
        <v>1110</v>
      </c>
      <c r="CP362">
        <v>85</v>
      </c>
      <c r="CQ362">
        <v>383</v>
      </c>
      <c r="CR362" s="1" t="s">
        <v>4170</v>
      </c>
      <c r="CS362" s="1" t="s">
        <v>4171</v>
      </c>
      <c r="CT362" s="1" t="s">
        <v>4172</v>
      </c>
      <c r="CU362" s="1" t="s">
        <v>4173</v>
      </c>
      <c r="CV362" s="1" t="s">
        <v>1390</v>
      </c>
      <c r="CW362">
        <v>67.5</v>
      </c>
      <c r="CX362">
        <v>73.099999999999994</v>
      </c>
      <c r="CY362">
        <v>70.400000000000006</v>
      </c>
      <c r="CZ362">
        <v>62</v>
      </c>
      <c r="DA362">
        <v>1</v>
      </c>
      <c r="DB362" t="s">
        <v>542</v>
      </c>
      <c r="DC362">
        <v>43</v>
      </c>
      <c r="DD362" s="1" t="s">
        <v>4174</v>
      </c>
      <c r="DE362">
        <v>-17.830014113459399</v>
      </c>
      <c r="DF362" t="e">
        <f>_xlfn.XLOOKUP(Table1[[#This Row],[Player ID]],Table2[feed_id],Table2[trade_status])</f>
        <v>#N/A</v>
      </c>
      <c r="DG362">
        <f>_xlfn.NUMBERVALUE(Table1[[#This Row],[predicted]])</f>
        <v>60.830014113459399</v>
      </c>
    </row>
    <row r="363" spans="1:111" hidden="1" x14ac:dyDescent="0.25">
      <c r="A363">
        <v>106929</v>
      </c>
      <c r="B363">
        <v>8007</v>
      </c>
      <c r="C363" t="s">
        <v>4165</v>
      </c>
      <c r="D363" t="s">
        <v>1360</v>
      </c>
      <c r="E363">
        <v>2022</v>
      </c>
      <c r="F363">
        <v>298445</v>
      </c>
      <c r="G363" t="s">
        <v>4175</v>
      </c>
      <c r="H363" t="s">
        <v>4176</v>
      </c>
      <c r="I363" t="s">
        <v>619</v>
      </c>
      <c r="J363">
        <v>1</v>
      </c>
      <c r="K363">
        <v>16</v>
      </c>
      <c r="L363">
        <v>17</v>
      </c>
      <c r="M363">
        <v>20</v>
      </c>
      <c r="N363">
        <v>12</v>
      </c>
      <c r="O363">
        <v>18</v>
      </c>
      <c r="P363">
        <v>0</v>
      </c>
      <c r="Q363">
        <v>4</v>
      </c>
      <c r="R363">
        <v>0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113</v>
      </c>
      <c r="Z363" t="s">
        <v>3571</v>
      </c>
      <c r="AA363" t="s">
        <v>4177</v>
      </c>
      <c r="AH363" t="s">
        <v>118</v>
      </c>
      <c r="AI363">
        <v>45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S363">
        <v>4</v>
      </c>
      <c r="AT363">
        <v>0</v>
      </c>
      <c r="AU363">
        <v>1</v>
      </c>
      <c r="AV363">
        <v>75</v>
      </c>
      <c r="AW363">
        <v>21</v>
      </c>
      <c r="AX363">
        <v>-6</v>
      </c>
      <c r="AY363">
        <v>0</v>
      </c>
      <c r="AZ363" t="b">
        <v>0</v>
      </c>
      <c r="BA363">
        <v>1765</v>
      </c>
      <c r="BB363">
        <v>1527</v>
      </c>
      <c r="BC363">
        <v>14</v>
      </c>
      <c r="BD363" t="s">
        <v>4168</v>
      </c>
      <c r="BE363">
        <v>99</v>
      </c>
      <c r="BF363">
        <v>0</v>
      </c>
      <c r="BG363">
        <v>70</v>
      </c>
      <c r="BH363">
        <v>0</v>
      </c>
      <c r="BI363" s="1" t="s">
        <v>125</v>
      </c>
      <c r="BJ363">
        <v>5</v>
      </c>
      <c r="BK363" s="1" t="s">
        <v>125</v>
      </c>
      <c r="BL363" s="1" t="s">
        <v>230</v>
      </c>
      <c r="BM363" s="1" t="s">
        <v>159</v>
      </c>
      <c r="BN363" s="1" t="s">
        <v>528</v>
      </c>
      <c r="BO363" s="1" t="s">
        <v>159</v>
      </c>
      <c r="BP363" s="1" t="s">
        <v>275</v>
      </c>
      <c r="BQ363">
        <v>0</v>
      </c>
      <c r="BR363">
        <v>0</v>
      </c>
      <c r="BS363">
        <v>0</v>
      </c>
      <c r="BT363">
        <v>0.2</v>
      </c>
      <c r="BU363" s="1" t="s">
        <v>161</v>
      </c>
      <c r="BV363" s="1" t="s">
        <v>128</v>
      </c>
      <c r="BW363" s="1" t="s">
        <v>128</v>
      </c>
      <c r="BX363">
        <v>1.2</v>
      </c>
      <c r="BY363" s="1" t="s">
        <v>128</v>
      </c>
      <c r="BZ363" s="1" t="s">
        <v>238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 s="1" t="s">
        <v>211</v>
      </c>
      <c r="CH363" s="1" t="s">
        <v>565</v>
      </c>
      <c r="CI363">
        <v>0</v>
      </c>
      <c r="CJ363" s="1" t="s">
        <v>213</v>
      </c>
      <c r="CK363" s="1" t="s">
        <v>169</v>
      </c>
      <c r="CL363">
        <v>2.2000000000000002</v>
      </c>
      <c r="CM363">
        <v>69</v>
      </c>
      <c r="CN363" s="1" t="s">
        <v>4178</v>
      </c>
      <c r="CO363" s="1" t="s">
        <v>2490</v>
      </c>
      <c r="CP363" s="1" t="s">
        <v>1354</v>
      </c>
      <c r="CQ363">
        <v>113</v>
      </c>
      <c r="CR363">
        <v>134.4</v>
      </c>
      <c r="CS363">
        <v>1561</v>
      </c>
      <c r="CT363" s="1" t="s">
        <v>4179</v>
      </c>
      <c r="CU363">
        <v>1732</v>
      </c>
      <c r="CV363">
        <v>1645.8</v>
      </c>
      <c r="CW363">
        <v>49.55</v>
      </c>
      <c r="CX363">
        <v>50</v>
      </c>
      <c r="CY363">
        <v>45.6</v>
      </c>
      <c r="CZ363">
        <v>38</v>
      </c>
      <c r="DA363">
        <v>1</v>
      </c>
      <c r="DB363" t="s">
        <v>3571</v>
      </c>
      <c r="DC363">
        <v>17</v>
      </c>
      <c r="DD363">
        <v>42.4716414258776</v>
      </c>
      <c r="DE363">
        <v>-25.4716414258776</v>
      </c>
      <c r="DF363" t="e">
        <f>_xlfn.XLOOKUP(Table1[[#This Row],[Player ID]],Table2[feed_id],Table2[trade_status])</f>
        <v>#N/A</v>
      </c>
      <c r="DG363">
        <f>_xlfn.NUMBERVALUE(Table1[[#This Row],[predicted]])</f>
        <v>42.4716414258776</v>
      </c>
    </row>
    <row r="364" spans="1:111" hidden="1" x14ac:dyDescent="0.25">
      <c r="A364">
        <v>106996</v>
      </c>
      <c r="B364">
        <v>8008</v>
      </c>
      <c r="C364" t="s">
        <v>4180</v>
      </c>
      <c r="D364" t="s">
        <v>1360</v>
      </c>
      <c r="E364">
        <v>2022</v>
      </c>
      <c r="F364">
        <v>290228</v>
      </c>
      <c r="G364" t="s">
        <v>2354</v>
      </c>
      <c r="H364" t="s">
        <v>4181</v>
      </c>
      <c r="I364" t="s">
        <v>391</v>
      </c>
      <c r="J364">
        <v>2</v>
      </c>
      <c r="K364">
        <v>21</v>
      </c>
      <c r="L364">
        <v>27</v>
      </c>
      <c r="M364">
        <v>11</v>
      </c>
      <c r="N364">
        <v>20</v>
      </c>
      <c r="O364">
        <v>30</v>
      </c>
      <c r="P364">
        <v>5</v>
      </c>
      <c r="Q364">
        <v>1</v>
      </c>
      <c r="R364">
        <v>3</v>
      </c>
      <c r="S364">
        <v>1</v>
      </c>
      <c r="T364">
        <v>0</v>
      </c>
      <c r="U364">
        <v>0</v>
      </c>
      <c r="V364">
        <v>3</v>
      </c>
      <c r="W364">
        <v>0</v>
      </c>
      <c r="X364">
        <v>0</v>
      </c>
      <c r="Y364" t="s">
        <v>113</v>
      </c>
      <c r="Z364" t="s">
        <v>179</v>
      </c>
      <c r="AA364" t="s">
        <v>4182</v>
      </c>
      <c r="AH364" t="s">
        <v>181</v>
      </c>
      <c r="AI364">
        <v>28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S364">
        <v>4</v>
      </c>
      <c r="AT364">
        <v>0</v>
      </c>
      <c r="AU364">
        <v>5</v>
      </c>
      <c r="AV364">
        <v>66</v>
      </c>
      <c r="AW364">
        <v>96</v>
      </c>
      <c r="AX364">
        <v>130</v>
      </c>
      <c r="AY364">
        <v>0</v>
      </c>
      <c r="AZ364" t="b">
        <v>0</v>
      </c>
      <c r="BA364">
        <v>1909</v>
      </c>
      <c r="BB364">
        <v>1388</v>
      </c>
      <c r="BC364">
        <v>14</v>
      </c>
      <c r="BD364" t="s">
        <v>4183</v>
      </c>
      <c r="BE364">
        <v>99</v>
      </c>
      <c r="BF364">
        <v>0</v>
      </c>
      <c r="BG364">
        <v>70</v>
      </c>
      <c r="BH364">
        <v>0</v>
      </c>
      <c r="BI364" s="1" t="s">
        <v>169</v>
      </c>
      <c r="BJ364" s="1" t="s">
        <v>499</v>
      </c>
      <c r="BK364" s="1" t="s">
        <v>161</v>
      </c>
      <c r="BL364" s="1" t="s">
        <v>990</v>
      </c>
      <c r="BM364" s="1" t="s">
        <v>161</v>
      </c>
      <c r="BN364">
        <v>3</v>
      </c>
      <c r="BO364" s="1" t="s">
        <v>128</v>
      </c>
      <c r="BP364" s="1" t="s">
        <v>399</v>
      </c>
      <c r="BQ364">
        <v>0</v>
      </c>
      <c r="BR364">
        <v>0</v>
      </c>
      <c r="BS364" s="1" t="s">
        <v>129</v>
      </c>
      <c r="BT364" s="1" t="s">
        <v>130</v>
      </c>
      <c r="BU364">
        <v>1</v>
      </c>
      <c r="BV364" s="1" t="s">
        <v>206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3</v>
      </c>
      <c r="CH364">
        <v>3.8</v>
      </c>
      <c r="CI364">
        <v>0</v>
      </c>
      <c r="CJ364" s="1" t="s">
        <v>213</v>
      </c>
      <c r="CK364" s="1" t="s">
        <v>169</v>
      </c>
      <c r="CL364" s="1" t="s">
        <v>373</v>
      </c>
      <c r="CM364" s="1" t="s">
        <v>283</v>
      </c>
      <c r="CN364" s="1" t="s">
        <v>1839</v>
      </c>
      <c r="CO364">
        <v>72</v>
      </c>
      <c r="CP364" s="1" t="s">
        <v>4184</v>
      </c>
      <c r="CQ364" s="1" t="s">
        <v>1176</v>
      </c>
      <c r="CR364" s="1" t="s">
        <v>4185</v>
      </c>
      <c r="CS364" s="1" t="s">
        <v>4186</v>
      </c>
      <c r="CT364" s="1" t="s">
        <v>4187</v>
      </c>
      <c r="CU364" s="1" t="s">
        <v>4188</v>
      </c>
      <c r="CV364" s="1" t="s">
        <v>1808</v>
      </c>
      <c r="CW364">
        <v>42.8</v>
      </c>
      <c r="CX364">
        <v>38.200000000000003</v>
      </c>
      <c r="CY364">
        <v>29.8</v>
      </c>
      <c r="CZ364" s="1" t="s">
        <v>2213</v>
      </c>
      <c r="DA364">
        <v>1</v>
      </c>
      <c r="DB364" t="s">
        <v>179</v>
      </c>
      <c r="DC364">
        <v>27</v>
      </c>
      <c r="DD364" s="1" t="s">
        <v>4189</v>
      </c>
      <c r="DE364">
        <v>-9.5444249451655701</v>
      </c>
      <c r="DF364" t="e">
        <f>_xlfn.XLOOKUP(Table1[[#This Row],[Player ID]],Table2[feed_id],Table2[trade_status])</f>
        <v>#N/A</v>
      </c>
      <c r="DG364">
        <f>_xlfn.NUMBERVALUE(Table1[[#This Row],[predicted]])</f>
        <v>36.544424945165503</v>
      </c>
    </row>
    <row r="365" spans="1:111" hidden="1" x14ac:dyDescent="0.25">
      <c r="A365">
        <v>107037</v>
      </c>
      <c r="B365">
        <v>8009</v>
      </c>
      <c r="C365" t="s">
        <v>4190</v>
      </c>
      <c r="D365" t="s">
        <v>1360</v>
      </c>
      <c r="E365">
        <v>2022</v>
      </c>
      <c r="F365">
        <v>298265</v>
      </c>
      <c r="G365" t="s">
        <v>289</v>
      </c>
      <c r="H365" t="s">
        <v>829</v>
      </c>
      <c r="I365" t="s">
        <v>152</v>
      </c>
      <c r="J365">
        <v>10</v>
      </c>
      <c r="K365">
        <v>39</v>
      </c>
      <c r="L365">
        <v>56</v>
      </c>
      <c r="M365">
        <v>35</v>
      </c>
      <c r="N365">
        <v>33</v>
      </c>
      <c r="O365">
        <v>42</v>
      </c>
      <c r="P365">
        <v>4</v>
      </c>
      <c r="Q365">
        <v>2</v>
      </c>
      <c r="R365">
        <v>4</v>
      </c>
      <c r="S365">
        <v>2</v>
      </c>
      <c r="T365">
        <v>0</v>
      </c>
      <c r="U365">
        <v>0</v>
      </c>
      <c r="V365">
        <v>1</v>
      </c>
      <c r="W365">
        <v>1</v>
      </c>
      <c r="X365">
        <v>0</v>
      </c>
      <c r="Y365" t="s">
        <v>113</v>
      </c>
      <c r="Z365" t="s">
        <v>114</v>
      </c>
      <c r="AA365" t="s">
        <v>4191</v>
      </c>
      <c r="AB365" t="s">
        <v>525</v>
      </c>
      <c r="AC365" t="s">
        <v>1440</v>
      </c>
      <c r="AH365" t="s">
        <v>181</v>
      </c>
      <c r="AI365">
        <v>36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S365">
        <v>4</v>
      </c>
      <c r="AT365">
        <v>0</v>
      </c>
      <c r="AU365">
        <v>1</v>
      </c>
      <c r="AV365">
        <v>83</v>
      </c>
      <c r="AW365">
        <v>40</v>
      </c>
      <c r="AX365">
        <v>104</v>
      </c>
      <c r="AY365">
        <v>1</v>
      </c>
      <c r="AZ365" t="b">
        <v>1</v>
      </c>
      <c r="BA365">
        <v>1734</v>
      </c>
      <c r="BB365">
        <v>1538</v>
      </c>
      <c r="BC365">
        <v>14</v>
      </c>
      <c r="BD365" t="s">
        <v>4192</v>
      </c>
      <c r="BE365">
        <v>99</v>
      </c>
      <c r="BF365">
        <v>0</v>
      </c>
      <c r="BG365">
        <v>70</v>
      </c>
      <c r="BH365">
        <v>0</v>
      </c>
      <c r="BI365">
        <v>7</v>
      </c>
      <c r="BJ365" s="1" t="s">
        <v>586</v>
      </c>
      <c r="BK365" s="1" t="s">
        <v>160</v>
      </c>
      <c r="BL365">
        <v>6.4</v>
      </c>
      <c r="BM365">
        <v>5</v>
      </c>
      <c r="BN365">
        <v>5</v>
      </c>
      <c r="BO365" s="1" t="s">
        <v>169</v>
      </c>
      <c r="BP365" s="1" t="s">
        <v>304</v>
      </c>
      <c r="BQ365">
        <v>0</v>
      </c>
      <c r="BR365">
        <v>0</v>
      </c>
      <c r="BS365">
        <v>0</v>
      </c>
      <c r="BT365" s="1" t="s">
        <v>238</v>
      </c>
      <c r="BU365">
        <v>1</v>
      </c>
      <c r="BV365" s="1" t="s">
        <v>399</v>
      </c>
      <c r="BW365" s="1" t="s">
        <v>128</v>
      </c>
      <c r="BX365">
        <v>0.2</v>
      </c>
      <c r="BY365">
        <v>0</v>
      </c>
      <c r="BZ365">
        <v>0.2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 s="1" t="s">
        <v>211</v>
      </c>
      <c r="CH365">
        <v>6.2</v>
      </c>
      <c r="CI365" s="1" t="s">
        <v>129</v>
      </c>
      <c r="CJ365">
        <v>1.2</v>
      </c>
      <c r="CK365">
        <v>2</v>
      </c>
      <c r="CL365" s="1" t="s">
        <v>255</v>
      </c>
      <c r="CM365" s="1" t="s">
        <v>1491</v>
      </c>
      <c r="CN365" s="1" t="s">
        <v>1177</v>
      </c>
      <c r="CO365">
        <v>61</v>
      </c>
      <c r="CP365" s="1" t="s">
        <v>701</v>
      </c>
      <c r="CQ365">
        <v>169</v>
      </c>
      <c r="CR365" s="1" t="s">
        <v>4193</v>
      </c>
      <c r="CS365">
        <v>1682</v>
      </c>
      <c r="CT365" s="1" t="s">
        <v>4194</v>
      </c>
      <c r="CU365" s="1" t="s">
        <v>3693</v>
      </c>
      <c r="CV365" s="1" t="s">
        <v>4195</v>
      </c>
      <c r="CW365">
        <v>71.5</v>
      </c>
      <c r="CX365">
        <v>76</v>
      </c>
      <c r="CY365">
        <v>71.2</v>
      </c>
      <c r="CZ365" s="1" t="s">
        <v>333</v>
      </c>
      <c r="DA365">
        <v>1</v>
      </c>
      <c r="DB365" t="s">
        <v>114</v>
      </c>
      <c r="DC365">
        <v>56</v>
      </c>
      <c r="DD365" s="1" t="s">
        <v>4196</v>
      </c>
      <c r="DE365" s="1" t="s">
        <v>4197</v>
      </c>
      <c r="DF365" t="e">
        <f>_xlfn.XLOOKUP(Table1[[#This Row],[Player ID]],Table2[feed_id],Table2[trade_status])</f>
        <v>#N/A</v>
      </c>
      <c r="DG365">
        <f>_xlfn.NUMBERVALUE(Table1[[#This Row],[predicted]])</f>
        <v>50.374439335592101</v>
      </c>
    </row>
    <row r="366" spans="1:111" hidden="1" x14ac:dyDescent="0.25">
      <c r="A366">
        <v>107085</v>
      </c>
      <c r="B366">
        <v>8010</v>
      </c>
      <c r="C366" t="s">
        <v>4198</v>
      </c>
      <c r="D366" t="s">
        <v>1360</v>
      </c>
      <c r="E366">
        <v>2022</v>
      </c>
      <c r="F366">
        <v>271015</v>
      </c>
      <c r="G366" t="s">
        <v>1002</v>
      </c>
      <c r="H366" t="s">
        <v>4199</v>
      </c>
      <c r="I366" t="s">
        <v>1089</v>
      </c>
      <c r="J366">
        <v>8</v>
      </c>
      <c r="K366">
        <v>33</v>
      </c>
      <c r="L366">
        <v>68</v>
      </c>
      <c r="M366">
        <v>29</v>
      </c>
      <c r="N366">
        <v>28</v>
      </c>
      <c r="O366">
        <v>36</v>
      </c>
      <c r="P366">
        <v>3</v>
      </c>
      <c r="Q366">
        <v>4</v>
      </c>
      <c r="R366">
        <v>1</v>
      </c>
      <c r="S366">
        <v>2</v>
      </c>
      <c r="T366">
        <v>0</v>
      </c>
      <c r="U366">
        <v>2</v>
      </c>
      <c r="V366">
        <v>1</v>
      </c>
      <c r="W366">
        <v>1</v>
      </c>
      <c r="X366">
        <v>0</v>
      </c>
      <c r="Y366" t="s">
        <v>113</v>
      </c>
      <c r="Z366" t="s">
        <v>525</v>
      </c>
      <c r="AA366" t="s">
        <v>4200</v>
      </c>
      <c r="AH366" t="s">
        <v>118</v>
      </c>
      <c r="AI366">
        <v>24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S366">
        <v>4</v>
      </c>
      <c r="AT366">
        <v>0</v>
      </c>
      <c r="AU366">
        <v>1</v>
      </c>
      <c r="AV366">
        <v>100</v>
      </c>
      <c r="AW366">
        <v>74</v>
      </c>
      <c r="AX366">
        <v>74</v>
      </c>
      <c r="AY366">
        <v>1</v>
      </c>
      <c r="AZ366" t="b">
        <v>0</v>
      </c>
      <c r="BA366">
        <v>1275</v>
      </c>
      <c r="BB366">
        <v>2013</v>
      </c>
      <c r="BC366">
        <v>14</v>
      </c>
      <c r="BD366" t="s">
        <v>4201</v>
      </c>
      <c r="BE366">
        <v>99</v>
      </c>
      <c r="BF366">
        <v>0</v>
      </c>
      <c r="BG366">
        <v>70</v>
      </c>
      <c r="BH366">
        <v>0</v>
      </c>
      <c r="BI366" s="1" t="s">
        <v>160</v>
      </c>
      <c r="BJ366" s="1" t="s">
        <v>752</v>
      </c>
      <c r="BK366">
        <v>6</v>
      </c>
      <c r="BL366">
        <v>6.2</v>
      </c>
      <c r="BM366" s="1" t="s">
        <v>159</v>
      </c>
      <c r="BN366" s="1" t="s">
        <v>528</v>
      </c>
      <c r="BO366">
        <v>2</v>
      </c>
      <c r="BP366" s="1" t="s">
        <v>275</v>
      </c>
      <c r="BQ366">
        <v>0</v>
      </c>
      <c r="BR366">
        <v>0</v>
      </c>
      <c r="BS366">
        <v>1</v>
      </c>
      <c r="BT366">
        <v>0.6</v>
      </c>
      <c r="BU366" s="1" t="s">
        <v>128</v>
      </c>
      <c r="BV366">
        <v>0.8</v>
      </c>
      <c r="BW366">
        <v>1</v>
      </c>
      <c r="BX366" s="1" t="s">
        <v>231</v>
      </c>
      <c r="BY366" s="1" t="s">
        <v>129</v>
      </c>
      <c r="BZ366" s="1" t="s">
        <v>184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 s="1" t="s">
        <v>169</v>
      </c>
      <c r="CH366">
        <v>3.6</v>
      </c>
      <c r="CI366">
        <v>0</v>
      </c>
      <c r="CJ366" s="1" t="s">
        <v>129</v>
      </c>
      <c r="CK366" s="1" t="s">
        <v>161</v>
      </c>
      <c r="CL366" s="1" t="s">
        <v>161</v>
      </c>
      <c r="CM366" s="1" t="s">
        <v>142</v>
      </c>
      <c r="CN366" s="1" t="s">
        <v>3322</v>
      </c>
      <c r="CO366" s="1" t="s">
        <v>364</v>
      </c>
      <c r="CP366" s="1" t="s">
        <v>172</v>
      </c>
      <c r="CQ366" s="1" t="s">
        <v>4202</v>
      </c>
      <c r="CR366">
        <v>142.80000000000001</v>
      </c>
      <c r="CS366" s="1" t="s">
        <v>4203</v>
      </c>
      <c r="CT366" s="1" t="s">
        <v>4204</v>
      </c>
      <c r="CU366" s="1" t="s">
        <v>4205</v>
      </c>
      <c r="CV366">
        <v>1520.6</v>
      </c>
      <c r="CW366">
        <v>48.1</v>
      </c>
      <c r="CX366">
        <v>40.6</v>
      </c>
      <c r="CY366">
        <v>42</v>
      </c>
      <c r="CZ366">
        <v>61</v>
      </c>
      <c r="DA366">
        <v>1</v>
      </c>
      <c r="DB366" t="s">
        <v>525</v>
      </c>
      <c r="DC366">
        <v>68</v>
      </c>
      <c r="DD366" s="1" t="s">
        <v>4206</v>
      </c>
      <c r="DE366" s="1" t="s">
        <v>4207</v>
      </c>
      <c r="DF366" t="e">
        <f>_xlfn.XLOOKUP(Table1[[#This Row],[Player ID]],Table2[feed_id],Table2[trade_status])</f>
        <v>#N/A</v>
      </c>
      <c r="DG366">
        <f>_xlfn.NUMBERVALUE(Table1[[#This Row],[predicted]])</f>
        <v>52.257836405297901</v>
      </c>
    </row>
    <row r="367" spans="1:111" hidden="1" x14ac:dyDescent="0.25">
      <c r="A367">
        <v>107263</v>
      </c>
      <c r="B367">
        <v>8014</v>
      </c>
      <c r="C367" t="s">
        <v>4208</v>
      </c>
      <c r="D367" t="s">
        <v>1377</v>
      </c>
      <c r="E367">
        <v>2022</v>
      </c>
      <c r="F367">
        <v>997842</v>
      </c>
      <c r="G367" t="s">
        <v>492</v>
      </c>
      <c r="H367" t="s">
        <v>4209</v>
      </c>
      <c r="I367" t="s">
        <v>338</v>
      </c>
      <c r="J367">
        <v>2</v>
      </c>
      <c r="K367">
        <v>32</v>
      </c>
      <c r="L367">
        <v>48</v>
      </c>
      <c r="M367">
        <v>18</v>
      </c>
      <c r="N367">
        <v>26</v>
      </c>
      <c r="O367">
        <v>36</v>
      </c>
      <c r="P367">
        <v>6</v>
      </c>
      <c r="Q367">
        <v>3</v>
      </c>
      <c r="R367">
        <v>2</v>
      </c>
      <c r="S367">
        <v>1</v>
      </c>
      <c r="T367">
        <v>0</v>
      </c>
      <c r="U367">
        <v>1</v>
      </c>
      <c r="V367">
        <v>1</v>
      </c>
      <c r="W367">
        <v>0</v>
      </c>
      <c r="X367">
        <v>0</v>
      </c>
      <c r="Y367" t="s">
        <v>113</v>
      </c>
      <c r="Z367" t="s">
        <v>226</v>
      </c>
      <c r="AA367" t="s">
        <v>4210</v>
      </c>
      <c r="AH367" t="s">
        <v>181</v>
      </c>
      <c r="AI367">
        <v>38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S367">
        <v>5</v>
      </c>
      <c r="AT367">
        <v>1</v>
      </c>
      <c r="AU367">
        <v>2</v>
      </c>
      <c r="AV367">
        <v>77</v>
      </c>
      <c r="AW367">
        <v>77</v>
      </c>
      <c r="AX367">
        <v>101</v>
      </c>
      <c r="AY367">
        <v>0</v>
      </c>
      <c r="AZ367" t="b">
        <v>0</v>
      </c>
      <c r="BA367">
        <v>1824</v>
      </c>
      <c r="BB367">
        <v>1477</v>
      </c>
      <c r="BC367">
        <v>15</v>
      </c>
      <c r="BD367" t="s">
        <v>4211</v>
      </c>
      <c r="BE367">
        <v>100</v>
      </c>
      <c r="BF367">
        <v>0</v>
      </c>
      <c r="BG367">
        <v>72</v>
      </c>
      <c r="BH367">
        <v>0</v>
      </c>
      <c r="BI367" s="1" t="s">
        <v>253</v>
      </c>
      <c r="BJ367" s="1" t="s">
        <v>139</v>
      </c>
      <c r="BK367" s="1" t="s">
        <v>138</v>
      </c>
      <c r="BL367">
        <v>5.4</v>
      </c>
      <c r="BM367">
        <v>3</v>
      </c>
      <c r="BN367" s="1" t="s">
        <v>640</v>
      </c>
      <c r="BO367" s="1" t="s">
        <v>128</v>
      </c>
      <c r="BP367" s="1" t="s">
        <v>327</v>
      </c>
      <c r="BQ367">
        <v>0</v>
      </c>
      <c r="BR367">
        <v>0</v>
      </c>
      <c r="BS367" s="1" t="s">
        <v>126</v>
      </c>
      <c r="BT367" s="1" t="s">
        <v>128</v>
      </c>
      <c r="BU367" s="1" t="s">
        <v>129</v>
      </c>
      <c r="BV367" s="1" t="s">
        <v>238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 s="1" t="s">
        <v>160</v>
      </c>
      <c r="CH367" s="1" t="s">
        <v>230</v>
      </c>
      <c r="CI367" s="1" t="s">
        <v>129</v>
      </c>
      <c r="CJ367" s="1" t="s">
        <v>184</v>
      </c>
      <c r="CK367">
        <v>2</v>
      </c>
      <c r="CL367">
        <v>1.6</v>
      </c>
      <c r="CM367" s="1" t="s">
        <v>683</v>
      </c>
      <c r="CN367" s="1" t="s">
        <v>305</v>
      </c>
      <c r="CO367" s="1" t="s">
        <v>683</v>
      </c>
      <c r="CP367" s="1" t="s">
        <v>531</v>
      </c>
      <c r="CQ367" s="1" t="s">
        <v>4212</v>
      </c>
      <c r="CS367">
        <v>1578</v>
      </c>
      <c r="CT367" s="1" t="s">
        <v>837</v>
      </c>
      <c r="CU367" s="1" t="s">
        <v>4213</v>
      </c>
      <c r="CV367">
        <v>1640.2</v>
      </c>
      <c r="CW367">
        <v>57.4</v>
      </c>
      <c r="CX367">
        <v>53.2</v>
      </c>
      <c r="CY367">
        <v>51.2</v>
      </c>
      <c r="CZ367">
        <v>52</v>
      </c>
      <c r="DA367">
        <v>1</v>
      </c>
      <c r="DB367" t="s">
        <v>226</v>
      </c>
      <c r="DC367">
        <v>48</v>
      </c>
      <c r="DD367" s="1" t="s">
        <v>4214</v>
      </c>
      <c r="DE367">
        <v>-34.828290246429603</v>
      </c>
      <c r="DF367" t="e">
        <f>_xlfn.XLOOKUP(Table1[[#This Row],[Player ID]],Table2[feed_id],Table2[trade_status])</f>
        <v>#N/A</v>
      </c>
      <c r="DG367">
        <f>_xlfn.NUMBERVALUE(Table1[[#This Row],[predicted]])</f>
        <v>82.828290246429603</v>
      </c>
    </row>
    <row r="368" spans="1:111" hidden="1" x14ac:dyDescent="0.25">
      <c r="A368">
        <v>107326</v>
      </c>
      <c r="B368">
        <v>8016</v>
      </c>
      <c r="C368" t="s">
        <v>4215</v>
      </c>
      <c r="D368" t="s">
        <v>1377</v>
      </c>
      <c r="E368">
        <v>2022</v>
      </c>
      <c r="F368">
        <v>1002300</v>
      </c>
      <c r="G368" t="s">
        <v>2604</v>
      </c>
      <c r="H368" t="s">
        <v>4216</v>
      </c>
      <c r="I368" t="s">
        <v>1089</v>
      </c>
      <c r="J368">
        <v>14</v>
      </c>
      <c r="K368">
        <v>61</v>
      </c>
      <c r="L368">
        <v>54</v>
      </c>
      <c r="M368">
        <v>78</v>
      </c>
      <c r="N368">
        <v>50</v>
      </c>
      <c r="O368">
        <v>63</v>
      </c>
      <c r="P368">
        <v>9</v>
      </c>
      <c r="Q368">
        <v>3</v>
      </c>
      <c r="R368">
        <v>6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 t="s">
        <v>113</v>
      </c>
      <c r="Z368" t="s">
        <v>3571</v>
      </c>
      <c r="AA368" t="s">
        <v>4217</v>
      </c>
      <c r="AH368" t="s">
        <v>181</v>
      </c>
      <c r="AI368">
        <v>31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S368">
        <v>4</v>
      </c>
      <c r="AT368">
        <v>0</v>
      </c>
      <c r="AU368">
        <v>3</v>
      </c>
      <c r="AV368">
        <v>75</v>
      </c>
      <c r="AW368">
        <v>54</v>
      </c>
      <c r="AX368">
        <v>238</v>
      </c>
      <c r="AY368">
        <v>1</v>
      </c>
      <c r="AZ368" t="b">
        <v>0</v>
      </c>
      <c r="BA368">
        <v>1755</v>
      </c>
      <c r="BB368">
        <v>1531</v>
      </c>
      <c r="BC368">
        <v>15</v>
      </c>
      <c r="BD368" t="s">
        <v>4218</v>
      </c>
      <c r="BE368">
        <v>100</v>
      </c>
      <c r="BF368">
        <v>0</v>
      </c>
      <c r="BG368">
        <v>72</v>
      </c>
      <c r="BH368">
        <v>0</v>
      </c>
      <c r="BI368" s="1" t="s">
        <v>137</v>
      </c>
      <c r="BJ368">
        <v>9.1999999999999993</v>
      </c>
      <c r="BK368" s="1" t="s">
        <v>397</v>
      </c>
      <c r="BL368" s="1" t="s">
        <v>229</v>
      </c>
      <c r="BM368">
        <v>6</v>
      </c>
      <c r="BN368" s="1" t="s">
        <v>781</v>
      </c>
      <c r="BO368">
        <v>1</v>
      </c>
      <c r="BP368" s="1" t="s">
        <v>127</v>
      </c>
      <c r="BQ368">
        <v>0</v>
      </c>
      <c r="BR368">
        <v>0</v>
      </c>
      <c r="BS368" s="1" t="s">
        <v>128</v>
      </c>
      <c r="BT368" s="1" t="s">
        <v>238</v>
      </c>
      <c r="BU368" s="1" t="s">
        <v>128</v>
      </c>
      <c r="BV368" s="1" t="s">
        <v>231</v>
      </c>
      <c r="BW368" s="1" t="s">
        <v>128</v>
      </c>
      <c r="BX368" s="1" t="s">
        <v>238</v>
      </c>
      <c r="BY368" s="1" t="s">
        <v>129</v>
      </c>
      <c r="BZ368">
        <v>0.6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 s="1" t="s">
        <v>160</v>
      </c>
      <c r="CH368" s="1" t="s">
        <v>256</v>
      </c>
      <c r="CI368" s="1" t="s">
        <v>128</v>
      </c>
      <c r="CJ368" s="1" t="s">
        <v>130</v>
      </c>
      <c r="CK368">
        <v>3</v>
      </c>
      <c r="CL368" s="1" t="s">
        <v>375</v>
      </c>
      <c r="CM368">
        <v>73</v>
      </c>
      <c r="CN368" s="1" t="s">
        <v>3439</v>
      </c>
      <c r="CO368">
        <v>72</v>
      </c>
      <c r="CP368" s="1" t="s">
        <v>629</v>
      </c>
      <c r="CQ368">
        <v>283</v>
      </c>
      <c r="CR368" s="1" t="s">
        <v>4219</v>
      </c>
      <c r="CS368" s="1" t="s">
        <v>4220</v>
      </c>
      <c r="CT368" s="1" t="s">
        <v>4221</v>
      </c>
      <c r="CU368" s="1" t="s">
        <v>455</v>
      </c>
      <c r="CV368" s="1" t="s">
        <v>4222</v>
      </c>
      <c r="CW368">
        <v>54.35</v>
      </c>
      <c r="CX368">
        <v>44.3</v>
      </c>
      <c r="CY368">
        <v>44.2</v>
      </c>
      <c r="CZ368" s="1" t="s">
        <v>171</v>
      </c>
      <c r="DA368">
        <v>1</v>
      </c>
      <c r="DB368" t="s">
        <v>3571</v>
      </c>
      <c r="DC368">
        <v>54</v>
      </c>
      <c r="DD368" s="1" t="s">
        <v>4223</v>
      </c>
      <c r="DE368" s="1" t="s">
        <v>4224</v>
      </c>
      <c r="DF368" t="e">
        <f>_xlfn.XLOOKUP(Table1[[#This Row],[Player ID]],Table2[feed_id],Table2[trade_status])</f>
        <v>#N/A</v>
      </c>
      <c r="DG368">
        <f>_xlfn.NUMBERVALUE(Table1[[#This Row],[predicted]])</f>
        <v>51.726985975977399</v>
      </c>
    </row>
    <row r="369" spans="1:111" hidden="1" x14ac:dyDescent="0.25">
      <c r="A369">
        <v>107649</v>
      </c>
      <c r="B369">
        <v>8023</v>
      </c>
      <c r="C369" t="s">
        <v>4225</v>
      </c>
      <c r="D369" t="s">
        <v>599</v>
      </c>
      <c r="E369">
        <v>2022</v>
      </c>
      <c r="F369">
        <v>296211</v>
      </c>
      <c r="G369" t="s">
        <v>2975</v>
      </c>
      <c r="H369" t="s">
        <v>1422</v>
      </c>
      <c r="I369" t="s">
        <v>338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113</v>
      </c>
      <c r="Z369" t="s">
        <v>3571</v>
      </c>
      <c r="AA369" t="s">
        <v>4081</v>
      </c>
      <c r="AH369" t="s">
        <v>155</v>
      </c>
      <c r="AI369">
        <v>28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 t="b">
        <v>0</v>
      </c>
      <c r="BA369">
        <v>1556</v>
      </c>
      <c r="BB369">
        <v>1744</v>
      </c>
      <c r="BC369">
        <v>16</v>
      </c>
      <c r="BD369" t="s">
        <v>4226</v>
      </c>
      <c r="BE369">
        <v>100</v>
      </c>
      <c r="BF369">
        <v>0</v>
      </c>
      <c r="BG369">
        <v>72</v>
      </c>
      <c r="BH369">
        <v>0</v>
      </c>
      <c r="BI369">
        <v>2</v>
      </c>
      <c r="BJ369">
        <v>6.2</v>
      </c>
      <c r="BK369">
        <v>0</v>
      </c>
      <c r="BL369">
        <v>3.2</v>
      </c>
      <c r="BM369" s="1" t="s">
        <v>126</v>
      </c>
      <c r="BN369" s="1" t="s">
        <v>528</v>
      </c>
      <c r="BO369" s="1" t="s">
        <v>129</v>
      </c>
      <c r="BP369" s="1" t="s">
        <v>161</v>
      </c>
      <c r="BQ369">
        <v>0</v>
      </c>
      <c r="BR369">
        <v>0</v>
      </c>
      <c r="BS369">
        <v>0</v>
      </c>
      <c r="BT369">
        <v>0.4</v>
      </c>
      <c r="BU369" s="1" t="s">
        <v>129</v>
      </c>
      <c r="BV369">
        <v>0.2</v>
      </c>
      <c r="BW369">
        <v>0</v>
      </c>
      <c r="BX369" s="1" t="s">
        <v>238</v>
      </c>
      <c r="BY369" s="1" t="s">
        <v>129</v>
      </c>
      <c r="BZ369">
        <v>0.6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</v>
      </c>
      <c r="CH369" s="1" t="s">
        <v>640</v>
      </c>
      <c r="CI369">
        <v>0</v>
      </c>
      <c r="CJ369">
        <v>0.6</v>
      </c>
      <c r="CK369" s="1" t="s">
        <v>129</v>
      </c>
      <c r="CL369" s="1" t="s">
        <v>126</v>
      </c>
      <c r="CM369" s="1" t="s">
        <v>1476</v>
      </c>
      <c r="CN369" s="1" t="s">
        <v>1100</v>
      </c>
      <c r="CO369" s="1" t="s">
        <v>121</v>
      </c>
      <c r="CP369">
        <v>58.8</v>
      </c>
      <c r="CQ369" s="1" t="s">
        <v>921</v>
      </c>
      <c r="CS369" s="1" t="s">
        <v>4227</v>
      </c>
      <c r="CT369" s="1" t="s">
        <v>4228</v>
      </c>
      <c r="CU369">
        <v>1574</v>
      </c>
      <c r="CV369" s="1" t="s">
        <v>4229</v>
      </c>
      <c r="CW369">
        <v>54</v>
      </c>
      <c r="CX369">
        <v>35.9</v>
      </c>
      <c r="CY369">
        <v>20.2</v>
      </c>
      <c r="CZ369" s="1" t="s">
        <v>1008</v>
      </c>
      <c r="DA369">
        <v>1</v>
      </c>
      <c r="DB369" t="s">
        <v>3571</v>
      </c>
      <c r="DC369">
        <v>0</v>
      </c>
      <c r="DD369" s="1" t="s">
        <v>4230</v>
      </c>
      <c r="DE369">
        <v>-40.516370984586402</v>
      </c>
      <c r="DF369" t="e">
        <f>_xlfn.XLOOKUP(Table1[[#This Row],[Player ID]],Table2[feed_id],Table2[trade_status])</f>
        <v>#N/A</v>
      </c>
      <c r="DG369">
        <f>_xlfn.NUMBERVALUE(Table1[[#This Row],[predicted]])</f>
        <v>40.516370984586402</v>
      </c>
    </row>
    <row r="370" spans="1:111" hidden="1" x14ac:dyDescent="0.25">
      <c r="A370">
        <v>107772</v>
      </c>
      <c r="B370">
        <v>8026</v>
      </c>
      <c r="C370" t="s">
        <v>4231</v>
      </c>
      <c r="D370" t="s">
        <v>599</v>
      </c>
      <c r="E370">
        <v>2022</v>
      </c>
      <c r="F370">
        <v>280990</v>
      </c>
      <c r="G370" t="s">
        <v>1211</v>
      </c>
      <c r="H370" t="s">
        <v>4232</v>
      </c>
      <c r="I370" t="s">
        <v>425</v>
      </c>
      <c r="J370">
        <v>10</v>
      </c>
      <c r="K370">
        <v>70</v>
      </c>
      <c r="L370">
        <v>53</v>
      </c>
      <c r="M370">
        <v>93</v>
      </c>
      <c r="N370">
        <v>52</v>
      </c>
      <c r="O370">
        <v>67</v>
      </c>
      <c r="P370">
        <v>8</v>
      </c>
      <c r="Q370">
        <v>4</v>
      </c>
      <c r="R370">
        <v>5</v>
      </c>
      <c r="S370">
        <v>5</v>
      </c>
      <c r="T370">
        <v>0</v>
      </c>
      <c r="U370">
        <v>2</v>
      </c>
      <c r="V370">
        <v>0</v>
      </c>
      <c r="W370">
        <v>0</v>
      </c>
      <c r="X370">
        <v>1</v>
      </c>
      <c r="Y370" t="s">
        <v>113</v>
      </c>
      <c r="Z370" t="s">
        <v>861</v>
      </c>
      <c r="AA370" t="s">
        <v>4233</v>
      </c>
      <c r="AH370" t="s">
        <v>155</v>
      </c>
      <c r="AI370">
        <v>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S370">
        <v>3</v>
      </c>
      <c r="AT370">
        <v>0</v>
      </c>
      <c r="AU370">
        <v>1</v>
      </c>
      <c r="AV370">
        <v>75</v>
      </c>
      <c r="AW370">
        <v>76</v>
      </c>
      <c r="AX370">
        <v>188</v>
      </c>
      <c r="AY370">
        <v>0</v>
      </c>
      <c r="AZ370" t="b">
        <v>0</v>
      </c>
      <c r="BA370">
        <v>1504</v>
      </c>
      <c r="BB370">
        <v>1781</v>
      </c>
      <c r="BC370">
        <v>16</v>
      </c>
      <c r="BD370" t="s">
        <v>4234</v>
      </c>
      <c r="BE370">
        <v>100</v>
      </c>
      <c r="BF370">
        <v>0</v>
      </c>
      <c r="BG370">
        <v>72</v>
      </c>
      <c r="BH370">
        <v>0</v>
      </c>
      <c r="BI370" s="1" t="s">
        <v>124</v>
      </c>
      <c r="BJ370">
        <v>7.4</v>
      </c>
      <c r="BK370" s="1" t="s">
        <v>138</v>
      </c>
      <c r="BL370" s="1" t="s">
        <v>212</v>
      </c>
      <c r="BM370" s="1" t="s">
        <v>138</v>
      </c>
      <c r="BN370">
        <v>3.6</v>
      </c>
      <c r="BO370" s="1" t="s">
        <v>138</v>
      </c>
      <c r="BP370" s="1" t="s">
        <v>255</v>
      </c>
      <c r="BQ370">
        <v>0</v>
      </c>
      <c r="BR370">
        <v>0</v>
      </c>
      <c r="BS370" s="1" t="s">
        <v>128</v>
      </c>
      <c r="BT370" s="1" t="s">
        <v>128</v>
      </c>
      <c r="BU370" s="1" t="s">
        <v>128</v>
      </c>
      <c r="BV370" s="1" t="s">
        <v>399</v>
      </c>
      <c r="BW370" s="1" t="s">
        <v>129</v>
      </c>
      <c r="BX370">
        <v>0.8</v>
      </c>
      <c r="BY370" s="1" t="s">
        <v>129</v>
      </c>
      <c r="BZ370">
        <v>0.4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 s="1" t="s">
        <v>169</v>
      </c>
      <c r="CH370" s="1" t="s">
        <v>125</v>
      </c>
      <c r="CI370" s="1" t="s">
        <v>129</v>
      </c>
      <c r="CJ370">
        <v>0.2</v>
      </c>
      <c r="CK370" s="1" t="s">
        <v>161</v>
      </c>
      <c r="CL370">
        <v>2</v>
      </c>
      <c r="CM370" s="1" t="s">
        <v>610</v>
      </c>
      <c r="CN370" s="1" t="s">
        <v>1460</v>
      </c>
      <c r="CO370">
        <v>77</v>
      </c>
      <c r="CP370" s="1" t="s">
        <v>1204</v>
      </c>
      <c r="CQ370" s="1" t="s">
        <v>3200</v>
      </c>
      <c r="CR370">
        <v>190.6</v>
      </c>
      <c r="CS370" s="1" t="s">
        <v>2574</v>
      </c>
      <c r="CT370">
        <v>1593.2</v>
      </c>
      <c r="CU370">
        <v>1601</v>
      </c>
      <c r="CV370" s="1" t="s">
        <v>4235</v>
      </c>
      <c r="CW370">
        <v>61.1</v>
      </c>
      <c r="CX370">
        <v>62.1</v>
      </c>
      <c r="CY370">
        <v>54.2</v>
      </c>
      <c r="CZ370" s="1" t="s">
        <v>2259</v>
      </c>
      <c r="DA370">
        <v>1</v>
      </c>
      <c r="DB370" t="s">
        <v>861</v>
      </c>
      <c r="DC370">
        <v>53</v>
      </c>
      <c r="DD370" s="1" t="s">
        <v>4236</v>
      </c>
      <c r="DE370">
        <v>-11.8118601089653</v>
      </c>
      <c r="DF370" t="e">
        <f>_xlfn.XLOOKUP(Table1[[#This Row],[Player ID]],Table2[feed_id],Table2[trade_status])</f>
        <v>#N/A</v>
      </c>
      <c r="DG370">
        <f>_xlfn.NUMBERVALUE(Table1[[#This Row],[predicted]])</f>
        <v>64.811860108965305</v>
      </c>
    </row>
    <row r="371" spans="1:111" hidden="1" x14ac:dyDescent="0.25">
      <c r="A371">
        <v>107784</v>
      </c>
      <c r="B371">
        <v>8026</v>
      </c>
      <c r="C371" t="s">
        <v>4231</v>
      </c>
      <c r="D371" t="s">
        <v>599</v>
      </c>
      <c r="E371">
        <v>2022</v>
      </c>
      <c r="F371">
        <v>293603</v>
      </c>
      <c r="G371" t="s">
        <v>958</v>
      </c>
      <c r="H371" t="s">
        <v>4237</v>
      </c>
      <c r="I371" t="s">
        <v>425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113</v>
      </c>
      <c r="Z371" t="s">
        <v>3571</v>
      </c>
      <c r="AA371" t="s">
        <v>4081</v>
      </c>
      <c r="AH371" t="s">
        <v>181</v>
      </c>
      <c r="AI371">
        <v>32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 t="b">
        <v>0</v>
      </c>
      <c r="BA371">
        <v>1504</v>
      </c>
      <c r="BB371">
        <v>1781</v>
      </c>
      <c r="BC371">
        <v>16</v>
      </c>
      <c r="BD371" t="s">
        <v>4234</v>
      </c>
      <c r="BE371">
        <v>100</v>
      </c>
      <c r="BF371">
        <v>0</v>
      </c>
      <c r="BG371">
        <v>72</v>
      </c>
      <c r="BH371">
        <v>0</v>
      </c>
      <c r="BI371">
        <v>3</v>
      </c>
      <c r="BJ371" s="1" t="s">
        <v>256</v>
      </c>
      <c r="BK371" s="1" t="s">
        <v>126</v>
      </c>
      <c r="BL371" s="1" t="s">
        <v>528</v>
      </c>
      <c r="BM371" s="1" t="s">
        <v>161</v>
      </c>
      <c r="BN371">
        <v>1.8</v>
      </c>
      <c r="BO371">
        <v>1</v>
      </c>
      <c r="BP371" s="1" t="s">
        <v>275</v>
      </c>
      <c r="BQ371">
        <v>0</v>
      </c>
      <c r="BR371">
        <v>0</v>
      </c>
      <c r="BS371" s="1" t="s">
        <v>129</v>
      </c>
      <c r="BT371" s="1" t="s">
        <v>231</v>
      </c>
      <c r="BU371">
        <v>1</v>
      </c>
      <c r="BV371" s="1" t="s">
        <v>129</v>
      </c>
      <c r="BW371" s="1" t="s">
        <v>128</v>
      </c>
      <c r="BX371" s="1" t="s">
        <v>231</v>
      </c>
      <c r="BY371" s="1" t="s">
        <v>126</v>
      </c>
      <c r="BZ371" s="1" t="s">
        <v>238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 s="1" t="s">
        <v>159</v>
      </c>
      <c r="CH371">
        <v>2.6</v>
      </c>
      <c r="CI371">
        <v>0</v>
      </c>
      <c r="CJ371">
        <v>0.4</v>
      </c>
      <c r="CK371" s="1" t="s">
        <v>126</v>
      </c>
      <c r="CL371" s="1" t="s">
        <v>126</v>
      </c>
      <c r="CM371" s="1" t="s">
        <v>2742</v>
      </c>
      <c r="CN371">
        <v>49.8</v>
      </c>
      <c r="CO371" s="1" t="s">
        <v>971</v>
      </c>
      <c r="CP371" s="1" t="s">
        <v>4238</v>
      </c>
      <c r="CQ371">
        <v>84</v>
      </c>
      <c r="CR371" s="1" t="s">
        <v>4239</v>
      </c>
      <c r="CS371" s="1" t="s">
        <v>458</v>
      </c>
      <c r="CT371">
        <v>1727</v>
      </c>
      <c r="CU371">
        <v>1603</v>
      </c>
      <c r="CV371" s="1" t="s">
        <v>4222</v>
      </c>
      <c r="CW371">
        <v>44.9</v>
      </c>
      <c r="CX371">
        <v>30.3</v>
      </c>
      <c r="CY371">
        <v>17.2</v>
      </c>
      <c r="CZ371">
        <v>24</v>
      </c>
      <c r="DA371">
        <v>1</v>
      </c>
      <c r="DB371" t="s">
        <v>3571</v>
      </c>
      <c r="DC371">
        <v>0</v>
      </c>
      <c r="DD371" s="1" t="s">
        <v>4240</v>
      </c>
      <c r="DE371">
        <v>-36.483327120645001</v>
      </c>
      <c r="DF371" t="e">
        <f>_xlfn.XLOOKUP(Table1[[#This Row],[Player ID]],Table2[feed_id],Table2[trade_status])</f>
        <v>#N/A</v>
      </c>
      <c r="DG371">
        <f>_xlfn.NUMBERVALUE(Table1[[#This Row],[predicted]])</f>
        <v>36.483327120645001</v>
      </c>
    </row>
    <row r="372" spans="1:111" hidden="1" x14ac:dyDescent="0.25">
      <c r="A372">
        <v>107978</v>
      </c>
      <c r="B372">
        <v>8030</v>
      </c>
      <c r="C372" t="s">
        <v>4241</v>
      </c>
      <c r="D372" t="s">
        <v>616</v>
      </c>
      <c r="E372">
        <v>2022</v>
      </c>
      <c r="F372">
        <v>290622</v>
      </c>
      <c r="G372" t="s">
        <v>4242</v>
      </c>
      <c r="H372" t="s">
        <v>2955</v>
      </c>
      <c r="I372" t="s">
        <v>291</v>
      </c>
      <c r="J372">
        <v>11</v>
      </c>
      <c r="K372">
        <v>54</v>
      </c>
      <c r="L372">
        <v>48</v>
      </c>
      <c r="M372">
        <v>45</v>
      </c>
      <c r="N372">
        <v>46</v>
      </c>
      <c r="O372">
        <v>56</v>
      </c>
      <c r="P372">
        <v>6</v>
      </c>
      <c r="Q372">
        <v>1</v>
      </c>
      <c r="R372">
        <v>5</v>
      </c>
      <c r="S372">
        <v>2</v>
      </c>
      <c r="T372">
        <v>2</v>
      </c>
      <c r="U372">
        <v>0</v>
      </c>
      <c r="V372">
        <v>1</v>
      </c>
      <c r="W372">
        <v>2</v>
      </c>
      <c r="X372">
        <v>0</v>
      </c>
      <c r="Y372" t="s">
        <v>113</v>
      </c>
      <c r="Z372" t="s">
        <v>542</v>
      </c>
      <c r="AA372" t="s">
        <v>4243</v>
      </c>
      <c r="AB372" t="s">
        <v>656</v>
      </c>
      <c r="AC372" t="s">
        <v>4244</v>
      </c>
      <c r="AH372" t="s">
        <v>181</v>
      </c>
      <c r="AI372">
        <v>38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S372">
        <v>1</v>
      </c>
      <c r="AT372">
        <v>0</v>
      </c>
      <c r="AU372">
        <v>2</v>
      </c>
      <c r="AV372">
        <v>57</v>
      </c>
      <c r="AW372">
        <v>62</v>
      </c>
      <c r="AX372">
        <v>190</v>
      </c>
      <c r="AY372">
        <v>1</v>
      </c>
      <c r="AZ372" t="b">
        <v>0</v>
      </c>
      <c r="BA372">
        <v>1563</v>
      </c>
      <c r="BB372">
        <v>1740</v>
      </c>
      <c r="BC372">
        <v>17</v>
      </c>
      <c r="BD372" t="s">
        <v>4245</v>
      </c>
      <c r="BE372">
        <v>97</v>
      </c>
      <c r="BF372">
        <v>0</v>
      </c>
      <c r="BG372">
        <v>70</v>
      </c>
      <c r="BH372">
        <v>0</v>
      </c>
      <c r="BI372" s="1" t="s">
        <v>449</v>
      </c>
      <c r="BJ372" s="1" t="s">
        <v>448</v>
      </c>
      <c r="BK372" s="1" t="s">
        <v>169</v>
      </c>
      <c r="BL372" s="1" t="s">
        <v>138</v>
      </c>
      <c r="BM372" s="1" t="s">
        <v>125</v>
      </c>
      <c r="BN372" s="1" t="s">
        <v>416</v>
      </c>
      <c r="BO372" s="1" t="s">
        <v>159</v>
      </c>
      <c r="BP372" s="1" t="s">
        <v>161</v>
      </c>
      <c r="BQ372" s="1" t="s">
        <v>128</v>
      </c>
      <c r="BR372" s="1" t="s">
        <v>238</v>
      </c>
      <c r="BS372" s="1" t="s">
        <v>129</v>
      </c>
      <c r="BT372" s="1" t="s">
        <v>184</v>
      </c>
      <c r="BU372" s="1" t="s">
        <v>129</v>
      </c>
      <c r="BV372">
        <v>0.8</v>
      </c>
      <c r="BW372" s="1" t="s">
        <v>128</v>
      </c>
      <c r="BX372">
        <v>0.8</v>
      </c>
      <c r="BY372">
        <v>0</v>
      </c>
      <c r="BZ372">
        <v>0.6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 s="1" t="s">
        <v>126</v>
      </c>
      <c r="CH372">
        <v>2.6</v>
      </c>
      <c r="CI372">
        <v>0</v>
      </c>
      <c r="CJ372">
        <v>0.2</v>
      </c>
      <c r="CK372" s="1" t="s">
        <v>126</v>
      </c>
      <c r="CL372">
        <v>1.6</v>
      </c>
      <c r="CM372" s="1" t="s">
        <v>822</v>
      </c>
      <c r="CN372" s="1" t="s">
        <v>383</v>
      </c>
      <c r="CO372" s="1" t="s">
        <v>417</v>
      </c>
      <c r="CP372" s="1" t="s">
        <v>2696</v>
      </c>
      <c r="CQ372" s="1" t="s">
        <v>4246</v>
      </c>
      <c r="CS372" s="1" t="s">
        <v>4247</v>
      </c>
      <c r="CT372">
        <v>1593.8</v>
      </c>
      <c r="CU372">
        <v>1634</v>
      </c>
      <c r="CV372" s="1" t="s">
        <v>4248</v>
      </c>
      <c r="CW372">
        <v>55.35</v>
      </c>
      <c r="CX372">
        <v>48.2</v>
      </c>
      <c r="CY372">
        <v>57</v>
      </c>
      <c r="CZ372" s="1" t="s">
        <v>2765</v>
      </c>
      <c r="DA372">
        <v>1</v>
      </c>
      <c r="DB372" t="s">
        <v>542</v>
      </c>
      <c r="DC372">
        <v>48</v>
      </c>
      <c r="DD372">
        <v>46.984633876814698</v>
      </c>
      <c r="DE372" s="1" t="s">
        <v>4249</v>
      </c>
      <c r="DF372" t="e">
        <f>_xlfn.XLOOKUP(Table1[[#This Row],[Player ID]],Table2[feed_id],Table2[trade_status])</f>
        <v>#N/A</v>
      </c>
      <c r="DG372">
        <f>_xlfn.NUMBERVALUE(Table1[[#This Row],[predicted]])</f>
        <v>46.984633876814698</v>
      </c>
    </row>
    <row r="373" spans="1:111" hidden="1" x14ac:dyDescent="0.25">
      <c r="A373">
        <v>108009</v>
      </c>
      <c r="B373">
        <v>8031</v>
      </c>
      <c r="C373" t="s">
        <v>4250</v>
      </c>
      <c r="D373" t="s">
        <v>616</v>
      </c>
      <c r="E373">
        <v>2022</v>
      </c>
      <c r="F373">
        <v>260227</v>
      </c>
      <c r="G373" t="s">
        <v>917</v>
      </c>
      <c r="H373" t="s">
        <v>4251</v>
      </c>
      <c r="I373" t="s">
        <v>1061</v>
      </c>
      <c r="J373">
        <v>2</v>
      </c>
      <c r="K373">
        <v>16</v>
      </c>
      <c r="L373">
        <v>9</v>
      </c>
      <c r="M373">
        <v>18</v>
      </c>
      <c r="N373">
        <v>16</v>
      </c>
      <c r="O373">
        <v>21</v>
      </c>
      <c r="P373">
        <v>0</v>
      </c>
      <c r="Q373">
        <v>5</v>
      </c>
      <c r="R373">
        <v>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t="s">
        <v>113</v>
      </c>
      <c r="Z373" t="s">
        <v>3571</v>
      </c>
      <c r="AA373" t="s">
        <v>4252</v>
      </c>
      <c r="AH373" t="s">
        <v>155</v>
      </c>
      <c r="AI373">
        <v>4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S373">
        <v>1</v>
      </c>
      <c r="AT373">
        <v>0</v>
      </c>
      <c r="AU373">
        <v>0</v>
      </c>
      <c r="AV373">
        <v>100</v>
      </c>
      <c r="AW373">
        <v>20</v>
      </c>
      <c r="AX373">
        <v>-6</v>
      </c>
      <c r="AY373">
        <v>0</v>
      </c>
      <c r="AZ373" t="b">
        <v>0</v>
      </c>
      <c r="BA373">
        <v>1396</v>
      </c>
      <c r="BB373">
        <v>1895</v>
      </c>
      <c r="BC373">
        <v>17</v>
      </c>
      <c r="BD373" t="s">
        <v>4253</v>
      </c>
      <c r="BE373">
        <v>97</v>
      </c>
      <c r="BF373">
        <v>0</v>
      </c>
      <c r="BG373">
        <v>70</v>
      </c>
      <c r="BH373">
        <v>0</v>
      </c>
      <c r="BI373" s="1" t="s">
        <v>204</v>
      </c>
      <c r="BJ373" s="1" t="s">
        <v>254</v>
      </c>
      <c r="BK373">
        <v>8</v>
      </c>
      <c r="BL373" s="1" t="s">
        <v>1106</v>
      </c>
      <c r="BM373" s="1" t="s">
        <v>138</v>
      </c>
      <c r="BN373" s="1" t="s">
        <v>587</v>
      </c>
      <c r="BO373">
        <v>4</v>
      </c>
      <c r="BP373" s="1" t="s">
        <v>140</v>
      </c>
      <c r="BQ373">
        <v>0</v>
      </c>
      <c r="BR373">
        <v>0</v>
      </c>
      <c r="BS373">
        <v>1</v>
      </c>
      <c r="BT373" s="1" t="s">
        <v>399</v>
      </c>
      <c r="BU373" s="1" t="s">
        <v>129</v>
      </c>
      <c r="BV373" s="1" t="s">
        <v>130</v>
      </c>
      <c r="BW373">
        <v>0</v>
      </c>
      <c r="BX373">
        <v>0.2</v>
      </c>
      <c r="BY373">
        <v>0</v>
      </c>
      <c r="BZ373" s="1" t="s">
        <v>129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 s="1" t="s">
        <v>138</v>
      </c>
      <c r="CH373" s="1" t="s">
        <v>436</v>
      </c>
      <c r="CI373" s="1" t="s">
        <v>126</v>
      </c>
      <c r="CJ373" s="1" t="s">
        <v>327</v>
      </c>
      <c r="CK373" s="1" t="s">
        <v>161</v>
      </c>
      <c r="CL373" s="1" t="s">
        <v>322</v>
      </c>
      <c r="CM373" s="1" t="s">
        <v>2177</v>
      </c>
      <c r="CN373">
        <v>74.599999999999994</v>
      </c>
      <c r="CO373" s="1" t="s">
        <v>329</v>
      </c>
      <c r="CP373" s="1" t="s">
        <v>1231</v>
      </c>
      <c r="CQ373">
        <v>236</v>
      </c>
      <c r="CR373" s="1" t="s">
        <v>4254</v>
      </c>
      <c r="CS373">
        <v>1821</v>
      </c>
      <c r="CT373" s="1" t="s">
        <v>4255</v>
      </c>
      <c r="CU373" s="1" t="s">
        <v>3101</v>
      </c>
      <c r="CV373">
        <v>1573.2</v>
      </c>
      <c r="CW373">
        <v>68.25</v>
      </c>
      <c r="CX373">
        <v>55</v>
      </c>
      <c r="CY373">
        <v>58.8</v>
      </c>
      <c r="CZ373">
        <v>58</v>
      </c>
      <c r="DA373">
        <v>1</v>
      </c>
      <c r="DB373" t="s">
        <v>3571</v>
      </c>
      <c r="DC373">
        <v>9</v>
      </c>
      <c r="DD373" s="1" t="s">
        <v>4256</v>
      </c>
      <c r="DE373">
        <v>-48.076820397084802</v>
      </c>
      <c r="DF373" t="e">
        <f>_xlfn.XLOOKUP(Table1[[#This Row],[Player ID]],Table2[feed_id],Table2[trade_status])</f>
        <v>#N/A</v>
      </c>
      <c r="DG373">
        <f>_xlfn.NUMBERVALUE(Table1[[#This Row],[predicted]])</f>
        <v>57.076820397084802</v>
      </c>
    </row>
    <row r="374" spans="1:111" hidden="1" x14ac:dyDescent="0.25">
      <c r="A374">
        <v>108099</v>
      </c>
      <c r="B374">
        <v>8033</v>
      </c>
      <c r="C374" t="s">
        <v>4257</v>
      </c>
      <c r="D374" t="s">
        <v>616</v>
      </c>
      <c r="E374">
        <v>2022</v>
      </c>
      <c r="F374">
        <v>290032</v>
      </c>
      <c r="G374" t="s">
        <v>4258</v>
      </c>
      <c r="H374" t="s">
        <v>4259</v>
      </c>
      <c r="I374" t="s">
        <v>317</v>
      </c>
      <c r="J374">
        <v>0</v>
      </c>
      <c r="K374">
        <v>11</v>
      </c>
      <c r="L374">
        <v>10</v>
      </c>
      <c r="M374">
        <v>14</v>
      </c>
      <c r="N374">
        <v>8</v>
      </c>
      <c r="O374">
        <v>12</v>
      </c>
      <c r="P374">
        <v>1</v>
      </c>
      <c r="Q374">
        <v>2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113</v>
      </c>
      <c r="Z374" t="s">
        <v>3571</v>
      </c>
      <c r="AA374" t="s">
        <v>4260</v>
      </c>
      <c r="AH374" t="s">
        <v>155</v>
      </c>
      <c r="AI374">
        <v>23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S374">
        <v>1</v>
      </c>
      <c r="AT374">
        <v>0</v>
      </c>
      <c r="AU374">
        <v>0</v>
      </c>
      <c r="AV374">
        <v>100</v>
      </c>
      <c r="AW374">
        <v>33</v>
      </c>
      <c r="AX374">
        <v>36</v>
      </c>
      <c r="AY374">
        <v>1</v>
      </c>
      <c r="AZ374" t="b">
        <v>0</v>
      </c>
      <c r="BA374">
        <v>1552</v>
      </c>
      <c r="BB374">
        <v>1723</v>
      </c>
      <c r="BC374">
        <v>17</v>
      </c>
      <c r="BD374" t="s">
        <v>4261</v>
      </c>
      <c r="BE374">
        <v>97</v>
      </c>
      <c r="BF374">
        <v>0</v>
      </c>
      <c r="BG374">
        <v>70</v>
      </c>
      <c r="BH374">
        <v>0</v>
      </c>
      <c r="BI374">
        <v>4</v>
      </c>
      <c r="BJ374">
        <v>8.4</v>
      </c>
      <c r="BK374" s="1" t="s">
        <v>160</v>
      </c>
      <c r="BL374" s="1" t="s">
        <v>1079</v>
      </c>
      <c r="BM374" s="1" t="s">
        <v>126</v>
      </c>
      <c r="BN374">
        <v>3</v>
      </c>
      <c r="BO374">
        <v>1</v>
      </c>
      <c r="BP374" s="1" t="s">
        <v>169</v>
      </c>
      <c r="BQ374">
        <v>0</v>
      </c>
      <c r="BR374">
        <v>0</v>
      </c>
      <c r="BS374">
        <v>0</v>
      </c>
      <c r="BT374" s="1" t="s">
        <v>231</v>
      </c>
      <c r="BU374">
        <v>0</v>
      </c>
      <c r="BV374" s="1" t="s">
        <v>238</v>
      </c>
      <c r="BW374">
        <v>0</v>
      </c>
      <c r="BX374" s="1" t="s">
        <v>129</v>
      </c>
      <c r="BY374" s="1" t="s">
        <v>129</v>
      </c>
      <c r="BZ374">
        <v>0.2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2</v>
      </c>
      <c r="CH374" s="1" t="s">
        <v>230</v>
      </c>
      <c r="CI374" s="1" t="s">
        <v>128</v>
      </c>
      <c r="CJ374" s="1" t="s">
        <v>298</v>
      </c>
      <c r="CK374" s="1" t="s">
        <v>159</v>
      </c>
      <c r="CL374">
        <v>2.6</v>
      </c>
      <c r="CM374">
        <v>52</v>
      </c>
      <c r="CN374" s="1" t="s">
        <v>1391</v>
      </c>
      <c r="CO374">
        <v>39</v>
      </c>
      <c r="CP374">
        <v>68.400000000000006</v>
      </c>
      <c r="CQ374" s="1" t="s">
        <v>4262</v>
      </c>
      <c r="CR374" s="1" t="s">
        <v>4263</v>
      </c>
      <c r="CS374" s="1" t="s">
        <v>219</v>
      </c>
      <c r="CT374" s="1" t="s">
        <v>4264</v>
      </c>
      <c r="CU374" s="1" t="s">
        <v>4265</v>
      </c>
      <c r="CV374">
        <v>1631.8</v>
      </c>
      <c r="CW374">
        <v>64.3</v>
      </c>
      <c r="CX374">
        <v>48.9</v>
      </c>
      <c r="CY374">
        <v>31.8</v>
      </c>
      <c r="CZ374" s="1" t="s">
        <v>4266</v>
      </c>
      <c r="DA374">
        <v>1</v>
      </c>
      <c r="DB374" t="s">
        <v>3571</v>
      </c>
      <c r="DC374">
        <v>10</v>
      </c>
      <c r="DD374" s="1" t="s">
        <v>4267</v>
      </c>
      <c r="DE374">
        <v>-39.978422536887898</v>
      </c>
      <c r="DF374" t="e">
        <f>_xlfn.XLOOKUP(Table1[[#This Row],[Player ID]],Table2[feed_id],Table2[trade_status])</f>
        <v>#N/A</v>
      </c>
      <c r="DG374">
        <f>_xlfn.NUMBERVALUE(Table1[[#This Row],[predicted]])</f>
        <v>49.978422536887898</v>
      </c>
    </row>
    <row r="375" spans="1:111" hidden="1" x14ac:dyDescent="0.25">
      <c r="A375">
        <v>108324</v>
      </c>
      <c r="B375">
        <v>8038</v>
      </c>
      <c r="C375" t="s">
        <v>4268</v>
      </c>
      <c r="D375" t="s">
        <v>653</v>
      </c>
      <c r="E375">
        <v>2022</v>
      </c>
      <c r="F375">
        <v>1008171</v>
      </c>
      <c r="G375" t="s">
        <v>4269</v>
      </c>
      <c r="H375" t="s">
        <v>2955</v>
      </c>
      <c r="I375" t="s">
        <v>112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t="s">
        <v>113</v>
      </c>
      <c r="Z375" t="s">
        <v>3571</v>
      </c>
      <c r="AA375" t="s">
        <v>4081</v>
      </c>
      <c r="AH375" t="s">
        <v>118</v>
      </c>
      <c r="AI375">
        <v>6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 t="b">
        <v>0</v>
      </c>
      <c r="BA375">
        <v>1637</v>
      </c>
      <c r="BB375">
        <v>1648</v>
      </c>
      <c r="BC375">
        <v>18</v>
      </c>
      <c r="BD375" t="s">
        <v>4270</v>
      </c>
      <c r="BE375" s="1" t="s">
        <v>1365</v>
      </c>
      <c r="BF375">
        <v>0</v>
      </c>
      <c r="BG375">
        <v>72</v>
      </c>
      <c r="BH375">
        <v>0</v>
      </c>
      <c r="BI375" s="1" t="s">
        <v>161</v>
      </c>
      <c r="BJ375" s="1" t="s">
        <v>321</v>
      </c>
      <c r="BK375" s="1" t="s">
        <v>129</v>
      </c>
      <c r="BL375">
        <v>5.6</v>
      </c>
      <c r="BM375" s="1" t="s">
        <v>128</v>
      </c>
      <c r="BN375">
        <v>0.8</v>
      </c>
      <c r="BO375">
        <v>0</v>
      </c>
      <c r="BP375" s="1" t="s">
        <v>169</v>
      </c>
      <c r="BQ375">
        <v>0</v>
      </c>
      <c r="BR375" s="1" t="s">
        <v>213</v>
      </c>
      <c r="BS375">
        <v>0</v>
      </c>
      <c r="BT375" s="1" t="s">
        <v>184</v>
      </c>
      <c r="BU375" s="1" t="s">
        <v>129</v>
      </c>
      <c r="BV375">
        <v>0.8</v>
      </c>
      <c r="BW375" s="1" t="s">
        <v>129</v>
      </c>
      <c r="BX375" s="1" t="s">
        <v>213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1</v>
      </c>
      <c r="CH375">
        <v>4.2</v>
      </c>
      <c r="CI375">
        <v>0</v>
      </c>
      <c r="CJ375">
        <v>1.4</v>
      </c>
      <c r="CK375">
        <v>1</v>
      </c>
      <c r="CL375">
        <v>2</v>
      </c>
      <c r="CM375">
        <v>22</v>
      </c>
      <c r="CN375" s="1" t="s">
        <v>2998</v>
      </c>
      <c r="CO375" s="1" t="s">
        <v>4271</v>
      </c>
      <c r="CP375" s="1" t="s">
        <v>4272</v>
      </c>
      <c r="CQ375">
        <v>37</v>
      </c>
      <c r="CR375" s="1" t="s">
        <v>1272</v>
      </c>
      <c r="CS375">
        <v>1652</v>
      </c>
      <c r="CT375">
        <v>1628.6</v>
      </c>
      <c r="CU375" s="1" t="s">
        <v>1591</v>
      </c>
      <c r="CV375" s="1" t="s">
        <v>4273</v>
      </c>
      <c r="CW375">
        <v>41.65</v>
      </c>
      <c r="CX375">
        <v>31.6</v>
      </c>
      <c r="CY375">
        <v>26.2</v>
      </c>
      <c r="CZ375">
        <v>13</v>
      </c>
      <c r="DA375">
        <v>1</v>
      </c>
      <c r="DB375" t="s">
        <v>3571</v>
      </c>
      <c r="DC375">
        <v>0</v>
      </c>
      <c r="DD375" s="1" t="s">
        <v>4274</v>
      </c>
      <c r="DE375">
        <v>-32.579350687418902</v>
      </c>
      <c r="DF375" t="e">
        <f>_xlfn.XLOOKUP(Table1[[#This Row],[Player ID]],Table2[feed_id],Table2[trade_status])</f>
        <v>#N/A</v>
      </c>
      <c r="DG375">
        <f>_xlfn.NUMBERVALUE(Table1[[#This Row],[predicted]])</f>
        <v>32.579350687418902</v>
      </c>
    </row>
    <row r="376" spans="1:111" hidden="1" x14ac:dyDescent="0.25">
      <c r="A376">
        <v>108377</v>
      </c>
      <c r="B376">
        <v>8039</v>
      </c>
      <c r="C376" t="s">
        <v>4275</v>
      </c>
      <c r="D376" t="s">
        <v>653</v>
      </c>
      <c r="E376">
        <v>2022</v>
      </c>
      <c r="F376">
        <v>992786</v>
      </c>
      <c r="G376" t="s">
        <v>1235</v>
      </c>
      <c r="H376" t="s">
        <v>4276</v>
      </c>
      <c r="I376" t="s">
        <v>317</v>
      </c>
      <c r="J376">
        <v>21</v>
      </c>
      <c r="K376">
        <v>71</v>
      </c>
      <c r="L376">
        <v>72</v>
      </c>
      <c r="M376">
        <v>69</v>
      </c>
      <c r="N376">
        <v>53</v>
      </c>
      <c r="O376">
        <v>73</v>
      </c>
      <c r="P376">
        <v>6</v>
      </c>
      <c r="Q376">
        <v>7</v>
      </c>
      <c r="R376">
        <v>2</v>
      </c>
      <c r="S376">
        <v>7</v>
      </c>
      <c r="T376">
        <v>0</v>
      </c>
      <c r="U376">
        <v>1</v>
      </c>
      <c r="V376">
        <v>1</v>
      </c>
      <c r="W376">
        <v>1</v>
      </c>
      <c r="X376">
        <v>1</v>
      </c>
      <c r="Y376" t="s">
        <v>113</v>
      </c>
      <c r="Z376" t="s">
        <v>861</v>
      </c>
      <c r="AA376" t="s">
        <v>4277</v>
      </c>
      <c r="AH376" t="s">
        <v>155</v>
      </c>
      <c r="AI376">
        <v>16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S376">
        <v>10</v>
      </c>
      <c r="AT376">
        <v>3</v>
      </c>
      <c r="AU376">
        <v>3</v>
      </c>
      <c r="AV376">
        <v>61</v>
      </c>
      <c r="AW376">
        <v>83</v>
      </c>
      <c r="AX376">
        <v>171</v>
      </c>
      <c r="AY376">
        <v>0</v>
      </c>
      <c r="AZ376" t="b">
        <v>0</v>
      </c>
      <c r="BA376">
        <v>1661</v>
      </c>
      <c r="BB376">
        <v>1636</v>
      </c>
      <c r="BC376">
        <v>18</v>
      </c>
      <c r="BD376" t="s">
        <v>4278</v>
      </c>
      <c r="BE376" s="1" t="s">
        <v>1365</v>
      </c>
      <c r="BF376">
        <v>0</v>
      </c>
      <c r="BG376">
        <v>72</v>
      </c>
      <c r="BH376">
        <v>1</v>
      </c>
      <c r="BI376" s="1" t="s">
        <v>125</v>
      </c>
      <c r="BJ376">
        <v>4.8</v>
      </c>
      <c r="BK376" s="1" t="s">
        <v>211</v>
      </c>
      <c r="BL376" s="1" t="s">
        <v>416</v>
      </c>
      <c r="BM376">
        <v>1</v>
      </c>
      <c r="BN376" s="1" t="s">
        <v>275</v>
      </c>
      <c r="BO376" s="1" t="s">
        <v>125</v>
      </c>
      <c r="BP376" s="1" t="s">
        <v>528</v>
      </c>
      <c r="BQ376">
        <v>0</v>
      </c>
      <c r="BR376">
        <v>0</v>
      </c>
      <c r="BS376" s="1" t="s">
        <v>128</v>
      </c>
      <c r="BT376" s="1" t="s">
        <v>298</v>
      </c>
      <c r="BU376">
        <v>1</v>
      </c>
      <c r="BV376">
        <v>1</v>
      </c>
      <c r="BW376" s="1" t="s">
        <v>129</v>
      </c>
      <c r="BX376" s="1" t="s">
        <v>129</v>
      </c>
      <c r="BY376" s="1" t="s">
        <v>129</v>
      </c>
      <c r="BZ376" s="1" t="s">
        <v>238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 s="1" t="s">
        <v>160</v>
      </c>
      <c r="CH376">
        <v>4.8</v>
      </c>
      <c r="CI376" s="1" t="s">
        <v>126</v>
      </c>
      <c r="CJ376" s="1" t="s">
        <v>130</v>
      </c>
      <c r="CK376" s="1" t="s">
        <v>161</v>
      </c>
      <c r="CL376" s="1" t="s">
        <v>159</v>
      </c>
      <c r="CM376" s="1" t="s">
        <v>1979</v>
      </c>
      <c r="CN376" s="1" t="s">
        <v>1839</v>
      </c>
      <c r="CO376" s="1" t="s">
        <v>1715</v>
      </c>
      <c r="CP376" s="1" t="s">
        <v>3733</v>
      </c>
      <c r="CQ376" s="1" t="s">
        <v>4279</v>
      </c>
      <c r="CR376">
        <v>138</v>
      </c>
      <c r="CS376" s="1" t="s">
        <v>2502</v>
      </c>
      <c r="CT376" s="1" t="s">
        <v>4280</v>
      </c>
      <c r="CU376" s="1" t="s">
        <v>3046</v>
      </c>
      <c r="CV376" s="1" t="s">
        <v>4281</v>
      </c>
      <c r="CW376">
        <v>51.7</v>
      </c>
      <c r="CX376">
        <v>34.9</v>
      </c>
      <c r="CY376">
        <v>38</v>
      </c>
      <c r="CZ376">
        <v>38</v>
      </c>
      <c r="DA376">
        <v>1</v>
      </c>
      <c r="DB376" t="s">
        <v>861</v>
      </c>
      <c r="DC376">
        <v>72</v>
      </c>
      <c r="DD376" s="1" t="s">
        <v>4282</v>
      </c>
      <c r="DE376" s="1" t="s">
        <v>4283</v>
      </c>
      <c r="DF376" t="e">
        <f>_xlfn.XLOOKUP(Table1[[#This Row],[Player ID]],Table2[feed_id],Table2[trade_status])</f>
        <v>#N/A</v>
      </c>
      <c r="DG376">
        <f>_xlfn.NUMBERVALUE(Table1[[#This Row],[predicted]])</f>
        <v>56.157071572348201</v>
      </c>
    </row>
    <row r="377" spans="1:111" hidden="1" x14ac:dyDescent="0.25">
      <c r="A377">
        <v>108480</v>
      </c>
      <c r="B377">
        <v>8041</v>
      </c>
      <c r="C377" t="s">
        <v>4284</v>
      </c>
      <c r="D377" t="s">
        <v>653</v>
      </c>
      <c r="E377">
        <v>2022</v>
      </c>
      <c r="F377">
        <v>280804</v>
      </c>
      <c r="G377" t="s">
        <v>4285</v>
      </c>
      <c r="H377" t="s">
        <v>1409</v>
      </c>
      <c r="I377" t="s">
        <v>1089</v>
      </c>
      <c r="J377">
        <v>2</v>
      </c>
      <c r="K377">
        <v>27</v>
      </c>
      <c r="L377">
        <v>46</v>
      </c>
      <c r="M377">
        <v>23</v>
      </c>
      <c r="N377">
        <v>24</v>
      </c>
      <c r="O377">
        <v>33</v>
      </c>
      <c r="P377">
        <v>3</v>
      </c>
      <c r="Q377">
        <v>4</v>
      </c>
      <c r="R377">
        <v>3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0</v>
      </c>
      <c r="Y377" t="s">
        <v>113</v>
      </c>
      <c r="Z377" t="s">
        <v>114</v>
      </c>
      <c r="AA377" t="s">
        <v>4286</v>
      </c>
      <c r="AB377" t="s">
        <v>116</v>
      </c>
      <c r="AC377" t="s">
        <v>4287</v>
      </c>
      <c r="AH377" t="s">
        <v>181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S377">
        <v>2</v>
      </c>
      <c r="AT377">
        <v>0</v>
      </c>
      <c r="AU377">
        <v>1</v>
      </c>
      <c r="AV377">
        <v>85</v>
      </c>
      <c r="AW377">
        <v>45</v>
      </c>
      <c r="AX377">
        <v>88</v>
      </c>
      <c r="AY377">
        <v>1</v>
      </c>
      <c r="AZ377" t="b">
        <v>1</v>
      </c>
      <c r="BA377">
        <v>1881</v>
      </c>
      <c r="BB377">
        <v>1413</v>
      </c>
      <c r="BC377">
        <v>18</v>
      </c>
      <c r="BD377" t="s">
        <v>4288</v>
      </c>
      <c r="BE377" s="1" t="s">
        <v>1365</v>
      </c>
      <c r="BF377">
        <v>0</v>
      </c>
      <c r="BG377">
        <v>72</v>
      </c>
      <c r="BH377">
        <v>0</v>
      </c>
      <c r="BI377" s="1" t="s">
        <v>204</v>
      </c>
      <c r="BJ377">
        <v>6.2</v>
      </c>
      <c r="BK377">
        <v>5</v>
      </c>
      <c r="BL377">
        <v>4.4000000000000004</v>
      </c>
      <c r="BM377" s="1" t="s">
        <v>211</v>
      </c>
      <c r="BN377">
        <v>4.4000000000000004</v>
      </c>
      <c r="BO377" s="1" t="s">
        <v>126</v>
      </c>
      <c r="BP377">
        <v>1.6</v>
      </c>
      <c r="BQ377">
        <v>0</v>
      </c>
      <c r="BR377">
        <v>0</v>
      </c>
      <c r="BS377" s="1" t="s">
        <v>126</v>
      </c>
      <c r="BT377" s="1" t="s">
        <v>127</v>
      </c>
      <c r="BU377" s="1" t="s">
        <v>129</v>
      </c>
      <c r="BV377">
        <v>1.2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 s="1" t="s">
        <v>160</v>
      </c>
      <c r="CH377" s="1" t="s">
        <v>212</v>
      </c>
      <c r="CI377">
        <v>0</v>
      </c>
      <c r="CJ377">
        <v>0</v>
      </c>
      <c r="CK377" s="1" t="s">
        <v>126</v>
      </c>
      <c r="CL377">
        <v>2.2000000000000002</v>
      </c>
      <c r="CM377">
        <v>83</v>
      </c>
      <c r="CN377" s="1" t="s">
        <v>2738</v>
      </c>
      <c r="CO377" s="1" t="s">
        <v>1838</v>
      </c>
      <c r="CP377" s="1" t="s">
        <v>2147</v>
      </c>
      <c r="CQ377" s="1" t="s">
        <v>1273</v>
      </c>
      <c r="CR377" s="1" t="s">
        <v>3842</v>
      </c>
      <c r="CS377" s="1" t="s">
        <v>2893</v>
      </c>
      <c r="CT377">
        <v>1501</v>
      </c>
      <c r="CU377" s="1" t="s">
        <v>4289</v>
      </c>
      <c r="CV377" s="1" t="s">
        <v>4290</v>
      </c>
      <c r="CW377">
        <v>52.65</v>
      </c>
      <c r="CX377">
        <v>53.2</v>
      </c>
      <c r="CY377">
        <v>54</v>
      </c>
      <c r="CZ377" s="1" t="s">
        <v>2147</v>
      </c>
      <c r="DA377">
        <v>1</v>
      </c>
      <c r="DB377" t="s">
        <v>114</v>
      </c>
      <c r="DC377">
        <v>46</v>
      </c>
      <c r="DD377" s="1" t="s">
        <v>4291</v>
      </c>
      <c r="DE377" s="1" t="s">
        <v>4292</v>
      </c>
      <c r="DF377" t="e">
        <f>_xlfn.XLOOKUP(Table1[[#This Row],[Player ID]],Table2[feed_id],Table2[trade_status])</f>
        <v>#N/A</v>
      </c>
      <c r="DG377">
        <f>_xlfn.NUMBERVALUE(Table1[[#This Row],[predicted]])</f>
        <v>43.097722514151101</v>
      </c>
    </row>
    <row r="378" spans="1:111" hidden="1" x14ac:dyDescent="0.25">
      <c r="A378">
        <v>108563</v>
      </c>
      <c r="B378">
        <v>8043</v>
      </c>
      <c r="C378" t="s">
        <v>4293</v>
      </c>
      <c r="D378" t="s">
        <v>653</v>
      </c>
      <c r="E378">
        <v>2022</v>
      </c>
      <c r="F378">
        <v>999309</v>
      </c>
      <c r="G378" t="s">
        <v>2003</v>
      </c>
      <c r="H378" t="s">
        <v>4294</v>
      </c>
      <c r="I378" t="s">
        <v>510</v>
      </c>
      <c r="J378">
        <v>8</v>
      </c>
      <c r="K378">
        <v>58</v>
      </c>
      <c r="L378">
        <v>32</v>
      </c>
      <c r="M378">
        <v>36</v>
      </c>
      <c r="N378">
        <v>46</v>
      </c>
      <c r="O378">
        <v>69</v>
      </c>
      <c r="P378">
        <v>10</v>
      </c>
      <c r="Q378">
        <v>8</v>
      </c>
      <c r="R378">
        <v>2</v>
      </c>
      <c r="S378">
        <v>3</v>
      </c>
      <c r="T378">
        <v>0</v>
      </c>
      <c r="U378">
        <v>0</v>
      </c>
      <c r="V378">
        <v>2</v>
      </c>
      <c r="W378">
        <v>0</v>
      </c>
      <c r="X378">
        <v>0</v>
      </c>
      <c r="Y378" t="s">
        <v>113</v>
      </c>
      <c r="Z378" t="s">
        <v>877</v>
      </c>
      <c r="AA378" t="s">
        <v>4295</v>
      </c>
      <c r="AH378" t="s">
        <v>118</v>
      </c>
      <c r="AI378">
        <v>6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S378">
        <v>3</v>
      </c>
      <c r="AT378">
        <v>1</v>
      </c>
      <c r="AU378">
        <v>6</v>
      </c>
      <c r="AV378">
        <v>55</v>
      </c>
      <c r="AW378">
        <v>84</v>
      </c>
      <c r="AX378">
        <v>180</v>
      </c>
      <c r="AY378">
        <v>0</v>
      </c>
      <c r="AZ378" t="b">
        <v>0</v>
      </c>
      <c r="BA378">
        <v>1752</v>
      </c>
      <c r="BB378">
        <v>1546</v>
      </c>
      <c r="BC378">
        <v>18</v>
      </c>
      <c r="BD378" t="s">
        <v>4296</v>
      </c>
      <c r="BE378" s="1" t="s">
        <v>1365</v>
      </c>
      <c r="BF378">
        <v>0</v>
      </c>
      <c r="BG378">
        <v>72</v>
      </c>
      <c r="BH378">
        <v>0</v>
      </c>
      <c r="BI378">
        <v>9</v>
      </c>
      <c r="BJ378">
        <v>8.4</v>
      </c>
      <c r="BK378" s="1" t="s">
        <v>545</v>
      </c>
      <c r="BL378" s="1" t="s">
        <v>1106</v>
      </c>
      <c r="BM378" s="1" t="s">
        <v>138</v>
      </c>
      <c r="BN378">
        <v>2.8</v>
      </c>
      <c r="BO378" s="1" t="s">
        <v>138</v>
      </c>
      <c r="BP378" s="1" t="s">
        <v>436</v>
      </c>
      <c r="BQ378">
        <v>0</v>
      </c>
      <c r="BR378">
        <v>0</v>
      </c>
      <c r="BS378" s="1" t="s">
        <v>129</v>
      </c>
      <c r="BT378" s="1" t="s">
        <v>162</v>
      </c>
      <c r="BU378">
        <v>1</v>
      </c>
      <c r="BV378" s="1" t="s">
        <v>130</v>
      </c>
      <c r="BW378">
        <v>0</v>
      </c>
      <c r="BX378" s="1" t="s">
        <v>213</v>
      </c>
      <c r="BY378" s="1" t="s">
        <v>129</v>
      </c>
      <c r="BZ378" s="1" t="s">
        <v>238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4</v>
      </c>
      <c r="CH378" s="1" t="s">
        <v>416</v>
      </c>
      <c r="CI378" s="1" t="s">
        <v>126</v>
      </c>
      <c r="CJ378">
        <v>1.8</v>
      </c>
      <c r="CK378">
        <v>3</v>
      </c>
      <c r="CL378">
        <v>3</v>
      </c>
      <c r="CM378" s="1" t="s">
        <v>417</v>
      </c>
      <c r="CN378" s="1" t="s">
        <v>1615</v>
      </c>
      <c r="CO378" s="1" t="s">
        <v>2177</v>
      </c>
      <c r="CP378" s="1" t="s">
        <v>1289</v>
      </c>
      <c r="CQ378" s="1" t="s">
        <v>4297</v>
      </c>
      <c r="CR378" s="1" t="s">
        <v>4298</v>
      </c>
      <c r="CS378">
        <v>1611</v>
      </c>
      <c r="CT378" s="1" t="s">
        <v>264</v>
      </c>
      <c r="CU378" s="1" t="s">
        <v>4075</v>
      </c>
      <c r="CV378">
        <v>1709</v>
      </c>
      <c r="CW378">
        <v>64.5</v>
      </c>
      <c r="CX378">
        <v>74.3</v>
      </c>
      <c r="CY378">
        <v>67.400000000000006</v>
      </c>
      <c r="CZ378">
        <v>54</v>
      </c>
      <c r="DA378">
        <v>1</v>
      </c>
      <c r="DB378" t="s">
        <v>877</v>
      </c>
      <c r="DC378">
        <v>32</v>
      </c>
      <c r="DD378" s="1" t="s">
        <v>4299</v>
      </c>
      <c r="DE378">
        <v>-22.262694325648098</v>
      </c>
      <c r="DF378" t="e">
        <f>_xlfn.XLOOKUP(Table1[[#This Row],[Player ID]],Table2[feed_id],Table2[trade_status])</f>
        <v>#N/A</v>
      </c>
      <c r="DG378">
        <f>_xlfn.NUMBERVALUE(Table1[[#This Row],[predicted]])</f>
        <v>54.262694325648098</v>
      </c>
    </row>
    <row r="379" spans="1:111" hidden="1" x14ac:dyDescent="0.25">
      <c r="A379">
        <v>108661</v>
      </c>
      <c r="B379">
        <v>8045</v>
      </c>
      <c r="C379" t="s">
        <v>4300</v>
      </c>
      <c r="D379" t="s">
        <v>690</v>
      </c>
      <c r="E379">
        <v>2022</v>
      </c>
      <c r="F379">
        <v>250267</v>
      </c>
      <c r="G379" t="s">
        <v>3697</v>
      </c>
      <c r="H379" t="s">
        <v>4301</v>
      </c>
      <c r="I379" t="s">
        <v>152</v>
      </c>
      <c r="J379">
        <v>3</v>
      </c>
      <c r="K379">
        <v>28</v>
      </c>
      <c r="L379">
        <v>26</v>
      </c>
      <c r="M379">
        <v>24</v>
      </c>
      <c r="N379">
        <v>26</v>
      </c>
      <c r="O379">
        <v>30</v>
      </c>
      <c r="P379">
        <v>2</v>
      </c>
      <c r="Q379">
        <v>2</v>
      </c>
      <c r="R379">
        <v>2</v>
      </c>
      <c r="S379">
        <v>0</v>
      </c>
      <c r="T379">
        <v>12</v>
      </c>
      <c r="U379">
        <v>0</v>
      </c>
      <c r="V379">
        <v>0</v>
      </c>
      <c r="W379">
        <v>0</v>
      </c>
      <c r="X379">
        <v>0</v>
      </c>
      <c r="Y379" t="s">
        <v>113</v>
      </c>
      <c r="Z379" t="s">
        <v>114</v>
      </c>
      <c r="AA379" t="s">
        <v>4302</v>
      </c>
      <c r="AB379" t="s">
        <v>116</v>
      </c>
      <c r="AC379" t="s">
        <v>2391</v>
      </c>
      <c r="AH379" t="s">
        <v>274</v>
      </c>
      <c r="AI379">
        <v>18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S379">
        <v>2</v>
      </c>
      <c r="AT379">
        <v>1</v>
      </c>
      <c r="AU379">
        <v>1</v>
      </c>
      <c r="AV379">
        <v>75</v>
      </c>
      <c r="AW379">
        <v>53</v>
      </c>
      <c r="AX379">
        <v>31</v>
      </c>
      <c r="AY379">
        <v>1</v>
      </c>
      <c r="AZ379" t="b">
        <v>1</v>
      </c>
      <c r="BA379">
        <v>1698</v>
      </c>
      <c r="BB379">
        <v>1580</v>
      </c>
      <c r="BC379">
        <v>19</v>
      </c>
      <c r="BD379" t="s">
        <v>4303</v>
      </c>
      <c r="BE379" s="1" t="s">
        <v>3618</v>
      </c>
      <c r="BF379">
        <v>0</v>
      </c>
      <c r="BG379">
        <v>72</v>
      </c>
      <c r="BH379">
        <v>0</v>
      </c>
      <c r="BI379" s="1" t="s">
        <v>160</v>
      </c>
      <c r="BJ379" s="1" t="s">
        <v>124</v>
      </c>
      <c r="BK379">
        <v>2</v>
      </c>
      <c r="BL379" s="1" t="s">
        <v>375</v>
      </c>
      <c r="BM379" s="1" t="s">
        <v>161</v>
      </c>
      <c r="BN379" s="1" t="s">
        <v>169</v>
      </c>
      <c r="BO379">
        <v>2</v>
      </c>
      <c r="BP379">
        <v>2.4</v>
      </c>
      <c r="BQ379">
        <v>22</v>
      </c>
      <c r="BR379" s="1" t="s">
        <v>2213</v>
      </c>
      <c r="BS379" s="1" t="s">
        <v>126</v>
      </c>
      <c r="BT379" s="1" t="s">
        <v>298</v>
      </c>
      <c r="BU379" s="1" t="s">
        <v>128</v>
      </c>
      <c r="BV379" s="1" t="s">
        <v>214</v>
      </c>
      <c r="BW379" s="1" t="s">
        <v>128</v>
      </c>
      <c r="BX379" s="1" t="s">
        <v>399</v>
      </c>
      <c r="BY379" s="1" t="s">
        <v>129</v>
      </c>
      <c r="BZ379" s="1" t="s">
        <v>231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4</v>
      </c>
      <c r="CH379">
        <v>5</v>
      </c>
      <c r="CI379" s="1" t="s">
        <v>126</v>
      </c>
      <c r="CJ379" s="1" t="s">
        <v>275</v>
      </c>
      <c r="CK379">
        <v>2</v>
      </c>
      <c r="CL379">
        <v>3.6</v>
      </c>
      <c r="CM379" s="1" t="s">
        <v>706</v>
      </c>
      <c r="CN379" s="1" t="s">
        <v>787</v>
      </c>
      <c r="CO379" s="1" t="s">
        <v>417</v>
      </c>
      <c r="CP379" s="1" t="s">
        <v>2305</v>
      </c>
      <c r="CQ379">
        <v>103</v>
      </c>
      <c r="CR379">
        <v>110.4</v>
      </c>
      <c r="CS379" s="1" t="s">
        <v>2011</v>
      </c>
      <c r="CT379" s="1" t="s">
        <v>4304</v>
      </c>
      <c r="CU379" s="1" t="s">
        <v>4075</v>
      </c>
      <c r="CV379" s="1" t="s">
        <v>836</v>
      </c>
      <c r="CW379">
        <v>71.75</v>
      </c>
      <c r="CX379">
        <v>66.599999999999994</v>
      </c>
      <c r="CY379">
        <v>60.2</v>
      </c>
      <c r="CZ379" s="1" t="s">
        <v>1459</v>
      </c>
      <c r="DA379">
        <v>1</v>
      </c>
      <c r="DB379" t="s">
        <v>114</v>
      </c>
      <c r="DC379">
        <v>26</v>
      </c>
      <c r="DD379" s="1" t="s">
        <v>4305</v>
      </c>
      <c r="DE379">
        <v>-26.1245466412811</v>
      </c>
      <c r="DF379" t="e">
        <f>_xlfn.XLOOKUP(Table1[[#This Row],[Player ID]],Table2[feed_id],Table2[trade_status])</f>
        <v>#N/A</v>
      </c>
      <c r="DG379">
        <f>_xlfn.NUMBERVALUE(Table1[[#This Row],[predicted]])</f>
        <v>52.1245466412811</v>
      </c>
    </row>
    <row r="380" spans="1:111" hidden="1" x14ac:dyDescent="0.25">
      <c r="A380">
        <v>108954</v>
      </c>
      <c r="B380">
        <v>8052</v>
      </c>
      <c r="C380" t="s">
        <v>4306</v>
      </c>
      <c r="D380" t="s">
        <v>690</v>
      </c>
      <c r="E380">
        <v>2022</v>
      </c>
      <c r="F380">
        <v>294429</v>
      </c>
      <c r="G380" t="s">
        <v>176</v>
      </c>
      <c r="H380" t="s">
        <v>4307</v>
      </c>
      <c r="I380" t="s">
        <v>291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t="s">
        <v>113</v>
      </c>
      <c r="Z380" t="s">
        <v>3571</v>
      </c>
      <c r="AA380" t="s">
        <v>4081</v>
      </c>
      <c r="AH380" t="s">
        <v>118</v>
      </c>
      <c r="AI380">
        <v>27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 t="b">
        <v>0</v>
      </c>
      <c r="BA380">
        <v>1671</v>
      </c>
      <c r="BB380">
        <v>1629</v>
      </c>
      <c r="BC380">
        <v>19</v>
      </c>
      <c r="BD380" t="s">
        <v>4308</v>
      </c>
      <c r="BE380" s="1" t="s">
        <v>3618</v>
      </c>
      <c r="BF380">
        <v>0</v>
      </c>
      <c r="BG380">
        <v>72</v>
      </c>
      <c r="BH380">
        <v>0</v>
      </c>
      <c r="BI380" s="1" t="s">
        <v>138</v>
      </c>
      <c r="BJ380" s="1" t="s">
        <v>157</v>
      </c>
      <c r="BK380">
        <v>8</v>
      </c>
      <c r="BL380" s="1" t="s">
        <v>1398</v>
      </c>
      <c r="BM380">
        <v>1</v>
      </c>
      <c r="BN380" s="1" t="s">
        <v>640</v>
      </c>
      <c r="BO380" s="1" t="s">
        <v>126</v>
      </c>
      <c r="BP380" s="1" t="s">
        <v>766</v>
      </c>
      <c r="BQ380">
        <v>0</v>
      </c>
      <c r="BR380">
        <v>0</v>
      </c>
      <c r="BS380">
        <v>0</v>
      </c>
      <c r="BT380" s="1" t="s">
        <v>127</v>
      </c>
      <c r="BU380" s="1" t="s">
        <v>128</v>
      </c>
      <c r="BV380" s="1" t="s">
        <v>257</v>
      </c>
      <c r="BW380">
        <v>0</v>
      </c>
      <c r="BX380">
        <v>6.6666666666666596E-2</v>
      </c>
      <c r="BY380" s="1" t="s">
        <v>129</v>
      </c>
      <c r="BZ380" s="1" t="s">
        <v>184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 s="1" t="s">
        <v>124</v>
      </c>
      <c r="CH380">
        <v>10</v>
      </c>
      <c r="CI380" s="1" t="s">
        <v>159</v>
      </c>
      <c r="CJ380">
        <v>5</v>
      </c>
      <c r="CK380" s="1" t="s">
        <v>159</v>
      </c>
      <c r="CL380" s="1" t="s">
        <v>640</v>
      </c>
      <c r="CM380" s="1" t="s">
        <v>1524</v>
      </c>
      <c r="CN380">
        <v>65</v>
      </c>
      <c r="CO380" s="1" t="s">
        <v>2512</v>
      </c>
      <c r="CP380" s="1" t="s">
        <v>1928</v>
      </c>
      <c r="CQ380">
        <v>146</v>
      </c>
      <c r="CR380">
        <v>305.2</v>
      </c>
      <c r="CS380">
        <v>1558</v>
      </c>
      <c r="CT380" s="1" t="s">
        <v>4309</v>
      </c>
      <c r="CU380" s="1" t="s">
        <v>3285</v>
      </c>
      <c r="CV380" s="1" t="s">
        <v>4310</v>
      </c>
      <c r="CW380">
        <v>80.8</v>
      </c>
      <c r="CX380">
        <v>66.599999999999994</v>
      </c>
      <c r="CY380">
        <v>52</v>
      </c>
      <c r="CZ380">
        <v>40</v>
      </c>
      <c r="DA380">
        <v>1</v>
      </c>
      <c r="DB380" t="s">
        <v>3571</v>
      </c>
      <c r="DC380">
        <v>0</v>
      </c>
      <c r="DD380" s="1" t="s">
        <v>4311</v>
      </c>
      <c r="DE380">
        <v>-61.391431805272703</v>
      </c>
      <c r="DF380" t="e">
        <f>_xlfn.XLOOKUP(Table1[[#This Row],[Player ID]],Table2[feed_id],Table2[trade_status])</f>
        <v>#N/A</v>
      </c>
      <c r="DG380">
        <f>_xlfn.NUMBERVALUE(Table1[[#This Row],[predicted]])</f>
        <v>61.391431805272703</v>
      </c>
    </row>
    <row r="381" spans="1:111" hidden="1" x14ac:dyDescent="0.25">
      <c r="A381">
        <v>108999</v>
      </c>
      <c r="B381">
        <v>8053</v>
      </c>
      <c r="C381" t="s">
        <v>4312</v>
      </c>
      <c r="D381" t="s">
        <v>690</v>
      </c>
      <c r="E381">
        <v>2022</v>
      </c>
      <c r="F381">
        <v>1008190</v>
      </c>
      <c r="G381" t="s">
        <v>3687</v>
      </c>
      <c r="H381" t="s">
        <v>4313</v>
      </c>
      <c r="I381" t="s">
        <v>619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t="s">
        <v>113</v>
      </c>
      <c r="Z381" t="s">
        <v>3571</v>
      </c>
      <c r="AA381" t="s">
        <v>4081</v>
      </c>
      <c r="AH381" t="s">
        <v>118</v>
      </c>
      <c r="AI381">
        <v>33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 t="b">
        <v>0</v>
      </c>
      <c r="BA381">
        <v>1332</v>
      </c>
      <c r="BB381">
        <v>1969</v>
      </c>
      <c r="BC381">
        <v>19</v>
      </c>
      <c r="BD381" t="s">
        <v>4314</v>
      </c>
      <c r="BE381" s="1" t="s">
        <v>3618</v>
      </c>
      <c r="BF381">
        <v>0</v>
      </c>
      <c r="BG381">
        <v>72</v>
      </c>
      <c r="BH381">
        <v>0</v>
      </c>
      <c r="BI381">
        <v>3</v>
      </c>
      <c r="BJ381" s="1" t="s">
        <v>160</v>
      </c>
      <c r="BK381" s="1" t="s">
        <v>160</v>
      </c>
      <c r="BL381">
        <v>5</v>
      </c>
      <c r="BM381">
        <v>3</v>
      </c>
      <c r="BN381" s="1" t="s">
        <v>322</v>
      </c>
      <c r="BO381" s="1" t="s">
        <v>128</v>
      </c>
      <c r="BP381">
        <v>1.4</v>
      </c>
      <c r="BQ381">
        <v>0</v>
      </c>
      <c r="BR381">
        <v>0</v>
      </c>
      <c r="BS381">
        <v>0</v>
      </c>
      <c r="BT381" s="1" t="s">
        <v>213</v>
      </c>
      <c r="BU381">
        <v>0</v>
      </c>
      <c r="BV381">
        <v>0.6</v>
      </c>
      <c r="BW381">
        <v>0</v>
      </c>
      <c r="BX381" s="1" t="s">
        <v>184</v>
      </c>
      <c r="BY381">
        <v>0</v>
      </c>
      <c r="BZ381">
        <v>0.4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 s="1" t="s">
        <v>159</v>
      </c>
      <c r="CH381" s="1" t="s">
        <v>528</v>
      </c>
      <c r="CI381" s="1" t="s">
        <v>129</v>
      </c>
      <c r="CJ381" s="1" t="s">
        <v>129</v>
      </c>
      <c r="CK381">
        <v>1</v>
      </c>
      <c r="CL381" s="1" t="s">
        <v>304</v>
      </c>
      <c r="CM381" s="1" t="s">
        <v>1927</v>
      </c>
      <c r="CN381">
        <v>61.2</v>
      </c>
      <c r="CO381" s="1" t="s">
        <v>4315</v>
      </c>
      <c r="CP381">
        <v>65.8</v>
      </c>
      <c r="CQ381" s="1" t="s">
        <v>4316</v>
      </c>
      <c r="CR381">
        <v>155.6</v>
      </c>
      <c r="CS381" s="1" t="s">
        <v>4317</v>
      </c>
      <c r="CT381">
        <v>1645.6</v>
      </c>
      <c r="CU381" s="1" t="s">
        <v>4318</v>
      </c>
      <c r="CV381" s="1" t="s">
        <v>4319</v>
      </c>
      <c r="CW381">
        <v>38.700000000000003</v>
      </c>
      <c r="CX381">
        <v>36.4</v>
      </c>
      <c r="CY381">
        <v>30.8</v>
      </c>
      <c r="CZ381" s="1" t="s">
        <v>2213</v>
      </c>
      <c r="DA381">
        <v>1</v>
      </c>
      <c r="DB381" t="s">
        <v>3571</v>
      </c>
      <c r="DC381">
        <v>0</v>
      </c>
      <c r="DD381" s="1" t="s">
        <v>4320</v>
      </c>
      <c r="DE381">
        <v>-33.9480784775578</v>
      </c>
      <c r="DF381" t="e">
        <f>_xlfn.XLOOKUP(Table1[[#This Row],[Player ID]],Table2[feed_id],Table2[trade_status])</f>
        <v>#N/A</v>
      </c>
      <c r="DG381">
        <f>_xlfn.NUMBERVALUE(Table1[[#This Row],[predicted]])</f>
        <v>33.9480784775578</v>
      </c>
    </row>
    <row r="382" spans="1:111" hidden="1" x14ac:dyDescent="0.25">
      <c r="A382">
        <v>109448</v>
      </c>
      <c r="B382">
        <v>8063</v>
      </c>
      <c r="C382" t="s">
        <v>4321</v>
      </c>
      <c r="D382" t="s">
        <v>762</v>
      </c>
      <c r="E382">
        <v>2022</v>
      </c>
      <c r="F382">
        <v>280988</v>
      </c>
      <c r="G382" t="s">
        <v>1582</v>
      </c>
      <c r="H382" t="s">
        <v>4322</v>
      </c>
      <c r="I382" t="s">
        <v>178</v>
      </c>
      <c r="J382">
        <v>3</v>
      </c>
      <c r="K382">
        <v>27</v>
      </c>
      <c r="L382">
        <v>19</v>
      </c>
      <c r="M382">
        <v>36</v>
      </c>
      <c r="N382">
        <v>24</v>
      </c>
      <c r="O382">
        <v>31</v>
      </c>
      <c r="P382">
        <v>5</v>
      </c>
      <c r="Q382">
        <v>1</v>
      </c>
      <c r="R382">
        <v>4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 t="s">
        <v>113</v>
      </c>
      <c r="Z382" t="s">
        <v>525</v>
      </c>
      <c r="AA382" t="s">
        <v>4323</v>
      </c>
      <c r="AH382" t="s">
        <v>155</v>
      </c>
      <c r="AI382">
        <v>33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S382">
        <v>0</v>
      </c>
      <c r="AT382">
        <v>0</v>
      </c>
      <c r="AU382">
        <v>1</v>
      </c>
      <c r="AV382">
        <v>50</v>
      </c>
      <c r="AW382">
        <v>76</v>
      </c>
      <c r="AX382">
        <v>188</v>
      </c>
      <c r="AY382">
        <v>0</v>
      </c>
      <c r="AZ382" t="b">
        <v>0</v>
      </c>
      <c r="BA382">
        <v>1688</v>
      </c>
      <c r="BB382">
        <v>1615</v>
      </c>
      <c r="BC382">
        <v>21</v>
      </c>
      <c r="BD382" t="s">
        <v>4324</v>
      </c>
      <c r="BE382" s="1" t="s">
        <v>4325</v>
      </c>
      <c r="BF382">
        <v>0</v>
      </c>
      <c r="BG382">
        <v>71</v>
      </c>
      <c r="BH382">
        <v>0</v>
      </c>
      <c r="BI382">
        <v>9</v>
      </c>
      <c r="BJ382" s="1" t="s">
        <v>295</v>
      </c>
      <c r="BK382">
        <v>3</v>
      </c>
      <c r="BL382">
        <v>3.2</v>
      </c>
      <c r="BM382">
        <v>4</v>
      </c>
      <c r="BN382" s="1" t="s">
        <v>587</v>
      </c>
      <c r="BO382" s="1" t="s">
        <v>128</v>
      </c>
      <c r="BP382" s="1" t="s">
        <v>275</v>
      </c>
      <c r="BQ382">
        <v>0</v>
      </c>
      <c r="BR382">
        <v>0</v>
      </c>
      <c r="BS382" s="1" t="s">
        <v>128</v>
      </c>
      <c r="BT382">
        <v>0.8</v>
      </c>
      <c r="BU382" s="1" t="s">
        <v>128</v>
      </c>
      <c r="BV382" s="1" t="s">
        <v>184</v>
      </c>
      <c r="BW382">
        <v>0</v>
      </c>
      <c r="BX382" s="1" t="s">
        <v>231</v>
      </c>
      <c r="BY382" s="1" t="s">
        <v>128</v>
      </c>
      <c r="BZ382">
        <v>0.4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 s="1" t="s">
        <v>138</v>
      </c>
      <c r="CH382">
        <v>3.4</v>
      </c>
      <c r="CI382" s="1" t="s">
        <v>126</v>
      </c>
      <c r="CJ382">
        <v>0.6</v>
      </c>
      <c r="CK382">
        <v>1</v>
      </c>
      <c r="CL382">
        <v>1</v>
      </c>
      <c r="CM382">
        <v>71</v>
      </c>
      <c r="CN382" s="1" t="s">
        <v>1289</v>
      </c>
      <c r="CO382" s="1" t="s">
        <v>683</v>
      </c>
      <c r="CP382">
        <v>81</v>
      </c>
      <c r="CQ382" s="1" t="s">
        <v>4326</v>
      </c>
      <c r="CR382" s="1" t="s">
        <v>4327</v>
      </c>
      <c r="CS382" s="1" t="s">
        <v>1164</v>
      </c>
      <c r="CT382" s="1" t="s">
        <v>4328</v>
      </c>
      <c r="CU382" s="1" t="s">
        <v>737</v>
      </c>
      <c r="CV382">
        <v>1591.6</v>
      </c>
      <c r="CW382">
        <v>60.25</v>
      </c>
      <c r="CX382">
        <v>49.7</v>
      </c>
      <c r="CY382">
        <v>42.8</v>
      </c>
      <c r="CZ382" s="1" t="s">
        <v>2013</v>
      </c>
      <c r="DA382">
        <v>1</v>
      </c>
      <c r="DB382" t="s">
        <v>525</v>
      </c>
      <c r="DC382">
        <v>19</v>
      </c>
      <c r="DD382" s="1" t="s">
        <v>4329</v>
      </c>
      <c r="DE382">
        <v>-41.3006349146874</v>
      </c>
      <c r="DF382" t="e">
        <f>_xlfn.XLOOKUP(Table1[[#This Row],[Player ID]],Table2[feed_id],Table2[trade_status])</f>
        <v>#N/A</v>
      </c>
      <c r="DG382">
        <f>_xlfn.NUMBERVALUE(Table1[[#This Row],[predicted]])</f>
        <v>60.3006349146874</v>
      </c>
    </row>
    <row r="383" spans="1:111" hidden="1" x14ac:dyDescent="0.25">
      <c r="A383">
        <v>109539</v>
      </c>
      <c r="B383">
        <v>8065</v>
      </c>
      <c r="C383" t="s">
        <v>4330</v>
      </c>
      <c r="D383" t="s">
        <v>762</v>
      </c>
      <c r="E383">
        <v>2022</v>
      </c>
      <c r="F383">
        <v>260382</v>
      </c>
      <c r="G383" t="s">
        <v>4331</v>
      </c>
      <c r="H383" t="s">
        <v>671</v>
      </c>
      <c r="I383" t="s">
        <v>338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113</v>
      </c>
      <c r="Z383" t="s">
        <v>3571</v>
      </c>
      <c r="AA383" t="s">
        <v>4081</v>
      </c>
      <c r="AH383" t="s">
        <v>118</v>
      </c>
      <c r="AI383">
        <v>12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 t="b">
        <v>0</v>
      </c>
      <c r="BA383">
        <v>1333</v>
      </c>
      <c r="BB383">
        <v>1969</v>
      </c>
      <c r="BC383">
        <v>21</v>
      </c>
      <c r="BD383" t="s">
        <v>4332</v>
      </c>
      <c r="BE383" s="1" t="s">
        <v>4325</v>
      </c>
      <c r="BF383">
        <v>0</v>
      </c>
      <c r="BG383">
        <v>71</v>
      </c>
      <c r="BH383">
        <v>0</v>
      </c>
      <c r="BI383">
        <v>4</v>
      </c>
      <c r="BJ383" s="1" t="s">
        <v>545</v>
      </c>
      <c r="BK383">
        <v>4</v>
      </c>
      <c r="BL383" s="1" t="s">
        <v>1587</v>
      </c>
      <c r="BM383" s="1" t="s">
        <v>126</v>
      </c>
      <c r="BN383" s="1" t="s">
        <v>640</v>
      </c>
      <c r="BO383">
        <v>1</v>
      </c>
      <c r="BP383" s="1" t="s">
        <v>169</v>
      </c>
      <c r="BQ383">
        <v>0</v>
      </c>
      <c r="BR383">
        <v>0</v>
      </c>
      <c r="BS383">
        <v>0</v>
      </c>
      <c r="BT383" s="1" t="s">
        <v>129</v>
      </c>
      <c r="BU383" s="1" t="s">
        <v>129</v>
      </c>
      <c r="BV383" s="1" t="s">
        <v>130</v>
      </c>
      <c r="BW383" s="1" t="s">
        <v>129</v>
      </c>
      <c r="BX383">
        <v>0.2</v>
      </c>
      <c r="BY383">
        <v>0</v>
      </c>
      <c r="BZ383">
        <v>0.2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 s="1" t="s">
        <v>169</v>
      </c>
      <c r="CH383">
        <v>8</v>
      </c>
      <c r="CI383" s="1" t="s">
        <v>161</v>
      </c>
      <c r="CJ383" s="1" t="s">
        <v>766</v>
      </c>
      <c r="CK383" s="1" t="s">
        <v>126</v>
      </c>
      <c r="CL383" s="1" t="s">
        <v>170</v>
      </c>
      <c r="CM383" s="1" t="s">
        <v>1391</v>
      </c>
      <c r="CN383" s="1" t="s">
        <v>593</v>
      </c>
      <c r="CO383">
        <v>37</v>
      </c>
      <c r="CP383">
        <v>63.4</v>
      </c>
      <c r="CQ383" s="1" t="s">
        <v>971</v>
      </c>
      <c r="CR383" s="1" t="s">
        <v>4333</v>
      </c>
      <c r="CS383" s="1" t="s">
        <v>4334</v>
      </c>
      <c r="CT383" s="1" t="s">
        <v>2959</v>
      </c>
      <c r="CU383" s="1" t="s">
        <v>4335</v>
      </c>
      <c r="CV383">
        <v>1465.2</v>
      </c>
      <c r="CW383">
        <v>73.8</v>
      </c>
      <c r="CX383">
        <v>55.7</v>
      </c>
      <c r="CY383">
        <v>52.8</v>
      </c>
      <c r="CZ383">
        <v>34</v>
      </c>
      <c r="DA383">
        <v>1</v>
      </c>
      <c r="DB383" t="s">
        <v>3571</v>
      </c>
      <c r="DC383">
        <v>0</v>
      </c>
      <c r="DD383" s="1" t="s">
        <v>4336</v>
      </c>
      <c r="DE383">
        <v>-57.460352356180401</v>
      </c>
      <c r="DF383" t="e">
        <f>_xlfn.XLOOKUP(Table1[[#This Row],[Player ID]],Table2[feed_id],Table2[trade_status])</f>
        <v>#N/A</v>
      </c>
      <c r="DG383">
        <f>_xlfn.NUMBERVALUE(Table1[[#This Row],[predicted]])</f>
        <v>57.460352356180401</v>
      </c>
    </row>
    <row r="384" spans="1:111" hidden="1" x14ac:dyDescent="0.25">
      <c r="A384">
        <v>109783</v>
      </c>
      <c r="B384">
        <v>8070</v>
      </c>
      <c r="C384" t="s">
        <v>4337</v>
      </c>
      <c r="D384" t="s">
        <v>762</v>
      </c>
      <c r="E384">
        <v>2022</v>
      </c>
      <c r="F384">
        <v>298336</v>
      </c>
      <c r="G384" t="s">
        <v>4338</v>
      </c>
      <c r="H384" t="s">
        <v>4339</v>
      </c>
      <c r="I384" t="s">
        <v>201</v>
      </c>
      <c r="J384">
        <v>4</v>
      </c>
      <c r="K384">
        <v>39</v>
      </c>
      <c r="L384">
        <v>51</v>
      </c>
      <c r="M384">
        <v>26</v>
      </c>
      <c r="N384">
        <v>32</v>
      </c>
      <c r="O384">
        <v>45</v>
      </c>
      <c r="P384">
        <v>7</v>
      </c>
      <c r="Q384">
        <v>2</v>
      </c>
      <c r="R384">
        <v>4</v>
      </c>
      <c r="S384">
        <v>2</v>
      </c>
      <c r="T384">
        <v>0</v>
      </c>
      <c r="U384">
        <v>0</v>
      </c>
      <c r="V384">
        <v>2</v>
      </c>
      <c r="W384">
        <v>0</v>
      </c>
      <c r="X384">
        <v>0</v>
      </c>
      <c r="Y384" t="s">
        <v>113</v>
      </c>
      <c r="Z384" t="s">
        <v>542</v>
      </c>
      <c r="AA384" t="s">
        <v>4340</v>
      </c>
      <c r="AB384" t="s">
        <v>226</v>
      </c>
      <c r="AC384" t="s">
        <v>4341</v>
      </c>
      <c r="AH384" t="s">
        <v>155</v>
      </c>
      <c r="AI384">
        <v>12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S384">
        <v>3</v>
      </c>
      <c r="AT384">
        <v>0</v>
      </c>
      <c r="AU384">
        <v>2</v>
      </c>
      <c r="AV384">
        <v>77</v>
      </c>
      <c r="AW384">
        <v>76</v>
      </c>
      <c r="AX384">
        <v>199</v>
      </c>
      <c r="AY384">
        <v>0</v>
      </c>
      <c r="AZ384" t="b">
        <v>0</v>
      </c>
      <c r="BA384">
        <v>1604</v>
      </c>
      <c r="BB384">
        <v>1633</v>
      </c>
      <c r="BC384">
        <v>21</v>
      </c>
      <c r="BD384" t="s">
        <v>4342</v>
      </c>
      <c r="BE384" s="1" t="s">
        <v>4325</v>
      </c>
      <c r="BF384">
        <v>0</v>
      </c>
      <c r="BG384">
        <v>71</v>
      </c>
      <c r="BH384">
        <v>0</v>
      </c>
      <c r="BI384">
        <v>9</v>
      </c>
      <c r="BJ384" s="1" t="s">
        <v>436</v>
      </c>
      <c r="BK384" s="1" t="s">
        <v>159</v>
      </c>
      <c r="BL384">
        <v>3.4</v>
      </c>
      <c r="BM384" s="1" t="s">
        <v>138</v>
      </c>
      <c r="BN384">
        <v>1.8</v>
      </c>
      <c r="BO384" s="1" t="s">
        <v>138</v>
      </c>
      <c r="BP384" s="1" t="s">
        <v>528</v>
      </c>
      <c r="BQ384">
        <v>0</v>
      </c>
      <c r="BR384">
        <v>0</v>
      </c>
      <c r="BS384" s="1" t="s">
        <v>129</v>
      </c>
      <c r="BT384" s="1" t="s">
        <v>128</v>
      </c>
      <c r="BU384" s="1" t="s">
        <v>128</v>
      </c>
      <c r="BV384" s="1" t="s">
        <v>238</v>
      </c>
      <c r="BW384">
        <v>0</v>
      </c>
      <c r="BX384" s="1" t="s">
        <v>231</v>
      </c>
      <c r="BY384" s="1" t="s">
        <v>129</v>
      </c>
      <c r="BZ384">
        <v>0.2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4</v>
      </c>
      <c r="CH384">
        <v>3.6</v>
      </c>
      <c r="CI384">
        <v>1</v>
      </c>
      <c r="CJ384" s="1" t="s">
        <v>231</v>
      </c>
      <c r="CK384">
        <v>1</v>
      </c>
      <c r="CL384">
        <v>1</v>
      </c>
      <c r="CM384" s="1" t="s">
        <v>609</v>
      </c>
      <c r="CN384" s="1" t="s">
        <v>4343</v>
      </c>
      <c r="CO384">
        <v>79</v>
      </c>
      <c r="CP384" s="1" t="s">
        <v>2216</v>
      </c>
      <c r="CQ384">
        <v>244</v>
      </c>
      <c r="CR384" s="1" t="s">
        <v>4344</v>
      </c>
      <c r="CS384" s="1" t="s">
        <v>703</v>
      </c>
      <c r="CT384">
        <v>1578.8</v>
      </c>
      <c r="CU384" s="1" t="s">
        <v>3587</v>
      </c>
      <c r="CV384" s="1" t="s">
        <v>4345</v>
      </c>
      <c r="CW384">
        <v>46.25</v>
      </c>
      <c r="CX384">
        <v>40.5</v>
      </c>
      <c r="CY384">
        <v>43.4</v>
      </c>
      <c r="CZ384">
        <v>63</v>
      </c>
      <c r="DA384">
        <v>1</v>
      </c>
      <c r="DB384" t="s">
        <v>542</v>
      </c>
      <c r="DC384">
        <v>51</v>
      </c>
      <c r="DD384" s="1" t="s">
        <v>4346</v>
      </c>
      <c r="DE384" s="1" t="s">
        <v>4347</v>
      </c>
      <c r="DF384" t="e">
        <f>_xlfn.XLOOKUP(Table1[[#This Row],[Player ID]],Table2[feed_id],Table2[trade_status])</f>
        <v>#N/A</v>
      </c>
      <c r="DG384">
        <f>_xlfn.NUMBERVALUE(Table1[[#This Row],[predicted]])</f>
        <v>48.224451641561501</v>
      </c>
    </row>
    <row r="385" spans="1:111" hidden="1" x14ac:dyDescent="0.25">
      <c r="A385">
        <v>109937</v>
      </c>
      <c r="B385">
        <v>8074</v>
      </c>
      <c r="C385" t="s">
        <v>4348</v>
      </c>
      <c r="D385" t="s">
        <v>810</v>
      </c>
      <c r="E385">
        <v>2022</v>
      </c>
      <c r="F385">
        <v>992644</v>
      </c>
      <c r="G385" t="s">
        <v>4349</v>
      </c>
      <c r="H385" t="s">
        <v>4350</v>
      </c>
      <c r="I385" t="s">
        <v>1089</v>
      </c>
      <c r="J385">
        <v>10</v>
      </c>
      <c r="K385">
        <v>60</v>
      </c>
      <c r="L385">
        <v>93</v>
      </c>
      <c r="M385">
        <v>74</v>
      </c>
      <c r="N385">
        <v>54</v>
      </c>
      <c r="O385">
        <v>66</v>
      </c>
      <c r="P385">
        <v>8</v>
      </c>
      <c r="Q385">
        <v>1</v>
      </c>
      <c r="R385">
        <v>4</v>
      </c>
      <c r="S385">
        <v>1</v>
      </c>
      <c r="T385">
        <v>23</v>
      </c>
      <c r="U385">
        <v>0</v>
      </c>
      <c r="V385">
        <v>2</v>
      </c>
      <c r="W385">
        <v>0</v>
      </c>
      <c r="X385">
        <v>1</v>
      </c>
      <c r="Y385" t="s">
        <v>113</v>
      </c>
      <c r="Z385" t="s">
        <v>602</v>
      </c>
      <c r="AA385" t="s">
        <v>4351</v>
      </c>
      <c r="AH385" t="s">
        <v>274</v>
      </c>
      <c r="AI385">
        <v>11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S385">
        <v>5</v>
      </c>
      <c r="AT385">
        <v>3</v>
      </c>
      <c r="AU385">
        <v>4</v>
      </c>
      <c r="AV385">
        <v>44</v>
      </c>
      <c r="AW385">
        <v>72</v>
      </c>
      <c r="AX385">
        <v>272</v>
      </c>
      <c r="AY385">
        <v>0</v>
      </c>
      <c r="AZ385" t="b">
        <v>0</v>
      </c>
      <c r="BA385">
        <v>1462</v>
      </c>
      <c r="BB385">
        <v>1840</v>
      </c>
      <c r="BC385">
        <v>22</v>
      </c>
      <c r="BD385" t="s">
        <v>4352</v>
      </c>
      <c r="BE385">
        <v>99</v>
      </c>
      <c r="BF385">
        <v>0</v>
      </c>
      <c r="BG385">
        <v>72</v>
      </c>
      <c r="BH385">
        <v>1</v>
      </c>
      <c r="BI385" s="1" t="s">
        <v>977</v>
      </c>
      <c r="BJ385">
        <v>7.2</v>
      </c>
      <c r="BK385">
        <v>3</v>
      </c>
      <c r="BL385">
        <v>3.4</v>
      </c>
      <c r="BM385">
        <v>4</v>
      </c>
      <c r="BN385">
        <v>3.4</v>
      </c>
      <c r="BO385" s="1" t="s">
        <v>159</v>
      </c>
      <c r="BP385" s="1" t="s">
        <v>275</v>
      </c>
      <c r="BQ385" s="1" t="s">
        <v>4353</v>
      </c>
      <c r="BR385" s="1" t="s">
        <v>4354</v>
      </c>
      <c r="BS385" s="1" t="s">
        <v>126</v>
      </c>
      <c r="BT385" s="1" t="s">
        <v>304</v>
      </c>
      <c r="BU385" s="1" t="s">
        <v>169</v>
      </c>
      <c r="BV385" s="1" t="s">
        <v>275</v>
      </c>
      <c r="BW385" s="1" t="s">
        <v>129</v>
      </c>
      <c r="BX385" s="1" t="s">
        <v>213</v>
      </c>
      <c r="BY385">
        <v>1</v>
      </c>
      <c r="BZ385">
        <v>0.6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 s="1" t="s">
        <v>253</v>
      </c>
      <c r="CH385" s="1" t="s">
        <v>253</v>
      </c>
      <c r="CI385">
        <v>3</v>
      </c>
      <c r="CJ385">
        <v>2.4</v>
      </c>
      <c r="CK385" s="1" t="s">
        <v>124</v>
      </c>
      <c r="CL385">
        <v>4</v>
      </c>
      <c r="CM385" s="1" t="s">
        <v>4123</v>
      </c>
      <c r="CN385" s="1" t="s">
        <v>4355</v>
      </c>
      <c r="CO385">
        <v>74</v>
      </c>
      <c r="CP385" s="1" t="s">
        <v>1693</v>
      </c>
      <c r="CQ385" s="1" t="s">
        <v>4356</v>
      </c>
      <c r="CS385" s="1" t="s">
        <v>3987</v>
      </c>
      <c r="CT385" s="1" t="s">
        <v>504</v>
      </c>
      <c r="CU385" s="1" t="s">
        <v>1742</v>
      </c>
      <c r="CV385">
        <v>1689.8</v>
      </c>
      <c r="CW385">
        <v>78.95</v>
      </c>
      <c r="CX385">
        <v>91.9</v>
      </c>
      <c r="CY385">
        <v>75.8</v>
      </c>
      <c r="CZ385" s="1" t="s">
        <v>364</v>
      </c>
      <c r="DA385">
        <v>1</v>
      </c>
      <c r="DB385" t="s">
        <v>602</v>
      </c>
      <c r="DC385">
        <v>93</v>
      </c>
      <c r="DD385">
        <v>89.933511412701506</v>
      </c>
      <c r="DE385" s="1" t="s">
        <v>4357</v>
      </c>
      <c r="DF385" t="e">
        <f>_xlfn.XLOOKUP(Table1[[#This Row],[Player ID]],Table2[feed_id],Table2[trade_status])</f>
        <v>#N/A</v>
      </c>
      <c r="DG385">
        <f>_xlfn.NUMBERVALUE(Table1[[#This Row],[predicted]])</f>
        <v>89.933511412701506</v>
      </c>
    </row>
    <row r="386" spans="1:111" hidden="1" x14ac:dyDescent="0.25">
      <c r="A386">
        <v>109959</v>
      </c>
      <c r="B386">
        <v>8074</v>
      </c>
      <c r="C386" t="s">
        <v>4348</v>
      </c>
      <c r="D386" t="s">
        <v>810</v>
      </c>
      <c r="E386">
        <v>2022</v>
      </c>
      <c r="F386">
        <v>294654</v>
      </c>
      <c r="G386" t="s">
        <v>617</v>
      </c>
      <c r="H386" t="s">
        <v>763</v>
      </c>
      <c r="I386" t="s">
        <v>619</v>
      </c>
      <c r="J386">
        <v>10</v>
      </c>
      <c r="K386">
        <v>53</v>
      </c>
      <c r="L386">
        <v>67</v>
      </c>
      <c r="M386">
        <v>38</v>
      </c>
      <c r="N386">
        <v>44</v>
      </c>
      <c r="O386">
        <v>53</v>
      </c>
      <c r="P386">
        <v>7</v>
      </c>
      <c r="Q386">
        <v>3</v>
      </c>
      <c r="R386">
        <v>4</v>
      </c>
      <c r="S386">
        <v>1</v>
      </c>
      <c r="T386">
        <v>2</v>
      </c>
      <c r="U386">
        <v>2</v>
      </c>
      <c r="V386">
        <v>0</v>
      </c>
      <c r="W386">
        <v>1</v>
      </c>
      <c r="X386">
        <v>0</v>
      </c>
      <c r="Y386" t="s">
        <v>113</v>
      </c>
      <c r="Z386" t="s">
        <v>656</v>
      </c>
      <c r="AA386" t="s">
        <v>4358</v>
      </c>
      <c r="AH386" t="s">
        <v>155</v>
      </c>
      <c r="AI386">
        <v>17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S386">
        <v>4</v>
      </c>
      <c r="AT386">
        <v>3</v>
      </c>
      <c r="AU386">
        <v>3</v>
      </c>
      <c r="AV386">
        <v>80</v>
      </c>
      <c r="AW386">
        <v>72</v>
      </c>
      <c r="AX386">
        <v>138</v>
      </c>
      <c r="AY386">
        <v>0</v>
      </c>
      <c r="AZ386" t="b">
        <v>0</v>
      </c>
      <c r="BA386">
        <v>1840</v>
      </c>
      <c r="BB386">
        <v>1462</v>
      </c>
      <c r="BC386">
        <v>22</v>
      </c>
      <c r="BD386" t="s">
        <v>4359</v>
      </c>
      <c r="BE386">
        <v>99</v>
      </c>
      <c r="BF386">
        <v>0</v>
      </c>
      <c r="BG386">
        <v>72</v>
      </c>
      <c r="BH386">
        <v>0</v>
      </c>
      <c r="BI386" s="1" t="s">
        <v>204</v>
      </c>
      <c r="BJ386" s="1" t="s">
        <v>1079</v>
      </c>
      <c r="BK386" s="1" t="s">
        <v>125</v>
      </c>
      <c r="BL386">
        <v>4.5999999999999996</v>
      </c>
      <c r="BM386">
        <v>5</v>
      </c>
      <c r="BN386" s="1" t="s">
        <v>416</v>
      </c>
      <c r="BO386" s="1" t="s">
        <v>128</v>
      </c>
      <c r="BP386" s="1" t="s">
        <v>127</v>
      </c>
      <c r="BQ386" s="1" t="s">
        <v>128</v>
      </c>
      <c r="BR386" s="1" t="s">
        <v>213</v>
      </c>
      <c r="BS386">
        <v>1</v>
      </c>
      <c r="BT386">
        <v>0.4</v>
      </c>
      <c r="BU386" s="1" t="s">
        <v>126</v>
      </c>
      <c r="BV386" s="1" t="s">
        <v>257</v>
      </c>
      <c r="BW386" s="1" t="s">
        <v>126</v>
      </c>
      <c r="BX386" s="1" t="s">
        <v>184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 s="1" t="s">
        <v>449</v>
      </c>
      <c r="CH386" s="1" t="s">
        <v>160</v>
      </c>
      <c r="CI386">
        <v>1</v>
      </c>
      <c r="CJ386" s="1" t="s">
        <v>184</v>
      </c>
      <c r="CK386" s="1" t="s">
        <v>138</v>
      </c>
      <c r="CL386" s="1" t="s">
        <v>169</v>
      </c>
      <c r="CM386" s="1" t="s">
        <v>883</v>
      </c>
      <c r="CN386">
        <v>76</v>
      </c>
      <c r="CO386" s="1" t="s">
        <v>755</v>
      </c>
      <c r="CP386" s="1" t="s">
        <v>1273</v>
      </c>
      <c r="CQ386" s="1" t="s">
        <v>3793</v>
      </c>
      <c r="CR386" s="1" t="s">
        <v>4360</v>
      </c>
      <c r="CS386" s="1" t="s">
        <v>4361</v>
      </c>
      <c r="CT386" s="1" t="s">
        <v>4179</v>
      </c>
      <c r="CU386">
        <v>1683</v>
      </c>
      <c r="CV386">
        <v>1648.8</v>
      </c>
      <c r="CW386">
        <v>59.45</v>
      </c>
      <c r="CX386">
        <v>59.3</v>
      </c>
      <c r="CY386">
        <v>57.8</v>
      </c>
      <c r="CZ386">
        <v>63</v>
      </c>
      <c r="DA386">
        <v>1</v>
      </c>
      <c r="DB386" t="s">
        <v>656</v>
      </c>
      <c r="DC386">
        <v>67</v>
      </c>
      <c r="DD386" s="1" t="s">
        <v>4362</v>
      </c>
      <c r="DE386" s="1" t="s">
        <v>4363</v>
      </c>
      <c r="DF386" t="e">
        <f>_xlfn.XLOOKUP(Table1[[#This Row],[Player ID]],Table2[feed_id],Table2[trade_status])</f>
        <v>#N/A</v>
      </c>
      <c r="DG386">
        <f>_xlfn.NUMBERVALUE(Table1[[#This Row],[predicted]])</f>
        <v>61.341200047516701</v>
      </c>
    </row>
    <row r="387" spans="1:111" hidden="1" x14ac:dyDescent="0.25">
      <c r="A387">
        <v>110023</v>
      </c>
      <c r="B387">
        <v>8076</v>
      </c>
      <c r="C387" t="s">
        <v>4364</v>
      </c>
      <c r="D387" t="s">
        <v>810</v>
      </c>
      <c r="E387">
        <v>2022</v>
      </c>
      <c r="F387">
        <v>291526</v>
      </c>
      <c r="G387" t="s">
        <v>176</v>
      </c>
      <c r="H387" t="s">
        <v>4365</v>
      </c>
      <c r="I387" t="s">
        <v>1061</v>
      </c>
      <c r="J387">
        <v>13</v>
      </c>
      <c r="K387">
        <v>67</v>
      </c>
      <c r="L387">
        <v>58</v>
      </c>
      <c r="M387">
        <v>82</v>
      </c>
      <c r="N387">
        <v>54</v>
      </c>
      <c r="O387">
        <v>72</v>
      </c>
      <c r="P387">
        <v>5</v>
      </c>
      <c r="Q387">
        <v>13</v>
      </c>
      <c r="R387">
        <v>2</v>
      </c>
      <c r="S387">
        <v>4</v>
      </c>
      <c r="T387">
        <v>0</v>
      </c>
      <c r="U387">
        <v>4</v>
      </c>
      <c r="V387">
        <v>0</v>
      </c>
      <c r="W387">
        <v>0</v>
      </c>
      <c r="X387">
        <v>0</v>
      </c>
      <c r="Y387" t="s">
        <v>113</v>
      </c>
      <c r="Z387" t="s">
        <v>542</v>
      </c>
      <c r="AA387" t="s">
        <v>4366</v>
      </c>
      <c r="AB387" t="s">
        <v>525</v>
      </c>
      <c r="AC387" t="s">
        <v>2052</v>
      </c>
      <c r="AH387" t="s">
        <v>118</v>
      </c>
      <c r="AI387">
        <v>40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S387">
        <v>7</v>
      </c>
      <c r="AT387">
        <v>0</v>
      </c>
      <c r="AU387">
        <v>0</v>
      </c>
      <c r="AV387">
        <v>72</v>
      </c>
      <c r="AW387">
        <v>66</v>
      </c>
      <c r="AX387">
        <v>63</v>
      </c>
      <c r="AY387">
        <v>0</v>
      </c>
      <c r="AZ387" t="b">
        <v>0</v>
      </c>
      <c r="BA387">
        <v>1481</v>
      </c>
      <c r="BB387">
        <v>1808</v>
      </c>
      <c r="BC387">
        <v>22</v>
      </c>
      <c r="BD387" t="s">
        <v>4367</v>
      </c>
      <c r="BE387">
        <v>99</v>
      </c>
      <c r="BF387">
        <v>0</v>
      </c>
      <c r="BG387">
        <v>72</v>
      </c>
      <c r="BH387">
        <v>0</v>
      </c>
      <c r="BI387" s="1" t="s">
        <v>138</v>
      </c>
      <c r="BJ387">
        <v>4.8</v>
      </c>
      <c r="BK387" s="1" t="s">
        <v>545</v>
      </c>
      <c r="BL387">
        <v>7.6</v>
      </c>
      <c r="BM387">
        <v>1</v>
      </c>
      <c r="BN387">
        <v>2.4</v>
      </c>
      <c r="BO387" s="1" t="s">
        <v>138</v>
      </c>
      <c r="BP387" s="1" t="s">
        <v>138</v>
      </c>
      <c r="BQ387">
        <v>0</v>
      </c>
      <c r="BR387">
        <v>0</v>
      </c>
      <c r="BS387" s="1" t="s">
        <v>159</v>
      </c>
      <c r="BT387" s="1" t="s">
        <v>298</v>
      </c>
      <c r="BU387">
        <v>0</v>
      </c>
      <c r="BV387" s="1" t="s">
        <v>129</v>
      </c>
      <c r="BW387">
        <v>0</v>
      </c>
      <c r="BX387" s="1" t="s">
        <v>129</v>
      </c>
      <c r="BY387">
        <v>0</v>
      </c>
      <c r="BZ387" s="1" t="s">
        <v>238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 s="1" t="s">
        <v>124</v>
      </c>
      <c r="CH387">
        <v>5.2</v>
      </c>
      <c r="CI387" s="1" t="s">
        <v>129</v>
      </c>
      <c r="CJ387" s="1" t="s">
        <v>399</v>
      </c>
      <c r="CK387" s="1" t="s">
        <v>128</v>
      </c>
      <c r="CL387" s="1" t="s">
        <v>206</v>
      </c>
      <c r="CM387">
        <v>68</v>
      </c>
      <c r="CN387" s="1" t="s">
        <v>1752</v>
      </c>
      <c r="CO387" s="1" t="s">
        <v>141</v>
      </c>
      <c r="CP387" s="1" t="s">
        <v>4368</v>
      </c>
      <c r="CQ387" s="1" t="s">
        <v>1857</v>
      </c>
      <c r="CR387">
        <v>94.4</v>
      </c>
      <c r="CS387">
        <v>1744</v>
      </c>
      <c r="CT387" s="1" t="s">
        <v>2424</v>
      </c>
      <c r="CU387" s="1" t="s">
        <v>647</v>
      </c>
      <c r="CV387" s="1" t="s">
        <v>4369</v>
      </c>
      <c r="CW387">
        <v>54.2</v>
      </c>
      <c r="CX387">
        <v>50.7</v>
      </c>
      <c r="CY387">
        <v>47.8</v>
      </c>
      <c r="CZ387" s="1" t="s">
        <v>1357</v>
      </c>
      <c r="DA387">
        <v>1</v>
      </c>
      <c r="DB387" t="s">
        <v>542</v>
      </c>
      <c r="DC387">
        <v>58</v>
      </c>
      <c r="DD387" s="1" t="s">
        <v>4370</v>
      </c>
      <c r="DE387" s="1" t="s">
        <v>4371</v>
      </c>
      <c r="DF387" t="e">
        <f>_xlfn.XLOOKUP(Table1[[#This Row],[Player ID]],Table2[feed_id],Table2[trade_status])</f>
        <v>#N/A</v>
      </c>
      <c r="DG387">
        <f>_xlfn.NUMBERVALUE(Table1[[#This Row],[predicted]])</f>
        <v>48.267980832258097</v>
      </c>
    </row>
    <row r="388" spans="1:111" hidden="1" x14ac:dyDescent="0.25">
      <c r="A388">
        <v>110115</v>
      </c>
      <c r="B388">
        <v>8078</v>
      </c>
      <c r="C388" t="s">
        <v>4372</v>
      </c>
      <c r="D388" t="s">
        <v>810</v>
      </c>
      <c r="E388">
        <v>2022</v>
      </c>
      <c r="F388">
        <v>291550</v>
      </c>
      <c r="G388" t="s">
        <v>1318</v>
      </c>
      <c r="H388" t="s">
        <v>794</v>
      </c>
      <c r="I388" t="s">
        <v>813</v>
      </c>
      <c r="J388">
        <v>9</v>
      </c>
      <c r="K388">
        <v>56</v>
      </c>
      <c r="L388">
        <v>54</v>
      </c>
      <c r="M388">
        <v>73</v>
      </c>
      <c r="N388">
        <v>49</v>
      </c>
      <c r="O388">
        <v>63</v>
      </c>
      <c r="P388">
        <v>7</v>
      </c>
      <c r="Q388">
        <v>5</v>
      </c>
      <c r="R388">
        <v>8</v>
      </c>
      <c r="S388">
        <v>1</v>
      </c>
      <c r="T388">
        <v>0</v>
      </c>
      <c r="U388">
        <v>0</v>
      </c>
      <c r="V388">
        <v>1</v>
      </c>
      <c r="W388">
        <v>0</v>
      </c>
      <c r="X388">
        <v>0</v>
      </c>
      <c r="Y388" t="s">
        <v>113</v>
      </c>
      <c r="Z388" t="s">
        <v>179</v>
      </c>
      <c r="AA388" t="s">
        <v>4373</v>
      </c>
      <c r="AH388" t="s">
        <v>155</v>
      </c>
      <c r="AI388">
        <v>19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S388">
        <v>5</v>
      </c>
      <c r="AT388">
        <v>0</v>
      </c>
      <c r="AU388">
        <v>4</v>
      </c>
      <c r="AV388">
        <v>83</v>
      </c>
      <c r="AW388">
        <v>88</v>
      </c>
      <c r="AX388">
        <v>264</v>
      </c>
      <c r="AY388">
        <v>0</v>
      </c>
      <c r="AZ388" t="b">
        <v>0</v>
      </c>
      <c r="BA388">
        <v>1753</v>
      </c>
      <c r="BB388">
        <v>1545</v>
      </c>
      <c r="BC388">
        <v>22</v>
      </c>
      <c r="BD388" t="s">
        <v>4374</v>
      </c>
      <c r="BE388">
        <v>99</v>
      </c>
      <c r="BF388">
        <v>0</v>
      </c>
      <c r="BG388">
        <v>72</v>
      </c>
      <c r="BH388">
        <v>0</v>
      </c>
      <c r="BI388">
        <v>8</v>
      </c>
      <c r="BJ388">
        <v>7</v>
      </c>
      <c r="BK388" s="1" t="s">
        <v>160</v>
      </c>
      <c r="BL388" s="1" t="s">
        <v>781</v>
      </c>
      <c r="BM388">
        <v>7</v>
      </c>
      <c r="BN388" s="1" t="s">
        <v>416</v>
      </c>
      <c r="BO388">
        <v>1</v>
      </c>
      <c r="BP388">
        <v>1</v>
      </c>
      <c r="BQ388">
        <v>0</v>
      </c>
      <c r="BR388">
        <v>0</v>
      </c>
      <c r="BS388">
        <v>1</v>
      </c>
      <c r="BT388" s="1" t="s">
        <v>162</v>
      </c>
      <c r="BU388" s="1" t="s">
        <v>129</v>
      </c>
      <c r="BV388" s="1" t="s">
        <v>130</v>
      </c>
      <c r="BW388">
        <v>0</v>
      </c>
      <c r="BX388">
        <v>0</v>
      </c>
      <c r="BY388">
        <v>0</v>
      </c>
      <c r="BZ388">
        <v>6.6666666666666596E-2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 s="1" t="s">
        <v>204</v>
      </c>
      <c r="CH388" s="1" t="s">
        <v>752</v>
      </c>
      <c r="CI388" s="1" t="s">
        <v>129</v>
      </c>
      <c r="CJ388" s="1" t="s">
        <v>213</v>
      </c>
      <c r="CK388" s="1" t="s">
        <v>159</v>
      </c>
      <c r="CL388" s="1" t="s">
        <v>375</v>
      </c>
      <c r="CM388" s="1" t="s">
        <v>2147</v>
      </c>
      <c r="CN388" s="1" t="s">
        <v>968</v>
      </c>
      <c r="CO388" s="1" t="s">
        <v>4375</v>
      </c>
      <c r="CP388">
        <v>91.4</v>
      </c>
      <c r="CQ388" s="1" t="s">
        <v>4376</v>
      </c>
      <c r="CR388">
        <v>174.2</v>
      </c>
      <c r="CS388" s="1" t="s">
        <v>4377</v>
      </c>
      <c r="CT388" s="1" t="s">
        <v>4378</v>
      </c>
      <c r="CU388" s="1" t="s">
        <v>4379</v>
      </c>
      <c r="CV388" s="1" t="s">
        <v>4380</v>
      </c>
      <c r="CW388">
        <v>61.65</v>
      </c>
      <c r="CX388">
        <v>65.400000000000006</v>
      </c>
      <c r="CY388">
        <v>68.2</v>
      </c>
      <c r="CZ388" s="1" t="s">
        <v>1406</v>
      </c>
      <c r="DA388">
        <v>1</v>
      </c>
      <c r="DB388" t="s">
        <v>179</v>
      </c>
      <c r="DC388">
        <v>54</v>
      </c>
      <c r="DD388" s="1" t="s">
        <v>4381</v>
      </c>
      <c r="DE388" s="1" t="s">
        <v>4382</v>
      </c>
      <c r="DF388" t="e">
        <f>_xlfn.XLOOKUP(Table1[[#This Row],[Player ID]],Table2[feed_id],Table2[trade_status])</f>
        <v>#N/A</v>
      </c>
      <c r="DG388">
        <f>_xlfn.NUMBERVALUE(Table1[[#This Row],[predicted]])</f>
        <v>53.779664331206597</v>
      </c>
    </row>
    <row r="389" spans="1:111" hidden="1" x14ac:dyDescent="0.25">
      <c r="A389">
        <v>110169</v>
      </c>
      <c r="B389">
        <v>8079</v>
      </c>
      <c r="C389" t="s">
        <v>4383</v>
      </c>
      <c r="D389" t="s">
        <v>810</v>
      </c>
      <c r="E389">
        <v>2022</v>
      </c>
      <c r="F389">
        <v>294168</v>
      </c>
      <c r="G389" t="s">
        <v>4384</v>
      </c>
      <c r="H389" t="s">
        <v>4385</v>
      </c>
      <c r="I389" t="s">
        <v>201</v>
      </c>
      <c r="J389">
        <v>1</v>
      </c>
      <c r="K389">
        <v>16</v>
      </c>
      <c r="L389">
        <v>28</v>
      </c>
      <c r="M389">
        <v>22</v>
      </c>
      <c r="N389">
        <v>12</v>
      </c>
      <c r="O389">
        <v>15</v>
      </c>
      <c r="P389">
        <v>2</v>
      </c>
      <c r="Q389">
        <v>0</v>
      </c>
      <c r="R389">
        <v>2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113</v>
      </c>
      <c r="Z389" t="s">
        <v>114</v>
      </c>
      <c r="AA389" t="s">
        <v>4386</v>
      </c>
      <c r="AB389" t="s">
        <v>179</v>
      </c>
      <c r="AC389" t="s">
        <v>4387</v>
      </c>
      <c r="AH389" t="s">
        <v>181</v>
      </c>
      <c r="AI389">
        <v>24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S389">
        <v>0</v>
      </c>
      <c r="AT389">
        <v>0</v>
      </c>
      <c r="AU389">
        <v>0</v>
      </c>
      <c r="AV389">
        <v>100</v>
      </c>
      <c r="AW389">
        <v>65</v>
      </c>
      <c r="AX389">
        <v>21</v>
      </c>
      <c r="AY389">
        <v>1</v>
      </c>
      <c r="AZ389" t="b">
        <v>1</v>
      </c>
      <c r="BA389">
        <v>1577</v>
      </c>
      <c r="BB389">
        <v>1710</v>
      </c>
      <c r="BC389">
        <v>22</v>
      </c>
      <c r="BD389" t="s">
        <v>4388</v>
      </c>
      <c r="BE389">
        <v>99</v>
      </c>
      <c r="BF389">
        <v>0</v>
      </c>
      <c r="BG389">
        <v>72</v>
      </c>
      <c r="BH389">
        <v>0</v>
      </c>
      <c r="BI389">
        <v>7</v>
      </c>
      <c r="BJ389" s="1" t="s">
        <v>1426</v>
      </c>
      <c r="BK389" s="1" t="s">
        <v>126</v>
      </c>
      <c r="BL389" s="1" t="s">
        <v>528</v>
      </c>
      <c r="BM389" s="1" t="s">
        <v>169</v>
      </c>
      <c r="BN389">
        <v>5.6</v>
      </c>
      <c r="BO389" s="1" t="s">
        <v>126</v>
      </c>
      <c r="BP389" s="1" t="s">
        <v>206</v>
      </c>
      <c r="BQ389">
        <v>0</v>
      </c>
      <c r="BR389">
        <v>0</v>
      </c>
      <c r="BS389" s="1" t="s">
        <v>128</v>
      </c>
      <c r="BT389" s="1" t="s">
        <v>399</v>
      </c>
      <c r="BU389">
        <v>1</v>
      </c>
      <c r="BV389" s="1" t="s">
        <v>399</v>
      </c>
      <c r="BW389">
        <v>0</v>
      </c>
      <c r="BX389">
        <v>6.6666666666666596E-2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3</v>
      </c>
      <c r="CH389">
        <v>4.4000000000000004</v>
      </c>
      <c r="CI389" s="1" t="s">
        <v>129</v>
      </c>
      <c r="CJ389">
        <v>0.2</v>
      </c>
      <c r="CK389" s="1" t="s">
        <v>159</v>
      </c>
      <c r="CL389">
        <v>2.6</v>
      </c>
      <c r="CM389" s="1" t="s">
        <v>683</v>
      </c>
      <c r="CN389" s="1" t="s">
        <v>1713</v>
      </c>
      <c r="CO389" s="1" t="s">
        <v>1123</v>
      </c>
      <c r="CP389" s="1" t="s">
        <v>4389</v>
      </c>
      <c r="CQ389">
        <v>208</v>
      </c>
      <c r="CR389" s="1" t="s">
        <v>4390</v>
      </c>
      <c r="CS389" s="1" t="s">
        <v>823</v>
      </c>
      <c r="CT389" s="1" t="s">
        <v>4391</v>
      </c>
      <c r="CU389" s="1" t="s">
        <v>1868</v>
      </c>
      <c r="CV389">
        <v>1598.4</v>
      </c>
      <c r="CW389">
        <v>63.85</v>
      </c>
      <c r="CX389">
        <v>65.900000000000006</v>
      </c>
      <c r="CY389">
        <v>61.8</v>
      </c>
      <c r="CZ389">
        <v>48</v>
      </c>
      <c r="DA389">
        <v>1</v>
      </c>
      <c r="DB389" t="s">
        <v>114</v>
      </c>
      <c r="DC389">
        <v>28</v>
      </c>
      <c r="DD389" s="1" t="s">
        <v>4392</v>
      </c>
      <c r="DE389">
        <v>-16.448004897607401</v>
      </c>
      <c r="DF389" t="e">
        <f>_xlfn.XLOOKUP(Table1[[#This Row],[Player ID]],Table2[feed_id],Table2[trade_status])</f>
        <v>#N/A</v>
      </c>
      <c r="DG389">
        <f>_xlfn.NUMBERVALUE(Table1[[#This Row],[predicted]])</f>
        <v>44.448004897607397</v>
      </c>
    </row>
    <row r="390" spans="1:111" hidden="1" x14ac:dyDescent="0.25">
      <c r="A390">
        <v>110192</v>
      </c>
      <c r="B390">
        <v>8080</v>
      </c>
      <c r="C390" t="s">
        <v>4393</v>
      </c>
      <c r="D390" t="s">
        <v>810</v>
      </c>
      <c r="E390">
        <v>2022</v>
      </c>
      <c r="F390">
        <v>240406</v>
      </c>
      <c r="G390" t="s">
        <v>4394</v>
      </c>
      <c r="H390" t="s">
        <v>671</v>
      </c>
      <c r="I390" t="s">
        <v>582</v>
      </c>
      <c r="J390">
        <v>49</v>
      </c>
      <c r="K390">
        <v>120</v>
      </c>
      <c r="L390">
        <v>156</v>
      </c>
      <c r="M390">
        <v>141</v>
      </c>
      <c r="N390">
        <v>107</v>
      </c>
      <c r="O390">
        <v>122</v>
      </c>
      <c r="P390">
        <v>11</v>
      </c>
      <c r="Q390">
        <v>4</v>
      </c>
      <c r="R390">
        <v>8</v>
      </c>
      <c r="S390">
        <v>1</v>
      </c>
      <c r="T390">
        <v>0</v>
      </c>
      <c r="U390">
        <v>1</v>
      </c>
      <c r="V390">
        <v>0</v>
      </c>
      <c r="W390">
        <v>8</v>
      </c>
      <c r="X390">
        <v>2</v>
      </c>
      <c r="Y390" t="s">
        <v>113</v>
      </c>
      <c r="Z390" t="s">
        <v>4395</v>
      </c>
      <c r="AA390" t="s">
        <v>4396</v>
      </c>
      <c r="AB390" t="s">
        <v>656</v>
      </c>
      <c r="AC390" t="s">
        <v>4397</v>
      </c>
      <c r="AH390" t="s">
        <v>155</v>
      </c>
      <c r="AI390">
        <v>17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S390">
        <v>6</v>
      </c>
      <c r="AT390">
        <v>0</v>
      </c>
      <c r="AU390">
        <v>0</v>
      </c>
      <c r="AV390">
        <v>73</v>
      </c>
      <c r="AW390">
        <v>88</v>
      </c>
      <c r="AX390">
        <v>331</v>
      </c>
      <c r="AY390">
        <v>0</v>
      </c>
      <c r="AZ390" t="b">
        <v>0</v>
      </c>
      <c r="BA390">
        <v>1541</v>
      </c>
      <c r="BB390">
        <v>1753</v>
      </c>
      <c r="BC390">
        <v>22</v>
      </c>
      <c r="BD390" t="s">
        <v>4398</v>
      </c>
      <c r="BE390">
        <v>99</v>
      </c>
      <c r="BF390">
        <v>1</v>
      </c>
      <c r="BG390">
        <v>72</v>
      </c>
      <c r="BH390">
        <v>1</v>
      </c>
      <c r="BI390" s="1" t="s">
        <v>253</v>
      </c>
      <c r="BJ390">
        <v>6.4</v>
      </c>
      <c r="BK390" s="1" t="s">
        <v>211</v>
      </c>
      <c r="BL390" s="1" t="s">
        <v>322</v>
      </c>
      <c r="BM390" s="1" t="s">
        <v>124</v>
      </c>
      <c r="BN390" s="1" t="s">
        <v>990</v>
      </c>
      <c r="BO390" s="1" t="s">
        <v>161</v>
      </c>
      <c r="BP390">
        <v>1.4</v>
      </c>
      <c r="BQ390">
        <v>0</v>
      </c>
      <c r="BR390">
        <v>0</v>
      </c>
      <c r="BS390" s="1" t="s">
        <v>128</v>
      </c>
      <c r="BT390" s="1" t="s">
        <v>130</v>
      </c>
      <c r="BU390">
        <v>0</v>
      </c>
      <c r="BV390">
        <v>1.2</v>
      </c>
      <c r="BW390">
        <v>4</v>
      </c>
      <c r="BX390" s="1" t="s">
        <v>322</v>
      </c>
      <c r="BY390" s="1" t="s">
        <v>128</v>
      </c>
      <c r="BZ390" s="1" t="s">
        <v>399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5</v>
      </c>
      <c r="CH390" s="1" t="s">
        <v>766</v>
      </c>
      <c r="CI390">
        <v>0</v>
      </c>
      <c r="CJ390">
        <v>0</v>
      </c>
      <c r="CK390" s="1" t="s">
        <v>129</v>
      </c>
      <c r="CL390" s="1" t="s">
        <v>159</v>
      </c>
      <c r="CM390" s="1" t="s">
        <v>261</v>
      </c>
      <c r="CN390">
        <v>66.599999999999994</v>
      </c>
      <c r="CO390" s="1" t="s">
        <v>1665</v>
      </c>
      <c r="CP390" s="1" t="s">
        <v>2177</v>
      </c>
      <c r="CQ390" s="1" t="s">
        <v>3718</v>
      </c>
      <c r="CR390" s="1" t="s">
        <v>4399</v>
      </c>
      <c r="CS390" s="1" t="s">
        <v>3113</v>
      </c>
      <c r="CT390">
        <v>1422.8</v>
      </c>
      <c r="CU390">
        <v>1672</v>
      </c>
      <c r="CV390" s="1" t="s">
        <v>4400</v>
      </c>
      <c r="CW390">
        <v>61</v>
      </c>
      <c r="CX390">
        <v>65.099999999999994</v>
      </c>
      <c r="CY390">
        <v>90</v>
      </c>
      <c r="CZ390" s="1" t="s">
        <v>3951</v>
      </c>
      <c r="DA390">
        <v>1</v>
      </c>
      <c r="DB390" t="s">
        <v>4395</v>
      </c>
      <c r="DC390">
        <v>156</v>
      </c>
      <c r="DD390" s="1" t="s">
        <v>4401</v>
      </c>
      <c r="DE390">
        <v>92.638339758929305</v>
      </c>
      <c r="DF390" t="e">
        <f>_xlfn.XLOOKUP(Table1[[#This Row],[Player ID]],Table2[feed_id],Table2[trade_status])</f>
        <v>#N/A</v>
      </c>
      <c r="DG390">
        <f>_xlfn.NUMBERVALUE(Table1[[#This Row],[predicted]])</f>
        <v>63.361660241070602</v>
      </c>
    </row>
    <row r="391" spans="1:111" hidden="1" x14ac:dyDescent="0.25">
      <c r="A391">
        <v>110302</v>
      </c>
      <c r="B391">
        <v>8082</v>
      </c>
      <c r="C391" t="s">
        <v>4402</v>
      </c>
      <c r="D391" t="s">
        <v>109</v>
      </c>
      <c r="E391">
        <v>2022</v>
      </c>
      <c r="F391">
        <v>280763</v>
      </c>
      <c r="G391" t="s">
        <v>4403</v>
      </c>
      <c r="H391" t="s">
        <v>3981</v>
      </c>
      <c r="I391" t="s">
        <v>712</v>
      </c>
      <c r="J391">
        <v>3</v>
      </c>
      <c r="K391">
        <v>32</v>
      </c>
      <c r="L391">
        <v>29</v>
      </c>
      <c r="M391">
        <v>38</v>
      </c>
      <c r="N391">
        <v>28</v>
      </c>
      <c r="O391">
        <v>35</v>
      </c>
      <c r="P391">
        <v>2</v>
      </c>
      <c r="Q391">
        <v>4</v>
      </c>
      <c r="R391">
        <v>2</v>
      </c>
      <c r="S391">
        <v>1</v>
      </c>
      <c r="T391">
        <v>8</v>
      </c>
      <c r="U391">
        <v>0</v>
      </c>
      <c r="V391">
        <v>0</v>
      </c>
      <c r="W391">
        <v>0</v>
      </c>
      <c r="X391">
        <v>0</v>
      </c>
      <c r="Y391" t="s">
        <v>113</v>
      </c>
      <c r="Z391" t="s">
        <v>602</v>
      </c>
      <c r="AA391" t="s">
        <v>4404</v>
      </c>
      <c r="AH391" t="s">
        <v>274</v>
      </c>
      <c r="AI391">
        <v>8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S391">
        <v>4</v>
      </c>
      <c r="AT391">
        <v>2</v>
      </c>
      <c r="AU391">
        <v>0</v>
      </c>
      <c r="AV391">
        <v>83</v>
      </c>
      <c r="AW391">
        <v>59</v>
      </c>
      <c r="AX391">
        <v>84</v>
      </c>
      <c r="AY391">
        <v>1</v>
      </c>
      <c r="AZ391" t="b">
        <v>0</v>
      </c>
      <c r="BA391">
        <v>1733</v>
      </c>
      <c r="BB391">
        <v>1560</v>
      </c>
      <c r="BC391">
        <v>23</v>
      </c>
      <c r="BD391" t="s">
        <v>4405</v>
      </c>
      <c r="BE391">
        <v>98</v>
      </c>
      <c r="BF391">
        <v>0</v>
      </c>
      <c r="BG391">
        <v>71</v>
      </c>
      <c r="BH391">
        <v>0</v>
      </c>
      <c r="BI391" s="1" t="s">
        <v>169</v>
      </c>
      <c r="BJ391" s="1" t="s">
        <v>321</v>
      </c>
      <c r="BK391">
        <v>7</v>
      </c>
      <c r="BL391">
        <v>6.8</v>
      </c>
      <c r="BM391" s="1" t="s">
        <v>126</v>
      </c>
      <c r="BN391">
        <v>1.2</v>
      </c>
      <c r="BO391" s="1" t="s">
        <v>126</v>
      </c>
      <c r="BP391">
        <v>2</v>
      </c>
      <c r="BQ391" s="1" t="s">
        <v>622</v>
      </c>
      <c r="BR391">
        <v>16.8</v>
      </c>
      <c r="BS391" s="1" t="s">
        <v>161</v>
      </c>
      <c r="BT391">
        <v>1.2</v>
      </c>
      <c r="BU391">
        <v>2</v>
      </c>
      <c r="BV391" s="1" t="s">
        <v>275</v>
      </c>
      <c r="BW391">
        <v>0</v>
      </c>
      <c r="BX391">
        <v>6.6666666666666596E-2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6</v>
      </c>
      <c r="CH391" s="1" t="s">
        <v>398</v>
      </c>
      <c r="CI391" s="1" t="s">
        <v>169</v>
      </c>
      <c r="CJ391">
        <v>2.8</v>
      </c>
      <c r="CK391" s="1" t="s">
        <v>138</v>
      </c>
      <c r="CL391" s="1" t="s">
        <v>321</v>
      </c>
      <c r="CM391">
        <v>83</v>
      </c>
      <c r="CN391">
        <v>64.2</v>
      </c>
      <c r="CO391" s="1" t="s">
        <v>1406</v>
      </c>
      <c r="CP391" s="1" t="s">
        <v>883</v>
      </c>
      <c r="CQ391" s="1" t="s">
        <v>971</v>
      </c>
      <c r="CR391" s="1" t="s">
        <v>4406</v>
      </c>
      <c r="CS391" s="1" t="s">
        <v>4407</v>
      </c>
      <c r="CT391" s="1" t="s">
        <v>1534</v>
      </c>
      <c r="CU391">
        <v>1712</v>
      </c>
      <c r="CV391">
        <v>1608.6</v>
      </c>
      <c r="CW391">
        <v>54.35</v>
      </c>
      <c r="CX391">
        <v>56</v>
      </c>
      <c r="CY391">
        <v>59</v>
      </c>
      <c r="CZ391">
        <v>51</v>
      </c>
      <c r="DA391">
        <v>1</v>
      </c>
      <c r="DB391" t="s">
        <v>602</v>
      </c>
      <c r="DC391">
        <v>29</v>
      </c>
      <c r="DD391" s="1" t="s">
        <v>4408</v>
      </c>
      <c r="DE391">
        <v>-40.8556200263222</v>
      </c>
      <c r="DF391" t="e">
        <f>_xlfn.XLOOKUP(Table1[[#This Row],[Player ID]],Table2[feed_id],Table2[trade_status])</f>
        <v>#N/A</v>
      </c>
      <c r="DG391">
        <f>_xlfn.NUMBERVALUE(Table1[[#This Row],[predicted]])</f>
        <v>69.8556200263222</v>
      </c>
    </row>
    <row r="392" spans="1:111" hidden="1" x14ac:dyDescent="0.25">
      <c r="A392">
        <v>110343</v>
      </c>
      <c r="B392">
        <v>8083</v>
      </c>
      <c r="C392" t="s">
        <v>4409</v>
      </c>
      <c r="D392" t="s">
        <v>109</v>
      </c>
      <c r="E392">
        <v>2022</v>
      </c>
      <c r="F392">
        <v>999316</v>
      </c>
      <c r="G392" t="s">
        <v>617</v>
      </c>
      <c r="H392" t="s">
        <v>2944</v>
      </c>
      <c r="I392" t="s">
        <v>510</v>
      </c>
      <c r="J392">
        <v>14</v>
      </c>
      <c r="K392">
        <v>58</v>
      </c>
      <c r="L392">
        <v>77</v>
      </c>
      <c r="M392">
        <v>69</v>
      </c>
      <c r="N392">
        <v>49</v>
      </c>
      <c r="O392">
        <v>64</v>
      </c>
      <c r="P392">
        <v>9</v>
      </c>
      <c r="Q392">
        <v>6</v>
      </c>
      <c r="R392">
        <v>2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1</v>
      </c>
      <c r="Y392" t="s">
        <v>113</v>
      </c>
      <c r="Z392" t="s">
        <v>542</v>
      </c>
      <c r="AA392" t="s">
        <v>4410</v>
      </c>
      <c r="AB392" t="s">
        <v>525</v>
      </c>
      <c r="AC392" t="s">
        <v>4411</v>
      </c>
      <c r="AH392" t="s">
        <v>155</v>
      </c>
      <c r="AI392">
        <v>31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S392">
        <v>6</v>
      </c>
      <c r="AT392">
        <v>0</v>
      </c>
      <c r="AU392">
        <v>1</v>
      </c>
      <c r="AV392">
        <v>80</v>
      </c>
      <c r="AW392">
        <v>72</v>
      </c>
      <c r="AX392">
        <v>190</v>
      </c>
      <c r="AY392">
        <v>0</v>
      </c>
      <c r="AZ392" t="b">
        <v>0</v>
      </c>
      <c r="BA392">
        <v>1535</v>
      </c>
      <c r="BB392">
        <v>1733</v>
      </c>
      <c r="BC392">
        <v>23</v>
      </c>
      <c r="BD392" t="s">
        <v>4412</v>
      </c>
      <c r="BE392">
        <v>98</v>
      </c>
      <c r="BF392">
        <v>0</v>
      </c>
      <c r="BG392">
        <v>71</v>
      </c>
      <c r="BH392">
        <v>1</v>
      </c>
      <c r="BI392" s="1" t="s">
        <v>211</v>
      </c>
      <c r="BJ392">
        <v>7.6</v>
      </c>
      <c r="BK392">
        <v>3</v>
      </c>
      <c r="BL392" s="1" t="s">
        <v>260</v>
      </c>
      <c r="BM392" s="1" t="s">
        <v>128</v>
      </c>
      <c r="BN392">
        <v>3.4</v>
      </c>
      <c r="BO392">
        <v>1</v>
      </c>
      <c r="BP392">
        <v>1.6</v>
      </c>
      <c r="BQ392">
        <v>0</v>
      </c>
      <c r="BR392">
        <v>0</v>
      </c>
      <c r="BS392" s="1" t="s">
        <v>128</v>
      </c>
      <c r="BT392" s="1" t="s">
        <v>127</v>
      </c>
      <c r="BU392">
        <v>0</v>
      </c>
      <c r="BV392" s="1" t="s">
        <v>238</v>
      </c>
      <c r="BW392" s="1" t="s">
        <v>128</v>
      </c>
      <c r="BX392">
        <v>0.8</v>
      </c>
      <c r="BY392" s="1" t="s">
        <v>129</v>
      </c>
      <c r="BZ392" s="1" t="s">
        <v>130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4</v>
      </c>
      <c r="CH392" s="1" t="s">
        <v>499</v>
      </c>
      <c r="CI392" s="1" t="s">
        <v>129</v>
      </c>
      <c r="CJ392" s="1" t="s">
        <v>399</v>
      </c>
      <c r="CK392" s="1" t="s">
        <v>129</v>
      </c>
      <c r="CL392">
        <v>1.8</v>
      </c>
      <c r="CM392">
        <v>55</v>
      </c>
      <c r="CN392">
        <v>67.8</v>
      </c>
      <c r="CO392" s="1" t="s">
        <v>1357</v>
      </c>
      <c r="CP392" s="1" t="s">
        <v>3111</v>
      </c>
      <c r="CQ392" s="1" t="s">
        <v>4413</v>
      </c>
      <c r="CR392" s="1" t="s">
        <v>4414</v>
      </c>
      <c r="CS392" s="1" t="s">
        <v>4361</v>
      </c>
      <c r="CT392" s="1" t="s">
        <v>4415</v>
      </c>
      <c r="CU392">
        <v>1672</v>
      </c>
      <c r="CV392" s="1" t="s">
        <v>4416</v>
      </c>
      <c r="CW392">
        <v>53.1</v>
      </c>
      <c r="CX392">
        <v>59.6</v>
      </c>
      <c r="CY392">
        <v>45.6</v>
      </c>
      <c r="CZ392" s="1" t="s">
        <v>2112</v>
      </c>
      <c r="DA392">
        <v>1</v>
      </c>
      <c r="DB392" t="s">
        <v>542</v>
      </c>
      <c r="DC392">
        <v>77</v>
      </c>
      <c r="DD392" s="1" t="s">
        <v>4417</v>
      </c>
      <c r="DE392" s="1" t="s">
        <v>4418</v>
      </c>
      <c r="DF392" t="e">
        <f>_xlfn.XLOOKUP(Table1[[#This Row],[Player ID]],Table2[feed_id],Table2[trade_status])</f>
        <v>#N/A</v>
      </c>
      <c r="DG392">
        <f>_xlfn.NUMBERVALUE(Table1[[#This Row],[predicted]])</f>
        <v>44.090801581665602</v>
      </c>
    </row>
    <row r="393" spans="1:111" hidden="1" x14ac:dyDescent="0.25">
      <c r="A393">
        <v>110363</v>
      </c>
      <c r="B393">
        <v>8083</v>
      </c>
      <c r="C393" t="s">
        <v>4409</v>
      </c>
      <c r="D393" t="s">
        <v>109</v>
      </c>
      <c r="E393">
        <v>2022</v>
      </c>
      <c r="F393">
        <v>291861</v>
      </c>
      <c r="G393" t="s">
        <v>710</v>
      </c>
      <c r="H393" t="s">
        <v>4419</v>
      </c>
      <c r="I393" t="s">
        <v>813</v>
      </c>
      <c r="J393">
        <v>9</v>
      </c>
      <c r="K393">
        <v>59</v>
      </c>
      <c r="L393">
        <v>56</v>
      </c>
      <c r="M393">
        <v>54</v>
      </c>
      <c r="N393">
        <v>48</v>
      </c>
      <c r="O393">
        <v>66</v>
      </c>
      <c r="P393">
        <v>5</v>
      </c>
      <c r="Q393">
        <v>10</v>
      </c>
      <c r="R393">
        <v>4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 t="s">
        <v>113</v>
      </c>
      <c r="Z393" t="s">
        <v>114</v>
      </c>
      <c r="AA393" t="s">
        <v>4420</v>
      </c>
      <c r="AB393" t="s">
        <v>877</v>
      </c>
      <c r="AC393" t="s">
        <v>3583</v>
      </c>
      <c r="AH393" t="s">
        <v>155</v>
      </c>
      <c r="AI393">
        <v>3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S393">
        <v>4</v>
      </c>
      <c r="AT393">
        <v>1</v>
      </c>
      <c r="AU393">
        <v>1</v>
      </c>
      <c r="AV393">
        <v>80</v>
      </c>
      <c r="AW393">
        <v>47</v>
      </c>
      <c r="AX393">
        <v>185</v>
      </c>
      <c r="AY393">
        <v>1</v>
      </c>
      <c r="AZ393" t="b">
        <v>1</v>
      </c>
      <c r="BA393">
        <v>1733</v>
      </c>
      <c r="BB393">
        <v>1535</v>
      </c>
      <c r="BC393">
        <v>23</v>
      </c>
      <c r="BD393" t="s">
        <v>4421</v>
      </c>
      <c r="BE393">
        <v>98</v>
      </c>
      <c r="BF393">
        <v>0</v>
      </c>
      <c r="BG393">
        <v>71</v>
      </c>
      <c r="BH393">
        <v>0</v>
      </c>
      <c r="BI393" s="1" t="s">
        <v>294</v>
      </c>
      <c r="BJ393" s="1" t="s">
        <v>1366</v>
      </c>
      <c r="BK393" s="1" t="s">
        <v>356</v>
      </c>
      <c r="BL393">
        <v>11</v>
      </c>
      <c r="BM393" s="1" t="s">
        <v>160</v>
      </c>
      <c r="BN393">
        <v>3.8</v>
      </c>
      <c r="BO393">
        <v>3</v>
      </c>
      <c r="BP393">
        <v>4.2</v>
      </c>
      <c r="BQ393">
        <v>0</v>
      </c>
      <c r="BR393">
        <v>0</v>
      </c>
      <c r="BS393" s="1" t="s">
        <v>126</v>
      </c>
      <c r="BT393" s="1" t="s">
        <v>257</v>
      </c>
      <c r="BU393" s="1" t="s">
        <v>128</v>
      </c>
      <c r="BV393">
        <v>1</v>
      </c>
      <c r="BW393" s="1" t="s">
        <v>129</v>
      </c>
      <c r="BX393" s="1" t="s">
        <v>184</v>
      </c>
      <c r="BY393" s="1" t="s">
        <v>128</v>
      </c>
      <c r="BZ393">
        <v>0.2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 s="1" t="s">
        <v>183</v>
      </c>
      <c r="CH393">
        <v>8.8000000000000007</v>
      </c>
      <c r="CI393" s="1" t="s">
        <v>138</v>
      </c>
      <c r="CJ393">
        <v>3.6</v>
      </c>
      <c r="CK393" s="1" t="s">
        <v>169</v>
      </c>
      <c r="CL393">
        <v>4</v>
      </c>
      <c r="CM393" s="1" t="s">
        <v>1012</v>
      </c>
      <c r="CN393">
        <v>63.4</v>
      </c>
      <c r="CO393">
        <v>63</v>
      </c>
      <c r="CP393" s="1" t="s">
        <v>2829</v>
      </c>
      <c r="CQ393" s="1" t="s">
        <v>4422</v>
      </c>
      <c r="CR393">
        <v>290</v>
      </c>
      <c r="CS393" s="1" t="s">
        <v>4423</v>
      </c>
      <c r="CT393">
        <v>1487.4</v>
      </c>
      <c r="CU393" s="1" t="s">
        <v>4424</v>
      </c>
      <c r="CV393">
        <v>1802.6</v>
      </c>
      <c r="CW393">
        <v>78.599999999999994</v>
      </c>
      <c r="CX393">
        <v>81.2</v>
      </c>
      <c r="CY393">
        <v>71</v>
      </c>
      <c r="CZ393" s="1" t="s">
        <v>417</v>
      </c>
      <c r="DA393">
        <v>1</v>
      </c>
      <c r="DB393" t="s">
        <v>114</v>
      </c>
      <c r="DC393">
        <v>56</v>
      </c>
      <c r="DD393" s="1" t="s">
        <v>4425</v>
      </c>
      <c r="DE393">
        <v>-4.7636385135708297</v>
      </c>
      <c r="DF393" t="e">
        <f>_xlfn.XLOOKUP(Table1[[#This Row],[Player ID]],Table2[feed_id],Table2[trade_status])</f>
        <v>#N/A</v>
      </c>
      <c r="DG393">
        <f>_xlfn.NUMBERVALUE(Table1[[#This Row],[predicted]])</f>
        <v>60.763638513570797</v>
      </c>
    </row>
    <row r="394" spans="1:111" hidden="1" x14ac:dyDescent="0.25">
      <c r="A394">
        <v>110491</v>
      </c>
      <c r="B394">
        <v>8086</v>
      </c>
      <c r="C394" t="s">
        <v>4426</v>
      </c>
      <c r="D394" t="s">
        <v>109</v>
      </c>
      <c r="E394">
        <v>2022</v>
      </c>
      <c r="F394">
        <v>271045</v>
      </c>
      <c r="G394" t="s">
        <v>4427</v>
      </c>
      <c r="H394" t="s">
        <v>4428</v>
      </c>
      <c r="I394" t="s">
        <v>582</v>
      </c>
      <c r="J394">
        <v>15</v>
      </c>
      <c r="K394">
        <v>75</v>
      </c>
      <c r="L394">
        <v>100</v>
      </c>
      <c r="M394">
        <v>62</v>
      </c>
      <c r="N394">
        <v>61</v>
      </c>
      <c r="O394">
        <v>72</v>
      </c>
      <c r="P394">
        <v>8</v>
      </c>
      <c r="Q394">
        <v>1</v>
      </c>
      <c r="R394">
        <v>3</v>
      </c>
      <c r="S394">
        <v>4</v>
      </c>
      <c r="T394">
        <v>24</v>
      </c>
      <c r="U394">
        <v>3</v>
      </c>
      <c r="V394">
        <v>1</v>
      </c>
      <c r="W394">
        <v>0</v>
      </c>
      <c r="X394">
        <v>0</v>
      </c>
      <c r="Y394" t="s">
        <v>113</v>
      </c>
      <c r="Z394" t="s">
        <v>602</v>
      </c>
      <c r="AA394" t="s">
        <v>4429</v>
      </c>
      <c r="AH394" t="s">
        <v>274</v>
      </c>
      <c r="AI394">
        <v>9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S394">
        <v>7</v>
      </c>
      <c r="AT394">
        <v>7</v>
      </c>
      <c r="AU394">
        <v>3</v>
      </c>
      <c r="AV394">
        <v>66</v>
      </c>
      <c r="AW394">
        <v>66</v>
      </c>
      <c r="AX394">
        <v>186</v>
      </c>
      <c r="AY394">
        <v>1</v>
      </c>
      <c r="AZ394" t="b">
        <v>0</v>
      </c>
      <c r="BA394">
        <v>1714</v>
      </c>
      <c r="BB394">
        <v>1580</v>
      </c>
      <c r="BC394">
        <v>23</v>
      </c>
      <c r="BD394" t="s">
        <v>4430</v>
      </c>
      <c r="BE394">
        <v>98</v>
      </c>
      <c r="BF394">
        <v>1</v>
      </c>
      <c r="BG394">
        <v>71</v>
      </c>
      <c r="BH394">
        <v>1</v>
      </c>
      <c r="BI394" s="1" t="s">
        <v>160</v>
      </c>
      <c r="BJ394" s="1" t="s">
        <v>964</v>
      </c>
      <c r="BK394" s="1" t="s">
        <v>545</v>
      </c>
      <c r="BL394" s="1" t="s">
        <v>1442</v>
      </c>
      <c r="BM394">
        <v>2</v>
      </c>
      <c r="BN394">
        <v>1.6</v>
      </c>
      <c r="BO394">
        <v>4</v>
      </c>
      <c r="BP394">
        <v>2</v>
      </c>
      <c r="BQ394" s="1" t="s">
        <v>4085</v>
      </c>
      <c r="BR394" s="1" t="s">
        <v>2393</v>
      </c>
      <c r="BS394" s="1" t="s">
        <v>161</v>
      </c>
      <c r="BT394">
        <v>1.2</v>
      </c>
      <c r="BU394" s="1" t="s">
        <v>128</v>
      </c>
      <c r="BV394" s="1" t="s">
        <v>206</v>
      </c>
      <c r="BW394">
        <v>0</v>
      </c>
      <c r="BX394" s="1" t="s">
        <v>184</v>
      </c>
      <c r="BY394">
        <v>0</v>
      </c>
      <c r="BZ394" s="1" t="s">
        <v>213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10</v>
      </c>
      <c r="CH394">
        <v>12.4</v>
      </c>
      <c r="CI394" s="1" t="s">
        <v>397</v>
      </c>
      <c r="CJ394" s="1" t="s">
        <v>398</v>
      </c>
      <c r="CK394" s="1" t="s">
        <v>161</v>
      </c>
      <c r="CL394" s="1" t="s">
        <v>237</v>
      </c>
      <c r="CM394" s="1" t="s">
        <v>141</v>
      </c>
      <c r="CN394">
        <v>63</v>
      </c>
      <c r="CO394" s="1" t="s">
        <v>572</v>
      </c>
      <c r="CP394">
        <v>69</v>
      </c>
      <c r="CQ394">
        <v>129</v>
      </c>
      <c r="CR394" s="1" t="s">
        <v>4431</v>
      </c>
      <c r="CS394">
        <v>1666</v>
      </c>
      <c r="CT394">
        <v>1490.4</v>
      </c>
      <c r="CU394" s="1" t="s">
        <v>2315</v>
      </c>
      <c r="CV394">
        <v>1579</v>
      </c>
      <c r="CW394">
        <v>109.3</v>
      </c>
      <c r="CX394">
        <v>101.3</v>
      </c>
      <c r="CY394">
        <v>100.6</v>
      </c>
      <c r="CZ394" s="1" t="s">
        <v>3333</v>
      </c>
      <c r="DA394">
        <v>1</v>
      </c>
      <c r="DB394" t="s">
        <v>602</v>
      </c>
      <c r="DC394">
        <v>100</v>
      </c>
      <c r="DD394" s="1" t="s">
        <v>4432</v>
      </c>
      <c r="DE394">
        <v>-9.2642455842218592</v>
      </c>
      <c r="DF394" t="e">
        <f>_xlfn.XLOOKUP(Table1[[#This Row],[Player ID]],Table2[feed_id],Table2[trade_status])</f>
        <v>#N/A</v>
      </c>
      <c r="DG394">
        <f>_xlfn.NUMBERVALUE(Table1[[#This Row],[predicted]])</f>
        <v>109.264245584221</v>
      </c>
    </row>
    <row r="395" spans="1:111" hidden="1" x14ac:dyDescent="0.25">
      <c r="A395">
        <v>110529</v>
      </c>
      <c r="B395">
        <v>8087</v>
      </c>
      <c r="C395" t="s">
        <v>4433</v>
      </c>
      <c r="D395" t="s">
        <v>109</v>
      </c>
      <c r="E395">
        <v>2022</v>
      </c>
      <c r="F395">
        <v>991933</v>
      </c>
      <c r="G395" t="s">
        <v>4434</v>
      </c>
      <c r="H395" t="s">
        <v>4435</v>
      </c>
      <c r="I395" t="s">
        <v>317</v>
      </c>
      <c r="J395">
        <v>6</v>
      </c>
      <c r="K395">
        <v>19</v>
      </c>
      <c r="L395">
        <v>19</v>
      </c>
      <c r="M395">
        <v>22</v>
      </c>
      <c r="N395">
        <v>16</v>
      </c>
      <c r="O395">
        <v>21</v>
      </c>
      <c r="P395">
        <v>1</v>
      </c>
      <c r="Q395">
        <v>3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 t="s">
        <v>113</v>
      </c>
      <c r="Z395" t="s">
        <v>3571</v>
      </c>
      <c r="AA395" t="s">
        <v>4436</v>
      </c>
      <c r="AH395" t="s">
        <v>181</v>
      </c>
      <c r="AI395">
        <v>11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S395">
        <v>3</v>
      </c>
      <c r="AT395">
        <v>0</v>
      </c>
      <c r="AU395">
        <v>0</v>
      </c>
      <c r="AV395">
        <v>75</v>
      </c>
      <c r="AW395">
        <v>25</v>
      </c>
      <c r="AX395">
        <v>19</v>
      </c>
      <c r="AY395">
        <v>0</v>
      </c>
      <c r="AZ395" t="b">
        <v>0</v>
      </c>
      <c r="BA395">
        <v>1465</v>
      </c>
      <c r="BB395">
        <v>1836</v>
      </c>
      <c r="BC395">
        <v>23</v>
      </c>
      <c r="BD395" t="s">
        <v>4437</v>
      </c>
      <c r="BE395">
        <v>98</v>
      </c>
      <c r="BF395">
        <v>0</v>
      </c>
      <c r="BG395">
        <v>71</v>
      </c>
      <c r="BH395">
        <v>0</v>
      </c>
      <c r="BI395" s="1" t="s">
        <v>124</v>
      </c>
      <c r="BJ395" s="1" t="s">
        <v>204</v>
      </c>
      <c r="BK395" s="1" t="s">
        <v>125</v>
      </c>
      <c r="BL395">
        <v>5.4</v>
      </c>
      <c r="BM395">
        <v>3</v>
      </c>
      <c r="BN395" s="1" t="s">
        <v>587</v>
      </c>
      <c r="BO395">
        <v>2</v>
      </c>
      <c r="BP395">
        <v>2.2000000000000002</v>
      </c>
      <c r="BQ395">
        <v>0</v>
      </c>
      <c r="BR395">
        <v>0</v>
      </c>
      <c r="BS395" s="1" t="s">
        <v>128</v>
      </c>
      <c r="BT395" s="1" t="s">
        <v>231</v>
      </c>
      <c r="BU395">
        <v>0</v>
      </c>
      <c r="BV395" s="1" t="s">
        <v>238</v>
      </c>
      <c r="BW395" s="1" t="s">
        <v>129</v>
      </c>
      <c r="BX395">
        <v>0.8</v>
      </c>
      <c r="BY395" s="1" t="s">
        <v>128</v>
      </c>
      <c r="BZ395">
        <v>0.6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 s="1" t="s">
        <v>138</v>
      </c>
      <c r="CH395">
        <v>4.5999999999999996</v>
      </c>
      <c r="CI395">
        <v>0</v>
      </c>
      <c r="CJ395">
        <v>6.6666666666666596E-2</v>
      </c>
      <c r="CK395">
        <v>1</v>
      </c>
      <c r="CL395" s="1" t="s">
        <v>255</v>
      </c>
      <c r="CM395">
        <v>66</v>
      </c>
      <c r="CN395" s="1" t="s">
        <v>4438</v>
      </c>
      <c r="CO395" s="1" t="s">
        <v>1100</v>
      </c>
      <c r="CP395">
        <v>73.8</v>
      </c>
      <c r="CQ395">
        <v>121</v>
      </c>
      <c r="CR395" s="1" t="s">
        <v>4439</v>
      </c>
      <c r="CS395" s="1" t="s">
        <v>2046</v>
      </c>
      <c r="CT395" s="1" t="s">
        <v>1808</v>
      </c>
      <c r="CU395" s="1" t="s">
        <v>900</v>
      </c>
      <c r="CV395" s="1" t="s">
        <v>4440</v>
      </c>
      <c r="CW395">
        <v>50.55</v>
      </c>
      <c r="CX395">
        <v>49.4</v>
      </c>
      <c r="CY395">
        <v>40.200000000000003</v>
      </c>
      <c r="CZ395" s="1" t="s">
        <v>2112</v>
      </c>
      <c r="DA395">
        <v>1</v>
      </c>
      <c r="DB395" t="s">
        <v>3571</v>
      </c>
      <c r="DC395">
        <v>19</v>
      </c>
      <c r="DD395" s="1" t="s">
        <v>4441</v>
      </c>
      <c r="DE395">
        <v>-24.560006881172399</v>
      </c>
      <c r="DF395" t="e">
        <f>_xlfn.XLOOKUP(Table1[[#This Row],[Player ID]],Table2[feed_id],Table2[trade_status])</f>
        <v>#N/A</v>
      </c>
      <c r="DG395">
        <f>_xlfn.NUMBERVALUE(Table1[[#This Row],[predicted]])</f>
        <v>43.560006881172399</v>
      </c>
    </row>
    <row r="396" spans="1:111" hidden="1" x14ac:dyDescent="0.25">
      <c r="A396">
        <v>110590</v>
      </c>
      <c r="B396">
        <v>8088</v>
      </c>
      <c r="C396" t="s">
        <v>4442</v>
      </c>
      <c r="D396" t="s">
        <v>109</v>
      </c>
      <c r="E396">
        <v>2022</v>
      </c>
      <c r="F396">
        <v>1002770</v>
      </c>
      <c r="G396" t="s">
        <v>3661</v>
      </c>
      <c r="H396" t="s">
        <v>2955</v>
      </c>
      <c r="I396" t="s">
        <v>112</v>
      </c>
      <c r="J396">
        <v>3</v>
      </c>
      <c r="K396">
        <v>42</v>
      </c>
      <c r="L396">
        <v>45</v>
      </c>
      <c r="M396">
        <v>30</v>
      </c>
      <c r="N396">
        <v>37</v>
      </c>
      <c r="O396">
        <v>51</v>
      </c>
      <c r="P396">
        <v>5</v>
      </c>
      <c r="Q396">
        <v>9</v>
      </c>
      <c r="R396">
        <v>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113</v>
      </c>
      <c r="Z396" t="s">
        <v>3571</v>
      </c>
      <c r="AA396" t="s">
        <v>4443</v>
      </c>
      <c r="AH396" t="s">
        <v>118</v>
      </c>
      <c r="AI396">
        <v>17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S396">
        <v>4</v>
      </c>
      <c r="AT396">
        <v>0</v>
      </c>
      <c r="AU396">
        <v>0</v>
      </c>
      <c r="AV396">
        <v>85</v>
      </c>
      <c r="AW396">
        <v>46</v>
      </c>
      <c r="AX396">
        <v>171</v>
      </c>
      <c r="AY396">
        <v>0</v>
      </c>
      <c r="AZ396" t="b">
        <v>0</v>
      </c>
      <c r="BA396">
        <v>1886</v>
      </c>
      <c r="BB396">
        <v>1361</v>
      </c>
      <c r="BC396">
        <v>23</v>
      </c>
      <c r="BD396" t="s">
        <v>4444</v>
      </c>
      <c r="BE396">
        <v>98</v>
      </c>
      <c r="BF396">
        <v>0</v>
      </c>
      <c r="BG396">
        <v>71</v>
      </c>
      <c r="BH396">
        <v>0</v>
      </c>
      <c r="BI396" s="1" t="s">
        <v>125</v>
      </c>
      <c r="BJ396" s="1" t="s">
        <v>212</v>
      </c>
      <c r="BK396">
        <v>7</v>
      </c>
      <c r="BL396">
        <v>7.8</v>
      </c>
      <c r="BM396" s="1" t="s">
        <v>126</v>
      </c>
      <c r="BN396" s="1" t="s">
        <v>375</v>
      </c>
      <c r="BO396" s="1" t="s">
        <v>126</v>
      </c>
      <c r="BP396">
        <v>3.2</v>
      </c>
      <c r="BQ396">
        <v>0</v>
      </c>
      <c r="BR396">
        <v>0</v>
      </c>
      <c r="BS396" s="1" t="s">
        <v>126</v>
      </c>
      <c r="BT396" s="1" t="s">
        <v>238</v>
      </c>
      <c r="BU396" s="1" t="s">
        <v>129</v>
      </c>
      <c r="BV396" s="1" t="s">
        <v>231</v>
      </c>
      <c r="BW396" s="1" t="s">
        <v>129</v>
      </c>
      <c r="BX396" s="1" t="s">
        <v>213</v>
      </c>
      <c r="BY396">
        <v>0</v>
      </c>
      <c r="BZ396">
        <v>0.2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 s="1" t="s">
        <v>125</v>
      </c>
      <c r="CH396" s="1" t="s">
        <v>766</v>
      </c>
      <c r="CI396" s="1" t="s">
        <v>129</v>
      </c>
      <c r="CJ396" s="1" t="s">
        <v>399</v>
      </c>
      <c r="CK396" s="1" t="s">
        <v>161</v>
      </c>
      <c r="CL396" s="1" t="s">
        <v>304</v>
      </c>
      <c r="CM396" s="1" t="s">
        <v>1053</v>
      </c>
      <c r="CN396">
        <v>77</v>
      </c>
      <c r="CO396" s="1" t="s">
        <v>1391</v>
      </c>
      <c r="CP396" s="1" t="s">
        <v>333</v>
      </c>
      <c r="CQ396" s="1" t="s">
        <v>4445</v>
      </c>
      <c r="CR396" s="1" t="s">
        <v>4446</v>
      </c>
      <c r="CS396" s="1" t="s">
        <v>4447</v>
      </c>
      <c r="CT396">
        <v>1620.4</v>
      </c>
      <c r="CU396" s="1" t="s">
        <v>4379</v>
      </c>
      <c r="CV396" s="1" t="s">
        <v>2199</v>
      </c>
      <c r="CW396">
        <v>46.5</v>
      </c>
      <c r="CX396">
        <v>45.3</v>
      </c>
      <c r="CY396">
        <v>36.799999999999997</v>
      </c>
      <c r="CZ396">
        <v>33</v>
      </c>
      <c r="DA396">
        <v>1</v>
      </c>
      <c r="DB396" t="s">
        <v>3571</v>
      </c>
      <c r="DC396">
        <v>45</v>
      </c>
      <c r="DD396" s="1" t="s">
        <v>4448</v>
      </c>
      <c r="DE396" s="1" t="s">
        <v>4449</v>
      </c>
      <c r="DF396" t="e">
        <f>_xlfn.XLOOKUP(Table1[[#This Row],[Player ID]],Table2[feed_id],Table2[trade_status])</f>
        <v>#N/A</v>
      </c>
      <c r="DG396">
        <f>_xlfn.NUMBERVALUE(Table1[[#This Row],[predicted]])</f>
        <v>42.174698376519999</v>
      </c>
    </row>
    <row r="397" spans="1:111" hidden="1" x14ac:dyDescent="0.25">
      <c r="A397">
        <v>110773</v>
      </c>
      <c r="B397">
        <v>8092</v>
      </c>
      <c r="C397" t="s">
        <v>4450</v>
      </c>
      <c r="D397" t="s">
        <v>198</v>
      </c>
      <c r="E397">
        <v>2022</v>
      </c>
      <c r="F397">
        <v>1006087</v>
      </c>
      <c r="G397" t="s">
        <v>4451</v>
      </c>
      <c r="H397" t="s">
        <v>2320</v>
      </c>
      <c r="I397" t="s">
        <v>524</v>
      </c>
      <c r="J397">
        <v>4</v>
      </c>
      <c r="K397">
        <v>41</v>
      </c>
      <c r="L397">
        <v>62</v>
      </c>
      <c r="M397">
        <v>24</v>
      </c>
      <c r="N397">
        <v>34</v>
      </c>
      <c r="O397">
        <v>45</v>
      </c>
      <c r="P397">
        <v>7</v>
      </c>
      <c r="Q397">
        <v>4</v>
      </c>
      <c r="R397">
        <v>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113</v>
      </c>
      <c r="Z397" t="s">
        <v>179</v>
      </c>
      <c r="AA397" t="s">
        <v>4452</v>
      </c>
      <c r="AD397">
        <v>0</v>
      </c>
      <c r="AF397">
        <v>0</v>
      </c>
      <c r="AH397" t="s">
        <v>181</v>
      </c>
      <c r="AI397">
        <v>46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S397">
        <v>2</v>
      </c>
      <c r="AT397">
        <v>0</v>
      </c>
      <c r="AU397">
        <v>0</v>
      </c>
      <c r="AV397">
        <v>90</v>
      </c>
      <c r="AW397">
        <v>92</v>
      </c>
      <c r="AX397">
        <v>122</v>
      </c>
      <c r="AY397">
        <v>0</v>
      </c>
      <c r="AZ397" t="b">
        <v>0</v>
      </c>
      <c r="BA397">
        <v>1566</v>
      </c>
      <c r="BB397">
        <v>1729</v>
      </c>
      <c r="BC397">
        <v>24</v>
      </c>
      <c r="BD397" t="s">
        <v>4453</v>
      </c>
      <c r="BE397">
        <v>96</v>
      </c>
      <c r="BF397">
        <v>0</v>
      </c>
      <c r="BG397">
        <v>73</v>
      </c>
      <c r="BH397">
        <v>0</v>
      </c>
      <c r="BI397" s="1" t="s">
        <v>183</v>
      </c>
      <c r="BJ397" s="1" t="s">
        <v>397</v>
      </c>
      <c r="BK397">
        <v>4</v>
      </c>
      <c r="BL397" s="1" t="s">
        <v>255</v>
      </c>
      <c r="BM397" s="1" t="s">
        <v>449</v>
      </c>
      <c r="BN397" s="1" t="s">
        <v>321</v>
      </c>
      <c r="BO397" s="1" t="s">
        <v>161</v>
      </c>
      <c r="BP397" s="1" t="s">
        <v>162</v>
      </c>
      <c r="BQ397">
        <v>0</v>
      </c>
      <c r="BR397" s="1" t="s">
        <v>213</v>
      </c>
      <c r="BS397" s="1" t="s">
        <v>126</v>
      </c>
      <c r="BT397" s="1" t="s">
        <v>399</v>
      </c>
      <c r="BU397">
        <v>0</v>
      </c>
      <c r="BV397">
        <v>0.6</v>
      </c>
      <c r="BW397">
        <v>0</v>
      </c>
      <c r="BX397">
        <v>6.6666666666666596E-2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 s="1" t="s">
        <v>125</v>
      </c>
      <c r="CH397" s="1" t="s">
        <v>138</v>
      </c>
      <c r="CI397" s="1" t="s">
        <v>128</v>
      </c>
      <c r="CJ397">
        <v>0.2</v>
      </c>
      <c r="CK397" s="1" t="s">
        <v>129</v>
      </c>
      <c r="CL397" s="1" t="s">
        <v>304</v>
      </c>
      <c r="CM397" s="1" t="s">
        <v>968</v>
      </c>
      <c r="CN397" s="1" t="s">
        <v>968</v>
      </c>
      <c r="CO397">
        <v>91</v>
      </c>
      <c r="CP397" s="1" t="s">
        <v>1013</v>
      </c>
      <c r="CQ397" s="1" t="s">
        <v>3440</v>
      </c>
      <c r="CR397" s="1" t="s">
        <v>4454</v>
      </c>
      <c r="CS397" s="1" t="s">
        <v>3693</v>
      </c>
      <c r="CT397" s="1" t="s">
        <v>4455</v>
      </c>
      <c r="CU397" s="1" t="s">
        <v>806</v>
      </c>
      <c r="CV397" s="1" t="s">
        <v>4456</v>
      </c>
      <c r="CW397">
        <v>53.35</v>
      </c>
      <c r="CX397">
        <v>60.4</v>
      </c>
      <c r="CY397">
        <v>63.8</v>
      </c>
      <c r="CZ397">
        <v>69</v>
      </c>
      <c r="DA397">
        <v>1</v>
      </c>
      <c r="DB397" t="s">
        <v>179</v>
      </c>
      <c r="DC397">
        <v>62</v>
      </c>
      <c r="DD397" s="1" t="s">
        <v>4457</v>
      </c>
      <c r="DE397" s="1" t="s">
        <v>4458</v>
      </c>
      <c r="DF397" t="str">
        <f>_xlfn.XLOOKUP(Table1[[#This Row],[Player ID]],Table2[feed_id],Table2[trade_status])</f>
        <v>free_agent</v>
      </c>
      <c r="DG397">
        <f>_xlfn.NUMBERVALUE(Table1[[#This Row],[predicted]])</f>
        <v>50.785919208734001</v>
      </c>
    </row>
    <row r="398" spans="1:111" hidden="1" x14ac:dyDescent="0.25">
      <c r="A398">
        <v>110804</v>
      </c>
      <c r="B398">
        <v>8093</v>
      </c>
      <c r="C398" t="s">
        <v>4459</v>
      </c>
      <c r="D398" t="s">
        <v>198</v>
      </c>
      <c r="E398">
        <v>2022</v>
      </c>
      <c r="F398">
        <v>281373</v>
      </c>
      <c r="G398" t="s">
        <v>1127</v>
      </c>
      <c r="H398" t="s">
        <v>4460</v>
      </c>
      <c r="I398" t="s">
        <v>582</v>
      </c>
      <c r="J398">
        <v>20</v>
      </c>
      <c r="K398">
        <v>98</v>
      </c>
      <c r="L398">
        <v>93</v>
      </c>
      <c r="M398">
        <v>65</v>
      </c>
      <c r="N398">
        <v>79</v>
      </c>
      <c r="O398">
        <v>106</v>
      </c>
      <c r="P398">
        <v>15</v>
      </c>
      <c r="Q398">
        <v>10</v>
      </c>
      <c r="R398">
        <v>8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1</v>
      </c>
      <c r="Y398" t="s">
        <v>113</v>
      </c>
      <c r="Z398" t="s">
        <v>525</v>
      </c>
      <c r="AA398" t="s">
        <v>3740</v>
      </c>
      <c r="AD398">
        <v>0</v>
      </c>
      <c r="AF398">
        <v>0</v>
      </c>
      <c r="AH398" t="s">
        <v>118</v>
      </c>
      <c r="AI398">
        <v>8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S398">
        <v>3</v>
      </c>
      <c r="AT398">
        <v>1</v>
      </c>
      <c r="AU398">
        <v>2</v>
      </c>
      <c r="AV398">
        <v>80</v>
      </c>
      <c r="AW398">
        <v>79</v>
      </c>
      <c r="AX398">
        <v>263</v>
      </c>
      <c r="AY398">
        <v>0</v>
      </c>
      <c r="AZ398" t="b">
        <v>0</v>
      </c>
      <c r="BA398">
        <v>1762</v>
      </c>
      <c r="BB398">
        <v>1528</v>
      </c>
      <c r="BC398">
        <v>24</v>
      </c>
      <c r="BD398" t="s">
        <v>4461</v>
      </c>
      <c r="BE398">
        <v>96</v>
      </c>
      <c r="BF398">
        <v>0</v>
      </c>
      <c r="BG398">
        <v>73</v>
      </c>
      <c r="BH398">
        <v>1</v>
      </c>
      <c r="BI398" s="1" t="s">
        <v>157</v>
      </c>
      <c r="BJ398" s="1" t="s">
        <v>357</v>
      </c>
      <c r="BK398" s="1" t="s">
        <v>977</v>
      </c>
      <c r="BL398">
        <v>10.199999999999999</v>
      </c>
      <c r="BM398" s="1" t="s">
        <v>124</v>
      </c>
      <c r="BN398" s="1" t="s">
        <v>1092</v>
      </c>
      <c r="BO398" s="1" t="s">
        <v>449</v>
      </c>
      <c r="BP398" s="1" t="s">
        <v>139</v>
      </c>
      <c r="BQ398">
        <v>0</v>
      </c>
      <c r="BR398">
        <v>0</v>
      </c>
      <c r="BS398" s="1" t="s">
        <v>126</v>
      </c>
      <c r="BT398" s="1" t="s">
        <v>257</v>
      </c>
      <c r="BU398" s="1" t="s">
        <v>128</v>
      </c>
      <c r="BV398">
        <v>0.4</v>
      </c>
      <c r="BW398" s="1" t="s">
        <v>129</v>
      </c>
      <c r="BX398" s="1" t="s">
        <v>184</v>
      </c>
      <c r="BY398" s="1" t="s">
        <v>129</v>
      </c>
      <c r="BZ398">
        <v>6.6666666666666596E-2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 s="1" t="s">
        <v>204</v>
      </c>
      <c r="CH398">
        <v>8.4</v>
      </c>
      <c r="CI398" s="1" t="s">
        <v>159</v>
      </c>
      <c r="CJ398">
        <v>3.6</v>
      </c>
      <c r="CK398" s="1" t="s">
        <v>169</v>
      </c>
      <c r="CL398">
        <v>1.8</v>
      </c>
      <c r="CM398" s="1" t="s">
        <v>754</v>
      </c>
      <c r="CN398" s="1" t="s">
        <v>517</v>
      </c>
      <c r="CO398" s="1" t="s">
        <v>239</v>
      </c>
      <c r="CP398">
        <v>83</v>
      </c>
      <c r="CQ398">
        <v>185</v>
      </c>
      <c r="CR398" s="1" t="s">
        <v>4462</v>
      </c>
      <c r="CS398" s="1" t="s">
        <v>3442</v>
      </c>
      <c r="CT398" s="1" t="s">
        <v>4463</v>
      </c>
      <c r="CU398" s="1" t="s">
        <v>1780</v>
      </c>
      <c r="CV398" s="1" t="s">
        <v>4464</v>
      </c>
      <c r="CW398">
        <v>93.15</v>
      </c>
      <c r="CX398">
        <v>95.5</v>
      </c>
      <c r="CY398">
        <v>95.4</v>
      </c>
      <c r="CZ398" s="1" t="s">
        <v>1273</v>
      </c>
      <c r="DA398">
        <v>1</v>
      </c>
      <c r="DB398" t="s">
        <v>525</v>
      </c>
      <c r="DC398">
        <v>93</v>
      </c>
      <c r="DD398" s="1" t="s">
        <v>4465</v>
      </c>
      <c r="DE398" s="1" t="s">
        <v>4466</v>
      </c>
      <c r="DF398" t="e">
        <f>_xlfn.XLOOKUP(Table1[[#This Row],[Player ID]],Table2[feed_id],Table2[trade_status])</f>
        <v>#N/A</v>
      </c>
      <c r="DG398">
        <f>_xlfn.NUMBERVALUE(Table1[[#This Row],[predicted]])</f>
        <v>84.030315325208804</v>
      </c>
    </row>
    <row r="399" spans="1:111" hidden="1" x14ac:dyDescent="0.25">
      <c r="A399">
        <v>110812</v>
      </c>
      <c r="B399">
        <v>8093</v>
      </c>
      <c r="C399" t="s">
        <v>4459</v>
      </c>
      <c r="D399" t="s">
        <v>198</v>
      </c>
      <c r="E399">
        <v>2022</v>
      </c>
      <c r="F399">
        <v>1004286</v>
      </c>
      <c r="G399" t="s">
        <v>1139</v>
      </c>
      <c r="H399" t="s">
        <v>2678</v>
      </c>
      <c r="I399" t="s">
        <v>582</v>
      </c>
      <c r="J399">
        <v>14</v>
      </c>
      <c r="K399">
        <v>68</v>
      </c>
      <c r="L399">
        <v>37</v>
      </c>
      <c r="M399">
        <v>62</v>
      </c>
      <c r="N399">
        <v>55</v>
      </c>
      <c r="O399">
        <v>72</v>
      </c>
      <c r="P399">
        <v>7</v>
      </c>
      <c r="Q399">
        <v>6</v>
      </c>
      <c r="R399">
        <v>7</v>
      </c>
      <c r="S399">
        <v>4</v>
      </c>
      <c r="T399">
        <v>0</v>
      </c>
      <c r="U399">
        <v>1</v>
      </c>
      <c r="V399">
        <v>1</v>
      </c>
      <c r="W399">
        <v>0</v>
      </c>
      <c r="X399">
        <v>0</v>
      </c>
      <c r="Y399" t="s">
        <v>113</v>
      </c>
      <c r="Z399" t="s">
        <v>861</v>
      </c>
      <c r="AA399" t="s">
        <v>4467</v>
      </c>
      <c r="AD399">
        <v>0</v>
      </c>
      <c r="AF399">
        <v>0</v>
      </c>
      <c r="AH399" t="s">
        <v>155</v>
      </c>
      <c r="AI399">
        <v>7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S399">
        <v>1</v>
      </c>
      <c r="AT399">
        <v>0</v>
      </c>
      <c r="AU399">
        <v>3</v>
      </c>
      <c r="AV399">
        <v>84</v>
      </c>
      <c r="AW399">
        <v>86</v>
      </c>
      <c r="AX399">
        <v>-13</v>
      </c>
      <c r="AY399">
        <v>0</v>
      </c>
      <c r="AZ399" t="b">
        <v>0</v>
      </c>
      <c r="BA399">
        <v>1762</v>
      </c>
      <c r="BB399">
        <v>1528</v>
      </c>
      <c r="BC399">
        <v>24</v>
      </c>
      <c r="BD399" t="s">
        <v>4461</v>
      </c>
      <c r="BE399">
        <v>96</v>
      </c>
      <c r="BF399">
        <v>0</v>
      </c>
      <c r="BG399">
        <v>73</v>
      </c>
      <c r="BH399">
        <v>0</v>
      </c>
      <c r="BI399">
        <v>5</v>
      </c>
      <c r="BJ399">
        <v>5</v>
      </c>
      <c r="BK399" s="1" t="s">
        <v>124</v>
      </c>
      <c r="BL399" s="1" t="s">
        <v>818</v>
      </c>
      <c r="BM399">
        <v>3</v>
      </c>
      <c r="BN399" s="1" t="s">
        <v>138</v>
      </c>
      <c r="BO399" s="1" t="s">
        <v>160</v>
      </c>
      <c r="BP399">
        <v>2.8</v>
      </c>
      <c r="BQ399">
        <v>0</v>
      </c>
      <c r="BR399">
        <v>0</v>
      </c>
      <c r="BS399" s="1" t="s">
        <v>128</v>
      </c>
      <c r="BT399">
        <v>0.6</v>
      </c>
      <c r="BU399" s="1" t="s">
        <v>128</v>
      </c>
      <c r="BV399" s="1" t="s">
        <v>399</v>
      </c>
      <c r="BW399" s="1" t="s">
        <v>129</v>
      </c>
      <c r="BX399" s="1" t="s">
        <v>129</v>
      </c>
      <c r="BY399">
        <v>0</v>
      </c>
      <c r="BZ399" s="1" t="s">
        <v>184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3</v>
      </c>
      <c r="CH399">
        <v>5.4</v>
      </c>
      <c r="CI399">
        <v>0</v>
      </c>
      <c r="CJ399">
        <v>0.2</v>
      </c>
      <c r="CK399" s="1" t="s">
        <v>161</v>
      </c>
      <c r="CL399" s="1" t="s">
        <v>566</v>
      </c>
      <c r="CM399">
        <v>80</v>
      </c>
      <c r="CN399">
        <v>74.8</v>
      </c>
      <c r="CO399" s="1" t="s">
        <v>364</v>
      </c>
      <c r="CP399" s="1" t="s">
        <v>3535</v>
      </c>
      <c r="CQ399">
        <v>73</v>
      </c>
      <c r="CR399" s="1" t="s">
        <v>4468</v>
      </c>
      <c r="CS399" s="1" t="s">
        <v>3442</v>
      </c>
      <c r="CT399" s="1" t="s">
        <v>4469</v>
      </c>
      <c r="CU399" s="1" t="s">
        <v>1780</v>
      </c>
      <c r="CV399" s="1" t="s">
        <v>970</v>
      </c>
      <c r="CW399">
        <v>50.75</v>
      </c>
      <c r="CX399">
        <v>50.2</v>
      </c>
      <c r="CY399">
        <v>46.2</v>
      </c>
      <c r="CZ399" s="1" t="s">
        <v>649</v>
      </c>
      <c r="DA399">
        <v>1</v>
      </c>
      <c r="DB399" t="s">
        <v>861</v>
      </c>
      <c r="DC399">
        <v>37</v>
      </c>
      <c r="DD399" s="1" t="s">
        <v>4470</v>
      </c>
      <c r="DE399">
        <v>-22.097851994331801</v>
      </c>
      <c r="DF399" t="e">
        <f>_xlfn.XLOOKUP(Table1[[#This Row],[Player ID]],Table2[feed_id],Table2[trade_status])</f>
        <v>#N/A</v>
      </c>
      <c r="DG399">
        <f>_xlfn.NUMBERVALUE(Table1[[#This Row],[predicted]])</f>
        <v>59.097851994331798</v>
      </c>
    </row>
    <row r="400" spans="1:111" hidden="1" x14ac:dyDescent="0.25">
      <c r="A400">
        <v>110817</v>
      </c>
      <c r="B400">
        <v>8093</v>
      </c>
      <c r="C400" t="s">
        <v>4459</v>
      </c>
      <c r="D400" t="s">
        <v>198</v>
      </c>
      <c r="E400">
        <v>2022</v>
      </c>
      <c r="F400">
        <v>298298</v>
      </c>
      <c r="G400" t="s">
        <v>2003</v>
      </c>
      <c r="H400" t="s">
        <v>4471</v>
      </c>
      <c r="I400" t="s">
        <v>582</v>
      </c>
      <c r="J400">
        <v>9</v>
      </c>
      <c r="K400">
        <v>47</v>
      </c>
      <c r="L400">
        <v>47</v>
      </c>
      <c r="M400">
        <v>45</v>
      </c>
      <c r="N400">
        <v>37</v>
      </c>
      <c r="O400">
        <v>54</v>
      </c>
      <c r="P400">
        <v>4</v>
      </c>
      <c r="Q400">
        <v>8</v>
      </c>
      <c r="R400">
        <v>2</v>
      </c>
      <c r="S400">
        <v>4</v>
      </c>
      <c r="T400">
        <v>0</v>
      </c>
      <c r="U400">
        <v>0</v>
      </c>
      <c r="V400">
        <v>1</v>
      </c>
      <c r="W400">
        <v>0</v>
      </c>
      <c r="X400">
        <v>0</v>
      </c>
      <c r="Y400" t="s">
        <v>113</v>
      </c>
      <c r="Z400" t="s">
        <v>877</v>
      </c>
      <c r="AA400" t="s">
        <v>4472</v>
      </c>
      <c r="AD400">
        <v>0</v>
      </c>
      <c r="AF400">
        <v>0</v>
      </c>
      <c r="AH400" t="s">
        <v>181</v>
      </c>
      <c r="AI400">
        <v>30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S400">
        <v>5</v>
      </c>
      <c r="AT400">
        <v>3</v>
      </c>
      <c r="AU400">
        <v>2</v>
      </c>
      <c r="AV400">
        <v>83</v>
      </c>
      <c r="AW400">
        <v>76</v>
      </c>
      <c r="AX400">
        <v>51</v>
      </c>
      <c r="AY400">
        <v>0</v>
      </c>
      <c r="AZ400" t="b">
        <v>0</v>
      </c>
      <c r="BA400">
        <v>1762</v>
      </c>
      <c r="BB400">
        <v>1528</v>
      </c>
      <c r="BC400">
        <v>24</v>
      </c>
      <c r="BD400" t="s">
        <v>4461</v>
      </c>
      <c r="BE400">
        <v>96</v>
      </c>
      <c r="BF400">
        <v>0</v>
      </c>
      <c r="BG400">
        <v>73</v>
      </c>
      <c r="BH400">
        <v>0</v>
      </c>
      <c r="BI400">
        <v>5</v>
      </c>
      <c r="BJ400" s="1" t="s">
        <v>1442</v>
      </c>
      <c r="BK400">
        <v>5</v>
      </c>
      <c r="BL400" s="1" t="s">
        <v>124</v>
      </c>
      <c r="BM400">
        <v>2</v>
      </c>
      <c r="BN400">
        <v>3.6</v>
      </c>
      <c r="BO400">
        <v>3</v>
      </c>
      <c r="BP400" s="1" t="s">
        <v>214</v>
      </c>
      <c r="BQ400">
        <v>0</v>
      </c>
      <c r="BR400">
        <v>0</v>
      </c>
      <c r="BS400">
        <v>1</v>
      </c>
      <c r="BT400">
        <v>0.6</v>
      </c>
      <c r="BU400">
        <v>1</v>
      </c>
      <c r="BV400" s="1" t="s">
        <v>130</v>
      </c>
      <c r="BW400">
        <v>0</v>
      </c>
      <c r="BX400">
        <v>6.6666666666666596E-2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 s="1" t="s">
        <v>160</v>
      </c>
      <c r="CH400" s="1" t="s">
        <v>436</v>
      </c>
      <c r="CI400" s="1" t="s">
        <v>159</v>
      </c>
      <c r="CJ400" s="1" t="s">
        <v>327</v>
      </c>
      <c r="CK400" s="1" t="s">
        <v>126</v>
      </c>
      <c r="CL400">
        <v>2</v>
      </c>
      <c r="CM400" s="1" t="s">
        <v>754</v>
      </c>
      <c r="CN400">
        <v>72.400000000000006</v>
      </c>
      <c r="CO400">
        <v>81</v>
      </c>
      <c r="CP400">
        <v>85.4</v>
      </c>
      <c r="CQ400">
        <v>104</v>
      </c>
      <c r="CR400" s="1" t="s">
        <v>4473</v>
      </c>
      <c r="CS400" s="1" t="s">
        <v>4474</v>
      </c>
      <c r="CT400">
        <v>1398.2</v>
      </c>
      <c r="CU400" s="1" t="s">
        <v>4475</v>
      </c>
      <c r="CV400">
        <v>1672.4</v>
      </c>
      <c r="CW400">
        <v>49</v>
      </c>
      <c r="CX400">
        <v>51.6</v>
      </c>
      <c r="CY400">
        <v>58</v>
      </c>
      <c r="CZ400">
        <v>48</v>
      </c>
      <c r="DA400">
        <v>1</v>
      </c>
      <c r="DB400" t="s">
        <v>877</v>
      </c>
      <c r="DC400">
        <v>47</v>
      </c>
      <c r="DD400" s="1" t="s">
        <v>4476</v>
      </c>
      <c r="DE400" s="1" t="s">
        <v>4477</v>
      </c>
      <c r="DF400" t="e">
        <f>_xlfn.XLOOKUP(Table1[[#This Row],[Player ID]],Table2[feed_id],Table2[trade_status])</f>
        <v>#N/A</v>
      </c>
      <c r="DG400">
        <f>_xlfn.NUMBERVALUE(Table1[[#This Row],[predicted]])</f>
        <v>40.075319308232103</v>
      </c>
    </row>
    <row r="401" spans="1:111" hidden="1" x14ac:dyDescent="0.25">
      <c r="A401">
        <v>110840</v>
      </c>
      <c r="B401">
        <v>8094</v>
      </c>
      <c r="C401" t="s">
        <v>4478</v>
      </c>
      <c r="D401" t="s">
        <v>198</v>
      </c>
      <c r="E401">
        <v>2022</v>
      </c>
      <c r="F401">
        <v>270935</v>
      </c>
      <c r="G401" t="s">
        <v>461</v>
      </c>
      <c r="H401" t="s">
        <v>4479</v>
      </c>
      <c r="I401" t="s">
        <v>619</v>
      </c>
      <c r="J401">
        <v>8</v>
      </c>
      <c r="K401">
        <v>31</v>
      </c>
      <c r="L401">
        <v>35</v>
      </c>
      <c r="M401">
        <v>38</v>
      </c>
      <c r="N401">
        <v>26</v>
      </c>
      <c r="O401">
        <v>30</v>
      </c>
      <c r="P401">
        <v>5</v>
      </c>
      <c r="Q401">
        <v>1</v>
      </c>
      <c r="R401">
        <v>2</v>
      </c>
      <c r="S401">
        <v>0</v>
      </c>
      <c r="T401">
        <v>0</v>
      </c>
      <c r="U401">
        <v>2</v>
      </c>
      <c r="V401">
        <v>0</v>
      </c>
      <c r="W401">
        <v>1</v>
      </c>
      <c r="X401">
        <v>0</v>
      </c>
      <c r="Y401" t="s">
        <v>113</v>
      </c>
      <c r="Z401" t="s">
        <v>1757</v>
      </c>
      <c r="AA401" t="s">
        <v>4480</v>
      </c>
      <c r="AB401" t="s">
        <v>656</v>
      </c>
      <c r="AC401" t="s">
        <v>4481</v>
      </c>
      <c r="AD401">
        <v>0</v>
      </c>
      <c r="AF401">
        <v>0</v>
      </c>
      <c r="AH401" t="s">
        <v>181</v>
      </c>
      <c r="AI401">
        <v>18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S401">
        <v>2</v>
      </c>
      <c r="AT401">
        <v>0</v>
      </c>
      <c r="AU401">
        <v>0</v>
      </c>
      <c r="AV401">
        <v>83</v>
      </c>
      <c r="AW401">
        <v>75</v>
      </c>
      <c r="AX401">
        <v>151</v>
      </c>
      <c r="AY401">
        <v>0</v>
      </c>
      <c r="AZ401" t="b">
        <v>1</v>
      </c>
      <c r="BA401">
        <v>1838</v>
      </c>
      <c r="BB401">
        <v>1461</v>
      </c>
      <c r="BC401">
        <v>24</v>
      </c>
      <c r="BD401" t="s">
        <v>4482</v>
      </c>
      <c r="BE401">
        <v>96</v>
      </c>
      <c r="BF401">
        <v>0</v>
      </c>
      <c r="BG401">
        <v>73</v>
      </c>
      <c r="BH401">
        <v>0</v>
      </c>
      <c r="BI401" s="1" t="s">
        <v>204</v>
      </c>
      <c r="BJ401">
        <v>10.6</v>
      </c>
      <c r="BK401">
        <v>2</v>
      </c>
      <c r="BL401" s="1" t="s">
        <v>436</v>
      </c>
      <c r="BM401" s="1" t="s">
        <v>125</v>
      </c>
      <c r="BN401" s="1" t="s">
        <v>898</v>
      </c>
      <c r="BO401" s="1" t="s">
        <v>129</v>
      </c>
      <c r="BP401" s="1" t="s">
        <v>129</v>
      </c>
      <c r="BQ401">
        <v>0</v>
      </c>
      <c r="BR401">
        <v>0</v>
      </c>
      <c r="BS401" s="1" t="s">
        <v>128</v>
      </c>
      <c r="BT401" s="1" t="s">
        <v>130</v>
      </c>
      <c r="BU401" s="1" t="s">
        <v>128</v>
      </c>
      <c r="BV401">
        <v>0.8</v>
      </c>
      <c r="BW401" s="1" t="s">
        <v>129</v>
      </c>
      <c r="BX401">
        <v>6.6666666666666596E-2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 s="1" t="s">
        <v>159</v>
      </c>
      <c r="CH401" s="1" t="s">
        <v>640</v>
      </c>
      <c r="CI401">
        <v>0</v>
      </c>
      <c r="CJ401" s="1" t="s">
        <v>184</v>
      </c>
      <c r="CK401">
        <v>1</v>
      </c>
      <c r="CL401">
        <v>2.2000000000000002</v>
      </c>
      <c r="CM401">
        <v>82</v>
      </c>
      <c r="CN401" s="1" t="s">
        <v>3984</v>
      </c>
      <c r="CO401">
        <v>84</v>
      </c>
      <c r="CP401" s="1" t="s">
        <v>630</v>
      </c>
      <c r="CQ401" s="1" t="s">
        <v>4483</v>
      </c>
      <c r="CR401">
        <v>267.2</v>
      </c>
      <c r="CS401" s="1" t="s">
        <v>3148</v>
      </c>
      <c r="CT401">
        <v>1563.6</v>
      </c>
      <c r="CU401" s="1" t="s">
        <v>4484</v>
      </c>
      <c r="CV401" s="1" t="s">
        <v>4485</v>
      </c>
      <c r="CW401">
        <v>73.400000000000006</v>
      </c>
      <c r="CX401">
        <v>74.5</v>
      </c>
      <c r="CY401">
        <v>55.8</v>
      </c>
      <c r="CZ401" s="1" t="s">
        <v>2765</v>
      </c>
      <c r="DA401">
        <v>1</v>
      </c>
      <c r="DB401" t="s">
        <v>1757</v>
      </c>
      <c r="DC401">
        <v>35</v>
      </c>
      <c r="DD401" s="1" t="s">
        <v>4486</v>
      </c>
      <c r="DE401">
        <v>-35.213860400651001</v>
      </c>
      <c r="DF401" t="e">
        <f>_xlfn.XLOOKUP(Table1[[#This Row],[Player ID]],Table2[feed_id],Table2[trade_status])</f>
        <v>#N/A</v>
      </c>
      <c r="DG401">
        <f>_xlfn.NUMBERVALUE(Table1[[#This Row],[predicted]])</f>
        <v>70.213860400651001</v>
      </c>
    </row>
    <row r="402" spans="1:111" hidden="1" x14ac:dyDescent="0.25">
      <c r="A402">
        <v>110876</v>
      </c>
      <c r="B402">
        <v>8095</v>
      </c>
      <c r="C402" t="s">
        <v>4487</v>
      </c>
      <c r="D402" t="s">
        <v>198</v>
      </c>
      <c r="E402">
        <v>2022</v>
      </c>
      <c r="F402">
        <v>261396</v>
      </c>
      <c r="G402" t="s">
        <v>811</v>
      </c>
      <c r="H402" t="s">
        <v>3197</v>
      </c>
      <c r="I402" t="s">
        <v>425</v>
      </c>
      <c r="J402">
        <v>15</v>
      </c>
      <c r="K402">
        <v>68</v>
      </c>
      <c r="L402">
        <v>86</v>
      </c>
      <c r="M402">
        <v>84</v>
      </c>
      <c r="N402">
        <v>58</v>
      </c>
      <c r="O402">
        <v>71</v>
      </c>
      <c r="P402">
        <v>8</v>
      </c>
      <c r="Q402">
        <v>4</v>
      </c>
      <c r="R402">
        <v>6</v>
      </c>
      <c r="S402">
        <v>1</v>
      </c>
      <c r="T402">
        <v>0</v>
      </c>
      <c r="U402">
        <v>0</v>
      </c>
      <c r="V402">
        <v>0</v>
      </c>
      <c r="W402">
        <v>2</v>
      </c>
      <c r="X402">
        <v>2</v>
      </c>
      <c r="Y402" t="s">
        <v>113</v>
      </c>
      <c r="Z402" t="s">
        <v>1813</v>
      </c>
      <c r="AA402" t="s">
        <v>4488</v>
      </c>
      <c r="AB402" t="s">
        <v>861</v>
      </c>
      <c r="AC402" t="s">
        <v>2670</v>
      </c>
      <c r="AD402">
        <v>0</v>
      </c>
      <c r="AF402">
        <v>0</v>
      </c>
      <c r="AH402" t="s">
        <v>118</v>
      </c>
      <c r="AI402">
        <v>9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S402">
        <v>5</v>
      </c>
      <c r="AT402">
        <v>0</v>
      </c>
      <c r="AU402">
        <v>2</v>
      </c>
      <c r="AV402">
        <v>50</v>
      </c>
      <c r="AW402">
        <v>91</v>
      </c>
      <c r="AX402">
        <v>116</v>
      </c>
      <c r="AY402">
        <v>0</v>
      </c>
      <c r="AZ402" t="b">
        <v>0</v>
      </c>
      <c r="BA402">
        <v>1389</v>
      </c>
      <c r="BB402">
        <v>1883</v>
      </c>
      <c r="BC402">
        <v>24</v>
      </c>
      <c r="BD402" t="s">
        <v>4489</v>
      </c>
      <c r="BE402">
        <v>96</v>
      </c>
      <c r="BF402">
        <v>0</v>
      </c>
      <c r="BG402">
        <v>73</v>
      </c>
      <c r="BH402">
        <v>1</v>
      </c>
      <c r="BI402">
        <v>8</v>
      </c>
      <c r="BJ402" s="1" t="s">
        <v>397</v>
      </c>
      <c r="BK402" s="1" t="s">
        <v>204</v>
      </c>
      <c r="BL402" s="1" t="s">
        <v>1239</v>
      </c>
      <c r="BM402" s="1" t="s">
        <v>138</v>
      </c>
      <c r="BN402" s="1" t="s">
        <v>431</v>
      </c>
      <c r="BO402" s="1" t="s">
        <v>169</v>
      </c>
      <c r="BP402">
        <v>2.6</v>
      </c>
      <c r="BQ402">
        <v>0</v>
      </c>
      <c r="BR402">
        <v>0</v>
      </c>
      <c r="BS402" s="1" t="s">
        <v>128</v>
      </c>
      <c r="BT402" s="1" t="s">
        <v>231</v>
      </c>
      <c r="BU402">
        <v>1</v>
      </c>
      <c r="BV402" s="1" t="s">
        <v>130</v>
      </c>
      <c r="BW402">
        <v>1</v>
      </c>
      <c r="BX402" s="1" t="s">
        <v>162</v>
      </c>
      <c r="BY402" s="1" t="s">
        <v>128</v>
      </c>
      <c r="BZ402" s="1" t="s">
        <v>231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 s="1" t="s">
        <v>124</v>
      </c>
      <c r="CH402" s="1" t="s">
        <v>260</v>
      </c>
      <c r="CI402" s="1" t="s">
        <v>126</v>
      </c>
      <c r="CJ402" s="1" t="s">
        <v>126</v>
      </c>
      <c r="CK402" s="1" t="s">
        <v>138</v>
      </c>
      <c r="CL402" s="1" t="s">
        <v>169</v>
      </c>
      <c r="CM402" s="1" t="s">
        <v>787</v>
      </c>
      <c r="CN402">
        <v>74.2</v>
      </c>
      <c r="CO402" s="1" t="s">
        <v>364</v>
      </c>
      <c r="CP402" s="1" t="s">
        <v>4490</v>
      </c>
      <c r="CQ402" s="1" t="s">
        <v>4491</v>
      </c>
      <c r="CR402" s="1" t="s">
        <v>4492</v>
      </c>
      <c r="CS402" s="1" t="s">
        <v>1999</v>
      </c>
      <c r="CT402" s="1" t="s">
        <v>4493</v>
      </c>
      <c r="CU402">
        <v>1548</v>
      </c>
      <c r="CV402" s="1" t="s">
        <v>3302</v>
      </c>
      <c r="CW402">
        <v>71.75</v>
      </c>
      <c r="CX402">
        <v>69.7</v>
      </c>
      <c r="CY402">
        <v>73.2</v>
      </c>
      <c r="CZ402">
        <v>70</v>
      </c>
      <c r="DA402">
        <v>1</v>
      </c>
      <c r="DB402" t="s">
        <v>1813</v>
      </c>
      <c r="DC402">
        <v>86</v>
      </c>
      <c r="DD402" s="1" t="s">
        <v>4494</v>
      </c>
      <c r="DE402" s="1" t="s">
        <v>4495</v>
      </c>
      <c r="DF402" t="e">
        <f>_xlfn.XLOOKUP(Table1[[#This Row],[Player ID]],Table2[feed_id],Table2[trade_status])</f>
        <v>#N/A</v>
      </c>
      <c r="DG402">
        <f>_xlfn.NUMBERVALUE(Table1[[#This Row],[predicted]])</f>
        <v>71.787800329505004</v>
      </c>
    </row>
    <row r="403" spans="1:111" hidden="1" x14ac:dyDescent="0.25">
      <c r="A403">
        <v>110928</v>
      </c>
      <c r="B403">
        <v>8096</v>
      </c>
      <c r="C403" t="s">
        <v>4496</v>
      </c>
      <c r="D403" t="s">
        <v>198</v>
      </c>
      <c r="E403">
        <v>2022</v>
      </c>
      <c r="F403">
        <v>261323</v>
      </c>
      <c r="G403" t="s">
        <v>670</v>
      </c>
      <c r="H403" t="s">
        <v>4497</v>
      </c>
      <c r="I403" t="s">
        <v>391</v>
      </c>
      <c r="J403">
        <v>16</v>
      </c>
      <c r="K403">
        <v>50</v>
      </c>
      <c r="L403">
        <v>56</v>
      </c>
      <c r="M403">
        <v>55</v>
      </c>
      <c r="N403">
        <v>49</v>
      </c>
      <c r="O403">
        <v>54</v>
      </c>
      <c r="P403">
        <v>3</v>
      </c>
      <c r="Q403">
        <v>2</v>
      </c>
      <c r="R403">
        <v>2</v>
      </c>
      <c r="S403">
        <v>0</v>
      </c>
      <c r="T403">
        <v>21</v>
      </c>
      <c r="U403">
        <v>1</v>
      </c>
      <c r="V403">
        <v>1</v>
      </c>
      <c r="W403">
        <v>2</v>
      </c>
      <c r="X403">
        <v>0</v>
      </c>
      <c r="Y403" t="s">
        <v>113</v>
      </c>
      <c r="Z403" t="s">
        <v>602</v>
      </c>
      <c r="AA403" t="s">
        <v>4498</v>
      </c>
      <c r="AD403">
        <v>0</v>
      </c>
      <c r="AF403">
        <v>0</v>
      </c>
      <c r="AH403" t="s">
        <v>274</v>
      </c>
      <c r="AI403">
        <v>7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S403">
        <v>3</v>
      </c>
      <c r="AT403">
        <v>1</v>
      </c>
      <c r="AU403">
        <v>2</v>
      </c>
      <c r="AV403">
        <v>100</v>
      </c>
      <c r="AW403">
        <v>94</v>
      </c>
      <c r="AX403">
        <v>34</v>
      </c>
      <c r="AY403">
        <v>0</v>
      </c>
      <c r="AZ403" t="b">
        <v>0</v>
      </c>
      <c r="BA403">
        <v>1738</v>
      </c>
      <c r="BB403">
        <v>1562</v>
      </c>
      <c r="BC403">
        <v>24</v>
      </c>
      <c r="BD403" t="s">
        <v>4499</v>
      </c>
      <c r="BE403">
        <v>96</v>
      </c>
      <c r="BF403">
        <v>0</v>
      </c>
      <c r="BG403">
        <v>73</v>
      </c>
      <c r="BH403">
        <v>0</v>
      </c>
      <c r="BI403" s="1" t="s">
        <v>211</v>
      </c>
      <c r="BJ403">
        <v>5.2</v>
      </c>
      <c r="BK403" s="1" t="s">
        <v>211</v>
      </c>
      <c r="BL403" s="1" t="s">
        <v>397</v>
      </c>
      <c r="BM403" s="1" t="s">
        <v>126</v>
      </c>
      <c r="BN403">
        <v>3.4</v>
      </c>
      <c r="BO403" s="1" t="s">
        <v>160</v>
      </c>
      <c r="BP403">
        <v>3</v>
      </c>
      <c r="BQ403">
        <v>27</v>
      </c>
      <c r="BR403" s="1" t="s">
        <v>4500</v>
      </c>
      <c r="BS403" s="1" t="s">
        <v>169</v>
      </c>
      <c r="BT403">
        <v>1.6</v>
      </c>
      <c r="BU403" s="1" t="s">
        <v>129</v>
      </c>
      <c r="BV403" s="1" t="s">
        <v>238</v>
      </c>
      <c r="BW403" s="1" t="s">
        <v>126</v>
      </c>
      <c r="BX403" s="1" t="s">
        <v>128</v>
      </c>
      <c r="BY403">
        <v>0</v>
      </c>
      <c r="BZ403" s="1" t="s">
        <v>129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6</v>
      </c>
      <c r="CH403">
        <v>6.8</v>
      </c>
      <c r="CI403">
        <v>2</v>
      </c>
      <c r="CJ403" s="1" t="s">
        <v>566</v>
      </c>
      <c r="CK403" s="1" t="s">
        <v>126</v>
      </c>
      <c r="CL403" s="1" t="s">
        <v>566</v>
      </c>
      <c r="CM403" s="1" t="s">
        <v>994</v>
      </c>
      <c r="CN403" s="1" t="s">
        <v>1713</v>
      </c>
      <c r="CO403" s="1" t="s">
        <v>1273</v>
      </c>
      <c r="CP403" s="1" t="s">
        <v>1259</v>
      </c>
      <c r="CQ403" s="1" t="s">
        <v>4445</v>
      </c>
      <c r="CR403">
        <v>94.8</v>
      </c>
      <c r="CS403">
        <v>1552</v>
      </c>
      <c r="CT403">
        <v>1645.4</v>
      </c>
      <c r="CU403" s="1" t="s">
        <v>4501</v>
      </c>
      <c r="CV403" s="1" t="s">
        <v>4502</v>
      </c>
      <c r="CW403">
        <v>91.75</v>
      </c>
      <c r="CX403">
        <v>89.4</v>
      </c>
      <c r="CY403">
        <v>95.2</v>
      </c>
      <c r="CZ403">
        <v>95</v>
      </c>
      <c r="DA403">
        <v>1</v>
      </c>
      <c r="DB403" t="s">
        <v>602</v>
      </c>
      <c r="DC403">
        <v>56</v>
      </c>
      <c r="DD403" s="1" t="s">
        <v>4503</v>
      </c>
      <c r="DE403">
        <v>-36.399016160341901</v>
      </c>
      <c r="DF403" t="e">
        <f>_xlfn.XLOOKUP(Table1[[#This Row],[Player ID]],Table2[feed_id],Table2[trade_status])</f>
        <v>#N/A</v>
      </c>
      <c r="DG403">
        <f>_xlfn.NUMBERVALUE(Table1[[#This Row],[predicted]])</f>
        <v>92.399016160341901</v>
      </c>
    </row>
    <row r="404" spans="1:111" hidden="1" x14ac:dyDescent="0.25">
      <c r="A404">
        <v>110979</v>
      </c>
      <c r="B404">
        <v>8097</v>
      </c>
      <c r="C404" t="s">
        <v>4504</v>
      </c>
      <c r="D404" t="s">
        <v>198</v>
      </c>
      <c r="E404">
        <v>2022</v>
      </c>
      <c r="F404">
        <v>291773</v>
      </c>
      <c r="G404" t="s">
        <v>1127</v>
      </c>
      <c r="H404" t="s">
        <v>4505</v>
      </c>
      <c r="I404" t="s">
        <v>249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t="s">
        <v>113</v>
      </c>
      <c r="Z404" t="s">
        <v>3571</v>
      </c>
      <c r="AA404" t="s">
        <v>4081</v>
      </c>
      <c r="AD404">
        <v>0</v>
      </c>
      <c r="AF404">
        <v>0</v>
      </c>
      <c r="AH404" t="s">
        <v>118</v>
      </c>
      <c r="AI404">
        <v>32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</v>
      </c>
      <c r="AZ404" t="b">
        <v>0</v>
      </c>
      <c r="BA404">
        <v>1573</v>
      </c>
      <c r="BB404">
        <v>1728</v>
      </c>
      <c r="BC404">
        <v>24</v>
      </c>
      <c r="BD404" t="s">
        <v>4506</v>
      </c>
      <c r="BE404">
        <v>96</v>
      </c>
      <c r="BF404">
        <v>0</v>
      </c>
      <c r="BG404">
        <v>73</v>
      </c>
      <c r="BH404">
        <v>0</v>
      </c>
      <c r="BI404" s="1" t="s">
        <v>449</v>
      </c>
      <c r="BJ404">
        <v>9</v>
      </c>
      <c r="BK404">
        <v>3</v>
      </c>
      <c r="BL404">
        <v>5.2</v>
      </c>
      <c r="BM404" s="1" t="s">
        <v>126</v>
      </c>
      <c r="BN404">
        <v>4</v>
      </c>
      <c r="BO404">
        <v>2</v>
      </c>
      <c r="BP404" s="1" t="s">
        <v>275</v>
      </c>
      <c r="BQ404">
        <v>0</v>
      </c>
      <c r="BR404">
        <v>0</v>
      </c>
      <c r="BS404" s="1" t="s">
        <v>129</v>
      </c>
      <c r="BT404" s="1" t="s">
        <v>129</v>
      </c>
      <c r="BU404" s="1" t="s">
        <v>161</v>
      </c>
      <c r="BV404">
        <v>1</v>
      </c>
      <c r="BW404" s="1" t="s">
        <v>129</v>
      </c>
      <c r="BX404" s="1" t="s">
        <v>184</v>
      </c>
      <c r="BY404">
        <v>0</v>
      </c>
      <c r="BZ404" s="1" t="s">
        <v>184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 s="1" t="s">
        <v>138</v>
      </c>
      <c r="CH404">
        <v>3.8</v>
      </c>
      <c r="CI404" s="1" t="s">
        <v>129</v>
      </c>
      <c r="CJ404" s="1" t="s">
        <v>130</v>
      </c>
      <c r="CK404">
        <v>2</v>
      </c>
      <c r="CL404" s="1" t="s">
        <v>214</v>
      </c>
      <c r="CM404">
        <v>37</v>
      </c>
      <c r="CN404" s="1" t="s">
        <v>609</v>
      </c>
      <c r="CO404">
        <v>53</v>
      </c>
      <c r="CP404" s="1" t="s">
        <v>3111</v>
      </c>
      <c r="CQ404" s="1" t="s">
        <v>4507</v>
      </c>
      <c r="CR404" s="1" t="s">
        <v>4508</v>
      </c>
      <c r="CS404" s="1" t="s">
        <v>4509</v>
      </c>
      <c r="CT404">
        <v>1716</v>
      </c>
      <c r="CU404" s="1" t="s">
        <v>2864</v>
      </c>
      <c r="CV404">
        <v>1574.6</v>
      </c>
      <c r="CW404">
        <v>60.75</v>
      </c>
      <c r="CX404">
        <v>52.5</v>
      </c>
      <c r="CY404">
        <v>29.2</v>
      </c>
      <c r="CZ404" s="1" t="s">
        <v>3827</v>
      </c>
      <c r="DA404">
        <v>1</v>
      </c>
      <c r="DB404" t="s">
        <v>3571</v>
      </c>
      <c r="DC404">
        <v>0</v>
      </c>
      <c r="DD404" s="1" t="s">
        <v>4510</v>
      </c>
      <c r="DE404">
        <v>-48.555373786913997</v>
      </c>
      <c r="DF404" t="e">
        <f>_xlfn.XLOOKUP(Table1[[#This Row],[Player ID]],Table2[feed_id],Table2[trade_status])</f>
        <v>#N/A</v>
      </c>
      <c r="DG404">
        <f>_xlfn.NUMBERVALUE(Table1[[#This Row],[predicted]])</f>
        <v>48.555373786913997</v>
      </c>
    </row>
    <row r="405" spans="1:111" hidden="1" x14ac:dyDescent="0.25">
      <c r="A405">
        <v>111004</v>
      </c>
      <c r="B405">
        <v>8098</v>
      </c>
      <c r="C405" t="s">
        <v>4511</v>
      </c>
      <c r="D405" t="s">
        <v>198</v>
      </c>
      <c r="E405">
        <v>2022</v>
      </c>
      <c r="F405">
        <v>290117</v>
      </c>
      <c r="G405" t="s">
        <v>4512</v>
      </c>
      <c r="H405" t="s">
        <v>4513</v>
      </c>
      <c r="I405" t="s">
        <v>152</v>
      </c>
      <c r="J405">
        <v>26</v>
      </c>
      <c r="K405">
        <v>107</v>
      </c>
      <c r="L405">
        <v>109</v>
      </c>
      <c r="M405">
        <v>139</v>
      </c>
      <c r="N405">
        <v>79</v>
      </c>
      <c r="O405">
        <v>114</v>
      </c>
      <c r="P405">
        <v>18</v>
      </c>
      <c r="Q405">
        <v>12</v>
      </c>
      <c r="R405">
        <v>2</v>
      </c>
      <c r="S405">
        <v>6</v>
      </c>
      <c r="T405">
        <v>0</v>
      </c>
      <c r="U405">
        <v>2</v>
      </c>
      <c r="V405">
        <v>1</v>
      </c>
      <c r="W405">
        <v>0</v>
      </c>
      <c r="X405">
        <v>0</v>
      </c>
      <c r="Y405" t="s">
        <v>113</v>
      </c>
      <c r="Z405" t="s">
        <v>1757</v>
      </c>
      <c r="AA405" t="s">
        <v>4514</v>
      </c>
      <c r="AB405" t="s">
        <v>525</v>
      </c>
      <c r="AC405" t="s">
        <v>2095</v>
      </c>
      <c r="AD405">
        <v>0</v>
      </c>
      <c r="AF405">
        <v>0</v>
      </c>
      <c r="AH405" t="s">
        <v>118</v>
      </c>
      <c r="AI405">
        <v>10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S405">
        <v>13</v>
      </c>
      <c r="AT405">
        <v>7</v>
      </c>
      <c r="AU405">
        <v>3</v>
      </c>
      <c r="AV405">
        <v>66</v>
      </c>
      <c r="AW405">
        <v>70</v>
      </c>
      <c r="AX405">
        <v>585</v>
      </c>
      <c r="AY405">
        <v>0</v>
      </c>
      <c r="AZ405" t="b">
        <v>1</v>
      </c>
      <c r="BA405">
        <v>1606</v>
      </c>
      <c r="BB405">
        <v>1669</v>
      </c>
      <c r="BC405">
        <v>24</v>
      </c>
      <c r="BD405" t="s">
        <v>4515</v>
      </c>
      <c r="BE405">
        <v>96</v>
      </c>
      <c r="BF405">
        <v>1</v>
      </c>
      <c r="BG405">
        <v>73</v>
      </c>
      <c r="BH405">
        <v>1</v>
      </c>
      <c r="BI405" s="1" t="s">
        <v>356</v>
      </c>
      <c r="BJ405" s="1" t="s">
        <v>977</v>
      </c>
      <c r="BK405" s="1" t="s">
        <v>356</v>
      </c>
      <c r="BL405" s="1" t="s">
        <v>2030</v>
      </c>
      <c r="BM405" s="1" t="s">
        <v>159</v>
      </c>
      <c r="BN405">
        <v>2.4</v>
      </c>
      <c r="BO405" s="1" t="s">
        <v>169</v>
      </c>
      <c r="BP405">
        <v>2.2000000000000002</v>
      </c>
      <c r="BQ405">
        <v>0</v>
      </c>
      <c r="BR405">
        <v>0</v>
      </c>
      <c r="BS405">
        <v>1</v>
      </c>
      <c r="BT405">
        <v>0.6</v>
      </c>
      <c r="BU405" s="1" t="s">
        <v>129</v>
      </c>
      <c r="BV405">
        <v>0.6</v>
      </c>
      <c r="BW405" s="1" t="s">
        <v>129</v>
      </c>
      <c r="BX405">
        <v>0.2</v>
      </c>
      <c r="BY405">
        <v>0</v>
      </c>
      <c r="BZ405">
        <v>0.2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 s="1" t="s">
        <v>977</v>
      </c>
      <c r="CH405" s="1" t="s">
        <v>498</v>
      </c>
      <c r="CI405">
        <v>5</v>
      </c>
      <c r="CJ405" s="1" t="s">
        <v>212</v>
      </c>
      <c r="CK405" s="1" t="s">
        <v>159</v>
      </c>
      <c r="CL405" s="1" t="s">
        <v>169</v>
      </c>
      <c r="CM405" s="1" t="s">
        <v>1012</v>
      </c>
      <c r="CN405" s="1" t="s">
        <v>682</v>
      </c>
      <c r="CO405">
        <v>61</v>
      </c>
      <c r="CP405" s="1" t="s">
        <v>682</v>
      </c>
      <c r="CQ405" s="1" t="s">
        <v>4516</v>
      </c>
      <c r="CS405">
        <v>1654</v>
      </c>
      <c r="CT405" s="1" t="s">
        <v>4517</v>
      </c>
      <c r="CU405">
        <v>1629</v>
      </c>
      <c r="CV405">
        <v>1542.6</v>
      </c>
      <c r="CW405">
        <v>74.3</v>
      </c>
      <c r="CX405">
        <v>65.099999999999994</v>
      </c>
      <c r="CY405">
        <v>75.2</v>
      </c>
      <c r="CZ405" s="1" t="s">
        <v>364</v>
      </c>
      <c r="DA405">
        <v>1</v>
      </c>
      <c r="DB405" t="s">
        <v>1757</v>
      </c>
      <c r="DC405">
        <v>109</v>
      </c>
      <c r="DD405" s="1" t="s">
        <v>4518</v>
      </c>
      <c r="DE405" s="1" t="s">
        <v>4519</v>
      </c>
      <c r="DF405" t="e">
        <f>_xlfn.XLOOKUP(Table1[[#This Row],[Player ID]],Table2[feed_id],Table2[trade_status])</f>
        <v>#N/A</v>
      </c>
      <c r="DG405">
        <f>_xlfn.NUMBERVALUE(Table1[[#This Row],[predicted]])</f>
        <v>82.456659553248201</v>
      </c>
    </row>
    <row r="406" spans="1:111" hidden="1" x14ac:dyDescent="0.25">
      <c r="A406">
        <v>111011</v>
      </c>
      <c r="B406">
        <v>8098</v>
      </c>
      <c r="C406" t="s">
        <v>4511</v>
      </c>
      <c r="D406" t="s">
        <v>198</v>
      </c>
      <c r="E406">
        <v>2022</v>
      </c>
      <c r="F406">
        <v>293987</v>
      </c>
      <c r="G406" t="s">
        <v>2604</v>
      </c>
      <c r="H406" t="s">
        <v>4520</v>
      </c>
      <c r="I406" t="s">
        <v>152</v>
      </c>
      <c r="J406">
        <v>14</v>
      </c>
      <c r="K406">
        <v>76</v>
      </c>
      <c r="L406">
        <v>86</v>
      </c>
      <c r="M406">
        <v>102</v>
      </c>
      <c r="N406">
        <v>65</v>
      </c>
      <c r="O406">
        <v>87</v>
      </c>
      <c r="P406">
        <v>17</v>
      </c>
      <c r="Q406">
        <v>3</v>
      </c>
      <c r="R406">
        <v>9</v>
      </c>
      <c r="S406">
        <v>0</v>
      </c>
      <c r="T406">
        <v>0</v>
      </c>
      <c r="U406">
        <v>1</v>
      </c>
      <c r="V406">
        <v>3</v>
      </c>
      <c r="W406">
        <v>0</v>
      </c>
      <c r="X406">
        <v>0</v>
      </c>
      <c r="Y406" t="s">
        <v>113</v>
      </c>
      <c r="Z406" t="s">
        <v>226</v>
      </c>
      <c r="AA406" t="s">
        <v>4521</v>
      </c>
      <c r="AD406">
        <v>0</v>
      </c>
      <c r="AF406">
        <v>0</v>
      </c>
      <c r="AH406" t="s">
        <v>118</v>
      </c>
      <c r="AI406">
        <v>31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S406">
        <v>4</v>
      </c>
      <c r="AT406">
        <v>1</v>
      </c>
      <c r="AU406">
        <v>4</v>
      </c>
      <c r="AV406">
        <v>80</v>
      </c>
      <c r="AW406">
        <v>71</v>
      </c>
      <c r="AX406">
        <v>456</v>
      </c>
      <c r="AY406">
        <v>0</v>
      </c>
      <c r="AZ406" t="b">
        <v>0</v>
      </c>
      <c r="BA406">
        <v>1606</v>
      </c>
      <c r="BB406">
        <v>1669</v>
      </c>
      <c r="BC406">
        <v>24</v>
      </c>
      <c r="BD406" t="s">
        <v>4515</v>
      </c>
      <c r="BE406">
        <v>96</v>
      </c>
      <c r="BF406">
        <v>0</v>
      </c>
      <c r="BG406">
        <v>73</v>
      </c>
      <c r="BH406">
        <v>1</v>
      </c>
      <c r="BI406">
        <v>12</v>
      </c>
      <c r="BJ406" s="1" t="s">
        <v>949</v>
      </c>
      <c r="BK406">
        <v>4</v>
      </c>
      <c r="BL406" s="1" t="s">
        <v>212</v>
      </c>
      <c r="BM406" s="1" t="s">
        <v>204</v>
      </c>
      <c r="BN406">
        <v>4.5999999999999996</v>
      </c>
      <c r="BO406" s="1" t="s">
        <v>138</v>
      </c>
      <c r="BP406" s="1" t="s">
        <v>375</v>
      </c>
      <c r="BQ406" s="1" t="s">
        <v>126</v>
      </c>
      <c r="BR406" s="1" t="s">
        <v>231</v>
      </c>
      <c r="BS406" s="1" t="s">
        <v>128</v>
      </c>
      <c r="BT406">
        <v>0.4</v>
      </c>
      <c r="BU406">
        <v>2</v>
      </c>
      <c r="BV406">
        <v>1</v>
      </c>
      <c r="BW406">
        <v>0</v>
      </c>
      <c r="BX406">
        <v>0</v>
      </c>
      <c r="BY406" s="1" t="s">
        <v>129</v>
      </c>
      <c r="BZ406">
        <v>6.6666666666666596E-2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 s="1" t="s">
        <v>138</v>
      </c>
      <c r="CH406">
        <v>3.4</v>
      </c>
      <c r="CI406">
        <v>1</v>
      </c>
      <c r="CJ406">
        <v>1</v>
      </c>
      <c r="CK406" s="1" t="s">
        <v>138</v>
      </c>
      <c r="CL406" s="1" t="s">
        <v>373</v>
      </c>
      <c r="CM406" s="1" t="s">
        <v>483</v>
      </c>
      <c r="CN406" s="1" t="s">
        <v>3045</v>
      </c>
      <c r="CO406">
        <v>77</v>
      </c>
      <c r="CP406">
        <v>66.400000000000006</v>
      </c>
      <c r="CQ406" s="1" t="s">
        <v>4522</v>
      </c>
      <c r="CR406" s="1" t="s">
        <v>4523</v>
      </c>
      <c r="CS406" s="1" t="s">
        <v>4524</v>
      </c>
      <c r="CT406" s="1" t="s">
        <v>3000</v>
      </c>
      <c r="CU406" s="1" t="s">
        <v>4525</v>
      </c>
      <c r="CV406">
        <v>1588</v>
      </c>
      <c r="CW406">
        <v>63.55</v>
      </c>
      <c r="CX406">
        <v>59.1</v>
      </c>
      <c r="CY406">
        <v>69</v>
      </c>
      <c r="CZ406">
        <v>74</v>
      </c>
      <c r="DA406">
        <v>1</v>
      </c>
      <c r="DB406" t="s">
        <v>226</v>
      </c>
      <c r="DC406">
        <v>86</v>
      </c>
      <c r="DD406" s="1" t="s">
        <v>4526</v>
      </c>
      <c r="DE406">
        <v>-3.67401879398053</v>
      </c>
      <c r="DF406" t="e">
        <f>_xlfn.XLOOKUP(Table1[[#This Row],[Player ID]],Table2[feed_id],Table2[trade_status])</f>
        <v>#N/A</v>
      </c>
      <c r="DG406">
        <f>_xlfn.NUMBERVALUE(Table1[[#This Row],[predicted]])</f>
        <v>89.674018793980494</v>
      </c>
    </row>
    <row r="407" spans="1:111" hidden="1" x14ac:dyDescent="0.25">
      <c r="A407">
        <v>111023</v>
      </c>
      <c r="B407">
        <v>8098</v>
      </c>
      <c r="C407" t="s">
        <v>4511</v>
      </c>
      <c r="D407" t="s">
        <v>198</v>
      </c>
      <c r="E407">
        <v>2022</v>
      </c>
      <c r="F407">
        <v>294570</v>
      </c>
      <c r="G407" t="s">
        <v>2152</v>
      </c>
      <c r="H407" t="s">
        <v>4527</v>
      </c>
      <c r="I407" t="s">
        <v>152</v>
      </c>
      <c r="J407">
        <v>6</v>
      </c>
      <c r="K407">
        <v>29</v>
      </c>
      <c r="L407">
        <v>40</v>
      </c>
      <c r="M407">
        <v>40</v>
      </c>
      <c r="N407">
        <v>19</v>
      </c>
      <c r="O407">
        <v>27</v>
      </c>
      <c r="P407">
        <v>2</v>
      </c>
      <c r="Q407">
        <v>2</v>
      </c>
      <c r="R407">
        <v>1</v>
      </c>
      <c r="S407">
        <v>4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113</v>
      </c>
      <c r="Z407" t="s">
        <v>3571</v>
      </c>
      <c r="AA407" t="s">
        <v>4528</v>
      </c>
      <c r="AD407">
        <v>0</v>
      </c>
      <c r="AF407">
        <v>0</v>
      </c>
      <c r="AH407" t="s">
        <v>155</v>
      </c>
      <c r="AI407">
        <v>25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S407">
        <v>0</v>
      </c>
      <c r="AT407">
        <v>0</v>
      </c>
      <c r="AU407">
        <v>0</v>
      </c>
      <c r="AV407">
        <v>100</v>
      </c>
      <c r="AW407">
        <v>38</v>
      </c>
      <c r="AX407">
        <v>87</v>
      </c>
      <c r="AY407">
        <v>0</v>
      </c>
      <c r="AZ407" t="b">
        <v>0</v>
      </c>
      <c r="BA407">
        <v>1606</v>
      </c>
      <c r="BB407">
        <v>1669</v>
      </c>
      <c r="BC407">
        <v>24</v>
      </c>
      <c r="BD407" t="s">
        <v>4515</v>
      </c>
      <c r="BE407">
        <v>96</v>
      </c>
      <c r="BF407">
        <v>0</v>
      </c>
      <c r="BG407">
        <v>73</v>
      </c>
      <c r="BH407">
        <v>0</v>
      </c>
      <c r="BI407" s="1" t="s">
        <v>211</v>
      </c>
      <c r="BJ407">
        <v>6.6</v>
      </c>
      <c r="BK407">
        <v>4</v>
      </c>
      <c r="BL407">
        <v>4.2</v>
      </c>
      <c r="BM407" s="1" t="s">
        <v>159</v>
      </c>
      <c r="BN407" s="1" t="s">
        <v>990</v>
      </c>
      <c r="BO407" s="1" t="s">
        <v>159</v>
      </c>
      <c r="BP407" s="1" t="s">
        <v>322</v>
      </c>
      <c r="BQ407">
        <v>0</v>
      </c>
      <c r="BR407">
        <v>0</v>
      </c>
      <c r="BS407">
        <v>0</v>
      </c>
      <c r="BT407" s="1" t="s">
        <v>129</v>
      </c>
      <c r="BU407" s="1" t="s">
        <v>128</v>
      </c>
      <c r="BV407">
        <v>0.8</v>
      </c>
      <c r="BW407">
        <v>1</v>
      </c>
      <c r="BX407" s="1" t="s">
        <v>238</v>
      </c>
      <c r="BY407">
        <v>0</v>
      </c>
      <c r="BZ407" s="1" t="s">
        <v>231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2</v>
      </c>
      <c r="CH407" s="1" t="s">
        <v>255</v>
      </c>
      <c r="CI407">
        <v>0</v>
      </c>
      <c r="CJ407" s="1" t="s">
        <v>184</v>
      </c>
      <c r="CK407">
        <v>2</v>
      </c>
      <c r="CL407" s="1" t="s">
        <v>159</v>
      </c>
      <c r="CM407">
        <v>92</v>
      </c>
      <c r="CN407">
        <v>73.2</v>
      </c>
      <c r="CO407" s="1" t="s">
        <v>681</v>
      </c>
      <c r="CP407">
        <v>73.400000000000006</v>
      </c>
      <c r="CQ407" s="1" t="s">
        <v>4529</v>
      </c>
      <c r="CR407" s="1" t="s">
        <v>4530</v>
      </c>
      <c r="CS407">
        <v>1703</v>
      </c>
      <c r="CT407" s="1" t="s">
        <v>4531</v>
      </c>
      <c r="CU407" s="1" t="s">
        <v>851</v>
      </c>
      <c r="CV407" s="1" t="s">
        <v>4532</v>
      </c>
      <c r="CW407">
        <v>56.05</v>
      </c>
      <c r="CX407">
        <v>53.5</v>
      </c>
      <c r="CY407">
        <v>56.8</v>
      </c>
      <c r="CZ407" s="1" t="s">
        <v>283</v>
      </c>
      <c r="DA407">
        <v>1</v>
      </c>
      <c r="DB407" t="s">
        <v>3571</v>
      </c>
      <c r="DC407">
        <v>40</v>
      </c>
      <c r="DD407" s="1" t="s">
        <v>4533</v>
      </c>
      <c r="DE407">
        <v>-6.4337609592958698</v>
      </c>
      <c r="DF407" t="e">
        <f>_xlfn.XLOOKUP(Table1[[#This Row],[Player ID]],Table2[feed_id],Table2[trade_status])</f>
        <v>#N/A</v>
      </c>
      <c r="DG407">
        <f>_xlfn.NUMBERVALUE(Table1[[#This Row],[predicted]])</f>
        <v>46.433760959295803</v>
      </c>
    </row>
    <row r="408" spans="1:111" hidden="1" x14ac:dyDescent="0.25">
      <c r="A408">
        <v>111228</v>
      </c>
      <c r="B408">
        <v>8301</v>
      </c>
      <c r="C408" t="s">
        <v>4534</v>
      </c>
      <c r="D408" t="s">
        <v>314</v>
      </c>
      <c r="E408">
        <v>2022</v>
      </c>
      <c r="F408">
        <v>290311</v>
      </c>
      <c r="G408" t="s">
        <v>1718</v>
      </c>
      <c r="H408" t="s">
        <v>2496</v>
      </c>
      <c r="I408" t="s">
        <v>201</v>
      </c>
      <c r="J408">
        <v>2</v>
      </c>
      <c r="K408">
        <v>26</v>
      </c>
      <c r="L408">
        <v>37</v>
      </c>
      <c r="M408">
        <v>33</v>
      </c>
      <c r="N408">
        <v>21</v>
      </c>
      <c r="O408">
        <v>33</v>
      </c>
      <c r="P408">
        <v>5</v>
      </c>
      <c r="Q408">
        <v>5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 t="s">
        <v>113</v>
      </c>
      <c r="Z408" t="s">
        <v>525</v>
      </c>
      <c r="AA408" t="s">
        <v>4535</v>
      </c>
      <c r="AD408">
        <v>0</v>
      </c>
      <c r="AF408">
        <v>0</v>
      </c>
      <c r="AH408" t="s">
        <v>118</v>
      </c>
      <c r="AI408">
        <v>5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S408">
        <v>6</v>
      </c>
      <c r="AT408">
        <v>1</v>
      </c>
      <c r="AU408">
        <v>2</v>
      </c>
      <c r="AV408">
        <v>60</v>
      </c>
      <c r="AW408">
        <v>61</v>
      </c>
      <c r="AX408">
        <v>168</v>
      </c>
      <c r="AY408">
        <v>1</v>
      </c>
      <c r="AZ408" t="b">
        <v>0</v>
      </c>
      <c r="BA408">
        <v>1573</v>
      </c>
      <c r="BB408">
        <v>1676</v>
      </c>
      <c r="BC408">
        <v>30</v>
      </c>
      <c r="BD408" t="s">
        <v>4536</v>
      </c>
      <c r="BE408">
        <v>98</v>
      </c>
      <c r="BF408">
        <v>0</v>
      </c>
      <c r="BG408">
        <v>71</v>
      </c>
      <c r="BH408">
        <v>0</v>
      </c>
      <c r="BI408">
        <v>6</v>
      </c>
      <c r="BJ408">
        <v>8.8000000000000007</v>
      </c>
      <c r="BK408" s="1" t="s">
        <v>138</v>
      </c>
      <c r="BL408">
        <v>5.2</v>
      </c>
      <c r="BM408" s="1" t="s">
        <v>159</v>
      </c>
      <c r="BN408" s="1" t="s">
        <v>528</v>
      </c>
      <c r="BO408" s="1" t="s">
        <v>129</v>
      </c>
      <c r="BP408" s="1" t="s">
        <v>375</v>
      </c>
      <c r="BQ408">
        <v>0</v>
      </c>
      <c r="BR408">
        <v>0</v>
      </c>
      <c r="BS408" s="1" t="s">
        <v>129</v>
      </c>
      <c r="BT408">
        <v>0.8</v>
      </c>
      <c r="BU408" s="1" t="s">
        <v>129</v>
      </c>
      <c r="BV408" s="1" t="s">
        <v>128</v>
      </c>
      <c r="BW408" s="1" t="s">
        <v>128</v>
      </c>
      <c r="BX408" s="1" t="s">
        <v>128</v>
      </c>
      <c r="BY408">
        <v>0</v>
      </c>
      <c r="BZ408" s="1" t="s">
        <v>213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 s="1" t="s">
        <v>138</v>
      </c>
      <c r="CH408">
        <v>5.4</v>
      </c>
      <c r="CI408">
        <v>1</v>
      </c>
      <c r="CJ408" s="1" t="s">
        <v>161</v>
      </c>
      <c r="CK408" s="1" t="s">
        <v>128</v>
      </c>
      <c r="CL408" s="1" t="s">
        <v>528</v>
      </c>
      <c r="CM408" s="1" t="s">
        <v>930</v>
      </c>
      <c r="CN408">
        <v>66</v>
      </c>
      <c r="CO408" s="1" t="s">
        <v>2112</v>
      </c>
      <c r="CP408">
        <v>63</v>
      </c>
      <c r="CQ408">
        <v>200</v>
      </c>
      <c r="CR408">
        <v>276.60000000000002</v>
      </c>
      <c r="CS408" s="1" t="s">
        <v>4537</v>
      </c>
      <c r="CT408">
        <v>1558.6</v>
      </c>
      <c r="CU408" s="1" t="s">
        <v>1097</v>
      </c>
      <c r="CV408">
        <v>1503.2</v>
      </c>
      <c r="CW408">
        <v>59.55</v>
      </c>
      <c r="CX408">
        <v>48.8</v>
      </c>
      <c r="CY408">
        <v>48.4</v>
      </c>
      <c r="CZ408" s="1" t="s">
        <v>3641</v>
      </c>
      <c r="DA408">
        <v>1</v>
      </c>
      <c r="DB408" t="s">
        <v>525</v>
      </c>
      <c r="DC408">
        <v>37</v>
      </c>
      <c r="DD408" s="1" t="s">
        <v>4538</v>
      </c>
      <c r="DE408">
        <v>-23.126996483665302</v>
      </c>
      <c r="DF408" t="e">
        <f>_xlfn.XLOOKUP(Table1[[#This Row],[Player ID]],Table2[feed_id],Table2[trade_status])</f>
        <v>#N/A</v>
      </c>
      <c r="DG408">
        <f>_xlfn.NUMBERVALUE(Table1[[#This Row],[predicted]])</f>
        <v>60.126996483665302</v>
      </c>
    </row>
    <row r="409" spans="1:111" hidden="1" x14ac:dyDescent="0.25">
      <c r="A409">
        <v>111248</v>
      </c>
      <c r="B409">
        <v>8301</v>
      </c>
      <c r="C409" t="s">
        <v>4534</v>
      </c>
      <c r="D409" t="s">
        <v>314</v>
      </c>
      <c r="E409">
        <v>2022</v>
      </c>
      <c r="F409">
        <v>270325</v>
      </c>
      <c r="G409" t="s">
        <v>811</v>
      </c>
      <c r="H409" t="s">
        <v>4539</v>
      </c>
      <c r="I409" t="s">
        <v>317</v>
      </c>
      <c r="J409">
        <v>3</v>
      </c>
      <c r="K409">
        <v>33</v>
      </c>
      <c r="L409">
        <v>53</v>
      </c>
      <c r="M409">
        <v>25</v>
      </c>
      <c r="N409">
        <v>26</v>
      </c>
      <c r="O409">
        <v>33</v>
      </c>
      <c r="P409">
        <v>5</v>
      </c>
      <c r="Q409">
        <v>1</v>
      </c>
      <c r="R409">
        <v>3</v>
      </c>
      <c r="S409">
        <v>2</v>
      </c>
      <c r="T409">
        <v>0</v>
      </c>
      <c r="U409">
        <v>2</v>
      </c>
      <c r="V409">
        <v>1</v>
      </c>
      <c r="W409">
        <v>0</v>
      </c>
      <c r="X409">
        <v>0</v>
      </c>
      <c r="Y409" t="s">
        <v>113</v>
      </c>
      <c r="Z409" t="s">
        <v>179</v>
      </c>
      <c r="AA409" t="s">
        <v>4540</v>
      </c>
      <c r="AD409">
        <v>0</v>
      </c>
      <c r="AF409">
        <v>0</v>
      </c>
      <c r="AH409" t="s">
        <v>181</v>
      </c>
      <c r="AI409">
        <v>6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S409">
        <v>3</v>
      </c>
      <c r="AT409">
        <v>0</v>
      </c>
      <c r="AU409">
        <v>1</v>
      </c>
      <c r="AV409">
        <v>100</v>
      </c>
      <c r="AW409">
        <v>91</v>
      </c>
      <c r="AX409">
        <v>207</v>
      </c>
      <c r="AY409">
        <v>0</v>
      </c>
      <c r="AZ409" t="b">
        <v>0</v>
      </c>
      <c r="BA409">
        <v>1676</v>
      </c>
      <c r="BB409">
        <v>1573</v>
      </c>
      <c r="BC409">
        <v>30</v>
      </c>
      <c r="BD409" t="s">
        <v>4541</v>
      </c>
      <c r="BE409">
        <v>98</v>
      </c>
      <c r="BF409">
        <v>0</v>
      </c>
      <c r="BG409">
        <v>71</v>
      </c>
      <c r="BH409">
        <v>0</v>
      </c>
      <c r="BI409" s="1" t="s">
        <v>211</v>
      </c>
      <c r="BJ409">
        <v>5.8</v>
      </c>
      <c r="BK409">
        <v>3</v>
      </c>
      <c r="BL409" s="1" t="s">
        <v>587</v>
      </c>
      <c r="BM409" s="1" t="s">
        <v>169</v>
      </c>
      <c r="BN409" s="1" t="s">
        <v>436</v>
      </c>
      <c r="BO409">
        <v>1</v>
      </c>
      <c r="BP409">
        <v>1.2</v>
      </c>
      <c r="BQ409">
        <v>0</v>
      </c>
      <c r="BR409">
        <v>0</v>
      </c>
      <c r="BS409">
        <v>1</v>
      </c>
      <c r="BT409">
        <v>0.6</v>
      </c>
      <c r="BU409" s="1" t="s">
        <v>126</v>
      </c>
      <c r="BV409" s="1" t="s">
        <v>127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2</v>
      </c>
      <c r="CH409" s="1" t="s">
        <v>212</v>
      </c>
      <c r="CI409">
        <v>0</v>
      </c>
      <c r="CJ409">
        <v>6.6666666666666596E-2</v>
      </c>
      <c r="CK409" s="1" t="s">
        <v>161</v>
      </c>
      <c r="CL409" s="1" t="s">
        <v>275</v>
      </c>
      <c r="CM409" s="1" t="s">
        <v>3951</v>
      </c>
      <c r="CN409" s="1" t="s">
        <v>240</v>
      </c>
      <c r="CO409">
        <v>90</v>
      </c>
      <c r="CP409" s="1" t="s">
        <v>4542</v>
      </c>
      <c r="CQ409" s="1" t="s">
        <v>4543</v>
      </c>
      <c r="CR409">
        <v>156</v>
      </c>
      <c r="CS409">
        <v>1749</v>
      </c>
      <c r="CT409">
        <v>1656.6</v>
      </c>
      <c r="CU409">
        <v>1534</v>
      </c>
      <c r="CV409" s="1" t="s">
        <v>4544</v>
      </c>
      <c r="CW409">
        <v>57.45</v>
      </c>
      <c r="CX409">
        <v>58.9</v>
      </c>
      <c r="CY409">
        <v>41.8</v>
      </c>
      <c r="CZ409" s="1" t="s">
        <v>944</v>
      </c>
      <c r="DA409">
        <v>1</v>
      </c>
      <c r="DB409" t="s">
        <v>179</v>
      </c>
      <c r="DC409">
        <v>53</v>
      </c>
      <c r="DD409" s="1" t="s">
        <v>4545</v>
      </c>
      <c r="DE409">
        <v>6.6214186354949902</v>
      </c>
      <c r="DF409" t="e">
        <f>_xlfn.XLOOKUP(Table1[[#This Row],[Player ID]],Table2[feed_id],Table2[trade_status])</f>
        <v>#N/A</v>
      </c>
      <c r="DG409">
        <f>_xlfn.NUMBERVALUE(Table1[[#This Row],[predicted]])</f>
        <v>46.378581364505003</v>
      </c>
    </row>
    <row r="410" spans="1:111" hidden="1" x14ac:dyDescent="0.25">
      <c r="A410">
        <v>111251</v>
      </c>
      <c r="B410">
        <v>8301</v>
      </c>
      <c r="C410" t="s">
        <v>4534</v>
      </c>
      <c r="D410" t="s">
        <v>314</v>
      </c>
      <c r="E410">
        <v>2022</v>
      </c>
      <c r="F410">
        <v>260930</v>
      </c>
      <c r="G410" t="s">
        <v>2181</v>
      </c>
      <c r="H410" t="s">
        <v>4546</v>
      </c>
      <c r="I410" t="s">
        <v>317</v>
      </c>
      <c r="J410">
        <v>1</v>
      </c>
      <c r="K410">
        <v>22</v>
      </c>
      <c r="L410">
        <v>42</v>
      </c>
      <c r="M410">
        <v>12</v>
      </c>
      <c r="N410">
        <v>16</v>
      </c>
      <c r="O410">
        <v>21</v>
      </c>
      <c r="P410">
        <v>4</v>
      </c>
      <c r="Q410">
        <v>2</v>
      </c>
      <c r="R410">
        <v>0</v>
      </c>
      <c r="S410">
        <v>1</v>
      </c>
      <c r="T410">
        <v>0</v>
      </c>
      <c r="U410">
        <v>2</v>
      </c>
      <c r="V410">
        <v>0</v>
      </c>
      <c r="W410">
        <v>0</v>
      </c>
      <c r="X410">
        <v>0</v>
      </c>
      <c r="Y410" t="s">
        <v>113</v>
      </c>
      <c r="Z410" t="s">
        <v>3571</v>
      </c>
      <c r="AA410" t="s">
        <v>4547</v>
      </c>
      <c r="AD410">
        <v>0</v>
      </c>
      <c r="AF410">
        <v>0</v>
      </c>
      <c r="AH410" t="s">
        <v>118</v>
      </c>
      <c r="AI410">
        <v>10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S410">
        <v>5</v>
      </c>
      <c r="AT410">
        <v>2</v>
      </c>
      <c r="AU410">
        <v>1</v>
      </c>
      <c r="AV410">
        <v>83</v>
      </c>
      <c r="AW410">
        <v>44</v>
      </c>
      <c r="AX410">
        <v>45</v>
      </c>
      <c r="AY410">
        <v>0</v>
      </c>
      <c r="AZ410" t="b">
        <v>0</v>
      </c>
      <c r="BA410">
        <v>1676</v>
      </c>
      <c r="BB410">
        <v>1573</v>
      </c>
      <c r="BC410">
        <v>30</v>
      </c>
      <c r="BD410" t="s">
        <v>4541</v>
      </c>
      <c r="BE410">
        <v>98</v>
      </c>
      <c r="BF410">
        <v>0</v>
      </c>
      <c r="BG410">
        <v>71</v>
      </c>
      <c r="BH410">
        <v>0</v>
      </c>
      <c r="BI410" s="1" t="s">
        <v>253</v>
      </c>
      <c r="BJ410" s="1" t="s">
        <v>729</v>
      </c>
      <c r="BK410">
        <v>3</v>
      </c>
      <c r="BL410" s="1" t="s">
        <v>124</v>
      </c>
      <c r="BM410" s="1" t="s">
        <v>159</v>
      </c>
      <c r="BN410" s="1" t="s">
        <v>255</v>
      </c>
      <c r="BO410" s="1" t="s">
        <v>126</v>
      </c>
      <c r="BP410">
        <v>1.4</v>
      </c>
      <c r="BQ410">
        <v>0</v>
      </c>
      <c r="BR410">
        <v>0</v>
      </c>
      <c r="BS410" s="1" t="s">
        <v>128</v>
      </c>
      <c r="BT410" s="1" t="s">
        <v>238</v>
      </c>
      <c r="BU410" s="1" t="s">
        <v>128</v>
      </c>
      <c r="BV410" s="1" t="s">
        <v>129</v>
      </c>
      <c r="BW410" s="1" t="s">
        <v>161</v>
      </c>
      <c r="BX410" s="1" t="s">
        <v>399</v>
      </c>
      <c r="BY410">
        <v>0</v>
      </c>
      <c r="BZ410">
        <v>0.4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 s="1" t="s">
        <v>138</v>
      </c>
      <c r="CH410">
        <v>4.4000000000000004</v>
      </c>
      <c r="CI410" s="1" t="s">
        <v>128</v>
      </c>
      <c r="CJ410" s="1" t="s">
        <v>128</v>
      </c>
      <c r="CK410">
        <v>1</v>
      </c>
      <c r="CL410">
        <v>1.2</v>
      </c>
      <c r="CM410" s="1" t="s">
        <v>364</v>
      </c>
      <c r="CN410" s="1" t="s">
        <v>1177</v>
      </c>
      <c r="CO410">
        <v>64</v>
      </c>
      <c r="CP410" s="1" t="s">
        <v>2147</v>
      </c>
      <c r="CQ410">
        <v>211</v>
      </c>
      <c r="CR410">
        <v>205.4</v>
      </c>
      <c r="CS410">
        <v>1749</v>
      </c>
      <c r="CT410">
        <v>1684.2</v>
      </c>
      <c r="CU410">
        <v>1534</v>
      </c>
      <c r="CV410">
        <v>1601.6</v>
      </c>
      <c r="CW410">
        <v>60.05</v>
      </c>
      <c r="CX410">
        <v>60.6</v>
      </c>
      <c r="CY410">
        <v>61.6</v>
      </c>
      <c r="CZ410" s="1" t="s">
        <v>1979</v>
      </c>
      <c r="DA410">
        <v>1</v>
      </c>
      <c r="DB410" t="s">
        <v>3571</v>
      </c>
      <c r="DC410">
        <v>42</v>
      </c>
      <c r="DD410" s="1" t="s">
        <v>4548</v>
      </c>
      <c r="DE410">
        <v>-6.7951969301384096</v>
      </c>
      <c r="DF410" t="e">
        <f>_xlfn.XLOOKUP(Table1[[#This Row],[Player ID]],Table2[feed_id],Table2[trade_status])</f>
        <v>#N/A</v>
      </c>
      <c r="DG410">
        <f>_xlfn.NUMBERVALUE(Table1[[#This Row],[predicted]])</f>
        <v>48.795196930138403</v>
      </c>
    </row>
    <row r="411" spans="1:111" hidden="1" x14ac:dyDescent="0.25">
      <c r="A411">
        <v>111379</v>
      </c>
      <c r="B411">
        <v>8304</v>
      </c>
      <c r="C411" t="s">
        <v>4549</v>
      </c>
      <c r="D411" t="s">
        <v>314</v>
      </c>
      <c r="E411">
        <v>2022</v>
      </c>
      <c r="F411">
        <v>992054</v>
      </c>
      <c r="G411" t="s">
        <v>4550</v>
      </c>
      <c r="H411" t="s">
        <v>1538</v>
      </c>
      <c r="I411" t="s">
        <v>712</v>
      </c>
      <c r="J411">
        <v>10</v>
      </c>
      <c r="K411">
        <v>54</v>
      </c>
      <c r="L411">
        <v>74</v>
      </c>
      <c r="M411">
        <v>36</v>
      </c>
      <c r="N411">
        <v>46</v>
      </c>
      <c r="O411">
        <v>60</v>
      </c>
      <c r="P411">
        <v>8</v>
      </c>
      <c r="Q411">
        <v>5</v>
      </c>
      <c r="R411">
        <v>4</v>
      </c>
      <c r="S411">
        <v>1</v>
      </c>
      <c r="T411">
        <v>0</v>
      </c>
      <c r="U411">
        <v>1</v>
      </c>
      <c r="V411">
        <v>1</v>
      </c>
      <c r="W411">
        <v>1</v>
      </c>
      <c r="X411">
        <v>0</v>
      </c>
      <c r="Y411" t="s">
        <v>113</v>
      </c>
      <c r="Z411" t="s">
        <v>525</v>
      </c>
      <c r="AA411" t="s">
        <v>4551</v>
      </c>
      <c r="AD411">
        <v>0</v>
      </c>
      <c r="AF411">
        <v>0</v>
      </c>
      <c r="AH411" t="s">
        <v>181</v>
      </c>
      <c r="AI411">
        <v>37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S411">
        <v>10</v>
      </c>
      <c r="AT411">
        <v>2</v>
      </c>
      <c r="AU411">
        <v>3</v>
      </c>
      <c r="AV411">
        <v>69</v>
      </c>
      <c r="AW411">
        <v>75</v>
      </c>
      <c r="AX411">
        <v>169</v>
      </c>
      <c r="AY411">
        <v>0</v>
      </c>
      <c r="AZ411" t="b">
        <v>0</v>
      </c>
      <c r="BA411">
        <v>1646</v>
      </c>
      <c r="BB411">
        <v>1658</v>
      </c>
      <c r="BC411">
        <v>30</v>
      </c>
      <c r="BD411" t="s">
        <v>4552</v>
      </c>
      <c r="BE411">
        <v>98</v>
      </c>
      <c r="BF411">
        <v>0</v>
      </c>
      <c r="BG411">
        <v>71</v>
      </c>
      <c r="BH411">
        <v>1</v>
      </c>
      <c r="BI411" s="1" t="s">
        <v>397</v>
      </c>
      <c r="BJ411" s="1" t="s">
        <v>139</v>
      </c>
      <c r="BK411" s="1" t="s">
        <v>211</v>
      </c>
      <c r="BL411" s="1" t="s">
        <v>205</v>
      </c>
      <c r="BM411" s="1" t="s">
        <v>159</v>
      </c>
      <c r="BN411">
        <v>2.6</v>
      </c>
      <c r="BO411">
        <v>1</v>
      </c>
      <c r="BP411">
        <v>2</v>
      </c>
      <c r="BQ411">
        <v>0</v>
      </c>
      <c r="BR411">
        <v>0</v>
      </c>
      <c r="BS411">
        <v>1</v>
      </c>
      <c r="BT411">
        <v>0.6</v>
      </c>
      <c r="BU411" s="1" t="s">
        <v>128</v>
      </c>
      <c r="BV411">
        <v>0.6</v>
      </c>
      <c r="BW411" s="1" t="s">
        <v>126</v>
      </c>
      <c r="BX411" s="1" t="s">
        <v>231</v>
      </c>
      <c r="BY411">
        <v>0</v>
      </c>
      <c r="BZ411">
        <v>0.2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6</v>
      </c>
      <c r="CH411">
        <v>5.2</v>
      </c>
      <c r="CI411" s="1" t="s">
        <v>126</v>
      </c>
      <c r="CJ411">
        <v>0.8</v>
      </c>
      <c r="CK411" s="1" t="s">
        <v>126</v>
      </c>
      <c r="CL411" s="1" t="s">
        <v>375</v>
      </c>
      <c r="CM411">
        <v>49</v>
      </c>
      <c r="CN411">
        <v>56.8</v>
      </c>
      <c r="CO411" s="1" t="s">
        <v>1100</v>
      </c>
      <c r="CP411" s="1" t="s">
        <v>1391</v>
      </c>
      <c r="CQ411" s="1" t="s">
        <v>4553</v>
      </c>
      <c r="CR411" s="1" t="s">
        <v>4554</v>
      </c>
      <c r="CS411">
        <v>1652</v>
      </c>
      <c r="CT411" s="1" t="s">
        <v>4555</v>
      </c>
      <c r="CU411">
        <v>1647</v>
      </c>
      <c r="CV411" s="1" t="s">
        <v>4556</v>
      </c>
      <c r="CW411">
        <v>49.4</v>
      </c>
      <c r="CX411">
        <v>51.6</v>
      </c>
      <c r="CY411">
        <v>42.6</v>
      </c>
      <c r="CZ411" s="1" t="s">
        <v>329</v>
      </c>
      <c r="DA411">
        <v>1</v>
      </c>
      <c r="DB411" t="s">
        <v>525</v>
      </c>
      <c r="DC411">
        <v>74</v>
      </c>
      <c r="DD411" s="1" t="s">
        <v>4557</v>
      </c>
      <c r="DE411" s="1" t="s">
        <v>4558</v>
      </c>
      <c r="DF411" t="e">
        <f>_xlfn.XLOOKUP(Table1[[#This Row],[Player ID]],Table2[feed_id],Table2[trade_status])</f>
        <v>#N/A</v>
      </c>
      <c r="DG411">
        <f>_xlfn.NUMBERVALUE(Table1[[#This Row],[predicted]])</f>
        <v>52.201449495633199</v>
      </c>
    </row>
    <row r="412" spans="1:111" hidden="1" x14ac:dyDescent="0.25">
      <c r="A412">
        <v>111462</v>
      </c>
      <c r="B412">
        <v>8306</v>
      </c>
      <c r="C412" t="s">
        <v>4559</v>
      </c>
      <c r="D412" t="s">
        <v>336</v>
      </c>
      <c r="E412">
        <v>2022</v>
      </c>
      <c r="F412">
        <v>240052</v>
      </c>
      <c r="G412" t="s">
        <v>409</v>
      </c>
      <c r="H412" t="s">
        <v>4560</v>
      </c>
      <c r="I412" t="s">
        <v>178</v>
      </c>
      <c r="J412">
        <v>15</v>
      </c>
      <c r="K412">
        <v>72</v>
      </c>
      <c r="L412">
        <v>86</v>
      </c>
      <c r="M412">
        <v>49</v>
      </c>
      <c r="N412">
        <v>59</v>
      </c>
      <c r="O412">
        <v>81</v>
      </c>
      <c r="P412">
        <v>11</v>
      </c>
      <c r="Q412">
        <v>7</v>
      </c>
      <c r="R412">
        <v>4</v>
      </c>
      <c r="S412">
        <v>3</v>
      </c>
      <c r="T412">
        <v>0</v>
      </c>
      <c r="U412">
        <v>1</v>
      </c>
      <c r="V412">
        <v>2</v>
      </c>
      <c r="W412">
        <v>1</v>
      </c>
      <c r="X412">
        <v>0</v>
      </c>
      <c r="Y412" t="s">
        <v>113</v>
      </c>
      <c r="Z412" t="s">
        <v>877</v>
      </c>
      <c r="AA412" t="s">
        <v>4561</v>
      </c>
      <c r="AD412">
        <v>0</v>
      </c>
      <c r="AF412">
        <v>0</v>
      </c>
      <c r="AH412" t="s">
        <v>118</v>
      </c>
      <c r="AI412">
        <v>16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S412">
        <v>8</v>
      </c>
      <c r="AT412">
        <v>3</v>
      </c>
      <c r="AU412">
        <v>3</v>
      </c>
      <c r="AV412">
        <v>88</v>
      </c>
      <c r="AW412">
        <v>71</v>
      </c>
      <c r="AX412">
        <v>299</v>
      </c>
      <c r="AY412">
        <v>0</v>
      </c>
      <c r="AZ412" t="b">
        <v>0</v>
      </c>
      <c r="BA412">
        <v>1657</v>
      </c>
      <c r="BB412">
        <v>1644</v>
      </c>
      <c r="BC412">
        <v>32</v>
      </c>
      <c r="BD412" t="s">
        <v>4562</v>
      </c>
      <c r="BE412">
        <v>103.4</v>
      </c>
      <c r="BF412">
        <v>0</v>
      </c>
      <c r="BG412">
        <v>71</v>
      </c>
      <c r="BH412">
        <v>1</v>
      </c>
      <c r="BI412">
        <v>11</v>
      </c>
      <c r="BJ412" s="1" t="s">
        <v>962</v>
      </c>
      <c r="BK412" s="1" t="s">
        <v>276</v>
      </c>
      <c r="BL412" s="1" t="s">
        <v>1829</v>
      </c>
      <c r="BM412">
        <v>4</v>
      </c>
      <c r="BN412">
        <v>3</v>
      </c>
      <c r="BO412">
        <v>2</v>
      </c>
      <c r="BP412" s="1" t="s">
        <v>169</v>
      </c>
      <c r="BQ412">
        <v>0</v>
      </c>
      <c r="BR412">
        <v>0</v>
      </c>
      <c r="BS412" s="1" t="s">
        <v>129</v>
      </c>
      <c r="BT412" s="1" t="s">
        <v>128</v>
      </c>
      <c r="BU412" s="1" t="s">
        <v>161</v>
      </c>
      <c r="BV412">
        <v>0.8</v>
      </c>
      <c r="BW412" s="1" t="s">
        <v>128</v>
      </c>
      <c r="BX412" s="1" t="s">
        <v>184</v>
      </c>
      <c r="BY412">
        <v>0</v>
      </c>
      <c r="BZ412" s="1" t="s">
        <v>184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 s="1" t="s">
        <v>294</v>
      </c>
      <c r="CH412" s="1" t="s">
        <v>1041</v>
      </c>
      <c r="CI412">
        <v>5</v>
      </c>
      <c r="CJ412" s="1" t="s">
        <v>212</v>
      </c>
      <c r="CK412" s="1" t="s">
        <v>138</v>
      </c>
      <c r="CL412">
        <v>2.8</v>
      </c>
      <c r="CM412" s="1" t="s">
        <v>930</v>
      </c>
      <c r="CN412" s="1" t="s">
        <v>3365</v>
      </c>
      <c r="CO412" s="1" t="s">
        <v>572</v>
      </c>
      <c r="CP412" s="1" t="s">
        <v>4563</v>
      </c>
      <c r="CQ412" s="1" t="s">
        <v>4564</v>
      </c>
      <c r="CR412" s="1" t="s">
        <v>4565</v>
      </c>
      <c r="CS412" s="1" t="s">
        <v>4566</v>
      </c>
      <c r="CT412">
        <v>1696.8</v>
      </c>
      <c r="CU412" s="1" t="s">
        <v>4509</v>
      </c>
      <c r="CV412" s="1" t="s">
        <v>735</v>
      </c>
      <c r="CW412">
        <v>78.650000000000006</v>
      </c>
      <c r="CX412">
        <v>82.6</v>
      </c>
      <c r="CY412">
        <v>83</v>
      </c>
      <c r="CZ412">
        <v>85</v>
      </c>
      <c r="DA412">
        <v>1</v>
      </c>
      <c r="DB412" t="s">
        <v>877</v>
      </c>
      <c r="DC412">
        <v>86</v>
      </c>
      <c r="DD412" s="1" t="s">
        <v>4567</v>
      </c>
      <c r="DE412" s="1" t="s">
        <v>4568</v>
      </c>
      <c r="DF412" t="e">
        <f>_xlfn.XLOOKUP(Table1[[#This Row],[Player ID]],Table2[feed_id],Table2[trade_status])</f>
        <v>#N/A</v>
      </c>
      <c r="DG412">
        <f>_xlfn.NUMBERVALUE(Table1[[#This Row],[predicted]])</f>
        <v>65.085629884468801</v>
      </c>
    </row>
    <row r="413" spans="1:111" hidden="1" x14ac:dyDescent="0.25">
      <c r="A413">
        <v>111521</v>
      </c>
      <c r="B413">
        <v>8307</v>
      </c>
      <c r="C413" t="s">
        <v>4569</v>
      </c>
      <c r="D413" t="s">
        <v>1058</v>
      </c>
      <c r="E413">
        <v>2022</v>
      </c>
      <c r="F413">
        <v>993828</v>
      </c>
      <c r="G413" t="s">
        <v>1169</v>
      </c>
      <c r="H413" t="s">
        <v>4570</v>
      </c>
      <c r="I413" t="s">
        <v>201</v>
      </c>
      <c r="J413">
        <v>3</v>
      </c>
      <c r="K413">
        <v>37</v>
      </c>
      <c r="L413">
        <v>34</v>
      </c>
      <c r="M413">
        <v>29</v>
      </c>
      <c r="N413">
        <v>33</v>
      </c>
      <c r="O413">
        <v>48</v>
      </c>
      <c r="P413">
        <v>4</v>
      </c>
      <c r="Q413">
        <v>9</v>
      </c>
      <c r="R413">
        <v>2</v>
      </c>
      <c r="S413">
        <v>1</v>
      </c>
      <c r="T413">
        <v>0</v>
      </c>
      <c r="U413">
        <v>0</v>
      </c>
      <c r="V413">
        <v>1</v>
      </c>
      <c r="W413">
        <v>0</v>
      </c>
      <c r="X413">
        <v>0</v>
      </c>
      <c r="Y413" t="s">
        <v>113</v>
      </c>
      <c r="Z413" t="s">
        <v>3571</v>
      </c>
      <c r="AA413" t="s">
        <v>4571</v>
      </c>
      <c r="AD413">
        <v>0</v>
      </c>
      <c r="AF413">
        <v>0</v>
      </c>
      <c r="AH413" t="s">
        <v>118</v>
      </c>
      <c r="AI413">
        <v>36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S413">
        <v>10</v>
      </c>
      <c r="AT413">
        <v>6</v>
      </c>
      <c r="AU413">
        <v>1</v>
      </c>
      <c r="AV413">
        <v>69</v>
      </c>
      <c r="AW413">
        <v>31</v>
      </c>
      <c r="AX413">
        <v>114</v>
      </c>
      <c r="AY413">
        <v>0</v>
      </c>
      <c r="AZ413" t="b">
        <v>0</v>
      </c>
      <c r="BA413">
        <v>1859</v>
      </c>
      <c r="BB413">
        <v>1397</v>
      </c>
      <c r="BC413">
        <v>33</v>
      </c>
      <c r="BD413" t="s">
        <v>4572</v>
      </c>
      <c r="BE413" s="1" t="s">
        <v>4573</v>
      </c>
      <c r="BF413">
        <v>0</v>
      </c>
      <c r="BG413">
        <v>71</v>
      </c>
      <c r="BH413">
        <v>0</v>
      </c>
      <c r="BI413" s="1" t="s">
        <v>253</v>
      </c>
      <c r="BJ413">
        <v>6.4</v>
      </c>
      <c r="BK413" s="1" t="s">
        <v>294</v>
      </c>
      <c r="BL413" s="1" t="s">
        <v>430</v>
      </c>
      <c r="BM413" s="1" t="s">
        <v>138</v>
      </c>
      <c r="BN413">
        <v>2.4</v>
      </c>
      <c r="BO413" s="1" t="s">
        <v>126</v>
      </c>
      <c r="BP413" s="1" t="s">
        <v>322</v>
      </c>
      <c r="BQ413">
        <v>0</v>
      </c>
      <c r="BR413">
        <v>0</v>
      </c>
      <c r="BS413" s="1" t="s">
        <v>129</v>
      </c>
      <c r="BT413">
        <v>1.4</v>
      </c>
      <c r="BU413" s="1" t="s">
        <v>129</v>
      </c>
      <c r="BV413">
        <v>0.8</v>
      </c>
      <c r="BW413">
        <v>0</v>
      </c>
      <c r="BX413">
        <v>0.2</v>
      </c>
      <c r="BY413">
        <v>0</v>
      </c>
      <c r="BZ413" s="1" t="s">
        <v>129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 s="1" t="s">
        <v>1008</v>
      </c>
      <c r="CH413">
        <v>7.2</v>
      </c>
      <c r="CI413" s="1" t="s">
        <v>211</v>
      </c>
      <c r="CJ413">
        <v>3.8</v>
      </c>
      <c r="CK413" s="1" t="s">
        <v>126</v>
      </c>
      <c r="CL413" s="1" t="s">
        <v>566</v>
      </c>
      <c r="CM413">
        <v>71</v>
      </c>
      <c r="CN413" s="1" t="s">
        <v>706</v>
      </c>
      <c r="CO413" s="1" t="s">
        <v>1857</v>
      </c>
      <c r="CP413" s="1" t="s">
        <v>4574</v>
      </c>
      <c r="CQ413" s="1" t="s">
        <v>4575</v>
      </c>
      <c r="CR413" s="1" t="s">
        <v>4576</v>
      </c>
      <c r="CS413" s="1" t="s">
        <v>4577</v>
      </c>
      <c r="CT413" s="1" t="s">
        <v>702</v>
      </c>
      <c r="CU413" s="1" t="s">
        <v>2966</v>
      </c>
      <c r="CV413">
        <v>1646.2</v>
      </c>
      <c r="CW413">
        <v>56.55</v>
      </c>
      <c r="CX413">
        <v>68.7</v>
      </c>
      <c r="CY413">
        <v>69.2</v>
      </c>
      <c r="CZ413">
        <v>59</v>
      </c>
      <c r="DA413">
        <v>1</v>
      </c>
      <c r="DB413" t="s">
        <v>3571</v>
      </c>
      <c r="DC413">
        <v>34</v>
      </c>
      <c r="DD413" s="1" t="s">
        <v>4578</v>
      </c>
      <c r="DE413">
        <v>-19.535137354653202</v>
      </c>
      <c r="DF413" t="e">
        <f>_xlfn.XLOOKUP(Table1[[#This Row],[Player ID]],Table2[feed_id],Table2[trade_status])</f>
        <v>#N/A</v>
      </c>
      <c r="DG413">
        <f>_xlfn.NUMBERVALUE(Table1[[#This Row],[predicted]])</f>
        <v>53.535137354653202</v>
      </c>
    </row>
    <row r="414" spans="1:111" hidden="1" x14ac:dyDescent="0.25">
      <c r="A414">
        <v>111539</v>
      </c>
      <c r="B414">
        <v>8308</v>
      </c>
      <c r="C414" t="s">
        <v>4579</v>
      </c>
      <c r="D414" t="s">
        <v>1058</v>
      </c>
      <c r="E414">
        <v>2022</v>
      </c>
      <c r="F414">
        <v>290188</v>
      </c>
      <c r="G414" t="s">
        <v>958</v>
      </c>
      <c r="H414" t="s">
        <v>3256</v>
      </c>
      <c r="I414" t="s">
        <v>338</v>
      </c>
      <c r="J414">
        <v>9</v>
      </c>
      <c r="K414">
        <v>38</v>
      </c>
      <c r="L414">
        <v>53</v>
      </c>
      <c r="M414">
        <v>47</v>
      </c>
      <c r="N414">
        <v>35</v>
      </c>
      <c r="O414">
        <v>43</v>
      </c>
      <c r="P414">
        <v>3</v>
      </c>
      <c r="Q414">
        <v>3</v>
      </c>
      <c r="R414">
        <v>4</v>
      </c>
      <c r="S414">
        <v>1</v>
      </c>
      <c r="T414">
        <v>4</v>
      </c>
      <c r="U414">
        <v>0</v>
      </c>
      <c r="V414">
        <v>1</v>
      </c>
      <c r="W414">
        <v>1</v>
      </c>
      <c r="X414">
        <v>0</v>
      </c>
      <c r="Y414" t="s">
        <v>113</v>
      </c>
      <c r="Z414" t="s">
        <v>114</v>
      </c>
      <c r="AA414" t="s">
        <v>4580</v>
      </c>
      <c r="AB414" t="s">
        <v>116</v>
      </c>
      <c r="AC414" t="s">
        <v>4581</v>
      </c>
      <c r="AD414">
        <v>0</v>
      </c>
      <c r="AF414">
        <v>0</v>
      </c>
      <c r="AH414" t="s">
        <v>155</v>
      </c>
      <c r="AI414">
        <v>20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S414">
        <v>4</v>
      </c>
      <c r="AT414">
        <v>1</v>
      </c>
      <c r="AU414">
        <v>1</v>
      </c>
      <c r="AV414">
        <v>83</v>
      </c>
      <c r="AW414">
        <v>33</v>
      </c>
      <c r="AX414">
        <v>72</v>
      </c>
      <c r="AY414">
        <v>1</v>
      </c>
      <c r="AZ414" t="b">
        <v>1</v>
      </c>
      <c r="BA414">
        <v>1577</v>
      </c>
      <c r="BB414">
        <v>1716</v>
      </c>
      <c r="BC414">
        <v>33</v>
      </c>
      <c r="BD414" t="s">
        <v>4582</v>
      </c>
      <c r="BE414" s="1" t="s">
        <v>4573</v>
      </c>
      <c r="BF414">
        <v>0</v>
      </c>
      <c r="BG414">
        <v>71</v>
      </c>
      <c r="BH414">
        <v>0</v>
      </c>
      <c r="BI414" s="1" t="s">
        <v>449</v>
      </c>
      <c r="BJ414" s="1" t="s">
        <v>680</v>
      </c>
      <c r="BK414" s="1" t="s">
        <v>211</v>
      </c>
      <c r="BL414" s="1" t="s">
        <v>205</v>
      </c>
      <c r="BM414" s="1" t="s">
        <v>160</v>
      </c>
      <c r="BN414" s="1" t="s">
        <v>211</v>
      </c>
      <c r="BO414">
        <v>3</v>
      </c>
      <c r="BP414" s="1" t="s">
        <v>436</v>
      </c>
      <c r="BQ414">
        <v>4</v>
      </c>
      <c r="BR414" s="1" t="s">
        <v>1079</v>
      </c>
      <c r="BS414">
        <v>0</v>
      </c>
      <c r="BT414">
        <v>1</v>
      </c>
      <c r="BU414" s="1" t="s">
        <v>161</v>
      </c>
      <c r="BV414" s="1" t="s">
        <v>257</v>
      </c>
      <c r="BW414">
        <v>1</v>
      </c>
      <c r="BX414" s="1" t="s">
        <v>298</v>
      </c>
      <c r="BY414">
        <v>1</v>
      </c>
      <c r="BZ414" s="1" t="s">
        <v>298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 s="1" t="s">
        <v>204</v>
      </c>
      <c r="CH414">
        <v>7</v>
      </c>
      <c r="CI414" s="1" t="s">
        <v>161</v>
      </c>
      <c r="CJ414" s="1" t="s">
        <v>327</v>
      </c>
      <c r="CK414" s="1" t="s">
        <v>159</v>
      </c>
      <c r="CL414">
        <v>2.4</v>
      </c>
      <c r="CM414" s="1" t="s">
        <v>683</v>
      </c>
      <c r="CN414" s="1" t="s">
        <v>1521</v>
      </c>
      <c r="CO414" s="1" t="s">
        <v>609</v>
      </c>
      <c r="CP414" s="1" t="s">
        <v>1490</v>
      </c>
      <c r="CQ414" s="1" t="s">
        <v>4583</v>
      </c>
      <c r="CR414">
        <v>186</v>
      </c>
      <c r="CS414" s="1" t="s">
        <v>3458</v>
      </c>
      <c r="CT414" s="1" t="s">
        <v>2731</v>
      </c>
      <c r="CU414" s="1" t="s">
        <v>144</v>
      </c>
      <c r="CV414">
        <v>1575.4</v>
      </c>
      <c r="CW414">
        <v>79.849999999999994</v>
      </c>
      <c r="CX414">
        <v>80.2</v>
      </c>
      <c r="CY414">
        <v>72.599999999999994</v>
      </c>
      <c r="CZ414">
        <v>67</v>
      </c>
      <c r="DA414">
        <v>1</v>
      </c>
      <c r="DB414" t="s">
        <v>114</v>
      </c>
      <c r="DC414">
        <v>53</v>
      </c>
      <c r="DD414" s="1" t="s">
        <v>4584</v>
      </c>
      <c r="DE414">
        <v>-4.5526465478538301</v>
      </c>
      <c r="DF414" t="e">
        <f>_xlfn.XLOOKUP(Table1[[#This Row],[Player ID]],Table2[feed_id],Table2[trade_status])</f>
        <v>#N/A</v>
      </c>
      <c r="DG414">
        <f>_xlfn.NUMBERVALUE(Table1[[#This Row],[predicted]])</f>
        <v>57.552646547853797</v>
      </c>
    </row>
    <row r="415" spans="1:111" hidden="1" x14ac:dyDescent="0.25">
      <c r="A415">
        <v>111569</v>
      </c>
      <c r="B415">
        <v>8309</v>
      </c>
      <c r="C415" t="s">
        <v>4585</v>
      </c>
      <c r="D415" t="s">
        <v>388</v>
      </c>
      <c r="E415">
        <v>2022</v>
      </c>
      <c r="F415">
        <v>250321</v>
      </c>
      <c r="G415" t="s">
        <v>1087</v>
      </c>
      <c r="H415" t="s">
        <v>2805</v>
      </c>
      <c r="I415" t="s">
        <v>1061</v>
      </c>
      <c r="J415">
        <v>31</v>
      </c>
      <c r="K415">
        <v>113</v>
      </c>
      <c r="L415">
        <v>107</v>
      </c>
      <c r="M415">
        <v>143</v>
      </c>
      <c r="N415">
        <v>91</v>
      </c>
      <c r="O415">
        <v>120</v>
      </c>
      <c r="P415">
        <v>14</v>
      </c>
      <c r="Q415">
        <v>12</v>
      </c>
      <c r="R415">
        <v>8</v>
      </c>
      <c r="S415">
        <v>4</v>
      </c>
      <c r="T415">
        <v>0</v>
      </c>
      <c r="U415">
        <v>1</v>
      </c>
      <c r="V415">
        <v>0</v>
      </c>
      <c r="W415">
        <v>1</v>
      </c>
      <c r="X415">
        <v>0</v>
      </c>
      <c r="Y415" t="s">
        <v>113</v>
      </c>
      <c r="Z415" t="s">
        <v>1813</v>
      </c>
      <c r="AA415" t="s">
        <v>2478</v>
      </c>
      <c r="AB415" t="s">
        <v>877</v>
      </c>
      <c r="AC415" t="s">
        <v>4586</v>
      </c>
      <c r="AD415">
        <v>0</v>
      </c>
      <c r="AF415">
        <v>0</v>
      </c>
      <c r="AH415" t="s">
        <v>118</v>
      </c>
      <c r="AI415">
        <v>14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S415">
        <v>6</v>
      </c>
      <c r="AT415">
        <v>0</v>
      </c>
      <c r="AU415">
        <v>3</v>
      </c>
      <c r="AV415">
        <v>76</v>
      </c>
      <c r="AW415">
        <v>66</v>
      </c>
      <c r="AX415">
        <v>221</v>
      </c>
      <c r="AY415">
        <v>0</v>
      </c>
      <c r="AZ415" t="b">
        <v>0</v>
      </c>
      <c r="BA415">
        <v>1320</v>
      </c>
      <c r="BB415">
        <v>1964</v>
      </c>
      <c r="BC415">
        <v>34</v>
      </c>
      <c r="BD415" t="s">
        <v>4587</v>
      </c>
      <c r="BE415">
        <v>107.2</v>
      </c>
      <c r="BF415">
        <v>0</v>
      </c>
      <c r="BG415">
        <v>67</v>
      </c>
      <c r="BH415">
        <v>1</v>
      </c>
      <c r="BI415" s="1" t="s">
        <v>276</v>
      </c>
      <c r="BJ415">
        <v>11.2</v>
      </c>
      <c r="BK415" s="1" t="s">
        <v>294</v>
      </c>
      <c r="BL415" s="1" t="s">
        <v>879</v>
      </c>
      <c r="BM415" s="1" t="s">
        <v>125</v>
      </c>
      <c r="BN415" s="1" t="s">
        <v>321</v>
      </c>
      <c r="BO415" s="1" t="s">
        <v>160</v>
      </c>
      <c r="BP415">
        <v>4.4000000000000004</v>
      </c>
      <c r="BQ415">
        <v>0</v>
      </c>
      <c r="BR415">
        <v>0</v>
      </c>
      <c r="BS415" s="1" t="s">
        <v>161</v>
      </c>
      <c r="BT415">
        <v>2</v>
      </c>
      <c r="BU415" s="1" t="s">
        <v>129</v>
      </c>
      <c r="BV415" s="1" t="s">
        <v>206</v>
      </c>
      <c r="BW415" s="1" t="s">
        <v>128</v>
      </c>
      <c r="BX415">
        <v>0.4</v>
      </c>
      <c r="BY415">
        <v>0</v>
      </c>
      <c r="BZ415">
        <v>0.2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</v>
      </c>
      <c r="CH415">
        <v>9.1999999999999993</v>
      </c>
      <c r="CI415" s="1" t="s">
        <v>125</v>
      </c>
      <c r="CJ415" s="1" t="s">
        <v>499</v>
      </c>
      <c r="CK415" s="1" t="s">
        <v>159</v>
      </c>
      <c r="CL415" s="1" t="s">
        <v>766</v>
      </c>
      <c r="CM415" s="1" t="s">
        <v>1406</v>
      </c>
      <c r="CN415" s="1" t="s">
        <v>1752</v>
      </c>
      <c r="CO415" s="1" t="s">
        <v>787</v>
      </c>
      <c r="CP415" s="1" t="s">
        <v>3557</v>
      </c>
      <c r="CQ415">
        <v>309</v>
      </c>
      <c r="CR415">
        <v>271</v>
      </c>
      <c r="CS415">
        <v>1812</v>
      </c>
      <c r="CT415" s="1" t="s">
        <v>4588</v>
      </c>
      <c r="CU415" s="1" t="s">
        <v>4589</v>
      </c>
      <c r="CV415">
        <v>1567.6</v>
      </c>
      <c r="CW415">
        <v>86.7</v>
      </c>
      <c r="CX415">
        <v>84.4</v>
      </c>
      <c r="CY415">
        <v>94.6</v>
      </c>
      <c r="CZ415">
        <v>95</v>
      </c>
      <c r="DA415">
        <v>1</v>
      </c>
      <c r="DB415" t="s">
        <v>1813</v>
      </c>
      <c r="DC415">
        <v>107</v>
      </c>
      <c r="DD415" s="1" t="s">
        <v>4590</v>
      </c>
      <c r="DE415" s="1" t="s">
        <v>4591</v>
      </c>
      <c r="DF415" t="e">
        <f>_xlfn.XLOOKUP(Table1[[#This Row],[Player ID]],Table2[feed_id],Table2[trade_status])</f>
        <v>#N/A</v>
      </c>
      <c r="DG415">
        <f>_xlfn.NUMBERVALUE(Table1[[#This Row],[predicted]])</f>
        <v>84.249745021206493</v>
      </c>
    </row>
    <row r="416" spans="1:111" hidden="1" x14ac:dyDescent="0.25">
      <c r="A416">
        <v>112669</v>
      </c>
      <c r="B416">
        <v>8424</v>
      </c>
      <c r="C416" t="s">
        <v>4592</v>
      </c>
      <c r="D416" t="s">
        <v>1155</v>
      </c>
      <c r="E416">
        <v>2023</v>
      </c>
      <c r="F416">
        <v>294504</v>
      </c>
      <c r="G416" t="s">
        <v>776</v>
      </c>
      <c r="H416" t="s">
        <v>4593</v>
      </c>
      <c r="I416" t="s">
        <v>425</v>
      </c>
      <c r="J416">
        <v>1</v>
      </c>
      <c r="K416">
        <v>16</v>
      </c>
      <c r="L416">
        <v>29</v>
      </c>
      <c r="M416">
        <v>23</v>
      </c>
      <c r="N416">
        <v>12</v>
      </c>
      <c r="O416">
        <v>18</v>
      </c>
      <c r="P416">
        <v>2</v>
      </c>
      <c r="Q416">
        <v>1</v>
      </c>
      <c r="R416">
        <v>1</v>
      </c>
      <c r="S416">
        <v>2</v>
      </c>
      <c r="T416">
        <v>0</v>
      </c>
      <c r="U416">
        <v>0</v>
      </c>
      <c r="V416">
        <v>1</v>
      </c>
      <c r="W416">
        <v>0</v>
      </c>
      <c r="X416">
        <v>0</v>
      </c>
      <c r="Y416" t="s">
        <v>113</v>
      </c>
      <c r="Z416" t="s">
        <v>179</v>
      </c>
      <c r="AA416" t="s">
        <v>4594</v>
      </c>
      <c r="AD416">
        <v>384400</v>
      </c>
      <c r="AE416">
        <v>0</v>
      </c>
      <c r="AH416" t="s">
        <v>181</v>
      </c>
      <c r="AI416">
        <v>17</v>
      </c>
      <c r="AJ416">
        <v>19</v>
      </c>
      <c r="AK416">
        <v>56.05</v>
      </c>
      <c r="AL416">
        <v>0</v>
      </c>
      <c r="AM416">
        <v>0</v>
      </c>
      <c r="AN416">
        <v>0.04</v>
      </c>
      <c r="AO416">
        <v>0.1</v>
      </c>
      <c r="AS416">
        <v>2</v>
      </c>
      <c r="AT416">
        <v>1</v>
      </c>
      <c r="AU416">
        <v>1</v>
      </c>
      <c r="AV416">
        <v>100</v>
      </c>
      <c r="AW416">
        <v>93</v>
      </c>
      <c r="AX416">
        <v>30</v>
      </c>
      <c r="AY416">
        <v>0</v>
      </c>
      <c r="AZ416" t="b">
        <v>0</v>
      </c>
      <c r="BA416">
        <v>1714</v>
      </c>
      <c r="BB416">
        <v>1544</v>
      </c>
      <c r="BC416">
        <v>4</v>
      </c>
      <c r="BD416" t="s">
        <v>4595</v>
      </c>
      <c r="BE416">
        <v>97</v>
      </c>
      <c r="BF416">
        <v>0</v>
      </c>
      <c r="BG416">
        <v>72</v>
      </c>
      <c r="BH416">
        <v>0</v>
      </c>
      <c r="BI416">
        <v>4</v>
      </c>
      <c r="BJ416" s="1" t="s">
        <v>253</v>
      </c>
      <c r="BK416" s="1" t="s">
        <v>161</v>
      </c>
      <c r="BL416">
        <v>2.6</v>
      </c>
      <c r="BM416" s="1" t="s">
        <v>125</v>
      </c>
      <c r="BN416">
        <v>5</v>
      </c>
      <c r="BO416">
        <v>1</v>
      </c>
      <c r="BP416" s="1" t="s">
        <v>127</v>
      </c>
      <c r="BQ416">
        <v>0</v>
      </c>
      <c r="BR416">
        <v>0</v>
      </c>
      <c r="BS416" s="1" t="s">
        <v>129</v>
      </c>
      <c r="BT416" s="1" t="s">
        <v>184</v>
      </c>
      <c r="BU416">
        <v>1</v>
      </c>
      <c r="BV416" s="1" t="s">
        <v>130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 s="1" t="s">
        <v>4596</v>
      </c>
      <c r="CD416">
        <v>2.6666666666666601E-3</v>
      </c>
      <c r="CE416">
        <v>3.3333333333333298E-2</v>
      </c>
      <c r="CF416">
        <v>6.6666666666666602E-3</v>
      </c>
      <c r="CG416">
        <v>2</v>
      </c>
      <c r="CH416" s="1" t="s">
        <v>431</v>
      </c>
      <c r="CI416" s="1" t="s">
        <v>129</v>
      </c>
      <c r="CJ416">
        <v>6.6666666666666596E-2</v>
      </c>
      <c r="CK416" s="1" t="s">
        <v>126</v>
      </c>
      <c r="CL416">
        <v>1.6</v>
      </c>
      <c r="CM416" s="1" t="s">
        <v>3487</v>
      </c>
      <c r="CN416" s="1" t="s">
        <v>4597</v>
      </c>
      <c r="CO416" s="1" t="s">
        <v>3487</v>
      </c>
      <c r="CP416">
        <v>91.4</v>
      </c>
      <c r="CQ416">
        <v>90</v>
      </c>
      <c r="CR416">
        <v>126.6</v>
      </c>
      <c r="CS416" s="1" t="s">
        <v>3458</v>
      </c>
      <c r="CT416" s="1" t="s">
        <v>4598</v>
      </c>
      <c r="CU416" s="1" t="s">
        <v>1591</v>
      </c>
      <c r="CV416" s="1" t="s">
        <v>4599</v>
      </c>
      <c r="CW416">
        <v>60.75</v>
      </c>
      <c r="CX416">
        <v>51.8</v>
      </c>
      <c r="CY416">
        <v>49</v>
      </c>
      <c r="CZ416" s="1" t="s">
        <v>807</v>
      </c>
      <c r="DA416">
        <v>1</v>
      </c>
      <c r="DB416" t="s">
        <v>179</v>
      </c>
      <c r="DC416">
        <v>29</v>
      </c>
      <c r="DD416" s="1" t="s">
        <v>4600</v>
      </c>
      <c r="DE416">
        <v>-18.461874209688499</v>
      </c>
      <c r="DF416" t="e">
        <f>_xlfn.XLOOKUP(Table1[[#This Row],[Player ID]],Table2[feed_id],Table2[trade_status])</f>
        <v>#N/A</v>
      </c>
      <c r="DG416">
        <f>_xlfn.NUMBERVALUE(Table1[[#This Row],[predicted]])</f>
        <v>47.461874209688503</v>
      </c>
    </row>
    <row r="417" spans="1:111" hidden="1" x14ac:dyDescent="0.25">
      <c r="A417">
        <v>112891</v>
      </c>
      <c r="B417">
        <v>8429</v>
      </c>
      <c r="C417" t="s">
        <v>4601</v>
      </c>
      <c r="D417" t="s">
        <v>1183</v>
      </c>
      <c r="E417">
        <v>2023</v>
      </c>
      <c r="F417">
        <v>1004894</v>
      </c>
      <c r="G417" t="s">
        <v>4602</v>
      </c>
      <c r="H417" t="s">
        <v>4603</v>
      </c>
      <c r="I417" t="s">
        <v>813</v>
      </c>
      <c r="J417">
        <v>3</v>
      </c>
      <c r="K417">
        <v>28</v>
      </c>
      <c r="L417">
        <v>39</v>
      </c>
      <c r="M417">
        <v>36</v>
      </c>
      <c r="N417">
        <v>26</v>
      </c>
      <c r="O417">
        <v>39</v>
      </c>
      <c r="P417">
        <v>2</v>
      </c>
      <c r="Q417">
        <v>7</v>
      </c>
      <c r="R417">
        <v>2</v>
      </c>
      <c r="S417">
        <v>2</v>
      </c>
      <c r="T417">
        <v>0</v>
      </c>
      <c r="U417">
        <v>0</v>
      </c>
      <c r="V417">
        <v>2</v>
      </c>
      <c r="W417">
        <v>0</v>
      </c>
      <c r="X417">
        <v>0</v>
      </c>
      <c r="Y417" t="s">
        <v>113</v>
      </c>
      <c r="Z417" t="s">
        <v>179</v>
      </c>
      <c r="AA417" t="s">
        <v>4604</v>
      </c>
      <c r="AD417">
        <v>246600</v>
      </c>
      <c r="AE417">
        <v>0</v>
      </c>
      <c r="AH417" t="s">
        <v>118</v>
      </c>
      <c r="AI417">
        <v>16</v>
      </c>
      <c r="AJ417">
        <v>3</v>
      </c>
      <c r="AK417">
        <v>62.67</v>
      </c>
      <c r="AL417">
        <v>0</v>
      </c>
      <c r="AM417">
        <v>0</v>
      </c>
      <c r="AN417">
        <v>0.56000000000000005</v>
      </c>
      <c r="AO417">
        <v>1.42</v>
      </c>
      <c r="AS417">
        <v>4</v>
      </c>
      <c r="AT417">
        <v>0</v>
      </c>
      <c r="AU417">
        <v>2</v>
      </c>
      <c r="AV417">
        <v>100</v>
      </c>
      <c r="AW417">
        <v>88</v>
      </c>
      <c r="AX417">
        <v>41</v>
      </c>
      <c r="AY417">
        <v>1</v>
      </c>
      <c r="AZ417" t="b">
        <v>0</v>
      </c>
      <c r="BA417">
        <v>1750</v>
      </c>
      <c r="BB417">
        <v>1543</v>
      </c>
      <c r="BC417">
        <v>5</v>
      </c>
      <c r="BD417" t="s">
        <v>4605</v>
      </c>
      <c r="BE417" s="1" t="s">
        <v>3594</v>
      </c>
      <c r="BF417">
        <v>0</v>
      </c>
      <c r="BG417">
        <v>71</v>
      </c>
      <c r="BH417">
        <v>0</v>
      </c>
      <c r="BI417" s="1" t="s">
        <v>125</v>
      </c>
      <c r="BJ417" s="1" t="s">
        <v>499</v>
      </c>
      <c r="BK417">
        <v>9</v>
      </c>
      <c r="BL417" s="1" t="s">
        <v>781</v>
      </c>
      <c r="BM417" s="1" t="s">
        <v>138</v>
      </c>
      <c r="BN417">
        <v>2.2000000000000002</v>
      </c>
      <c r="BO417">
        <v>2</v>
      </c>
      <c r="BP417" s="1" t="s">
        <v>304</v>
      </c>
      <c r="BQ417">
        <v>0</v>
      </c>
      <c r="BR417">
        <v>0</v>
      </c>
      <c r="BS417" s="1" t="s">
        <v>129</v>
      </c>
      <c r="BT417" s="1" t="s">
        <v>184</v>
      </c>
      <c r="BU417">
        <v>1</v>
      </c>
      <c r="BV417" s="1" t="s">
        <v>399</v>
      </c>
      <c r="BW417">
        <v>0</v>
      </c>
      <c r="BX417">
        <v>0</v>
      </c>
      <c r="BY417">
        <v>0</v>
      </c>
      <c r="BZ417">
        <v>0</v>
      </c>
      <c r="CA417">
        <v>0.26</v>
      </c>
      <c r="CB417" s="1" t="s">
        <v>4606</v>
      </c>
      <c r="CC417" s="1" t="s">
        <v>501</v>
      </c>
      <c r="CD417">
        <v>7.4666666666666603E-2</v>
      </c>
      <c r="CE417" s="1" t="s">
        <v>4607</v>
      </c>
      <c r="CF417" s="1" t="s">
        <v>4608</v>
      </c>
      <c r="CG417">
        <v>5</v>
      </c>
      <c r="CH417">
        <v>3</v>
      </c>
      <c r="CI417">
        <v>0</v>
      </c>
      <c r="CJ417" s="1" t="s">
        <v>129</v>
      </c>
      <c r="CK417" s="1" t="s">
        <v>161</v>
      </c>
      <c r="CL417">
        <v>1.8</v>
      </c>
      <c r="CM417" s="1" t="s">
        <v>1013</v>
      </c>
      <c r="CN417">
        <v>80.2</v>
      </c>
      <c r="CO417" s="1" t="s">
        <v>1491</v>
      </c>
      <c r="CP417" s="1" t="s">
        <v>4609</v>
      </c>
      <c r="CQ417">
        <v>80</v>
      </c>
      <c r="CR417">
        <v>103</v>
      </c>
      <c r="CS417" s="1" t="s">
        <v>4610</v>
      </c>
      <c r="CT417">
        <v>1568.2</v>
      </c>
      <c r="CU417" s="1" t="s">
        <v>2574</v>
      </c>
      <c r="CV417" s="1" t="s">
        <v>4611</v>
      </c>
      <c r="CW417">
        <v>51.4</v>
      </c>
      <c r="CX417">
        <v>49.7</v>
      </c>
      <c r="CY417">
        <v>58</v>
      </c>
      <c r="CZ417" s="1" t="s">
        <v>971</v>
      </c>
      <c r="DA417">
        <v>1</v>
      </c>
      <c r="DB417" t="s">
        <v>179</v>
      </c>
      <c r="DC417">
        <v>39</v>
      </c>
      <c r="DD417" s="1" t="s">
        <v>4612</v>
      </c>
      <c r="DE417">
        <v>-7.3406530618753196</v>
      </c>
      <c r="DF417" t="e">
        <f>_xlfn.XLOOKUP(Table1[[#This Row],[Player ID]],Table2[feed_id],Table2[trade_status])</f>
        <v>#N/A</v>
      </c>
      <c r="DG417">
        <f>_xlfn.NUMBERVALUE(Table1[[#This Row],[predicted]])</f>
        <v>46.340653061875301</v>
      </c>
    </row>
    <row r="418" spans="1:111" hidden="1" x14ac:dyDescent="0.25">
      <c r="A418">
        <v>112956</v>
      </c>
      <c r="B418">
        <v>8430</v>
      </c>
      <c r="C418" t="s">
        <v>4613</v>
      </c>
      <c r="D418" t="s">
        <v>1183</v>
      </c>
      <c r="E418">
        <v>2023</v>
      </c>
      <c r="F418">
        <v>294125</v>
      </c>
      <c r="G418" t="s">
        <v>508</v>
      </c>
      <c r="H418" t="s">
        <v>4614</v>
      </c>
      <c r="I418" t="s">
        <v>178</v>
      </c>
      <c r="J418">
        <v>3</v>
      </c>
      <c r="K418">
        <v>42</v>
      </c>
      <c r="L418">
        <v>43</v>
      </c>
      <c r="M418">
        <v>16</v>
      </c>
      <c r="N418">
        <v>30</v>
      </c>
      <c r="O418">
        <v>39</v>
      </c>
      <c r="P418">
        <v>10</v>
      </c>
      <c r="Q418">
        <v>0</v>
      </c>
      <c r="R418">
        <v>2</v>
      </c>
      <c r="S418">
        <v>1</v>
      </c>
      <c r="T418">
        <v>0</v>
      </c>
      <c r="U418">
        <v>2</v>
      </c>
      <c r="V418">
        <v>0</v>
      </c>
      <c r="W418">
        <v>0</v>
      </c>
      <c r="X418">
        <v>0</v>
      </c>
      <c r="Y418" t="s">
        <v>113</v>
      </c>
      <c r="Z418" t="s">
        <v>226</v>
      </c>
      <c r="AA418" t="s">
        <v>4615</v>
      </c>
      <c r="AD418">
        <v>444200</v>
      </c>
      <c r="AE418">
        <v>0</v>
      </c>
      <c r="AH418" t="s">
        <v>181</v>
      </c>
      <c r="AI418">
        <v>14</v>
      </c>
      <c r="AJ418">
        <v>20</v>
      </c>
      <c r="AK418">
        <v>71.75</v>
      </c>
      <c r="AL418">
        <v>0</v>
      </c>
      <c r="AM418">
        <v>0</v>
      </c>
      <c r="AN418">
        <v>0.38</v>
      </c>
      <c r="AO418">
        <v>0.2</v>
      </c>
      <c r="AS418">
        <v>4</v>
      </c>
      <c r="AT418">
        <v>1</v>
      </c>
      <c r="AU418">
        <v>1</v>
      </c>
      <c r="AV418">
        <v>60</v>
      </c>
      <c r="AW418">
        <v>82</v>
      </c>
      <c r="AX418">
        <v>371</v>
      </c>
      <c r="AY418">
        <v>0</v>
      </c>
      <c r="AZ418" t="b">
        <v>0</v>
      </c>
      <c r="BA418">
        <v>1784</v>
      </c>
      <c r="BB418">
        <v>1500</v>
      </c>
      <c r="BC418">
        <v>5</v>
      </c>
      <c r="BD418" t="s">
        <v>4616</v>
      </c>
      <c r="BE418" s="1" t="s">
        <v>3594</v>
      </c>
      <c r="BF418">
        <v>0</v>
      </c>
      <c r="BG418">
        <v>71</v>
      </c>
      <c r="BH418">
        <v>0</v>
      </c>
      <c r="BI418">
        <v>10</v>
      </c>
      <c r="BJ418" s="1" t="s">
        <v>276</v>
      </c>
      <c r="BK418" s="1" t="s">
        <v>138</v>
      </c>
      <c r="BL418" s="1" t="s">
        <v>565</v>
      </c>
      <c r="BM418" s="1" t="s">
        <v>160</v>
      </c>
      <c r="BN418" s="1" t="s">
        <v>565</v>
      </c>
      <c r="BO418" s="1" t="s">
        <v>128</v>
      </c>
      <c r="BP418">
        <v>1</v>
      </c>
      <c r="BQ418">
        <v>0</v>
      </c>
      <c r="BR418">
        <v>0</v>
      </c>
      <c r="BS418" s="1" t="s">
        <v>128</v>
      </c>
      <c r="BT418" s="1" t="s">
        <v>130</v>
      </c>
      <c r="BU418">
        <v>0</v>
      </c>
      <c r="BV418" s="1" t="s">
        <v>128</v>
      </c>
      <c r="BW418">
        <v>0</v>
      </c>
      <c r="BX418">
        <v>0</v>
      </c>
      <c r="BY418">
        <v>0</v>
      </c>
      <c r="BZ418" s="1" t="s">
        <v>213</v>
      </c>
      <c r="CA418">
        <v>0</v>
      </c>
      <c r="CB418" s="1" t="s">
        <v>2682</v>
      </c>
      <c r="CC418">
        <v>0.38</v>
      </c>
      <c r="CD418" s="1" t="s">
        <v>4617</v>
      </c>
      <c r="CE418">
        <v>0.2</v>
      </c>
      <c r="CF418">
        <v>5.3333333333333302E-2</v>
      </c>
      <c r="CG418" s="1" t="s">
        <v>159</v>
      </c>
      <c r="CH418" s="1" t="s">
        <v>990</v>
      </c>
      <c r="CI418" s="1" t="s">
        <v>129</v>
      </c>
      <c r="CJ418">
        <v>0.4</v>
      </c>
      <c r="CK418">
        <v>1</v>
      </c>
      <c r="CL418" s="1" t="s">
        <v>275</v>
      </c>
      <c r="CM418" s="1" t="s">
        <v>1080</v>
      </c>
      <c r="CN418" s="1" t="s">
        <v>190</v>
      </c>
      <c r="CO418">
        <v>81</v>
      </c>
      <c r="CP418">
        <v>80.8</v>
      </c>
      <c r="CQ418" s="1" t="s">
        <v>4618</v>
      </c>
      <c r="CR418" s="1" t="s">
        <v>4619</v>
      </c>
      <c r="CS418" s="1" t="s">
        <v>4620</v>
      </c>
      <c r="CT418">
        <v>1577.6</v>
      </c>
      <c r="CU418">
        <v>1681</v>
      </c>
      <c r="CV418" s="1" t="s">
        <v>2299</v>
      </c>
      <c r="CW418">
        <v>68.8</v>
      </c>
      <c r="CX418">
        <v>65.3</v>
      </c>
      <c r="CY418">
        <v>56.4</v>
      </c>
      <c r="CZ418">
        <v>49</v>
      </c>
      <c r="DA418">
        <v>1</v>
      </c>
      <c r="DB418" t="s">
        <v>226</v>
      </c>
      <c r="DC418">
        <v>43</v>
      </c>
      <c r="DD418" s="1" t="s">
        <v>4621</v>
      </c>
      <c r="DE418">
        <v>-46.859174023625101</v>
      </c>
      <c r="DF418" t="e">
        <f>_xlfn.XLOOKUP(Table1[[#This Row],[Player ID]],Table2[feed_id],Table2[trade_status])</f>
        <v>#N/A</v>
      </c>
      <c r="DG418">
        <f>_xlfn.NUMBERVALUE(Table1[[#This Row],[predicted]])</f>
        <v>89.859174023625101</v>
      </c>
    </row>
    <row r="419" spans="1:111" hidden="1" x14ac:dyDescent="0.25">
      <c r="A419">
        <v>113074</v>
      </c>
      <c r="B419">
        <v>8433</v>
      </c>
      <c r="C419" t="s">
        <v>4622</v>
      </c>
      <c r="D419" t="s">
        <v>1183</v>
      </c>
      <c r="E419">
        <v>2023</v>
      </c>
      <c r="F419">
        <v>298312</v>
      </c>
      <c r="G419" t="s">
        <v>4623</v>
      </c>
      <c r="H419" t="s">
        <v>4624</v>
      </c>
      <c r="I419" t="s">
        <v>338</v>
      </c>
      <c r="J419">
        <v>0</v>
      </c>
      <c r="K419">
        <v>4</v>
      </c>
      <c r="L419">
        <v>4</v>
      </c>
      <c r="M419">
        <v>6</v>
      </c>
      <c r="N419">
        <v>2</v>
      </c>
      <c r="O419">
        <v>3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113</v>
      </c>
      <c r="Z419" t="s">
        <v>114</v>
      </c>
      <c r="AA419" t="s">
        <v>4625</v>
      </c>
      <c r="AB419" t="s">
        <v>116</v>
      </c>
      <c r="AC419" t="s">
        <v>4626</v>
      </c>
      <c r="AH419" t="s">
        <v>155</v>
      </c>
      <c r="AI419">
        <v>39</v>
      </c>
      <c r="AJ419">
        <v>0</v>
      </c>
      <c r="AK419">
        <v>0</v>
      </c>
      <c r="AL419">
        <v>0</v>
      </c>
      <c r="AM419">
        <v>0.66</v>
      </c>
      <c r="AN419">
        <v>0.79</v>
      </c>
      <c r="AO419">
        <v>0.87</v>
      </c>
      <c r="AS419">
        <v>0</v>
      </c>
      <c r="AT419">
        <v>0</v>
      </c>
      <c r="AU419">
        <v>0</v>
      </c>
      <c r="AV419">
        <v>0</v>
      </c>
      <c r="AW419">
        <v>3</v>
      </c>
      <c r="AX419">
        <v>0</v>
      </c>
      <c r="AY419">
        <v>1</v>
      </c>
      <c r="AZ419" t="b">
        <v>1</v>
      </c>
      <c r="BA419">
        <v>1579</v>
      </c>
      <c r="BB419">
        <v>1685</v>
      </c>
      <c r="BC419">
        <v>5</v>
      </c>
      <c r="BD419" t="s">
        <v>4627</v>
      </c>
      <c r="BE419" s="1" t="s">
        <v>3594</v>
      </c>
      <c r="BF419">
        <v>0</v>
      </c>
      <c r="BG419">
        <v>71</v>
      </c>
      <c r="BH419">
        <v>0</v>
      </c>
      <c r="BI419" s="1" t="s">
        <v>449</v>
      </c>
      <c r="BJ419" s="1" t="s">
        <v>1041</v>
      </c>
      <c r="BK419" s="1" t="s">
        <v>169</v>
      </c>
      <c r="BL419" s="1" t="s">
        <v>140</v>
      </c>
      <c r="BM419">
        <v>3</v>
      </c>
      <c r="BN419" s="1" t="s">
        <v>230</v>
      </c>
      <c r="BO419" s="1" t="s">
        <v>129</v>
      </c>
      <c r="BP419">
        <v>1</v>
      </c>
      <c r="BQ419">
        <v>0</v>
      </c>
      <c r="BR419">
        <v>0</v>
      </c>
      <c r="BS419">
        <v>0</v>
      </c>
      <c r="BT419">
        <v>1</v>
      </c>
      <c r="BU419" s="1" t="s">
        <v>129</v>
      </c>
      <c r="BV419" s="1" t="s">
        <v>231</v>
      </c>
      <c r="BW419">
        <v>0</v>
      </c>
      <c r="BX419">
        <v>6.6666666666666596E-2</v>
      </c>
      <c r="BY419">
        <v>0</v>
      </c>
      <c r="BZ419">
        <v>0</v>
      </c>
      <c r="CA419">
        <v>0.66</v>
      </c>
      <c r="CB419" s="1" t="s">
        <v>2246</v>
      </c>
      <c r="CC419">
        <v>0.79</v>
      </c>
      <c r="CD419" s="1" t="s">
        <v>895</v>
      </c>
      <c r="CE419">
        <v>0.87</v>
      </c>
      <c r="CF419">
        <v>0.23200000000000001</v>
      </c>
      <c r="CG419" s="1" t="s">
        <v>159</v>
      </c>
      <c r="CH419">
        <v>4.8</v>
      </c>
      <c r="CI419">
        <v>0</v>
      </c>
      <c r="CJ419">
        <v>0.2</v>
      </c>
      <c r="CK419" s="1" t="s">
        <v>128</v>
      </c>
      <c r="CL419" s="1" t="s">
        <v>127</v>
      </c>
      <c r="CM419">
        <v>58</v>
      </c>
      <c r="CN419" s="1" t="s">
        <v>4628</v>
      </c>
      <c r="CO419" s="1" t="s">
        <v>4315</v>
      </c>
      <c r="CP419" s="1" t="s">
        <v>531</v>
      </c>
      <c r="CQ419">
        <v>119</v>
      </c>
      <c r="CR419" s="1" t="s">
        <v>4629</v>
      </c>
      <c r="CS419" s="1" t="s">
        <v>4630</v>
      </c>
      <c r="CT419" s="1" t="s">
        <v>4631</v>
      </c>
      <c r="CU419" s="1" t="s">
        <v>4361</v>
      </c>
      <c r="CV419">
        <v>1569.6</v>
      </c>
      <c r="CW419">
        <v>63.1</v>
      </c>
      <c r="CX419">
        <v>53</v>
      </c>
      <c r="CY419">
        <v>48.2</v>
      </c>
      <c r="CZ419" s="1" t="s">
        <v>944</v>
      </c>
      <c r="DA419">
        <v>1</v>
      </c>
      <c r="DB419" t="s">
        <v>114</v>
      </c>
      <c r="DC419">
        <v>4</v>
      </c>
      <c r="DD419" s="1" t="s">
        <v>4632</v>
      </c>
      <c r="DE419">
        <v>-39.118245956634297</v>
      </c>
      <c r="DF419" t="e">
        <f>_xlfn.XLOOKUP(Table1[[#This Row],[Player ID]],Table2[feed_id],Table2[trade_status])</f>
        <v>#N/A</v>
      </c>
      <c r="DG419">
        <f>_xlfn.NUMBERVALUE(Table1[[#This Row],[predicted]])</f>
        <v>43.118245956634297</v>
      </c>
    </row>
    <row r="420" spans="1:111" hidden="1" x14ac:dyDescent="0.25">
      <c r="A420">
        <v>113267</v>
      </c>
      <c r="B420">
        <v>8437</v>
      </c>
      <c r="C420" t="s">
        <v>4633</v>
      </c>
      <c r="D420" t="s">
        <v>3116</v>
      </c>
      <c r="E420">
        <v>2023</v>
      </c>
      <c r="F420">
        <v>294624</v>
      </c>
      <c r="G420" t="s">
        <v>4008</v>
      </c>
      <c r="H420" t="s">
        <v>4634</v>
      </c>
      <c r="I420" t="s">
        <v>249</v>
      </c>
      <c r="J420">
        <v>5</v>
      </c>
      <c r="K420">
        <v>55</v>
      </c>
      <c r="L420">
        <v>47</v>
      </c>
      <c r="M420">
        <v>37</v>
      </c>
      <c r="N420">
        <v>44</v>
      </c>
      <c r="O420">
        <v>57</v>
      </c>
      <c r="P420">
        <v>9</v>
      </c>
      <c r="Q420">
        <v>3</v>
      </c>
      <c r="R420">
        <v>5</v>
      </c>
      <c r="S420">
        <v>2</v>
      </c>
      <c r="T420">
        <v>0</v>
      </c>
      <c r="U420">
        <v>2</v>
      </c>
      <c r="V420">
        <v>1</v>
      </c>
      <c r="W420">
        <v>0</v>
      </c>
      <c r="X420">
        <v>0</v>
      </c>
      <c r="Y420" t="s">
        <v>113</v>
      </c>
      <c r="Z420" t="s">
        <v>542</v>
      </c>
      <c r="AA420" t="s">
        <v>4635</v>
      </c>
      <c r="AB420" t="s">
        <v>179</v>
      </c>
      <c r="AC420" t="s">
        <v>4636</v>
      </c>
      <c r="AD420">
        <v>302100</v>
      </c>
      <c r="AE420">
        <v>0</v>
      </c>
      <c r="AH420" t="s">
        <v>181</v>
      </c>
      <c r="AI420">
        <v>20</v>
      </c>
      <c r="AJ420">
        <v>13</v>
      </c>
      <c r="AK420">
        <v>48.38</v>
      </c>
      <c r="AL420">
        <v>0</v>
      </c>
      <c r="AM420">
        <v>0</v>
      </c>
      <c r="AN420">
        <v>7.0000000000000007E-2</v>
      </c>
      <c r="AO420">
        <v>0.08</v>
      </c>
      <c r="AS420">
        <v>4</v>
      </c>
      <c r="AT420">
        <v>0</v>
      </c>
      <c r="AU420">
        <v>2</v>
      </c>
      <c r="AV420">
        <v>75</v>
      </c>
      <c r="AW420">
        <v>74</v>
      </c>
      <c r="AX420">
        <v>112</v>
      </c>
      <c r="AY420">
        <v>0</v>
      </c>
      <c r="AZ420" t="b">
        <v>0</v>
      </c>
      <c r="BA420">
        <v>1887</v>
      </c>
      <c r="BB420">
        <v>1408</v>
      </c>
      <c r="BC420">
        <v>6</v>
      </c>
      <c r="BD420" t="s">
        <v>4637</v>
      </c>
      <c r="BE420" s="1" t="s">
        <v>3618</v>
      </c>
      <c r="BF420">
        <v>0</v>
      </c>
      <c r="BG420">
        <v>69</v>
      </c>
      <c r="BH420">
        <v>0</v>
      </c>
      <c r="BI420" s="1" t="s">
        <v>137</v>
      </c>
      <c r="BJ420">
        <v>6.4</v>
      </c>
      <c r="BK420">
        <v>5</v>
      </c>
      <c r="BL420">
        <v>5.8</v>
      </c>
      <c r="BM420" s="1" t="s">
        <v>211</v>
      </c>
      <c r="BN420">
        <v>3.8</v>
      </c>
      <c r="BO420">
        <v>1</v>
      </c>
      <c r="BP420" s="1" t="s">
        <v>275</v>
      </c>
      <c r="BQ420">
        <v>0</v>
      </c>
      <c r="BR420">
        <v>0</v>
      </c>
      <c r="BS420">
        <v>2</v>
      </c>
      <c r="BT420" s="1" t="s">
        <v>162</v>
      </c>
      <c r="BU420" s="1" t="s">
        <v>129</v>
      </c>
      <c r="BV420" s="1" t="s">
        <v>238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 s="1" t="s">
        <v>2633</v>
      </c>
      <c r="CD420">
        <v>4.6666666666666601E-3</v>
      </c>
      <c r="CE420">
        <v>2.6666666666666599E-2</v>
      </c>
      <c r="CF420">
        <v>5.3333333333333297E-3</v>
      </c>
      <c r="CG420">
        <v>6</v>
      </c>
      <c r="CH420" s="1" t="s">
        <v>781</v>
      </c>
      <c r="CI420" s="1" t="s">
        <v>128</v>
      </c>
      <c r="CJ420" s="1" t="s">
        <v>129</v>
      </c>
      <c r="CK420" s="1" t="s">
        <v>161</v>
      </c>
      <c r="CL420" s="1" t="s">
        <v>327</v>
      </c>
      <c r="CM420" s="1" t="s">
        <v>994</v>
      </c>
      <c r="CN420">
        <v>82.2</v>
      </c>
      <c r="CO420" s="1" t="s">
        <v>1258</v>
      </c>
      <c r="CP420">
        <v>80.8</v>
      </c>
      <c r="CQ420">
        <v>163</v>
      </c>
      <c r="CR420" s="1" t="s">
        <v>4638</v>
      </c>
      <c r="CS420" s="1" t="s">
        <v>3253</v>
      </c>
      <c r="CT420">
        <v>1712.4</v>
      </c>
      <c r="CU420" s="1" t="s">
        <v>4639</v>
      </c>
      <c r="CV420" s="1" t="s">
        <v>3409</v>
      </c>
      <c r="CW420">
        <v>55.65</v>
      </c>
      <c r="CX420">
        <v>59.8</v>
      </c>
      <c r="CY420">
        <v>54.2</v>
      </c>
      <c r="CZ420" s="1" t="s">
        <v>2490</v>
      </c>
      <c r="DA420">
        <v>1</v>
      </c>
      <c r="DB420" t="s">
        <v>542</v>
      </c>
      <c r="DC420">
        <v>47</v>
      </c>
      <c r="DD420" s="1" t="s">
        <v>4640</v>
      </c>
      <c r="DE420">
        <v>-4.7812080260166399</v>
      </c>
      <c r="DF420" t="e">
        <f>_xlfn.XLOOKUP(Table1[[#This Row],[Player ID]],Table2[feed_id],Table2[trade_status])</f>
        <v>#N/A</v>
      </c>
      <c r="DG420">
        <f>_xlfn.NUMBERVALUE(Table1[[#This Row],[predicted]])</f>
        <v>51.7812080260166</v>
      </c>
    </row>
    <row r="421" spans="1:111" hidden="1" x14ac:dyDescent="0.25">
      <c r="A421">
        <v>113749</v>
      </c>
      <c r="B421">
        <v>8448</v>
      </c>
      <c r="C421" t="s">
        <v>4641</v>
      </c>
      <c r="D421" t="s">
        <v>443</v>
      </c>
      <c r="E421">
        <v>2023</v>
      </c>
      <c r="F421">
        <v>291509</v>
      </c>
      <c r="G421" t="s">
        <v>150</v>
      </c>
      <c r="H421" t="s">
        <v>671</v>
      </c>
      <c r="I421" t="s">
        <v>1089</v>
      </c>
      <c r="J421">
        <v>0</v>
      </c>
      <c r="K421">
        <v>11</v>
      </c>
      <c r="L421">
        <v>9</v>
      </c>
      <c r="M421">
        <v>13</v>
      </c>
      <c r="N421">
        <v>10</v>
      </c>
      <c r="O421">
        <v>12</v>
      </c>
      <c r="P421">
        <v>1</v>
      </c>
      <c r="Q421">
        <v>2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 t="s">
        <v>113</v>
      </c>
      <c r="Z421" t="s">
        <v>114</v>
      </c>
      <c r="AA421" t="s">
        <v>4642</v>
      </c>
      <c r="AB421" t="s">
        <v>3571</v>
      </c>
      <c r="AC421" t="s">
        <v>4081</v>
      </c>
      <c r="AE421">
        <v>0</v>
      </c>
      <c r="AH421" t="s">
        <v>181</v>
      </c>
      <c r="AI421">
        <v>40</v>
      </c>
      <c r="AJ421">
        <v>6</v>
      </c>
      <c r="AK421">
        <v>69.83</v>
      </c>
      <c r="AL421">
        <v>0</v>
      </c>
      <c r="AM421">
        <v>0</v>
      </c>
      <c r="AN421">
        <v>0.04</v>
      </c>
      <c r="AO421">
        <v>0.06</v>
      </c>
      <c r="AS421">
        <v>1</v>
      </c>
      <c r="AT421">
        <v>0</v>
      </c>
      <c r="AU421">
        <v>0</v>
      </c>
      <c r="AV421">
        <v>100</v>
      </c>
      <c r="AW421">
        <v>15</v>
      </c>
      <c r="AX421">
        <v>33</v>
      </c>
      <c r="AY421">
        <v>1</v>
      </c>
      <c r="AZ421" t="b">
        <v>1</v>
      </c>
      <c r="BA421">
        <v>1538</v>
      </c>
      <c r="BB421">
        <v>1720</v>
      </c>
      <c r="BC421">
        <v>7</v>
      </c>
      <c r="BD421" t="s">
        <v>4643</v>
      </c>
      <c r="BE421" s="1" t="s">
        <v>3594</v>
      </c>
      <c r="BF421">
        <v>0</v>
      </c>
      <c r="BG421">
        <v>73</v>
      </c>
      <c r="BH421">
        <v>0</v>
      </c>
      <c r="BI421">
        <v>2</v>
      </c>
      <c r="BJ421" s="1" t="s">
        <v>358</v>
      </c>
      <c r="BK421">
        <v>3</v>
      </c>
      <c r="BL421" s="1" t="s">
        <v>212</v>
      </c>
      <c r="BM421" s="1" t="s">
        <v>128</v>
      </c>
      <c r="BN421" s="1" t="s">
        <v>230</v>
      </c>
      <c r="BO421" s="1" t="s">
        <v>129</v>
      </c>
      <c r="BP421" s="1" t="s">
        <v>399</v>
      </c>
      <c r="BQ421">
        <v>0</v>
      </c>
      <c r="BR421">
        <v>0</v>
      </c>
      <c r="BS421" s="1" t="s">
        <v>129</v>
      </c>
      <c r="BT421" s="1" t="s">
        <v>238</v>
      </c>
      <c r="BU421" s="1" t="s">
        <v>129</v>
      </c>
      <c r="BV421" s="1" t="s">
        <v>231</v>
      </c>
      <c r="BW421">
        <v>0</v>
      </c>
      <c r="BX421">
        <v>0</v>
      </c>
      <c r="BY421">
        <v>0</v>
      </c>
      <c r="BZ421">
        <v>0</v>
      </c>
      <c r="CA421">
        <v>0</v>
      </c>
      <c r="CB421" s="1" t="s">
        <v>4644</v>
      </c>
      <c r="CC421">
        <v>0.04</v>
      </c>
      <c r="CD421" s="1" t="s">
        <v>4596</v>
      </c>
      <c r="CE421">
        <v>0.06</v>
      </c>
      <c r="CF421">
        <v>0.02</v>
      </c>
      <c r="CG421">
        <v>2</v>
      </c>
      <c r="CH421" s="1" t="s">
        <v>322</v>
      </c>
      <c r="CI421">
        <v>0</v>
      </c>
      <c r="CJ421" s="1" t="s">
        <v>129</v>
      </c>
      <c r="CK421" s="1" t="s">
        <v>129</v>
      </c>
      <c r="CL421" s="1" t="s">
        <v>298</v>
      </c>
      <c r="CM421" s="1" t="s">
        <v>239</v>
      </c>
      <c r="CN421">
        <v>80.400000000000006</v>
      </c>
      <c r="CO421" s="1" t="s">
        <v>1357</v>
      </c>
      <c r="CP421" s="1" t="s">
        <v>1472</v>
      </c>
      <c r="CQ421" s="1" t="s">
        <v>558</v>
      </c>
      <c r="CR421" s="1" t="s">
        <v>4645</v>
      </c>
      <c r="CS421" s="1" t="s">
        <v>3458</v>
      </c>
      <c r="CT421">
        <v>1639</v>
      </c>
      <c r="CU421" s="1" t="s">
        <v>4646</v>
      </c>
      <c r="CV421">
        <v>1652.2</v>
      </c>
      <c r="CW421">
        <v>55.7</v>
      </c>
      <c r="CX421">
        <v>42.3</v>
      </c>
      <c r="CY421">
        <v>32.6</v>
      </c>
      <c r="CZ421">
        <v>18</v>
      </c>
      <c r="DA421">
        <v>1</v>
      </c>
      <c r="DB421" t="s">
        <v>114</v>
      </c>
      <c r="DC421">
        <v>9</v>
      </c>
      <c r="DD421" s="1" t="s">
        <v>4647</v>
      </c>
      <c r="DE421">
        <v>-25.646007791778899</v>
      </c>
      <c r="DF421" t="e">
        <f>_xlfn.XLOOKUP(Table1[[#This Row],[Player ID]],Table2[feed_id],Table2[trade_status])</f>
        <v>#N/A</v>
      </c>
      <c r="DG421">
        <f>_xlfn.NUMBERVALUE(Table1[[#This Row],[predicted]])</f>
        <v>34.646007791778899</v>
      </c>
    </row>
    <row r="422" spans="1:111" hidden="1" x14ac:dyDescent="0.25">
      <c r="A422">
        <v>114117</v>
      </c>
      <c r="B422">
        <v>8456</v>
      </c>
      <c r="C422" t="s">
        <v>4648</v>
      </c>
      <c r="D422" t="s">
        <v>2016</v>
      </c>
      <c r="E422">
        <v>2023</v>
      </c>
      <c r="F422">
        <v>998129</v>
      </c>
      <c r="G422" t="s">
        <v>2115</v>
      </c>
      <c r="H422" t="s">
        <v>4649</v>
      </c>
      <c r="I422" t="s">
        <v>178</v>
      </c>
      <c r="J422">
        <v>8</v>
      </c>
      <c r="K422">
        <v>72</v>
      </c>
      <c r="L422">
        <v>64</v>
      </c>
      <c r="M422">
        <v>47</v>
      </c>
      <c r="N422">
        <v>60</v>
      </c>
      <c r="O422">
        <v>84</v>
      </c>
      <c r="P422">
        <v>10</v>
      </c>
      <c r="Q422">
        <v>14</v>
      </c>
      <c r="R422">
        <v>3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 t="s">
        <v>113</v>
      </c>
      <c r="Z422" t="s">
        <v>877</v>
      </c>
      <c r="AA422" t="s">
        <v>4650</v>
      </c>
      <c r="AE422">
        <v>0</v>
      </c>
      <c r="AH422" t="s">
        <v>118</v>
      </c>
      <c r="AI422">
        <v>17</v>
      </c>
      <c r="AJ422">
        <v>8</v>
      </c>
      <c r="AK422">
        <v>68.38</v>
      </c>
      <c r="AL422">
        <v>0</v>
      </c>
      <c r="AM422">
        <v>0</v>
      </c>
      <c r="AN422">
        <v>0.66</v>
      </c>
      <c r="AO422">
        <v>0.85</v>
      </c>
      <c r="AS422">
        <v>12</v>
      </c>
      <c r="AT422">
        <v>5</v>
      </c>
      <c r="AU422">
        <v>6</v>
      </c>
      <c r="AV422">
        <v>62</v>
      </c>
      <c r="AW422">
        <v>73</v>
      </c>
      <c r="AX422">
        <v>312</v>
      </c>
      <c r="AY422">
        <v>0</v>
      </c>
      <c r="AZ422" t="b">
        <v>0</v>
      </c>
      <c r="BA422">
        <v>1706</v>
      </c>
      <c r="BB422">
        <v>1590</v>
      </c>
      <c r="BC422">
        <v>8</v>
      </c>
      <c r="BD422" t="s">
        <v>4651</v>
      </c>
      <c r="BE422">
        <v>100</v>
      </c>
      <c r="BF422">
        <v>0</v>
      </c>
      <c r="BG422">
        <v>71.5</v>
      </c>
      <c r="BH422">
        <v>0</v>
      </c>
      <c r="BI422">
        <v>8</v>
      </c>
      <c r="BJ422" s="1" t="s">
        <v>879</v>
      </c>
      <c r="BK422">
        <v>14</v>
      </c>
      <c r="BL422" s="1" t="s">
        <v>4652</v>
      </c>
      <c r="BM422">
        <v>1</v>
      </c>
      <c r="BN422">
        <v>2.4</v>
      </c>
      <c r="BO422" s="1" t="s">
        <v>169</v>
      </c>
      <c r="BP422" s="1" t="s">
        <v>752</v>
      </c>
      <c r="BQ422">
        <v>0</v>
      </c>
      <c r="BR422">
        <v>0</v>
      </c>
      <c r="BS422" s="1" t="s">
        <v>128</v>
      </c>
      <c r="BT422" s="1" t="s">
        <v>298</v>
      </c>
      <c r="BU422">
        <v>0</v>
      </c>
      <c r="BV422" s="1" t="s">
        <v>399</v>
      </c>
      <c r="BW422">
        <v>0</v>
      </c>
      <c r="BX422" s="1" t="s">
        <v>129</v>
      </c>
      <c r="BY422">
        <v>0</v>
      </c>
      <c r="BZ422" s="1" t="s">
        <v>213</v>
      </c>
      <c r="CA422">
        <v>0</v>
      </c>
      <c r="CB422">
        <v>3.8666666666666599E-2</v>
      </c>
      <c r="CC422">
        <v>0.66</v>
      </c>
      <c r="CD422" s="1" t="s">
        <v>4653</v>
      </c>
      <c r="CE422">
        <v>0.85</v>
      </c>
      <c r="CF422" s="1" t="s">
        <v>482</v>
      </c>
      <c r="CG422" s="1" t="s">
        <v>1008</v>
      </c>
      <c r="CH422" s="1" t="s">
        <v>864</v>
      </c>
      <c r="CI422" s="1" t="s">
        <v>124</v>
      </c>
      <c r="CJ422" s="1" t="s">
        <v>752</v>
      </c>
      <c r="CK422" s="1" t="s">
        <v>125</v>
      </c>
      <c r="CL422">
        <v>4</v>
      </c>
      <c r="CM422">
        <v>63</v>
      </c>
      <c r="CN422" s="1" t="s">
        <v>3111</v>
      </c>
      <c r="CO422" s="1" t="s">
        <v>1391</v>
      </c>
      <c r="CP422" s="1" t="s">
        <v>328</v>
      </c>
      <c r="CQ422" s="1" t="s">
        <v>4654</v>
      </c>
      <c r="CR422">
        <v>271</v>
      </c>
      <c r="CS422" s="1" t="s">
        <v>2785</v>
      </c>
      <c r="CT422" s="1" t="s">
        <v>4655</v>
      </c>
      <c r="CU422" s="1" t="s">
        <v>2070</v>
      </c>
      <c r="CV422" s="1" t="s">
        <v>4656</v>
      </c>
      <c r="CW422">
        <v>91.95</v>
      </c>
      <c r="CX422">
        <v>79.900000000000006</v>
      </c>
      <c r="CY422">
        <v>71.2</v>
      </c>
      <c r="CZ422" s="1" t="s">
        <v>572</v>
      </c>
      <c r="DA422">
        <v>1</v>
      </c>
      <c r="DB422" t="s">
        <v>877</v>
      </c>
      <c r="DC422">
        <v>64</v>
      </c>
      <c r="DD422" s="1" t="s">
        <v>4657</v>
      </c>
      <c r="DE422">
        <v>-9.6625988614758196</v>
      </c>
      <c r="DF422" t="str">
        <f>_xlfn.XLOOKUP(Table1[[#This Row],[Player ID]],Table2[feed_id],Table2[trade_status])</f>
        <v>free_agent</v>
      </c>
      <c r="DG422">
        <f>_xlfn.NUMBERVALUE(Table1[[#This Row],[predicted]])</f>
        <v>73.6625988614758</v>
      </c>
    </row>
    <row r="423" spans="1:111" hidden="1" x14ac:dyDescent="0.25">
      <c r="A423">
        <v>114960</v>
      </c>
      <c r="B423">
        <v>8476</v>
      </c>
      <c r="C423" t="s">
        <v>4658</v>
      </c>
      <c r="D423" t="s">
        <v>475</v>
      </c>
      <c r="E423">
        <v>2023</v>
      </c>
      <c r="F423">
        <v>1009189</v>
      </c>
      <c r="G423" t="s">
        <v>1127</v>
      </c>
      <c r="H423" t="s">
        <v>4659</v>
      </c>
      <c r="I423" t="s">
        <v>813</v>
      </c>
      <c r="J423">
        <v>2</v>
      </c>
      <c r="K423">
        <v>32</v>
      </c>
      <c r="L423">
        <v>32</v>
      </c>
      <c r="M423">
        <v>40</v>
      </c>
      <c r="N423">
        <v>25</v>
      </c>
      <c r="O423">
        <v>36</v>
      </c>
      <c r="P423">
        <v>3</v>
      </c>
      <c r="Q423">
        <v>6</v>
      </c>
      <c r="R423">
        <v>1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113</v>
      </c>
      <c r="Z423" t="s">
        <v>1920</v>
      </c>
      <c r="AA423" t="s">
        <v>4660</v>
      </c>
      <c r="AB423" t="s">
        <v>861</v>
      </c>
      <c r="AC423" t="s">
        <v>4661</v>
      </c>
      <c r="AH423" t="s">
        <v>118</v>
      </c>
      <c r="AI423">
        <v>1</v>
      </c>
      <c r="AJ423">
        <v>0</v>
      </c>
      <c r="AK423">
        <v>0</v>
      </c>
      <c r="AL423">
        <v>0</v>
      </c>
      <c r="AM423">
        <v>0.12</v>
      </c>
      <c r="AN423">
        <v>0.05</v>
      </c>
      <c r="AO423">
        <v>0.03</v>
      </c>
      <c r="AS423">
        <v>2</v>
      </c>
      <c r="AT423">
        <v>0</v>
      </c>
      <c r="AU423">
        <v>1</v>
      </c>
      <c r="AV423">
        <v>44</v>
      </c>
      <c r="AW423">
        <v>57</v>
      </c>
      <c r="AX423">
        <v>35</v>
      </c>
      <c r="AY423">
        <v>1</v>
      </c>
      <c r="AZ423" t="b">
        <v>1</v>
      </c>
      <c r="BA423">
        <v>1767</v>
      </c>
      <c r="BB423">
        <v>1535</v>
      </c>
      <c r="BC423">
        <v>10</v>
      </c>
      <c r="BD423" t="s">
        <v>4662</v>
      </c>
      <c r="BE423">
        <v>97</v>
      </c>
      <c r="BF423">
        <v>0</v>
      </c>
      <c r="BG423">
        <v>70</v>
      </c>
      <c r="BH423">
        <v>0</v>
      </c>
      <c r="BI423">
        <v>6</v>
      </c>
      <c r="BJ423">
        <v>6.4</v>
      </c>
      <c r="BK423">
        <v>5</v>
      </c>
      <c r="BL423" s="1" t="s">
        <v>160</v>
      </c>
      <c r="BM423" s="1" t="s">
        <v>125</v>
      </c>
      <c r="BN423" s="1" t="s">
        <v>640</v>
      </c>
      <c r="BO423" s="1" t="s">
        <v>161</v>
      </c>
      <c r="BP423" s="1" t="s">
        <v>528</v>
      </c>
      <c r="BQ423">
        <v>0</v>
      </c>
      <c r="BR423">
        <v>0</v>
      </c>
      <c r="BS423">
        <v>0</v>
      </c>
      <c r="BT423" s="1" t="s">
        <v>162</v>
      </c>
      <c r="BU423" s="1" t="s">
        <v>129</v>
      </c>
      <c r="BV423" s="1" t="s">
        <v>399</v>
      </c>
      <c r="BW423" s="1" t="s">
        <v>129</v>
      </c>
      <c r="BX423" s="1" t="s">
        <v>238</v>
      </c>
      <c r="BY423">
        <v>0</v>
      </c>
      <c r="BZ423">
        <v>6.6666666666666596E-2</v>
      </c>
      <c r="CA423">
        <v>0.08</v>
      </c>
      <c r="CB423">
        <v>1.6E-2</v>
      </c>
      <c r="CC423">
        <v>3.3333333333333298E-2</v>
      </c>
      <c r="CD423">
        <v>6.6666666666666602E-3</v>
      </c>
      <c r="CE423">
        <v>0.02</v>
      </c>
      <c r="CF423">
        <v>4.0000000000000001E-3</v>
      </c>
      <c r="CG423" s="1" t="s">
        <v>161</v>
      </c>
      <c r="CH423" s="1" t="s">
        <v>189</v>
      </c>
      <c r="CI423" s="1" t="s">
        <v>129</v>
      </c>
      <c r="CJ423" s="1" t="s">
        <v>399</v>
      </c>
      <c r="CK423" s="1" t="s">
        <v>126</v>
      </c>
      <c r="CL423">
        <v>2.4</v>
      </c>
      <c r="CM423" s="1" t="s">
        <v>2147</v>
      </c>
      <c r="CN423">
        <v>71.8</v>
      </c>
      <c r="CO423" s="1" t="s">
        <v>1838</v>
      </c>
      <c r="CP423">
        <v>73.2</v>
      </c>
      <c r="CQ423">
        <v>122</v>
      </c>
      <c r="CR423">
        <v>143.19999999999999</v>
      </c>
      <c r="CS423" s="1" t="s">
        <v>4474</v>
      </c>
      <c r="CT423" s="1" t="s">
        <v>4663</v>
      </c>
      <c r="CU423" s="1" t="s">
        <v>4664</v>
      </c>
      <c r="CV423">
        <v>1685</v>
      </c>
      <c r="CW423">
        <v>51.5</v>
      </c>
      <c r="CX423">
        <v>46.1</v>
      </c>
      <c r="CY423">
        <v>39.4</v>
      </c>
      <c r="CZ423">
        <v>45</v>
      </c>
      <c r="DA423">
        <v>1</v>
      </c>
      <c r="DB423" t="s">
        <v>1920</v>
      </c>
      <c r="DC423">
        <v>32</v>
      </c>
      <c r="DD423" s="1" t="s">
        <v>4665</v>
      </c>
      <c r="DE423">
        <v>-18.812426228852502</v>
      </c>
      <c r="DF423" t="e">
        <f>_xlfn.XLOOKUP(Table1[[#This Row],[Player ID]],Table2[feed_id],Table2[trade_status])</f>
        <v>#N/A</v>
      </c>
      <c r="DG423">
        <f>_xlfn.NUMBERVALUE(Table1[[#This Row],[predicted]])</f>
        <v>50.812426228852502</v>
      </c>
    </row>
    <row r="424" spans="1:111" hidden="1" x14ac:dyDescent="0.25">
      <c r="A424">
        <v>111791</v>
      </c>
      <c r="B424">
        <v>8404</v>
      </c>
      <c r="C424" t="s">
        <v>4666</v>
      </c>
      <c r="D424" t="s">
        <v>491</v>
      </c>
      <c r="E424">
        <v>2023</v>
      </c>
      <c r="F424">
        <v>1004940</v>
      </c>
      <c r="G424" t="s">
        <v>958</v>
      </c>
      <c r="H424" t="s">
        <v>2885</v>
      </c>
      <c r="I424" t="s">
        <v>1061</v>
      </c>
      <c r="J424">
        <v>2</v>
      </c>
      <c r="K424">
        <v>18</v>
      </c>
      <c r="L424">
        <v>20</v>
      </c>
      <c r="M424">
        <v>19</v>
      </c>
      <c r="N424">
        <v>15</v>
      </c>
      <c r="O424">
        <v>24</v>
      </c>
      <c r="P424">
        <v>1</v>
      </c>
      <c r="Q424">
        <v>5</v>
      </c>
      <c r="R424">
        <v>0</v>
      </c>
      <c r="S424">
        <v>2</v>
      </c>
      <c r="T424">
        <v>0</v>
      </c>
      <c r="U424">
        <v>0</v>
      </c>
      <c r="V424">
        <v>1</v>
      </c>
      <c r="W424">
        <v>0</v>
      </c>
      <c r="X424">
        <v>0</v>
      </c>
      <c r="Y424" t="s">
        <v>113</v>
      </c>
      <c r="Z424" t="s">
        <v>4667</v>
      </c>
      <c r="AA424" t="s">
        <v>4668</v>
      </c>
      <c r="AB424" t="s">
        <v>116</v>
      </c>
      <c r="AC424" t="s">
        <v>4669</v>
      </c>
      <c r="AE424">
        <v>0</v>
      </c>
      <c r="AH424" t="s">
        <v>155</v>
      </c>
      <c r="AI424">
        <v>37</v>
      </c>
      <c r="AJ424">
        <v>1</v>
      </c>
      <c r="AK424">
        <v>31</v>
      </c>
      <c r="AL424">
        <v>0</v>
      </c>
      <c r="AM424">
        <v>0</v>
      </c>
      <c r="AN424">
        <v>0.85</v>
      </c>
      <c r="AO424">
        <v>0.51</v>
      </c>
      <c r="AS424">
        <v>1</v>
      </c>
      <c r="AT424">
        <v>1</v>
      </c>
      <c r="AU424">
        <v>1</v>
      </c>
      <c r="AV424">
        <v>83</v>
      </c>
      <c r="AW424">
        <v>66</v>
      </c>
      <c r="AX424">
        <v>71</v>
      </c>
      <c r="AY424">
        <v>1</v>
      </c>
      <c r="AZ424" t="b">
        <v>1</v>
      </c>
      <c r="BA424">
        <v>1887</v>
      </c>
      <c r="BB424">
        <v>1405</v>
      </c>
      <c r="BC424">
        <v>11</v>
      </c>
      <c r="BD424" t="s">
        <v>4670</v>
      </c>
      <c r="BE424" s="1" t="s">
        <v>4671</v>
      </c>
      <c r="BF424">
        <v>0</v>
      </c>
      <c r="BG424">
        <v>70</v>
      </c>
      <c r="BH424">
        <v>0</v>
      </c>
      <c r="BI424">
        <v>4</v>
      </c>
      <c r="BJ424">
        <v>5.8</v>
      </c>
      <c r="BK424" s="1" t="s">
        <v>124</v>
      </c>
      <c r="BL424">
        <v>6.2</v>
      </c>
      <c r="BM424" s="1" t="s">
        <v>126</v>
      </c>
      <c r="BN424" s="1" t="s">
        <v>255</v>
      </c>
      <c r="BO424" s="1" t="s">
        <v>161</v>
      </c>
      <c r="BP424">
        <v>2</v>
      </c>
      <c r="BQ424">
        <v>0</v>
      </c>
      <c r="BR424">
        <v>0</v>
      </c>
      <c r="BS424">
        <v>0</v>
      </c>
      <c r="BT424">
        <v>0.6</v>
      </c>
      <c r="BU424" s="1" t="s">
        <v>128</v>
      </c>
      <c r="BV424" s="1" t="s">
        <v>130</v>
      </c>
      <c r="BW424">
        <v>1</v>
      </c>
      <c r="BX424" s="1" t="s">
        <v>130</v>
      </c>
      <c r="BY424" s="1" t="s">
        <v>129</v>
      </c>
      <c r="BZ424" s="1" t="s">
        <v>231</v>
      </c>
      <c r="CA424">
        <v>0</v>
      </c>
      <c r="CB424">
        <v>0</v>
      </c>
      <c r="CC424">
        <v>0.85</v>
      </c>
      <c r="CD424" s="1" t="s">
        <v>482</v>
      </c>
      <c r="CE424">
        <v>0.51</v>
      </c>
      <c r="CF424" s="1" t="s">
        <v>2185</v>
      </c>
      <c r="CG424" s="1" t="s">
        <v>125</v>
      </c>
      <c r="CH424" s="1" t="s">
        <v>416</v>
      </c>
      <c r="CI424" s="1" t="s">
        <v>128</v>
      </c>
      <c r="CJ424" s="1" t="s">
        <v>206</v>
      </c>
      <c r="CK424">
        <v>1</v>
      </c>
      <c r="CL424" s="1" t="s">
        <v>327</v>
      </c>
      <c r="CM424" s="1" t="s">
        <v>364</v>
      </c>
      <c r="CN424" s="1" t="s">
        <v>4672</v>
      </c>
      <c r="CO424" s="1" t="s">
        <v>350</v>
      </c>
      <c r="CP424" s="1" t="s">
        <v>2305</v>
      </c>
      <c r="CQ424" s="1" t="s">
        <v>4673</v>
      </c>
      <c r="CR424" s="1" t="s">
        <v>4674</v>
      </c>
      <c r="CS424">
        <v>1569</v>
      </c>
      <c r="CT424" s="1" t="s">
        <v>4675</v>
      </c>
      <c r="CU424" s="1" t="s">
        <v>4676</v>
      </c>
      <c r="CV424" s="1" t="s">
        <v>3987</v>
      </c>
      <c r="CW424">
        <v>62.8</v>
      </c>
      <c r="CX424">
        <v>59.4</v>
      </c>
      <c r="CY424">
        <v>57.8</v>
      </c>
      <c r="CZ424" s="1" t="s">
        <v>283</v>
      </c>
      <c r="DA424">
        <v>1</v>
      </c>
      <c r="DB424" t="s">
        <v>4667</v>
      </c>
      <c r="DC424">
        <v>20</v>
      </c>
      <c r="DD424" s="1" t="s">
        <v>4677</v>
      </c>
      <c r="DE424">
        <v>-45.195886163958299</v>
      </c>
      <c r="DF424" t="e">
        <f>_xlfn.XLOOKUP(Table1[[#This Row],[Player ID]],Table2[feed_id],Table2[trade_status])</f>
        <v>#N/A</v>
      </c>
      <c r="DG424">
        <f>_xlfn.NUMBERVALUE(Table1[[#This Row],[predicted]])</f>
        <v>65.195886163958306</v>
      </c>
    </row>
    <row r="425" spans="1:111" hidden="1" x14ac:dyDescent="0.25">
      <c r="A425">
        <v>115592</v>
      </c>
      <c r="B425">
        <v>8499</v>
      </c>
      <c r="C425" t="s">
        <v>4678</v>
      </c>
      <c r="D425" t="s">
        <v>539</v>
      </c>
      <c r="E425">
        <v>2023</v>
      </c>
      <c r="F425">
        <v>1000932</v>
      </c>
      <c r="G425" t="s">
        <v>776</v>
      </c>
      <c r="H425" t="s">
        <v>4679</v>
      </c>
      <c r="I425" t="s">
        <v>510</v>
      </c>
      <c r="J425">
        <v>2</v>
      </c>
      <c r="K425">
        <v>34</v>
      </c>
      <c r="L425">
        <v>54</v>
      </c>
      <c r="M425">
        <v>45</v>
      </c>
      <c r="N425">
        <v>26</v>
      </c>
      <c r="O425">
        <v>39</v>
      </c>
      <c r="P425">
        <v>4</v>
      </c>
      <c r="Q425">
        <v>5</v>
      </c>
      <c r="R425">
        <v>1</v>
      </c>
      <c r="S425">
        <v>3</v>
      </c>
      <c r="T425">
        <v>0</v>
      </c>
      <c r="U425">
        <v>0</v>
      </c>
      <c r="V425">
        <v>1</v>
      </c>
      <c r="W425">
        <v>0</v>
      </c>
      <c r="X425">
        <v>0</v>
      </c>
      <c r="Y425" t="s">
        <v>113</v>
      </c>
      <c r="Z425" t="s">
        <v>179</v>
      </c>
      <c r="AA425" t="s">
        <v>4680</v>
      </c>
      <c r="AE425">
        <v>0</v>
      </c>
      <c r="AH425" t="s">
        <v>181</v>
      </c>
      <c r="AI425">
        <v>39</v>
      </c>
      <c r="AJ425">
        <v>20</v>
      </c>
      <c r="AK425">
        <v>72.5</v>
      </c>
      <c r="AL425">
        <v>0</v>
      </c>
      <c r="AM425">
        <v>0</v>
      </c>
      <c r="AN425">
        <v>0.36</v>
      </c>
      <c r="AO425">
        <v>0.47</v>
      </c>
      <c r="AS425">
        <v>4</v>
      </c>
      <c r="AT425">
        <v>2</v>
      </c>
      <c r="AU425">
        <v>3</v>
      </c>
      <c r="AV425">
        <v>66</v>
      </c>
      <c r="AW425">
        <v>85</v>
      </c>
      <c r="AX425">
        <v>73</v>
      </c>
      <c r="AY425">
        <v>1</v>
      </c>
      <c r="AZ425" t="b">
        <v>0</v>
      </c>
      <c r="BA425">
        <v>1518</v>
      </c>
      <c r="BB425">
        <v>1778</v>
      </c>
      <c r="BC425">
        <v>12</v>
      </c>
      <c r="BD425" t="s">
        <v>4681</v>
      </c>
      <c r="BE425">
        <v>98</v>
      </c>
      <c r="BF425">
        <v>0</v>
      </c>
      <c r="BG425">
        <v>73</v>
      </c>
      <c r="BH425">
        <v>0</v>
      </c>
      <c r="BI425" s="1" t="s">
        <v>204</v>
      </c>
      <c r="BJ425" s="1" t="s">
        <v>1066</v>
      </c>
      <c r="BK425" s="1" t="s">
        <v>183</v>
      </c>
      <c r="BL425" s="1" t="s">
        <v>729</v>
      </c>
      <c r="BM425">
        <v>4</v>
      </c>
      <c r="BN425" s="1" t="s">
        <v>212</v>
      </c>
      <c r="BO425" s="1" t="s">
        <v>126</v>
      </c>
      <c r="BP425">
        <v>1.8</v>
      </c>
      <c r="BQ425">
        <v>0</v>
      </c>
      <c r="BR425">
        <v>0</v>
      </c>
      <c r="BS425" s="1" t="s">
        <v>129</v>
      </c>
      <c r="BT425" s="1" t="s">
        <v>128</v>
      </c>
      <c r="BU425" s="1" t="s">
        <v>128</v>
      </c>
      <c r="BV425" s="1" t="s">
        <v>399</v>
      </c>
      <c r="BW425">
        <v>0</v>
      </c>
      <c r="BX425">
        <v>0</v>
      </c>
      <c r="BY425">
        <v>0</v>
      </c>
      <c r="BZ425">
        <v>0</v>
      </c>
      <c r="CA425">
        <v>0</v>
      </c>
      <c r="CB425" s="1" t="s">
        <v>4682</v>
      </c>
      <c r="CC425">
        <v>0.36</v>
      </c>
      <c r="CD425" s="1" t="s">
        <v>4683</v>
      </c>
      <c r="CE425">
        <v>0.47</v>
      </c>
      <c r="CF425" s="1" t="s">
        <v>4684</v>
      </c>
      <c r="CG425" s="1" t="s">
        <v>211</v>
      </c>
      <c r="CH425">
        <v>4.8</v>
      </c>
      <c r="CI425">
        <v>1</v>
      </c>
      <c r="CJ425" s="1" t="s">
        <v>129</v>
      </c>
      <c r="CK425" s="1" t="s">
        <v>159</v>
      </c>
      <c r="CL425" s="1" t="s">
        <v>170</v>
      </c>
      <c r="CM425" s="1" t="s">
        <v>683</v>
      </c>
      <c r="CN425" s="1" t="s">
        <v>969</v>
      </c>
      <c r="CO425" s="1" t="s">
        <v>4685</v>
      </c>
      <c r="CP425" s="1" t="s">
        <v>3487</v>
      </c>
      <c r="CQ425" s="1" t="s">
        <v>4686</v>
      </c>
      <c r="CR425" s="1" t="s">
        <v>4687</v>
      </c>
      <c r="CS425" s="1" t="s">
        <v>2741</v>
      </c>
      <c r="CT425">
        <v>1648.4</v>
      </c>
      <c r="CU425" s="1" t="s">
        <v>3358</v>
      </c>
      <c r="CV425">
        <v>1635.8</v>
      </c>
      <c r="CW425">
        <v>70.349999999999994</v>
      </c>
      <c r="CX425">
        <v>74.599999999999994</v>
      </c>
      <c r="CY425">
        <v>64.599999999999994</v>
      </c>
      <c r="CZ425">
        <v>65</v>
      </c>
      <c r="DA425">
        <v>1</v>
      </c>
      <c r="DB425" t="s">
        <v>179</v>
      </c>
      <c r="DC425">
        <v>54</v>
      </c>
      <c r="DD425">
        <v>58.280463361238603</v>
      </c>
      <c r="DE425">
        <v>-4.2804633612386001</v>
      </c>
      <c r="DF425" t="str">
        <f>_xlfn.XLOOKUP(Table1[[#This Row],[Player ID]],Table2[feed_id],Table2[trade_status])</f>
        <v>free_agent</v>
      </c>
      <c r="DG425">
        <f>_xlfn.NUMBERVALUE(Table1[[#This Row],[predicted]])</f>
        <v>58.280463361238603</v>
      </c>
    </row>
    <row r="426" spans="1:111" hidden="1" x14ac:dyDescent="0.25">
      <c r="A426">
        <v>115659</v>
      </c>
      <c r="B426">
        <v>8500</v>
      </c>
      <c r="C426" t="s">
        <v>4688</v>
      </c>
      <c r="D426" t="s">
        <v>579</v>
      </c>
      <c r="E426">
        <v>2023</v>
      </c>
      <c r="F426">
        <v>1002259</v>
      </c>
      <c r="G426" t="s">
        <v>4689</v>
      </c>
      <c r="H426" t="s">
        <v>4690</v>
      </c>
      <c r="I426" t="s">
        <v>249</v>
      </c>
      <c r="J426">
        <v>3</v>
      </c>
      <c r="K426">
        <v>37</v>
      </c>
      <c r="L426">
        <v>27</v>
      </c>
      <c r="M426">
        <v>20</v>
      </c>
      <c r="N426">
        <v>30</v>
      </c>
      <c r="O426">
        <v>39</v>
      </c>
      <c r="P426">
        <v>7</v>
      </c>
      <c r="Q426">
        <v>2</v>
      </c>
      <c r="R426">
        <v>4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113</v>
      </c>
      <c r="Z426" t="s">
        <v>525</v>
      </c>
      <c r="AA426" t="s">
        <v>4691</v>
      </c>
      <c r="AE426">
        <v>0</v>
      </c>
      <c r="AH426" t="s">
        <v>181</v>
      </c>
      <c r="AI426">
        <v>4</v>
      </c>
      <c r="AJ426">
        <v>17</v>
      </c>
      <c r="AK426">
        <v>53.59</v>
      </c>
      <c r="AL426">
        <v>0</v>
      </c>
      <c r="AM426">
        <v>0</v>
      </c>
      <c r="AN426">
        <v>0.13</v>
      </c>
      <c r="AO426">
        <v>0.06</v>
      </c>
      <c r="AS426">
        <v>1</v>
      </c>
      <c r="AT426">
        <v>0</v>
      </c>
      <c r="AU426">
        <v>2</v>
      </c>
      <c r="AV426">
        <v>66</v>
      </c>
      <c r="AW426">
        <v>73</v>
      </c>
      <c r="AX426">
        <v>202</v>
      </c>
      <c r="AY426">
        <v>0</v>
      </c>
      <c r="AZ426" t="b">
        <v>0</v>
      </c>
      <c r="BA426">
        <v>1793</v>
      </c>
      <c r="BB426">
        <v>1495</v>
      </c>
      <c r="BC426">
        <v>13</v>
      </c>
      <c r="BD426" t="s">
        <v>4692</v>
      </c>
      <c r="BE426">
        <v>96</v>
      </c>
      <c r="BF426">
        <v>0</v>
      </c>
      <c r="BG426">
        <v>73</v>
      </c>
      <c r="BH426">
        <v>0</v>
      </c>
      <c r="BI426">
        <v>7</v>
      </c>
      <c r="BJ426" s="1" t="s">
        <v>879</v>
      </c>
      <c r="BK426" s="1" t="s">
        <v>169</v>
      </c>
      <c r="BL426" s="1" t="s">
        <v>256</v>
      </c>
      <c r="BM426">
        <v>4</v>
      </c>
      <c r="BN426">
        <v>4.4000000000000004</v>
      </c>
      <c r="BO426" s="1" t="s">
        <v>126</v>
      </c>
      <c r="BP426" s="1" t="s">
        <v>206</v>
      </c>
      <c r="BQ426">
        <v>0</v>
      </c>
      <c r="BR426">
        <v>0</v>
      </c>
      <c r="BS426">
        <v>0</v>
      </c>
      <c r="BT426">
        <v>0.6</v>
      </c>
      <c r="BU426" s="1" t="s">
        <v>128</v>
      </c>
      <c r="BV426" s="1" t="s">
        <v>231</v>
      </c>
      <c r="BW426">
        <v>0</v>
      </c>
      <c r="BX426">
        <v>0.2</v>
      </c>
      <c r="BY426">
        <v>0</v>
      </c>
      <c r="BZ426">
        <v>0.2</v>
      </c>
      <c r="CA426">
        <v>0</v>
      </c>
      <c r="CB426">
        <v>0</v>
      </c>
      <c r="CC426">
        <v>0.13</v>
      </c>
      <c r="CD426" s="1" t="s">
        <v>4693</v>
      </c>
      <c r="CE426">
        <v>0.06</v>
      </c>
      <c r="CF426">
        <v>0.02</v>
      </c>
      <c r="CG426">
        <v>2</v>
      </c>
      <c r="CH426" s="1" t="s">
        <v>237</v>
      </c>
      <c r="CI426" s="1" t="s">
        <v>128</v>
      </c>
      <c r="CJ426" s="1" t="s">
        <v>128</v>
      </c>
      <c r="CK426">
        <v>3</v>
      </c>
      <c r="CL426" s="1" t="s">
        <v>373</v>
      </c>
      <c r="CM426">
        <v>73</v>
      </c>
      <c r="CN426">
        <v>69.2</v>
      </c>
      <c r="CO426" s="1" t="s">
        <v>759</v>
      </c>
      <c r="CP426" s="1" t="s">
        <v>366</v>
      </c>
      <c r="CQ426" s="1" t="s">
        <v>4529</v>
      </c>
      <c r="CR426" s="1" t="s">
        <v>4694</v>
      </c>
      <c r="CS426" s="1" t="s">
        <v>4695</v>
      </c>
      <c r="CT426" s="1" t="s">
        <v>4696</v>
      </c>
      <c r="CU426" s="1" t="s">
        <v>703</v>
      </c>
      <c r="CV426">
        <v>1587.2</v>
      </c>
      <c r="CW426">
        <v>54.65</v>
      </c>
      <c r="CX426">
        <v>43.7</v>
      </c>
      <c r="CY426">
        <v>26</v>
      </c>
      <c r="CZ426" s="1" t="s">
        <v>3827</v>
      </c>
      <c r="DA426">
        <v>1</v>
      </c>
      <c r="DB426" t="s">
        <v>525</v>
      </c>
      <c r="DC426">
        <v>27</v>
      </c>
      <c r="DD426" s="1" t="s">
        <v>4697</v>
      </c>
      <c r="DE426">
        <v>-27.7079870867226</v>
      </c>
      <c r="DF426" t="e">
        <f>_xlfn.XLOOKUP(Table1[[#This Row],[Player ID]],Table2[feed_id],Table2[trade_status])</f>
        <v>#N/A</v>
      </c>
      <c r="DG426">
        <f>_xlfn.NUMBERVALUE(Table1[[#This Row],[predicted]])</f>
        <v>54.707987086722603</v>
      </c>
    </row>
    <row r="427" spans="1:111" hidden="1" x14ac:dyDescent="0.25">
      <c r="A427">
        <v>115728</v>
      </c>
      <c r="B427">
        <v>8502</v>
      </c>
      <c r="C427" t="s">
        <v>4698</v>
      </c>
      <c r="D427" t="s">
        <v>579</v>
      </c>
      <c r="E427">
        <v>2023</v>
      </c>
      <c r="F427">
        <v>1003192</v>
      </c>
      <c r="G427" t="s">
        <v>3651</v>
      </c>
      <c r="H427" t="s">
        <v>4699</v>
      </c>
      <c r="I427" t="s">
        <v>582</v>
      </c>
      <c r="J427">
        <v>1</v>
      </c>
      <c r="K427">
        <v>11</v>
      </c>
      <c r="L427">
        <v>6</v>
      </c>
      <c r="M427">
        <v>16</v>
      </c>
      <c r="N427">
        <v>6</v>
      </c>
      <c r="O427">
        <v>9</v>
      </c>
      <c r="P427">
        <v>1</v>
      </c>
      <c r="Q427">
        <v>0</v>
      </c>
      <c r="R427">
        <v>0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0</v>
      </c>
      <c r="Y427" t="s">
        <v>113</v>
      </c>
      <c r="Z427" t="s">
        <v>114</v>
      </c>
      <c r="AA427" t="s">
        <v>4700</v>
      </c>
      <c r="AB427" t="s">
        <v>116</v>
      </c>
      <c r="AC427" t="s">
        <v>2670</v>
      </c>
      <c r="AH427" t="s">
        <v>118</v>
      </c>
      <c r="AI427">
        <v>36</v>
      </c>
      <c r="AJ427">
        <v>0</v>
      </c>
      <c r="AK427">
        <v>0</v>
      </c>
      <c r="AL427">
        <v>0</v>
      </c>
      <c r="AM427">
        <v>0.08</v>
      </c>
      <c r="AN427">
        <v>0.13</v>
      </c>
      <c r="AO427">
        <v>0.33</v>
      </c>
      <c r="AS427">
        <v>0</v>
      </c>
      <c r="AT427">
        <v>0</v>
      </c>
      <c r="AU427">
        <v>1</v>
      </c>
      <c r="AV427">
        <v>0</v>
      </c>
      <c r="AW427">
        <v>7</v>
      </c>
      <c r="AX427">
        <v>19</v>
      </c>
      <c r="AY427">
        <v>1</v>
      </c>
      <c r="AZ427" t="b">
        <v>1</v>
      </c>
      <c r="BA427">
        <v>1725</v>
      </c>
      <c r="BB427">
        <v>1572</v>
      </c>
      <c r="BC427">
        <v>13</v>
      </c>
      <c r="BD427" t="s">
        <v>4701</v>
      </c>
      <c r="BE427">
        <v>96</v>
      </c>
      <c r="BF427">
        <v>0</v>
      </c>
      <c r="BG427">
        <v>73</v>
      </c>
      <c r="BH427">
        <v>0</v>
      </c>
      <c r="BI427" s="1" t="s">
        <v>125</v>
      </c>
      <c r="BJ427" s="1" t="s">
        <v>499</v>
      </c>
      <c r="BK427" s="1" t="s">
        <v>211</v>
      </c>
      <c r="BL427">
        <v>6</v>
      </c>
      <c r="BM427" s="1" t="s">
        <v>126</v>
      </c>
      <c r="BN427" s="1" t="s">
        <v>275</v>
      </c>
      <c r="BO427" s="1" t="s">
        <v>161</v>
      </c>
      <c r="BP427">
        <v>2.4</v>
      </c>
      <c r="BQ427">
        <v>0</v>
      </c>
      <c r="BR427">
        <v>0</v>
      </c>
      <c r="BS427">
        <v>2</v>
      </c>
      <c r="BT427" s="1" t="s">
        <v>399</v>
      </c>
      <c r="BU427">
        <v>0</v>
      </c>
      <c r="BV427" s="1" t="s">
        <v>162</v>
      </c>
      <c r="BW427">
        <v>0</v>
      </c>
      <c r="BX427">
        <v>0.4</v>
      </c>
      <c r="BY427" s="1" t="s">
        <v>128</v>
      </c>
      <c r="BZ427" s="1" t="s">
        <v>231</v>
      </c>
      <c r="CA427">
        <v>0.08</v>
      </c>
      <c r="CB427" s="1" t="s">
        <v>4702</v>
      </c>
      <c r="CC427">
        <v>0.13</v>
      </c>
      <c r="CD427">
        <v>6.9333333333333302E-2</v>
      </c>
      <c r="CE427">
        <v>0.33</v>
      </c>
      <c r="CF427" s="1" t="s">
        <v>2246</v>
      </c>
      <c r="CG427">
        <v>4</v>
      </c>
      <c r="CH427" s="1" t="s">
        <v>160</v>
      </c>
      <c r="CI427" s="1" t="s">
        <v>126</v>
      </c>
      <c r="CJ427" s="1" t="s">
        <v>298</v>
      </c>
      <c r="CK427">
        <v>1</v>
      </c>
      <c r="CL427" s="1" t="s">
        <v>322</v>
      </c>
      <c r="CM427" s="1" t="s">
        <v>1861</v>
      </c>
      <c r="CN427" s="1" t="s">
        <v>3910</v>
      </c>
      <c r="CO427">
        <v>57</v>
      </c>
      <c r="CP427">
        <v>69.2</v>
      </c>
      <c r="CQ427">
        <v>68</v>
      </c>
      <c r="CR427" s="1" t="s">
        <v>4553</v>
      </c>
      <c r="CS427">
        <v>1438</v>
      </c>
      <c r="CT427" s="1" t="s">
        <v>4703</v>
      </c>
      <c r="CU427" s="1" t="s">
        <v>4704</v>
      </c>
      <c r="CV427">
        <v>1785.8</v>
      </c>
      <c r="CW427">
        <v>52.2</v>
      </c>
      <c r="CX427">
        <v>42.1</v>
      </c>
      <c r="CY427">
        <v>44</v>
      </c>
      <c r="CZ427" s="1" t="s">
        <v>4705</v>
      </c>
      <c r="DA427">
        <v>1</v>
      </c>
      <c r="DB427" t="s">
        <v>114</v>
      </c>
      <c r="DC427">
        <v>6</v>
      </c>
      <c r="DD427" s="1" t="s">
        <v>4706</v>
      </c>
      <c r="DE427">
        <v>-32.328206392377197</v>
      </c>
      <c r="DF427" t="e">
        <f>_xlfn.XLOOKUP(Table1[[#This Row],[Player ID]],Table2[feed_id],Table2[trade_status])</f>
        <v>#N/A</v>
      </c>
      <c r="DG427">
        <f>_xlfn.NUMBERVALUE(Table1[[#This Row],[predicted]])</f>
        <v>38.328206392377197</v>
      </c>
    </row>
    <row r="428" spans="1:111" hidden="1" x14ac:dyDescent="0.25">
      <c r="A428">
        <v>115786</v>
      </c>
      <c r="B428">
        <v>8503</v>
      </c>
      <c r="C428" t="s">
        <v>4707</v>
      </c>
      <c r="D428" t="s">
        <v>579</v>
      </c>
      <c r="E428">
        <v>2023</v>
      </c>
      <c r="F428">
        <v>291327</v>
      </c>
      <c r="G428" t="s">
        <v>1731</v>
      </c>
      <c r="H428" t="s">
        <v>4708</v>
      </c>
      <c r="I428" t="s">
        <v>1061</v>
      </c>
      <c r="J428">
        <v>10</v>
      </c>
      <c r="K428">
        <v>60</v>
      </c>
      <c r="L428">
        <v>45</v>
      </c>
      <c r="M428">
        <v>51</v>
      </c>
      <c r="N428">
        <v>53</v>
      </c>
      <c r="O428">
        <v>60</v>
      </c>
      <c r="P428">
        <v>5</v>
      </c>
      <c r="Q428">
        <v>2</v>
      </c>
      <c r="R428">
        <v>4</v>
      </c>
      <c r="S428">
        <v>1</v>
      </c>
      <c r="T428">
        <v>24</v>
      </c>
      <c r="U428">
        <v>1</v>
      </c>
      <c r="V428">
        <v>0</v>
      </c>
      <c r="W428">
        <v>0</v>
      </c>
      <c r="X428">
        <v>0</v>
      </c>
      <c r="Y428" t="s">
        <v>113</v>
      </c>
      <c r="Z428" t="s">
        <v>116</v>
      </c>
      <c r="AA428" t="s">
        <v>4709</v>
      </c>
      <c r="AE428">
        <v>0</v>
      </c>
      <c r="AH428" t="s">
        <v>274</v>
      </c>
      <c r="AI428">
        <v>15</v>
      </c>
      <c r="AJ428">
        <v>10</v>
      </c>
      <c r="AK428">
        <v>62.9</v>
      </c>
      <c r="AL428">
        <v>0</v>
      </c>
      <c r="AM428">
        <v>0</v>
      </c>
      <c r="AN428">
        <v>0.22</v>
      </c>
      <c r="AO428">
        <v>0.14000000000000001</v>
      </c>
      <c r="AS428">
        <v>3</v>
      </c>
      <c r="AT428">
        <v>3</v>
      </c>
      <c r="AU428">
        <v>0</v>
      </c>
      <c r="AV428">
        <v>71</v>
      </c>
      <c r="AW428">
        <v>55</v>
      </c>
      <c r="AX428">
        <v>76</v>
      </c>
      <c r="AY428">
        <v>1</v>
      </c>
      <c r="AZ428" t="b">
        <v>1</v>
      </c>
      <c r="BA428">
        <v>1721</v>
      </c>
      <c r="BB428">
        <v>1578</v>
      </c>
      <c r="BC428">
        <v>13</v>
      </c>
      <c r="BD428" t="s">
        <v>4710</v>
      </c>
      <c r="BE428">
        <v>96</v>
      </c>
      <c r="BF428">
        <v>0</v>
      </c>
      <c r="BG428">
        <v>73</v>
      </c>
      <c r="BH428">
        <v>0</v>
      </c>
      <c r="BI428" s="1" t="s">
        <v>449</v>
      </c>
      <c r="BJ428" s="1" t="s">
        <v>124</v>
      </c>
      <c r="BK428" s="1" t="s">
        <v>204</v>
      </c>
      <c r="BL428">
        <v>8.6</v>
      </c>
      <c r="BM428" s="1" t="s">
        <v>125</v>
      </c>
      <c r="BN428" s="1" t="s">
        <v>125</v>
      </c>
      <c r="BO428">
        <v>1</v>
      </c>
      <c r="BP428" s="1" t="s">
        <v>206</v>
      </c>
      <c r="BQ428" s="1" t="s">
        <v>2878</v>
      </c>
      <c r="BR428" s="1" t="s">
        <v>2878</v>
      </c>
      <c r="BS428">
        <v>1</v>
      </c>
      <c r="BT428" s="1" t="s">
        <v>238</v>
      </c>
      <c r="BU428" s="1" t="s">
        <v>129</v>
      </c>
      <c r="BV428" s="1" t="s">
        <v>257</v>
      </c>
      <c r="BW428">
        <v>0</v>
      </c>
      <c r="BX428">
        <v>0</v>
      </c>
      <c r="BY428">
        <v>0</v>
      </c>
      <c r="BZ428">
        <v>6.6666666666666596E-2</v>
      </c>
      <c r="CA428">
        <v>0</v>
      </c>
      <c r="CB428">
        <v>0</v>
      </c>
      <c r="CC428">
        <v>0.22</v>
      </c>
      <c r="CD428">
        <v>8.7999999999999995E-2</v>
      </c>
      <c r="CE428">
        <v>0.14000000000000001</v>
      </c>
      <c r="CF428">
        <v>5.6000000000000001E-2</v>
      </c>
      <c r="CG428" s="1" t="s">
        <v>137</v>
      </c>
      <c r="CH428" s="1" t="s">
        <v>294</v>
      </c>
      <c r="CI428" s="1" t="s">
        <v>211</v>
      </c>
      <c r="CJ428" s="1" t="s">
        <v>229</v>
      </c>
      <c r="CK428" s="1" t="s">
        <v>161</v>
      </c>
      <c r="CL428" s="1" t="s">
        <v>373</v>
      </c>
      <c r="CM428" s="1" t="s">
        <v>1176</v>
      </c>
      <c r="CN428" s="1" t="s">
        <v>4178</v>
      </c>
      <c r="CO428" s="1" t="s">
        <v>1391</v>
      </c>
      <c r="CP428">
        <v>66.2</v>
      </c>
      <c r="CQ428">
        <v>73</v>
      </c>
      <c r="CR428" s="1" t="s">
        <v>4711</v>
      </c>
      <c r="CS428" s="1" t="s">
        <v>1205</v>
      </c>
      <c r="CT428">
        <v>1660.4</v>
      </c>
      <c r="CU428" s="1" t="s">
        <v>4712</v>
      </c>
      <c r="CV428">
        <v>1629.4</v>
      </c>
      <c r="CW428">
        <v>82.25</v>
      </c>
      <c r="CX428">
        <v>74.900000000000006</v>
      </c>
      <c r="CY428">
        <v>81.400000000000006</v>
      </c>
      <c r="CZ428">
        <v>69</v>
      </c>
      <c r="DA428">
        <v>1</v>
      </c>
      <c r="DB428" t="s">
        <v>116</v>
      </c>
      <c r="DC428">
        <v>45</v>
      </c>
      <c r="DD428" s="1" t="s">
        <v>4713</v>
      </c>
      <c r="DE428">
        <v>-40.592777487767499</v>
      </c>
      <c r="DF428" t="e">
        <f>_xlfn.XLOOKUP(Table1[[#This Row],[Player ID]],Table2[feed_id],Table2[trade_status])</f>
        <v>#N/A</v>
      </c>
      <c r="DG428">
        <f>_xlfn.NUMBERVALUE(Table1[[#This Row],[predicted]])</f>
        <v>85.592777487767506</v>
      </c>
    </row>
    <row r="429" spans="1:111" hidden="1" x14ac:dyDescent="0.25">
      <c r="A429">
        <v>116060</v>
      </c>
      <c r="B429">
        <v>8509</v>
      </c>
      <c r="C429" t="s">
        <v>4714</v>
      </c>
      <c r="D429" t="s">
        <v>1360</v>
      </c>
      <c r="E429">
        <v>2023</v>
      </c>
      <c r="F429">
        <v>271072</v>
      </c>
      <c r="G429" t="s">
        <v>289</v>
      </c>
      <c r="H429" t="s">
        <v>4715</v>
      </c>
      <c r="I429" t="s">
        <v>201</v>
      </c>
      <c r="J429">
        <v>4</v>
      </c>
      <c r="K429">
        <v>52</v>
      </c>
      <c r="L429">
        <v>52</v>
      </c>
      <c r="M429">
        <v>27</v>
      </c>
      <c r="N429">
        <v>42</v>
      </c>
      <c r="O429">
        <v>54</v>
      </c>
      <c r="P429">
        <v>10</v>
      </c>
      <c r="Q429">
        <v>3</v>
      </c>
      <c r="R429">
        <v>5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 t="s">
        <v>113</v>
      </c>
      <c r="Z429" t="s">
        <v>114</v>
      </c>
      <c r="AA429" t="s">
        <v>4716</v>
      </c>
      <c r="AB429" t="s">
        <v>116</v>
      </c>
      <c r="AC429" t="s">
        <v>3427</v>
      </c>
      <c r="AE429">
        <v>0</v>
      </c>
      <c r="AH429" t="s">
        <v>181</v>
      </c>
      <c r="AI429">
        <v>10</v>
      </c>
      <c r="AJ429">
        <v>17</v>
      </c>
      <c r="AK429">
        <v>71.349999999999994</v>
      </c>
      <c r="AL429">
        <v>0</v>
      </c>
      <c r="AM429">
        <v>0</v>
      </c>
      <c r="AN429">
        <v>1.01</v>
      </c>
      <c r="AO429">
        <v>1.1299999999999999</v>
      </c>
      <c r="AS429">
        <v>1</v>
      </c>
      <c r="AT429">
        <v>0</v>
      </c>
      <c r="AU429">
        <v>0</v>
      </c>
      <c r="AV429">
        <v>84</v>
      </c>
      <c r="AW429">
        <v>61</v>
      </c>
      <c r="AX429">
        <v>203</v>
      </c>
      <c r="AY429">
        <v>0</v>
      </c>
      <c r="AZ429" t="b">
        <v>1</v>
      </c>
      <c r="BA429">
        <v>1757</v>
      </c>
      <c r="BB429">
        <v>1518</v>
      </c>
      <c r="BC429">
        <v>14</v>
      </c>
      <c r="BD429" t="s">
        <v>4717</v>
      </c>
      <c r="BE429" s="1" t="s">
        <v>4718</v>
      </c>
      <c r="BF429">
        <v>0</v>
      </c>
      <c r="BG429">
        <v>72</v>
      </c>
      <c r="BH429">
        <v>0</v>
      </c>
      <c r="BI429" s="1" t="s">
        <v>1609</v>
      </c>
      <c r="BJ429" s="1" t="s">
        <v>4719</v>
      </c>
      <c r="BK429" s="1" t="s">
        <v>169</v>
      </c>
      <c r="BL429" s="1" t="s">
        <v>431</v>
      </c>
      <c r="BM429" s="1" t="s">
        <v>253</v>
      </c>
      <c r="BN429" s="1" t="s">
        <v>211</v>
      </c>
      <c r="BO429" s="1" t="s">
        <v>129</v>
      </c>
      <c r="BP429">
        <v>0.8</v>
      </c>
      <c r="BQ429">
        <v>0</v>
      </c>
      <c r="BR429">
        <v>0</v>
      </c>
      <c r="BS429" s="1" t="s">
        <v>129</v>
      </c>
      <c r="BT429" s="1" t="s">
        <v>399</v>
      </c>
      <c r="BU429">
        <v>1</v>
      </c>
      <c r="BV429">
        <v>0.6</v>
      </c>
      <c r="BW429" s="1" t="s">
        <v>129</v>
      </c>
      <c r="BX429" s="1" t="s">
        <v>213</v>
      </c>
      <c r="BY429">
        <v>0</v>
      </c>
      <c r="BZ429">
        <v>6.6666666666666596E-2</v>
      </c>
      <c r="CA429">
        <v>0</v>
      </c>
      <c r="CB429">
        <v>9.8666666666666597E-2</v>
      </c>
      <c r="CC429">
        <v>1.01</v>
      </c>
      <c r="CD429" s="1" t="s">
        <v>4720</v>
      </c>
      <c r="CE429">
        <v>1.1299999999999999</v>
      </c>
      <c r="CF429" s="1" t="s">
        <v>4721</v>
      </c>
      <c r="CG429" s="1" t="s">
        <v>159</v>
      </c>
      <c r="CH429">
        <v>4</v>
      </c>
      <c r="CI429" s="1" t="s">
        <v>161</v>
      </c>
      <c r="CJ429" s="1" t="s">
        <v>206</v>
      </c>
      <c r="CK429" s="1" t="s">
        <v>159</v>
      </c>
      <c r="CL429" s="1" t="s">
        <v>214</v>
      </c>
      <c r="CM429" s="1" t="s">
        <v>968</v>
      </c>
      <c r="CN429">
        <v>81.599999999999994</v>
      </c>
      <c r="CO429" s="1" t="s">
        <v>1012</v>
      </c>
      <c r="CP429">
        <v>74.599999999999994</v>
      </c>
      <c r="CQ429">
        <v>498</v>
      </c>
      <c r="CR429" s="1" t="s">
        <v>4722</v>
      </c>
      <c r="CS429" s="1" t="s">
        <v>264</v>
      </c>
      <c r="CT429">
        <v>1621.4</v>
      </c>
      <c r="CU429" s="1" t="s">
        <v>4723</v>
      </c>
      <c r="CV429" s="1" t="s">
        <v>3934</v>
      </c>
      <c r="CW429">
        <v>89.75</v>
      </c>
      <c r="CX429">
        <v>83.2</v>
      </c>
      <c r="CY429">
        <v>77.599999999999994</v>
      </c>
      <c r="CZ429" s="1" t="s">
        <v>483</v>
      </c>
      <c r="DA429">
        <v>1</v>
      </c>
      <c r="DB429" t="s">
        <v>114</v>
      </c>
      <c r="DC429">
        <v>52</v>
      </c>
      <c r="DD429" s="1" t="s">
        <v>4724</v>
      </c>
      <c r="DE429">
        <v>-15.8547223136003</v>
      </c>
      <c r="DF429" t="e">
        <f>_xlfn.XLOOKUP(Table1[[#This Row],[Player ID]],Table2[feed_id],Table2[trade_status])</f>
        <v>#N/A</v>
      </c>
      <c r="DG429">
        <f>_xlfn.NUMBERVALUE(Table1[[#This Row],[predicted]])</f>
        <v>67.854722313600305</v>
      </c>
    </row>
    <row r="430" spans="1:111" hidden="1" x14ac:dyDescent="0.25">
      <c r="A430">
        <v>116158</v>
      </c>
      <c r="B430">
        <v>8512</v>
      </c>
      <c r="C430" t="s">
        <v>4725</v>
      </c>
      <c r="D430" t="s">
        <v>1360</v>
      </c>
      <c r="E430">
        <v>2023</v>
      </c>
      <c r="F430">
        <v>296735</v>
      </c>
      <c r="G430" t="s">
        <v>2456</v>
      </c>
      <c r="H430" t="s">
        <v>4726</v>
      </c>
      <c r="I430" t="s">
        <v>813</v>
      </c>
      <c r="J430">
        <v>26</v>
      </c>
      <c r="K430">
        <v>105</v>
      </c>
      <c r="L430">
        <v>120</v>
      </c>
      <c r="M430">
        <v>138</v>
      </c>
      <c r="N430">
        <v>77</v>
      </c>
      <c r="O430">
        <v>108</v>
      </c>
      <c r="P430">
        <v>16</v>
      </c>
      <c r="Q430">
        <v>9</v>
      </c>
      <c r="R430">
        <v>5</v>
      </c>
      <c r="S430">
        <v>6</v>
      </c>
      <c r="T430">
        <v>0</v>
      </c>
      <c r="U430">
        <v>0</v>
      </c>
      <c r="V430">
        <v>0</v>
      </c>
      <c r="W430">
        <v>0</v>
      </c>
      <c r="X430">
        <v>0</v>
      </c>
      <c r="Y430" t="s">
        <v>113</v>
      </c>
      <c r="Z430" t="s">
        <v>4727</v>
      </c>
      <c r="AA430" t="s">
        <v>354</v>
      </c>
      <c r="AB430" t="s">
        <v>226</v>
      </c>
      <c r="AC430" t="s">
        <v>4728</v>
      </c>
      <c r="AE430">
        <v>0</v>
      </c>
      <c r="AH430" t="s">
        <v>118</v>
      </c>
      <c r="AI430">
        <v>43</v>
      </c>
      <c r="AJ430">
        <v>6</v>
      </c>
      <c r="AK430">
        <v>71.67</v>
      </c>
      <c r="AL430">
        <v>0</v>
      </c>
      <c r="AM430">
        <v>0</v>
      </c>
      <c r="AN430">
        <v>1.53</v>
      </c>
      <c r="AO430">
        <v>3.59</v>
      </c>
      <c r="AS430">
        <v>5</v>
      </c>
      <c r="AT430">
        <v>0</v>
      </c>
      <c r="AU430">
        <v>0</v>
      </c>
      <c r="AV430">
        <v>80</v>
      </c>
      <c r="AW430">
        <v>84</v>
      </c>
      <c r="AX430">
        <v>410</v>
      </c>
      <c r="AY430">
        <v>0</v>
      </c>
      <c r="AZ430" t="b">
        <v>0</v>
      </c>
      <c r="BA430">
        <v>1684</v>
      </c>
      <c r="BB430">
        <v>1612</v>
      </c>
      <c r="BC430">
        <v>14</v>
      </c>
      <c r="BD430" t="s">
        <v>4729</v>
      </c>
      <c r="BE430" s="1" t="s">
        <v>4718</v>
      </c>
      <c r="BF430">
        <v>1</v>
      </c>
      <c r="BG430">
        <v>72</v>
      </c>
      <c r="BH430">
        <v>1</v>
      </c>
      <c r="BI430" s="1" t="s">
        <v>1830</v>
      </c>
      <c r="BJ430" s="1" t="s">
        <v>296</v>
      </c>
      <c r="BK430">
        <v>7</v>
      </c>
      <c r="BL430" s="1" t="s">
        <v>374</v>
      </c>
      <c r="BM430" s="1" t="s">
        <v>160</v>
      </c>
      <c r="BN430">
        <v>4.8</v>
      </c>
      <c r="BO430" s="1" t="s">
        <v>138</v>
      </c>
      <c r="BP430" s="1" t="s">
        <v>169</v>
      </c>
      <c r="BQ430">
        <v>0</v>
      </c>
      <c r="BR430">
        <v>0</v>
      </c>
      <c r="BS430" s="1" t="s">
        <v>129</v>
      </c>
      <c r="BT430">
        <v>0.4</v>
      </c>
      <c r="BU430" s="1" t="s">
        <v>129</v>
      </c>
      <c r="BV430" s="1" t="s">
        <v>129</v>
      </c>
      <c r="BW430">
        <v>0</v>
      </c>
      <c r="BX430" s="1" t="s">
        <v>213</v>
      </c>
      <c r="BY430">
        <v>0</v>
      </c>
      <c r="BZ430">
        <v>0.2</v>
      </c>
      <c r="CA430">
        <v>0</v>
      </c>
      <c r="CB430">
        <v>0</v>
      </c>
      <c r="CC430">
        <v>1.53</v>
      </c>
      <c r="CD430">
        <v>0.61199999999999999</v>
      </c>
      <c r="CE430">
        <v>3.59</v>
      </c>
      <c r="CF430">
        <v>1.4359999999999999</v>
      </c>
      <c r="CG430">
        <v>4</v>
      </c>
      <c r="CH430" s="1" t="s">
        <v>230</v>
      </c>
      <c r="CI430">
        <v>0</v>
      </c>
      <c r="CJ430" s="1" t="s">
        <v>238</v>
      </c>
      <c r="CK430">
        <v>2</v>
      </c>
      <c r="CL430" s="1" t="s">
        <v>373</v>
      </c>
      <c r="CM430">
        <v>79</v>
      </c>
      <c r="CN430" s="1" t="s">
        <v>1460</v>
      </c>
      <c r="CO430" s="1" t="s">
        <v>406</v>
      </c>
      <c r="CP430">
        <v>73.8</v>
      </c>
      <c r="CQ430" s="1" t="s">
        <v>4730</v>
      </c>
      <c r="CR430" s="1" t="s">
        <v>4731</v>
      </c>
      <c r="CS430" s="1" t="s">
        <v>4732</v>
      </c>
      <c r="CT430" s="1" t="s">
        <v>1754</v>
      </c>
      <c r="CU430" s="1" t="s">
        <v>3665</v>
      </c>
      <c r="CV430" s="1" t="s">
        <v>2625</v>
      </c>
      <c r="CW430">
        <v>92.95</v>
      </c>
      <c r="CX430">
        <v>86.9</v>
      </c>
      <c r="CY430">
        <v>93.4</v>
      </c>
      <c r="CZ430" s="1" t="s">
        <v>306</v>
      </c>
      <c r="DA430">
        <v>1</v>
      </c>
      <c r="DB430" t="s">
        <v>4727</v>
      </c>
      <c r="DC430">
        <v>120</v>
      </c>
      <c r="DD430" s="1" t="s">
        <v>4733</v>
      </c>
      <c r="DE430" s="1" t="s">
        <v>4734</v>
      </c>
      <c r="DF430" t="e">
        <f>_xlfn.XLOOKUP(Table1[[#This Row],[Player ID]],Table2[feed_id],Table2[trade_status])</f>
        <v>#N/A</v>
      </c>
      <c r="DG430">
        <f>_xlfn.NUMBERVALUE(Table1[[#This Row],[predicted]])</f>
        <v>92.763773037730701</v>
      </c>
    </row>
    <row r="431" spans="1:111" hidden="1" x14ac:dyDescent="0.25">
      <c r="A431">
        <v>116561</v>
      </c>
      <c r="B431">
        <v>8520</v>
      </c>
      <c r="C431" t="s">
        <v>4735</v>
      </c>
      <c r="D431" t="s">
        <v>1377</v>
      </c>
      <c r="E431">
        <v>2023</v>
      </c>
      <c r="F431">
        <v>296041</v>
      </c>
      <c r="G431" t="s">
        <v>1918</v>
      </c>
      <c r="H431" t="s">
        <v>4690</v>
      </c>
      <c r="I431" t="s">
        <v>712</v>
      </c>
      <c r="J431">
        <v>2</v>
      </c>
      <c r="K431">
        <v>21</v>
      </c>
      <c r="L431">
        <v>44</v>
      </c>
      <c r="M431">
        <v>11</v>
      </c>
      <c r="N431">
        <v>17</v>
      </c>
      <c r="O431">
        <v>21</v>
      </c>
      <c r="P431">
        <v>4</v>
      </c>
      <c r="Q431">
        <v>1</v>
      </c>
      <c r="R431">
        <v>2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 t="s">
        <v>113</v>
      </c>
      <c r="Z431" t="s">
        <v>114</v>
      </c>
      <c r="AA431" t="s">
        <v>4736</v>
      </c>
      <c r="AB431" t="s">
        <v>179</v>
      </c>
      <c r="AC431" t="s">
        <v>4737</v>
      </c>
      <c r="AE431">
        <v>0</v>
      </c>
      <c r="AH431" t="s">
        <v>155</v>
      </c>
      <c r="AI431">
        <v>22</v>
      </c>
      <c r="AJ431">
        <v>12</v>
      </c>
      <c r="AK431">
        <v>48.5</v>
      </c>
      <c r="AL431">
        <v>0</v>
      </c>
      <c r="AM431">
        <v>0</v>
      </c>
      <c r="AN431">
        <v>0.05</v>
      </c>
      <c r="AO431">
        <v>0.04</v>
      </c>
      <c r="AS431">
        <v>2</v>
      </c>
      <c r="AT431">
        <v>0</v>
      </c>
      <c r="AU431">
        <v>0</v>
      </c>
      <c r="AV431">
        <v>100</v>
      </c>
      <c r="AW431">
        <v>42</v>
      </c>
      <c r="AX431">
        <v>122</v>
      </c>
      <c r="AY431">
        <v>1</v>
      </c>
      <c r="AZ431" t="b">
        <v>1</v>
      </c>
      <c r="BA431">
        <v>1471</v>
      </c>
      <c r="BB431">
        <v>1824</v>
      </c>
      <c r="BC431">
        <v>15</v>
      </c>
      <c r="BD431" t="s">
        <v>4738</v>
      </c>
      <c r="BE431">
        <v>98</v>
      </c>
      <c r="BF431">
        <v>0</v>
      </c>
      <c r="BG431">
        <v>72</v>
      </c>
      <c r="BH431">
        <v>0</v>
      </c>
      <c r="BI431" s="1" t="s">
        <v>137</v>
      </c>
      <c r="BJ431" s="1" t="s">
        <v>1442</v>
      </c>
      <c r="BK431">
        <v>3</v>
      </c>
      <c r="BL431" s="1" t="s">
        <v>169</v>
      </c>
      <c r="BM431" s="1" t="s">
        <v>160</v>
      </c>
      <c r="BN431" s="1" t="s">
        <v>449</v>
      </c>
      <c r="BO431">
        <v>1</v>
      </c>
      <c r="BP431">
        <v>1</v>
      </c>
      <c r="BQ431">
        <v>0</v>
      </c>
      <c r="BR431">
        <v>0</v>
      </c>
      <c r="BS431" s="1" t="s">
        <v>129</v>
      </c>
      <c r="BT431" s="1" t="s">
        <v>130</v>
      </c>
      <c r="BU431">
        <v>0</v>
      </c>
      <c r="BV431">
        <v>0.4</v>
      </c>
      <c r="BW431">
        <v>0</v>
      </c>
      <c r="BX431">
        <v>6.6666666666666596E-2</v>
      </c>
      <c r="BY431">
        <v>0</v>
      </c>
      <c r="BZ431">
        <v>0</v>
      </c>
      <c r="CA431">
        <v>0</v>
      </c>
      <c r="CB431">
        <v>0</v>
      </c>
      <c r="CC431">
        <v>0.05</v>
      </c>
      <c r="CD431" s="1" t="s">
        <v>4739</v>
      </c>
      <c r="CE431">
        <v>0.04</v>
      </c>
      <c r="CF431" s="1" t="s">
        <v>4740</v>
      </c>
      <c r="CG431" s="1" t="s">
        <v>159</v>
      </c>
      <c r="CH431">
        <v>3.6</v>
      </c>
      <c r="CI431">
        <v>0</v>
      </c>
      <c r="CJ431">
        <v>0.2</v>
      </c>
      <c r="CK431" s="1" t="s">
        <v>128</v>
      </c>
      <c r="CL431" s="1" t="s">
        <v>298</v>
      </c>
      <c r="CM431" s="1" t="s">
        <v>437</v>
      </c>
      <c r="CN431" s="1" t="s">
        <v>2696</v>
      </c>
      <c r="CO431">
        <v>69</v>
      </c>
      <c r="CP431">
        <v>80.400000000000006</v>
      </c>
      <c r="CQ431" s="1" t="s">
        <v>4741</v>
      </c>
      <c r="CR431" s="1" t="s">
        <v>4742</v>
      </c>
      <c r="CS431" s="1" t="s">
        <v>4074</v>
      </c>
      <c r="CT431">
        <v>1709.8</v>
      </c>
      <c r="CU431" s="1" t="s">
        <v>4743</v>
      </c>
      <c r="CV431">
        <v>1577.6</v>
      </c>
      <c r="CW431">
        <v>65.900000000000006</v>
      </c>
      <c r="CX431">
        <v>58.4</v>
      </c>
      <c r="CY431">
        <v>53.4</v>
      </c>
      <c r="CZ431" s="1" t="s">
        <v>329</v>
      </c>
      <c r="DA431">
        <v>1</v>
      </c>
      <c r="DB431" t="s">
        <v>114</v>
      </c>
      <c r="DC431">
        <v>44</v>
      </c>
      <c r="DD431" s="1" t="s">
        <v>4744</v>
      </c>
      <c r="DE431">
        <v>-4.2727995687071303</v>
      </c>
      <c r="DF431" t="e">
        <f>_xlfn.XLOOKUP(Table1[[#This Row],[Player ID]],Table2[feed_id],Table2[trade_status])</f>
        <v>#N/A</v>
      </c>
      <c r="DG431">
        <f>_xlfn.NUMBERVALUE(Table1[[#This Row],[predicted]])</f>
        <v>48.2727995687071</v>
      </c>
    </row>
    <row r="432" spans="1:111" hidden="1" x14ac:dyDescent="0.25">
      <c r="A432">
        <v>116984</v>
      </c>
      <c r="B432">
        <v>8530</v>
      </c>
      <c r="C432" t="s">
        <v>4745</v>
      </c>
      <c r="D432" t="s">
        <v>616</v>
      </c>
      <c r="E432">
        <v>2023</v>
      </c>
      <c r="F432">
        <v>1001449</v>
      </c>
      <c r="G432" t="s">
        <v>1718</v>
      </c>
      <c r="H432" t="s">
        <v>4746</v>
      </c>
      <c r="I432" t="s">
        <v>712</v>
      </c>
      <c r="J432">
        <v>8</v>
      </c>
      <c r="K432">
        <v>40</v>
      </c>
      <c r="L432">
        <v>49</v>
      </c>
      <c r="M432">
        <v>52</v>
      </c>
      <c r="N432">
        <v>29</v>
      </c>
      <c r="O432">
        <v>39</v>
      </c>
      <c r="P432">
        <v>5</v>
      </c>
      <c r="Q432">
        <v>2</v>
      </c>
      <c r="R432">
        <v>1</v>
      </c>
      <c r="S432">
        <v>3</v>
      </c>
      <c r="T432">
        <v>0</v>
      </c>
      <c r="U432">
        <v>0</v>
      </c>
      <c r="V432">
        <v>0</v>
      </c>
      <c r="W432">
        <v>1</v>
      </c>
      <c r="X432">
        <v>0</v>
      </c>
      <c r="Y432" t="s">
        <v>113</v>
      </c>
      <c r="Z432" t="s">
        <v>116</v>
      </c>
      <c r="AA432" t="s">
        <v>4747</v>
      </c>
      <c r="AE432">
        <v>0</v>
      </c>
      <c r="AH432" t="s">
        <v>155</v>
      </c>
      <c r="AI432">
        <v>29</v>
      </c>
      <c r="AJ432">
        <v>12</v>
      </c>
      <c r="AK432">
        <v>59.92</v>
      </c>
      <c r="AL432">
        <v>0</v>
      </c>
      <c r="AM432">
        <v>0</v>
      </c>
      <c r="AN432">
        <v>0.12</v>
      </c>
      <c r="AO432">
        <v>0.06</v>
      </c>
      <c r="AS432">
        <v>3</v>
      </c>
      <c r="AT432">
        <v>0</v>
      </c>
      <c r="AU432">
        <v>1</v>
      </c>
      <c r="AV432">
        <v>85</v>
      </c>
      <c r="AW432">
        <v>61</v>
      </c>
      <c r="AX432">
        <v>188</v>
      </c>
      <c r="AY432">
        <v>1</v>
      </c>
      <c r="AZ432" t="b">
        <v>1</v>
      </c>
      <c r="BA432">
        <v>1723</v>
      </c>
      <c r="BB432">
        <v>1581</v>
      </c>
      <c r="BC432">
        <v>17</v>
      </c>
      <c r="BD432" t="s">
        <v>4748</v>
      </c>
      <c r="BE432">
        <v>100</v>
      </c>
      <c r="BF432">
        <v>0</v>
      </c>
      <c r="BG432">
        <v>72</v>
      </c>
      <c r="BH432">
        <v>0</v>
      </c>
      <c r="BI432" s="1" t="s">
        <v>397</v>
      </c>
      <c r="BJ432" s="1" t="s">
        <v>398</v>
      </c>
      <c r="BK432" s="1" t="s">
        <v>159</v>
      </c>
      <c r="BL432">
        <v>2.8</v>
      </c>
      <c r="BM432" s="1" t="s">
        <v>138</v>
      </c>
      <c r="BN432" s="1" t="s">
        <v>237</v>
      </c>
      <c r="BO432" s="1" t="s">
        <v>169</v>
      </c>
      <c r="BP432" s="1" t="s">
        <v>566</v>
      </c>
      <c r="BQ432">
        <v>0</v>
      </c>
      <c r="BR432" s="1" t="s">
        <v>184</v>
      </c>
      <c r="BS432">
        <v>1</v>
      </c>
      <c r="BT432" s="1" t="s">
        <v>399</v>
      </c>
      <c r="BU432">
        <v>1</v>
      </c>
      <c r="BV432" s="1" t="s">
        <v>130</v>
      </c>
      <c r="BW432" s="1" t="s">
        <v>128</v>
      </c>
      <c r="BX432" s="1" t="s">
        <v>130</v>
      </c>
      <c r="BY432" s="1" t="s">
        <v>128</v>
      </c>
      <c r="BZ432" s="1" t="s">
        <v>238</v>
      </c>
      <c r="CA432">
        <v>0</v>
      </c>
      <c r="CB432">
        <v>0</v>
      </c>
      <c r="CC432">
        <v>0.12</v>
      </c>
      <c r="CD432">
        <v>0.04</v>
      </c>
      <c r="CE432">
        <v>0.06</v>
      </c>
      <c r="CF432">
        <v>0.02</v>
      </c>
      <c r="CG432">
        <v>4</v>
      </c>
      <c r="CH432">
        <v>4.4000000000000004</v>
      </c>
      <c r="CI432">
        <v>0</v>
      </c>
      <c r="CJ432" s="1" t="s">
        <v>213</v>
      </c>
      <c r="CK432" s="1" t="s">
        <v>161</v>
      </c>
      <c r="CL432" s="1" t="s">
        <v>170</v>
      </c>
      <c r="CM432" s="1" t="s">
        <v>681</v>
      </c>
      <c r="CN432" s="1" t="s">
        <v>2914</v>
      </c>
      <c r="CO432">
        <v>71</v>
      </c>
      <c r="CP432" s="1" t="s">
        <v>241</v>
      </c>
      <c r="CQ432" s="1" t="s">
        <v>4749</v>
      </c>
      <c r="CR432" s="1" t="s">
        <v>4750</v>
      </c>
      <c r="CS432">
        <v>1671</v>
      </c>
      <c r="CT432" s="1" t="s">
        <v>4751</v>
      </c>
      <c r="CU432">
        <v>1626</v>
      </c>
      <c r="CV432" s="1" t="s">
        <v>4752</v>
      </c>
      <c r="CW432">
        <v>52.45</v>
      </c>
      <c r="CX432">
        <v>48</v>
      </c>
      <c r="CY432">
        <v>45.6</v>
      </c>
      <c r="CZ432" s="1" t="s">
        <v>283</v>
      </c>
      <c r="DA432">
        <v>1</v>
      </c>
      <c r="DB432" t="s">
        <v>116</v>
      </c>
      <c r="DC432">
        <v>49</v>
      </c>
      <c r="DD432" s="1" t="s">
        <v>4753</v>
      </c>
      <c r="DE432">
        <v>-14.3006179969244</v>
      </c>
      <c r="DF432" t="e">
        <f>_xlfn.XLOOKUP(Table1[[#This Row],[Player ID]],Table2[feed_id],Table2[trade_status])</f>
        <v>#N/A</v>
      </c>
      <c r="DG432">
        <f>_xlfn.NUMBERVALUE(Table1[[#This Row],[predicted]])</f>
        <v>63.300617996924402</v>
      </c>
    </row>
    <row r="433" spans="1:111" hidden="1" x14ac:dyDescent="0.25">
      <c r="A433">
        <v>117325</v>
      </c>
      <c r="B433">
        <v>8537</v>
      </c>
      <c r="C433" t="s">
        <v>4754</v>
      </c>
      <c r="D433" t="s">
        <v>653</v>
      </c>
      <c r="E433">
        <v>2023</v>
      </c>
      <c r="F433">
        <v>1009186</v>
      </c>
      <c r="G433" t="s">
        <v>4157</v>
      </c>
      <c r="H433" t="s">
        <v>4755</v>
      </c>
      <c r="I433" t="s">
        <v>112</v>
      </c>
      <c r="J433">
        <v>2</v>
      </c>
      <c r="K433">
        <v>34</v>
      </c>
      <c r="L433">
        <v>20</v>
      </c>
      <c r="M433">
        <v>16</v>
      </c>
      <c r="N433">
        <v>27</v>
      </c>
      <c r="O433">
        <v>36</v>
      </c>
      <c r="P433">
        <v>7</v>
      </c>
      <c r="Q433">
        <v>2</v>
      </c>
      <c r="R433">
        <v>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113</v>
      </c>
      <c r="Z433" t="s">
        <v>525</v>
      </c>
      <c r="AA433" t="s">
        <v>4756</v>
      </c>
      <c r="AB433" t="s">
        <v>3571</v>
      </c>
      <c r="AC433" t="s">
        <v>4081</v>
      </c>
      <c r="AH433" t="s">
        <v>118</v>
      </c>
      <c r="AI433">
        <v>8</v>
      </c>
      <c r="AJ433">
        <v>0</v>
      </c>
      <c r="AK433">
        <v>0</v>
      </c>
      <c r="AL433">
        <v>0</v>
      </c>
      <c r="AM433">
        <v>0.16</v>
      </c>
      <c r="AN433">
        <v>0.65</v>
      </c>
      <c r="AO433">
        <v>0.24</v>
      </c>
      <c r="AS433">
        <v>1</v>
      </c>
      <c r="AT433">
        <v>0</v>
      </c>
      <c r="AU433">
        <v>3</v>
      </c>
      <c r="AV433">
        <v>44</v>
      </c>
      <c r="AW433">
        <v>40</v>
      </c>
      <c r="AX433">
        <v>177</v>
      </c>
      <c r="AY433">
        <v>0</v>
      </c>
      <c r="AZ433" t="b">
        <v>0</v>
      </c>
      <c r="BA433">
        <v>1552</v>
      </c>
      <c r="BB433">
        <v>1731</v>
      </c>
      <c r="BC433">
        <v>18</v>
      </c>
      <c r="BD433" t="s">
        <v>4757</v>
      </c>
      <c r="BE433" s="1" t="s">
        <v>4325</v>
      </c>
      <c r="BF433">
        <v>0</v>
      </c>
      <c r="BG433">
        <v>73</v>
      </c>
      <c r="BH433">
        <v>0</v>
      </c>
      <c r="BI433" s="1" t="s">
        <v>183</v>
      </c>
      <c r="BJ433" s="1" t="s">
        <v>448</v>
      </c>
      <c r="BK433" s="1" t="s">
        <v>138</v>
      </c>
      <c r="BL433">
        <v>3.4</v>
      </c>
      <c r="BM433">
        <v>3</v>
      </c>
      <c r="BN433">
        <v>3.6</v>
      </c>
      <c r="BO433" s="1" t="s">
        <v>161</v>
      </c>
      <c r="BP433">
        <v>2.2000000000000002</v>
      </c>
      <c r="BQ433">
        <v>0</v>
      </c>
      <c r="BR433">
        <v>0</v>
      </c>
      <c r="BS433" s="1" t="s">
        <v>129</v>
      </c>
      <c r="BT433" s="1" t="s">
        <v>238</v>
      </c>
      <c r="BU433" s="1" t="s">
        <v>128</v>
      </c>
      <c r="BV433">
        <v>0.6</v>
      </c>
      <c r="BW433" s="1" t="s">
        <v>129</v>
      </c>
      <c r="BX433" s="1" t="s">
        <v>184</v>
      </c>
      <c r="BY433">
        <v>0</v>
      </c>
      <c r="BZ433" s="1" t="s">
        <v>213</v>
      </c>
      <c r="CA433">
        <v>5.3333333333333302E-2</v>
      </c>
      <c r="CB433" s="1" t="s">
        <v>4758</v>
      </c>
      <c r="CC433" s="1" t="s">
        <v>550</v>
      </c>
      <c r="CD433" s="1" t="s">
        <v>4693</v>
      </c>
      <c r="CE433">
        <v>0.08</v>
      </c>
      <c r="CF433">
        <v>1.6E-2</v>
      </c>
      <c r="CG433" s="1" t="s">
        <v>125</v>
      </c>
      <c r="CH433" s="1" t="s">
        <v>237</v>
      </c>
      <c r="CI433" s="1" t="s">
        <v>128</v>
      </c>
      <c r="CJ433" s="1" t="s">
        <v>128</v>
      </c>
      <c r="CK433" s="1" t="s">
        <v>159</v>
      </c>
      <c r="CL433" s="1" t="s">
        <v>169</v>
      </c>
      <c r="CM433">
        <v>73</v>
      </c>
      <c r="CN433" s="1" t="s">
        <v>4343</v>
      </c>
      <c r="CO433" s="1" t="s">
        <v>1291</v>
      </c>
      <c r="CP433" s="1" t="s">
        <v>4759</v>
      </c>
      <c r="CQ433">
        <v>167</v>
      </c>
      <c r="CR433" s="1" t="s">
        <v>4760</v>
      </c>
      <c r="CS433">
        <v>1655</v>
      </c>
      <c r="CT433">
        <v>1605.4</v>
      </c>
      <c r="CU433" s="1" t="s">
        <v>1097</v>
      </c>
      <c r="CV433" s="1" t="s">
        <v>4761</v>
      </c>
      <c r="CW433">
        <v>43.25</v>
      </c>
      <c r="CX433">
        <v>44.1</v>
      </c>
      <c r="CY433">
        <v>43</v>
      </c>
      <c r="CZ433" s="1" t="s">
        <v>2710</v>
      </c>
      <c r="DA433">
        <v>1</v>
      </c>
      <c r="DB433" t="s">
        <v>525</v>
      </c>
      <c r="DC433">
        <v>20</v>
      </c>
      <c r="DD433">
        <v>49.308585057786502</v>
      </c>
      <c r="DE433">
        <v>-29.308585057786502</v>
      </c>
      <c r="DF433" t="e">
        <f>_xlfn.XLOOKUP(Table1[[#This Row],[Player ID]],Table2[feed_id],Table2[trade_status])</f>
        <v>#N/A</v>
      </c>
      <c r="DG433">
        <f>_xlfn.NUMBERVALUE(Table1[[#This Row],[predicted]])</f>
        <v>49.308585057786502</v>
      </c>
    </row>
    <row r="434" spans="1:111" hidden="1" x14ac:dyDescent="0.25">
      <c r="A434">
        <v>118260</v>
      </c>
      <c r="B434">
        <v>8558</v>
      </c>
      <c r="C434" t="s">
        <v>4762</v>
      </c>
      <c r="D434" t="s">
        <v>709</v>
      </c>
      <c r="E434">
        <v>2023</v>
      </c>
      <c r="F434">
        <v>240399</v>
      </c>
      <c r="G434" t="s">
        <v>4763</v>
      </c>
      <c r="H434" t="s">
        <v>4764</v>
      </c>
      <c r="I434" t="s">
        <v>338</v>
      </c>
      <c r="J434">
        <v>21</v>
      </c>
      <c r="K434">
        <v>72</v>
      </c>
      <c r="L434">
        <v>93</v>
      </c>
      <c r="M434">
        <v>66</v>
      </c>
      <c r="N434">
        <v>64</v>
      </c>
      <c r="O434">
        <v>79</v>
      </c>
      <c r="P434">
        <v>6</v>
      </c>
      <c r="Q434">
        <v>5</v>
      </c>
      <c r="R434">
        <v>6</v>
      </c>
      <c r="S434">
        <v>3</v>
      </c>
      <c r="T434">
        <v>0</v>
      </c>
      <c r="U434">
        <v>1</v>
      </c>
      <c r="V434">
        <v>2</v>
      </c>
      <c r="W434">
        <v>3</v>
      </c>
      <c r="X434">
        <v>1</v>
      </c>
      <c r="Y434" t="s">
        <v>113</v>
      </c>
      <c r="Z434" t="s">
        <v>4765</v>
      </c>
      <c r="AA434" t="s">
        <v>4766</v>
      </c>
      <c r="AB434" t="s">
        <v>4767</v>
      </c>
      <c r="AC434" t="s">
        <v>4768</v>
      </c>
      <c r="AH434" t="s">
        <v>155</v>
      </c>
      <c r="AI434">
        <v>23</v>
      </c>
      <c r="AJ434">
        <v>0</v>
      </c>
      <c r="AK434">
        <v>0</v>
      </c>
      <c r="AL434">
        <v>0</v>
      </c>
      <c r="AM434">
        <v>0.23</v>
      </c>
      <c r="AN434">
        <v>0.26</v>
      </c>
      <c r="AO434">
        <v>0.36</v>
      </c>
      <c r="AS434">
        <v>5</v>
      </c>
      <c r="AT434">
        <v>0</v>
      </c>
      <c r="AU434">
        <v>4</v>
      </c>
      <c r="AV434">
        <v>81</v>
      </c>
      <c r="AW434">
        <v>90</v>
      </c>
      <c r="AX434">
        <v>213</v>
      </c>
      <c r="AY434">
        <v>0</v>
      </c>
      <c r="AZ434" t="b">
        <v>0</v>
      </c>
      <c r="BA434">
        <v>1588</v>
      </c>
      <c r="BB434">
        <v>1712</v>
      </c>
      <c r="BC434">
        <v>20</v>
      </c>
      <c r="BD434" t="s">
        <v>4769</v>
      </c>
      <c r="BE434">
        <v>98</v>
      </c>
      <c r="BF434">
        <v>0</v>
      </c>
      <c r="BG434">
        <v>72</v>
      </c>
      <c r="BH434">
        <v>1</v>
      </c>
      <c r="BI434" s="1" t="s">
        <v>545</v>
      </c>
      <c r="BJ434" s="1" t="s">
        <v>680</v>
      </c>
      <c r="BK434" s="1" t="s">
        <v>211</v>
      </c>
      <c r="BL434">
        <v>3</v>
      </c>
      <c r="BM434" s="1" t="s">
        <v>449</v>
      </c>
      <c r="BN434" s="1" t="s">
        <v>256</v>
      </c>
      <c r="BO434" s="1" t="s">
        <v>125</v>
      </c>
      <c r="BP434" s="1" t="s">
        <v>159</v>
      </c>
      <c r="BQ434">
        <v>0</v>
      </c>
      <c r="BR434">
        <v>0</v>
      </c>
      <c r="BS434" s="1" t="s">
        <v>159</v>
      </c>
      <c r="BT434" s="1" t="s">
        <v>126</v>
      </c>
      <c r="BU434" s="1" t="s">
        <v>161</v>
      </c>
      <c r="BV434">
        <v>2</v>
      </c>
      <c r="BW434" s="1" t="s">
        <v>159</v>
      </c>
      <c r="BX434">
        <v>1.4</v>
      </c>
      <c r="BY434" s="1" t="s">
        <v>126</v>
      </c>
      <c r="BZ434">
        <v>1</v>
      </c>
      <c r="CA434">
        <v>0.23</v>
      </c>
      <c r="CB434" s="1" t="s">
        <v>4770</v>
      </c>
      <c r="CC434">
        <v>0.26</v>
      </c>
      <c r="CD434" s="1" t="s">
        <v>4771</v>
      </c>
      <c r="CE434">
        <v>0.36</v>
      </c>
      <c r="CF434" s="1" t="s">
        <v>4772</v>
      </c>
      <c r="CG434" s="1" t="s">
        <v>124</v>
      </c>
      <c r="CH434" s="1" t="s">
        <v>436</v>
      </c>
      <c r="CI434" s="1" t="s">
        <v>129</v>
      </c>
      <c r="CJ434" s="1" t="s">
        <v>213</v>
      </c>
      <c r="CK434" s="1" t="s">
        <v>125</v>
      </c>
      <c r="CL434">
        <v>3.8</v>
      </c>
      <c r="CM434" s="1" t="s">
        <v>1176</v>
      </c>
      <c r="CN434" s="1" t="s">
        <v>1231</v>
      </c>
      <c r="CO434" s="1" t="s">
        <v>941</v>
      </c>
      <c r="CP434" s="1" t="s">
        <v>3448</v>
      </c>
      <c r="CQ434" s="1" t="s">
        <v>4773</v>
      </c>
      <c r="CR434">
        <v>150.19999999999999</v>
      </c>
      <c r="CS434" s="1" t="s">
        <v>2675</v>
      </c>
      <c r="CT434" s="1" t="s">
        <v>4774</v>
      </c>
      <c r="CU434">
        <v>1618</v>
      </c>
      <c r="CV434" s="1" t="s">
        <v>4775</v>
      </c>
      <c r="CW434">
        <v>63.9</v>
      </c>
      <c r="CX434">
        <v>61</v>
      </c>
      <c r="CY434">
        <v>64.599999999999994</v>
      </c>
      <c r="CZ434">
        <v>87</v>
      </c>
      <c r="DA434">
        <v>1</v>
      </c>
      <c r="DB434" t="s">
        <v>4765</v>
      </c>
      <c r="DC434">
        <v>93</v>
      </c>
      <c r="DD434" s="1" t="s">
        <v>4776</v>
      </c>
      <c r="DE434" s="1" t="s">
        <v>4777</v>
      </c>
      <c r="DF434" t="e">
        <f>_xlfn.XLOOKUP(Table1[[#This Row],[Player ID]],Table2[feed_id],Table2[trade_status])</f>
        <v>#N/A</v>
      </c>
      <c r="DG434">
        <f>_xlfn.NUMBERVALUE(Table1[[#This Row],[predicted]])</f>
        <v>70.7720550375697</v>
      </c>
    </row>
    <row r="435" spans="1:111" hidden="1" x14ac:dyDescent="0.25">
      <c r="A435">
        <v>118562</v>
      </c>
      <c r="B435">
        <v>8565</v>
      </c>
      <c r="C435" t="s">
        <v>4778</v>
      </c>
      <c r="D435" t="s">
        <v>762</v>
      </c>
      <c r="E435">
        <v>2023</v>
      </c>
      <c r="F435">
        <v>997501</v>
      </c>
      <c r="G435" t="s">
        <v>1332</v>
      </c>
      <c r="H435" t="s">
        <v>4779</v>
      </c>
      <c r="I435" t="s">
        <v>712</v>
      </c>
      <c r="J435">
        <v>2</v>
      </c>
      <c r="K435">
        <v>22</v>
      </c>
      <c r="L435">
        <v>23</v>
      </c>
      <c r="M435">
        <v>29</v>
      </c>
      <c r="N435">
        <v>19</v>
      </c>
      <c r="O435">
        <v>27</v>
      </c>
      <c r="P435">
        <v>5</v>
      </c>
      <c r="Q435">
        <v>2</v>
      </c>
      <c r="R435">
        <v>2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 t="s">
        <v>113</v>
      </c>
      <c r="Z435" t="s">
        <v>2050</v>
      </c>
      <c r="AA435" t="s">
        <v>4780</v>
      </c>
      <c r="AB435" t="s">
        <v>179</v>
      </c>
      <c r="AC435" t="s">
        <v>4781</v>
      </c>
      <c r="AE435">
        <v>0</v>
      </c>
      <c r="AH435" t="s">
        <v>181</v>
      </c>
      <c r="AI435">
        <v>43</v>
      </c>
      <c r="AJ435">
        <v>0</v>
      </c>
      <c r="AK435">
        <v>0</v>
      </c>
      <c r="AL435">
        <v>0</v>
      </c>
      <c r="AM435">
        <v>0</v>
      </c>
      <c r="AN435">
        <v>0.12</v>
      </c>
      <c r="AO435">
        <v>0.09</v>
      </c>
      <c r="AS435">
        <v>3</v>
      </c>
      <c r="AT435">
        <v>0</v>
      </c>
      <c r="AU435">
        <v>4</v>
      </c>
      <c r="AV435">
        <v>42</v>
      </c>
      <c r="AW435">
        <v>100</v>
      </c>
      <c r="AX435">
        <v>107</v>
      </c>
      <c r="AY435">
        <v>0</v>
      </c>
      <c r="AZ435" t="b">
        <v>0</v>
      </c>
      <c r="BA435">
        <v>1680</v>
      </c>
      <c r="BB435">
        <v>1607</v>
      </c>
      <c r="BC435">
        <v>21</v>
      </c>
      <c r="BD435" t="s">
        <v>4782</v>
      </c>
      <c r="BE435" s="1" t="s">
        <v>4118</v>
      </c>
      <c r="BF435">
        <v>0</v>
      </c>
      <c r="BG435">
        <v>71</v>
      </c>
      <c r="BH435">
        <v>0</v>
      </c>
      <c r="BI435" s="1" t="s">
        <v>397</v>
      </c>
      <c r="BJ435" s="1" t="s">
        <v>204</v>
      </c>
      <c r="BK435">
        <v>2</v>
      </c>
      <c r="BL435">
        <v>3.4</v>
      </c>
      <c r="BM435">
        <v>3</v>
      </c>
      <c r="BN435" s="1" t="s">
        <v>436</v>
      </c>
      <c r="BO435" s="1" t="s">
        <v>128</v>
      </c>
      <c r="BP435" s="1" t="s">
        <v>298</v>
      </c>
      <c r="BQ435">
        <v>0</v>
      </c>
      <c r="BR435">
        <v>0</v>
      </c>
      <c r="BS435">
        <v>0</v>
      </c>
      <c r="BT435" s="1" t="s">
        <v>128</v>
      </c>
      <c r="BU435" s="1" t="s">
        <v>129</v>
      </c>
      <c r="BV435" s="1" t="s">
        <v>130</v>
      </c>
      <c r="BW435">
        <v>0</v>
      </c>
      <c r="BX435">
        <v>6.6666666666666596E-2</v>
      </c>
      <c r="BY435">
        <v>0</v>
      </c>
      <c r="BZ435">
        <v>0</v>
      </c>
      <c r="CA435">
        <v>0</v>
      </c>
      <c r="CB435">
        <v>0</v>
      </c>
      <c r="CC435">
        <v>0.12</v>
      </c>
      <c r="CD435">
        <v>7.1999999999999995E-2</v>
      </c>
      <c r="CE435">
        <v>0.09</v>
      </c>
      <c r="CF435">
        <v>5.3999999999999999E-2</v>
      </c>
      <c r="CG435">
        <v>2</v>
      </c>
      <c r="CH435">
        <v>4</v>
      </c>
      <c r="CI435" s="1" t="s">
        <v>129</v>
      </c>
      <c r="CJ435" s="1" t="s">
        <v>213</v>
      </c>
      <c r="CK435">
        <v>3</v>
      </c>
      <c r="CL435">
        <v>1.8</v>
      </c>
      <c r="CM435" s="1" t="s">
        <v>558</v>
      </c>
      <c r="CN435" s="1" t="s">
        <v>2873</v>
      </c>
      <c r="CO435" s="1" t="s">
        <v>4783</v>
      </c>
      <c r="CP435" s="1" t="s">
        <v>4784</v>
      </c>
      <c r="CQ435" s="1" t="s">
        <v>3925</v>
      </c>
      <c r="CR435" s="1" t="s">
        <v>4785</v>
      </c>
      <c r="CS435" s="1" t="s">
        <v>2903</v>
      </c>
      <c r="CT435" s="1" t="s">
        <v>2376</v>
      </c>
      <c r="CU435" s="1" t="s">
        <v>721</v>
      </c>
      <c r="CV435" s="1" t="s">
        <v>4786</v>
      </c>
      <c r="CW435">
        <v>62.8</v>
      </c>
      <c r="CX435">
        <v>59.9</v>
      </c>
      <c r="CY435">
        <v>51.6</v>
      </c>
      <c r="CZ435">
        <v>40</v>
      </c>
      <c r="DA435">
        <v>1</v>
      </c>
      <c r="DB435" t="s">
        <v>2050</v>
      </c>
      <c r="DC435">
        <v>23</v>
      </c>
      <c r="DD435" s="1" t="s">
        <v>4787</v>
      </c>
      <c r="DE435">
        <v>-38.767283119399401</v>
      </c>
      <c r="DF435" t="str">
        <f>_xlfn.XLOOKUP(Table1[[#This Row],[Player ID]],Table2[feed_id],Table2[trade_status])</f>
        <v>free_agent</v>
      </c>
      <c r="DG435">
        <f>_xlfn.NUMBERVALUE(Table1[[#This Row],[predicted]])</f>
        <v>61.767283119399401</v>
      </c>
    </row>
    <row r="436" spans="1:111" hidden="1" x14ac:dyDescent="0.25">
      <c r="A436">
        <v>118563</v>
      </c>
      <c r="B436">
        <v>8565</v>
      </c>
      <c r="C436" t="s">
        <v>4778</v>
      </c>
      <c r="D436" t="s">
        <v>762</v>
      </c>
      <c r="E436">
        <v>2023</v>
      </c>
      <c r="F436">
        <v>291492</v>
      </c>
      <c r="G436" t="s">
        <v>1318</v>
      </c>
      <c r="H436" t="s">
        <v>4788</v>
      </c>
      <c r="I436" t="s">
        <v>712</v>
      </c>
      <c r="J436">
        <v>1</v>
      </c>
      <c r="K436">
        <v>21</v>
      </c>
      <c r="L436">
        <v>26</v>
      </c>
      <c r="M436">
        <v>28</v>
      </c>
      <c r="N436">
        <v>15</v>
      </c>
      <c r="O436">
        <v>18</v>
      </c>
      <c r="P436">
        <v>2</v>
      </c>
      <c r="Q436">
        <v>1</v>
      </c>
      <c r="R436">
        <v>1</v>
      </c>
      <c r="S436">
        <v>2</v>
      </c>
      <c r="T436">
        <v>0</v>
      </c>
      <c r="U436">
        <v>2</v>
      </c>
      <c r="V436">
        <v>0</v>
      </c>
      <c r="W436">
        <v>0</v>
      </c>
      <c r="X436">
        <v>0</v>
      </c>
      <c r="Y436" t="s">
        <v>113</v>
      </c>
      <c r="Z436" t="s">
        <v>114</v>
      </c>
      <c r="AA436" t="s">
        <v>4789</v>
      </c>
      <c r="AB436" t="s">
        <v>179</v>
      </c>
      <c r="AC436" t="s">
        <v>4790</v>
      </c>
      <c r="AH436" t="s">
        <v>155</v>
      </c>
      <c r="AI436">
        <v>17</v>
      </c>
      <c r="AJ436">
        <v>0</v>
      </c>
      <c r="AK436">
        <v>0</v>
      </c>
      <c r="AL436">
        <v>0</v>
      </c>
      <c r="AM436">
        <v>7.18</v>
      </c>
      <c r="AN436">
        <v>12.52</v>
      </c>
      <c r="AO436">
        <v>0.3</v>
      </c>
      <c r="AS436">
        <v>4</v>
      </c>
      <c r="AT436">
        <v>0</v>
      </c>
      <c r="AU436">
        <v>1</v>
      </c>
      <c r="AV436">
        <v>100</v>
      </c>
      <c r="AW436">
        <v>53</v>
      </c>
      <c r="AX436">
        <v>115</v>
      </c>
      <c r="AY436">
        <v>1</v>
      </c>
      <c r="AZ436" t="b">
        <v>1</v>
      </c>
      <c r="BA436">
        <v>1680</v>
      </c>
      <c r="BB436">
        <v>1607</v>
      </c>
      <c r="BC436">
        <v>21</v>
      </c>
      <c r="BD436" t="s">
        <v>4782</v>
      </c>
      <c r="BE436" s="1" t="s">
        <v>4118</v>
      </c>
      <c r="BF436">
        <v>0</v>
      </c>
      <c r="BG436">
        <v>71</v>
      </c>
      <c r="BH436">
        <v>0</v>
      </c>
      <c r="BI436">
        <v>3</v>
      </c>
      <c r="BJ436" s="1" t="s">
        <v>205</v>
      </c>
      <c r="BK436" s="1" t="s">
        <v>138</v>
      </c>
      <c r="BL436">
        <v>4.2</v>
      </c>
      <c r="BM436" s="1" t="s">
        <v>169</v>
      </c>
      <c r="BN436" s="1" t="s">
        <v>212</v>
      </c>
      <c r="BO436">
        <v>1</v>
      </c>
      <c r="BP436" s="1" t="s">
        <v>161</v>
      </c>
      <c r="BQ436">
        <v>0</v>
      </c>
      <c r="BR436" s="1" t="s">
        <v>298</v>
      </c>
      <c r="BS436">
        <v>1</v>
      </c>
      <c r="BT436" s="1" t="s">
        <v>238</v>
      </c>
      <c r="BU436">
        <v>1</v>
      </c>
      <c r="BV436" s="1" t="s">
        <v>206</v>
      </c>
      <c r="BW436">
        <v>0</v>
      </c>
      <c r="BX436">
        <v>0.4</v>
      </c>
      <c r="BY436">
        <v>0</v>
      </c>
      <c r="BZ436" s="1" t="s">
        <v>129</v>
      </c>
      <c r="CA436">
        <v>7.18</v>
      </c>
      <c r="CB436" s="1" t="s">
        <v>4791</v>
      </c>
      <c r="CC436">
        <v>12.52</v>
      </c>
      <c r="CD436" s="1" t="s">
        <v>4792</v>
      </c>
      <c r="CE436">
        <v>0.3</v>
      </c>
      <c r="CF436">
        <v>0.16</v>
      </c>
      <c r="CG436">
        <v>3</v>
      </c>
      <c r="CH436" s="1" t="s">
        <v>587</v>
      </c>
      <c r="CI436">
        <v>0</v>
      </c>
      <c r="CJ436">
        <v>0.2</v>
      </c>
      <c r="CK436" s="1" t="s">
        <v>159</v>
      </c>
      <c r="CL436" s="1" t="s">
        <v>140</v>
      </c>
      <c r="CM436">
        <v>90</v>
      </c>
      <c r="CN436">
        <v>77.8</v>
      </c>
      <c r="CO436" s="1" t="s">
        <v>1110</v>
      </c>
      <c r="CP436" s="1" t="s">
        <v>1491</v>
      </c>
      <c r="CQ436">
        <v>102</v>
      </c>
      <c r="CR436">
        <v>107.6</v>
      </c>
      <c r="CS436">
        <v>1642</v>
      </c>
      <c r="CT436" s="1" t="s">
        <v>3385</v>
      </c>
      <c r="CU436" s="1" t="s">
        <v>3472</v>
      </c>
      <c r="CV436">
        <v>1642</v>
      </c>
      <c r="CW436">
        <v>48.6</v>
      </c>
      <c r="CX436">
        <v>48.1</v>
      </c>
      <c r="CY436">
        <v>42</v>
      </c>
      <c r="CZ436" s="1" t="s">
        <v>536</v>
      </c>
      <c r="DA436">
        <v>1</v>
      </c>
      <c r="DB436" t="s">
        <v>114</v>
      </c>
      <c r="DC436">
        <v>26</v>
      </c>
      <c r="DD436" s="1" t="s">
        <v>4793</v>
      </c>
      <c r="DE436">
        <v>-8.93627909034781</v>
      </c>
      <c r="DF436" t="e">
        <f>_xlfn.XLOOKUP(Table1[[#This Row],[Player ID]],Table2[feed_id],Table2[trade_status])</f>
        <v>#N/A</v>
      </c>
      <c r="DG436">
        <f>_xlfn.NUMBERVALUE(Table1[[#This Row],[predicted]])</f>
        <v>34.936279090347803</v>
      </c>
    </row>
    <row r="437" spans="1:111" hidden="1" x14ac:dyDescent="0.25">
      <c r="A437">
        <v>118842</v>
      </c>
      <c r="B437">
        <v>8571</v>
      </c>
      <c r="C437" t="s">
        <v>4794</v>
      </c>
      <c r="D437" t="s">
        <v>762</v>
      </c>
      <c r="E437">
        <v>2023</v>
      </c>
      <c r="F437">
        <v>1004909</v>
      </c>
      <c r="G437" t="s">
        <v>4008</v>
      </c>
      <c r="H437" t="s">
        <v>3007</v>
      </c>
      <c r="I437" t="s">
        <v>813</v>
      </c>
      <c r="J437">
        <v>16</v>
      </c>
      <c r="K437">
        <v>71</v>
      </c>
      <c r="L437">
        <v>76</v>
      </c>
      <c r="M437">
        <v>67</v>
      </c>
      <c r="N437">
        <v>52</v>
      </c>
      <c r="O437">
        <v>69</v>
      </c>
      <c r="P437">
        <v>7</v>
      </c>
      <c r="Q437">
        <v>5</v>
      </c>
      <c r="R437">
        <v>5</v>
      </c>
      <c r="S437">
        <v>6</v>
      </c>
      <c r="T437">
        <v>0</v>
      </c>
      <c r="U437">
        <v>1</v>
      </c>
      <c r="V437">
        <v>0</v>
      </c>
      <c r="W437">
        <v>0</v>
      </c>
      <c r="X437">
        <v>0</v>
      </c>
      <c r="Y437" t="s">
        <v>113</v>
      </c>
      <c r="Z437" t="s">
        <v>226</v>
      </c>
      <c r="AA437" t="s">
        <v>2292</v>
      </c>
      <c r="AH437" t="s">
        <v>181</v>
      </c>
      <c r="AI437">
        <v>17</v>
      </c>
      <c r="AJ437">
        <v>0</v>
      </c>
      <c r="AK437">
        <v>0</v>
      </c>
      <c r="AL437">
        <v>0</v>
      </c>
      <c r="AM437">
        <v>0.04</v>
      </c>
      <c r="AN437">
        <v>0.1</v>
      </c>
      <c r="AO437">
        <v>0.1</v>
      </c>
      <c r="AS437">
        <v>5</v>
      </c>
      <c r="AT437">
        <v>0</v>
      </c>
      <c r="AU437">
        <v>3</v>
      </c>
      <c r="AV437">
        <v>83</v>
      </c>
      <c r="AW437">
        <v>85</v>
      </c>
      <c r="AX437">
        <v>278</v>
      </c>
      <c r="AY437">
        <v>0</v>
      </c>
      <c r="AZ437" t="b">
        <v>0</v>
      </c>
      <c r="BA437">
        <v>1810</v>
      </c>
      <c r="BB437">
        <v>1465</v>
      </c>
      <c r="BC437">
        <v>21</v>
      </c>
      <c r="BD437" t="s">
        <v>4795</v>
      </c>
      <c r="BE437" s="1" t="s">
        <v>4118</v>
      </c>
      <c r="BF437">
        <v>0</v>
      </c>
      <c r="BG437">
        <v>71</v>
      </c>
      <c r="BH437">
        <v>1</v>
      </c>
      <c r="BI437" s="1" t="s">
        <v>204</v>
      </c>
      <c r="BJ437" s="1" t="s">
        <v>1239</v>
      </c>
      <c r="BK437">
        <v>5</v>
      </c>
      <c r="BL437">
        <v>5.4</v>
      </c>
      <c r="BM437">
        <v>4</v>
      </c>
      <c r="BN437" s="1" t="s">
        <v>374</v>
      </c>
      <c r="BO437" s="1" t="s">
        <v>125</v>
      </c>
      <c r="BP437" s="1" t="s">
        <v>528</v>
      </c>
      <c r="BQ437">
        <v>0</v>
      </c>
      <c r="BR437">
        <v>0</v>
      </c>
      <c r="BS437" s="1" t="s">
        <v>128</v>
      </c>
      <c r="BT437">
        <v>0.8</v>
      </c>
      <c r="BU437">
        <v>0</v>
      </c>
      <c r="BV437">
        <v>0.8</v>
      </c>
      <c r="BW437">
        <v>0</v>
      </c>
      <c r="BX437">
        <v>6.6666666666666596E-2</v>
      </c>
      <c r="BY437">
        <v>0</v>
      </c>
      <c r="BZ437">
        <v>6.6666666666666596E-2</v>
      </c>
      <c r="CA437">
        <v>0.04</v>
      </c>
      <c r="CB437" s="1" t="s">
        <v>4758</v>
      </c>
      <c r="CC437">
        <v>0.1</v>
      </c>
      <c r="CD437">
        <v>2.6666666666666599E-2</v>
      </c>
      <c r="CE437">
        <v>0.1</v>
      </c>
      <c r="CF437">
        <v>2.6666666666666599E-2</v>
      </c>
      <c r="CG437">
        <v>4</v>
      </c>
      <c r="CH437">
        <v>3.6</v>
      </c>
      <c r="CI437">
        <v>0</v>
      </c>
      <c r="CJ437" s="1" t="s">
        <v>213</v>
      </c>
      <c r="CK437">
        <v>3</v>
      </c>
      <c r="CL437" s="1" t="s">
        <v>322</v>
      </c>
      <c r="CM437" s="1" t="s">
        <v>755</v>
      </c>
      <c r="CN437" s="1" t="s">
        <v>2600</v>
      </c>
      <c r="CO437" s="1" t="s">
        <v>142</v>
      </c>
      <c r="CP437">
        <v>85.6</v>
      </c>
      <c r="CQ437" s="1" t="s">
        <v>4796</v>
      </c>
      <c r="CR437" s="1" t="s">
        <v>4797</v>
      </c>
      <c r="CS437" s="1" t="s">
        <v>4798</v>
      </c>
      <c r="CT437" s="1" t="s">
        <v>4799</v>
      </c>
      <c r="CU437">
        <v>1756</v>
      </c>
      <c r="CV437">
        <v>1764.4</v>
      </c>
      <c r="CW437">
        <v>68</v>
      </c>
      <c r="CX437">
        <v>70</v>
      </c>
      <c r="CY437">
        <v>63.8</v>
      </c>
      <c r="CZ437" s="1" t="s">
        <v>329</v>
      </c>
      <c r="DA437">
        <v>1</v>
      </c>
      <c r="DB437" t="s">
        <v>226</v>
      </c>
      <c r="DC437">
        <v>76</v>
      </c>
      <c r="DD437" s="1" t="s">
        <v>4800</v>
      </c>
      <c r="DE437">
        <v>-13.451452121153</v>
      </c>
      <c r="DF437" t="e">
        <f>_xlfn.XLOOKUP(Table1[[#This Row],[Player ID]],Table2[feed_id],Table2[trade_status])</f>
        <v>#N/A</v>
      </c>
      <c r="DG437">
        <f>_xlfn.NUMBERVALUE(Table1[[#This Row],[predicted]])</f>
        <v>89.451452121152997</v>
      </c>
    </row>
    <row r="438" spans="1:111" hidden="1" x14ac:dyDescent="0.25">
      <c r="A438">
        <v>119236</v>
      </c>
      <c r="B438">
        <v>8580</v>
      </c>
      <c r="C438" t="s">
        <v>4801</v>
      </c>
      <c r="D438" t="s">
        <v>810</v>
      </c>
      <c r="E438">
        <v>2023</v>
      </c>
      <c r="F438">
        <v>1005547</v>
      </c>
      <c r="G438" t="s">
        <v>1318</v>
      </c>
      <c r="H438" t="s">
        <v>4802</v>
      </c>
      <c r="I438" t="s">
        <v>178</v>
      </c>
      <c r="J438">
        <v>7</v>
      </c>
      <c r="K438">
        <v>31</v>
      </c>
      <c r="L438">
        <v>27</v>
      </c>
      <c r="M438">
        <v>39</v>
      </c>
      <c r="N438">
        <v>26</v>
      </c>
      <c r="O438">
        <v>31</v>
      </c>
      <c r="P438">
        <v>3</v>
      </c>
      <c r="Q438">
        <v>1</v>
      </c>
      <c r="R438">
        <v>3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1</v>
      </c>
      <c r="Y438" t="s">
        <v>113</v>
      </c>
      <c r="Z438" t="s">
        <v>4803</v>
      </c>
      <c r="AA438" t="s">
        <v>4804</v>
      </c>
      <c r="AH438" t="s">
        <v>155</v>
      </c>
      <c r="AI438">
        <v>19</v>
      </c>
      <c r="AJ438">
        <v>0</v>
      </c>
      <c r="AK438">
        <v>0</v>
      </c>
      <c r="AL438">
        <v>0</v>
      </c>
      <c r="AM438">
        <v>0.7</v>
      </c>
      <c r="AN438">
        <v>0.56000000000000005</v>
      </c>
      <c r="AO438">
        <v>0.2</v>
      </c>
      <c r="AS438">
        <v>1</v>
      </c>
      <c r="AT438">
        <v>0</v>
      </c>
      <c r="AU438">
        <v>1</v>
      </c>
      <c r="AV438">
        <v>50</v>
      </c>
      <c r="AW438">
        <v>75</v>
      </c>
      <c r="AX438">
        <v>-1</v>
      </c>
      <c r="AY438">
        <v>1</v>
      </c>
      <c r="AZ438" t="b">
        <v>0</v>
      </c>
      <c r="BA438">
        <v>1636</v>
      </c>
      <c r="BB438">
        <v>1649</v>
      </c>
      <c r="BC438">
        <v>22</v>
      </c>
      <c r="BD438" t="s">
        <v>4805</v>
      </c>
      <c r="BE438" s="1" t="s">
        <v>4806</v>
      </c>
      <c r="BF438">
        <v>0</v>
      </c>
      <c r="BG438">
        <v>71</v>
      </c>
      <c r="BH438">
        <v>0</v>
      </c>
      <c r="BI438" s="1" t="s">
        <v>449</v>
      </c>
      <c r="BJ438" s="1" t="s">
        <v>124</v>
      </c>
      <c r="BK438">
        <v>2</v>
      </c>
      <c r="BL438" s="1" t="s">
        <v>640</v>
      </c>
      <c r="BM438">
        <v>5</v>
      </c>
      <c r="BN438" s="1" t="s">
        <v>781</v>
      </c>
      <c r="BO438" s="1" t="s">
        <v>129</v>
      </c>
      <c r="BP438" s="1" t="s">
        <v>128</v>
      </c>
      <c r="BQ438">
        <v>0</v>
      </c>
      <c r="BR438">
        <v>0</v>
      </c>
      <c r="BS438" s="1" t="s">
        <v>129</v>
      </c>
      <c r="BT438" s="1" t="s">
        <v>231</v>
      </c>
      <c r="BU438" s="1" t="s">
        <v>129</v>
      </c>
      <c r="BV438" s="1" t="s">
        <v>231</v>
      </c>
      <c r="BW438">
        <v>1</v>
      </c>
      <c r="BX438">
        <v>1.2</v>
      </c>
      <c r="BY438">
        <v>1</v>
      </c>
      <c r="BZ438" s="1" t="s">
        <v>128</v>
      </c>
      <c r="CA438">
        <v>0.7</v>
      </c>
      <c r="CB438" s="1" t="s">
        <v>4807</v>
      </c>
      <c r="CC438">
        <v>0.56000000000000005</v>
      </c>
      <c r="CD438" s="1" t="s">
        <v>3619</v>
      </c>
      <c r="CE438">
        <v>0.2</v>
      </c>
      <c r="CF438">
        <v>5.3333333333333302E-2</v>
      </c>
      <c r="CG438" s="1" t="s">
        <v>159</v>
      </c>
      <c r="CH438">
        <v>3.6</v>
      </c>
      <c r="CI438">
        <v>0</v>
      </c>
      <c r="CJ438">
        <v>0</v>
      </c>
      <c r="CK438" s="1" t="s">
        <v>128</v>
      </c>
      <c r="CL438" s="1" t="s">
        <v>161</v>
      </c>
      <c r="CM438" s="1" t="s">
        <v>572</v>
      </c>
      <c r="CN438" s="1" t="s">
        <v>2949</v>
      </c>
      <c r="CO438" s="1" t="s">
        <v>683</v>
      </c>
      <c r="CP438">
        <v>73.8</v>
      </c>
      <c r="CQ438" s="1" t="s">
        <v>1406</v>
      </c>
      <c r="CR438" s="1" t="s">
        <v>4483</v>
      </c>
      <c r="CS438">
        <v>1645</v>
      </c>
      <c r="CT438">
        <v>1582</v>
      </c>
      <c r="CU438">
        <v>1647</v>
      </c>
      <c r="CV438" s="1" t="s">
        <v>4808</v>
      </c>
      <c r="CW438">
        <v>48.15</v>
      </c>
      <c r="CX438">
        <v>43.1</v>
      </c>
      <c r="CY438">
        <v>29.2</v>
      </c>
      <c r="CZ438" s="1" t="s">
        <v>667</v>
      </c>
      <c r="DA438">
        <v>1</v>
      </c>
      <c r="DB438" t="s">
        <v>4803</v>
      </c>
      <c r="DC438">
        <v>27</v>
      </c>
      <c r="DD438" s="1" t="s">
        <v>4809</v>
      </c>
      <c r="DE438">
        <v>-30.033355234622199</v>
      </c>
      <c r="DF438" t="e">
        <f>_xlfn.XLOOKUP(Table1[[#This Row],[Player ID]],Table2[feed_id],Table2[trade_status])</f>
        <v>#N/A</v>
      </c>
      <c r="DG438">
        <f>_xlfn.NUMBERVALUE(Table1[[#This Row],[predicted]])</f>
        <v>57.033355234622199</v>
      </c>
    </row>
    <row r="439" spans="1:111" hidden="1" x14ac:dyDescent="0.25">
      <c r="A439">
        <v>119313</v>
      </c>
      <c r="B439">
        <v>8582</v>
      </c>
      <c r="C439" t="s">
        <v>4810</v>
      </c>
      <c r="D439" t="s">
        <v>109</v>
      </c>
      <c r="E439">
        <v>2023</v>
      </c>
      <c r="F439">
        <v>280921</v>
      </c>
      <c r="G439" t="s">
        <v>670</v>
      </c>
      <c r="H439" t="s">
        <v>4811</v>
      </c>
      <c r="I439" t="s">
        <v>813</v>
      </c>
      <c r="J439">
        <v>15</v>
      </c>
      <c r="K439">
        <v>80</v>
      </c>
      <c r="L439">
        <v>95</v>
      </c>
      <c r="M439">
        <v>95</v>
      </c>
      <c r="N439">
        <v>68</v>
      </c>
      <c r="O439">
        <v>96</v>
      </c>
      <c r="P439">
        <v>8</v>
      </c>
      <c r="Q439">
        <v>16</v>
      </c>
      <c r="R439">
        <v>1</v>
      </c>
      <c r="S439">
        <v>3</v>
      </c>
      <c r="T439">
        <v>0</v>
      </c>
      <c r="U439">
        <v>0</v>
      </c>
      <c r="V439">
        <v>1</v>
      </c>
      <c r="W439">
        <v>2</v>
      </c>
      <c r="X439">
        <v>0</v>
      </c>
      <c r="Y439" t="s">
        <v>113</v>
      </c>
      <c r="Z439" t="s">
        <v>1757</v>
      </c>
      <c r="AA439" t="s">
        <v>4812</v>
      </c>
      <c r="AB439" t="s">
        <v>877</v>
      </c>
      <c r="AC439" t="s">
        <v>1814</v>
      </c>
      <c r="AE439">
        <v>0</v>
      </c>
      <c r="AH439" t="s">
        <v>118</v>
      </c>
      <c r="AI439">
        <v>10</v>
      </c>
      <c r="AJ439">
        <v>21</v>
      </c>
      <c r="AK439">
        <v>94.29</v>
      </c>
      <c r="AL439">
        <v>0</v>
      </c>
      <c r="AM439">
        <v>0</v>
      </c>
      <c r="AN439">
        <v>9.9700000000000006</v>
      </c>
      <c r="AO439">
        <v>3.85</v>
      </c>
      <c r="AS439">
        <v>16</v>
      </c>
      <c r="AT439">
        <v>10</v>
      </c>
      <c r="AU439">
        <v>4</v>
      </c>
      <c r="AV439">
        <v>83</v>
      </c>
      <c r="AW439">
        <v>63</v>
      </c>
      <c r="AX439">
        <v>41</v>
      </c>
      <c r="AY439">
        <v>0</v>
      </c>
      <c r="AZ439" t="b">
        <v>1</v>
      </c>
      <c r="BA439">
        <v>1730</v>
      </c>
      <c r="BB439">
        <v>1555</v>
      </c>
      <c r="BC439">
        <v>23</v>
      </c>
      <c r="BD439" t="s">
        <v>4813</v>
      </c>
      <c r="BE439">
        <v>95</v>
      </c>
      <c r="BF439">
        <v>1</v>
      </c>
      <c r="BG439">
        <v>72</v>
      </c>
      <c r="BH439">
        <v>1</v>
      </c>
      <c r="BI439">
        <v>6</v>
      </c>
      <c r="BJ439">
        <v>9</v>
      </c>
      <c r="BK439" s="1" t="s">
        <v>121</v>
      </c>
      <c r="BL439">
        <v>12</v>
      </c>
      <c r="BM439" s="1" t="s">
        <v>159</v>
      </c>
      <c r="BN439">
        <v>3.6</v>
      </c>
      <c r="BO439" s="1" t="s">
        <v>159</v>
      </c>
      <c r="BP439">
        <v>3</v>
      </c>
      <c r="BQ439">
        <v>0</v>
      </c>
      <c r="BR439">
        <v>0</v>
      </c>
      <c r="BS439" s="1" t="s">
        <v>129</v>
      </c>
      <c r="BT439">
        <v>1</v>
      </c>
      <c r="BU439" s="1" t="s">
        <v>129</v>
      </c>
      <c r="BV439">
        <v>1.2</v>
      </c>
      <c r="BW439">
        <v>1</v>
      </c>
      <c r="BX439">
        <v>0.4</v>
      </c>
      <c r="BY439">
        <v>0</v>
      </c>
      <c r="BZ439" s="1" t="s">
        <v>129</v>
      </c>
      <c r="CA439">
        <v>0</v>
      </c>
      <c r="CB439" s="1" t="s">
        <v>4814</v>
      </c>
      <c r="CC439">
        <v>9.9700000000000006</v>
      </c>
      <c r="CD439">
        <v>5.9820000000000002</v>
      </c>
      <c r="CE439">
        <v>3.85</v>
      </c>
      <c r="CF439">
        <v>2.31</v>
      </c>
      <c r="CG439">
        <v>13</v>
      </c>
      <c r="CH439" s="1" t="s">
        <v>1672</v>
      </c>
      <c r="CI439">
        <v>7</v>
      </c>
      <c r="CJ439">
        <v>5.4</v>
      </c>
      <c r="CK439">
        <v>2</v>
      </c>
      <c r="CL439" s="1" t="s">
        <v>138</v>
      </c>
      <c r="CM439" s="1" t="s">
        <v>630</v>
      </c>
      <c r="CN439" s="1" t="s">
        <v>3657</v>
      </c>
      <c r="CO439" s="1" t="s">
        <v>609</v>
      </c>
      <c r="CP439">
        <v>69.8</v>
      </c>
      <c r="CQ439" s="1" t="s">
        <v>4815</v>
      </c>
      <c r="CR439" s="1" t="s">
        <v>4816</v>
      </c>
      <c r="CS439" s="1" t="s">
        <v>4186</v>
      </c>
      <c r="CT439">
        <v>1576.8</v>
      </c>
      <c r="CU439" s="1" t="s">
        <v>4817</v>
      </c>
      <c r="CV439" s="1" t="s">
        <v>4818</v>
      </c>
      <c r="CW439">
        <v>91.45</v>
      </c>
      <c r="CX439">
        <v>68.2</v>
      </c>
      <c r="CY439">
        <v>78.2</v>
      </c>
      <c r="CZ439">
        <v>79</v>
      </c>
      <c r="DA439">
        <v>1</v>
      </c>
      <c r="DB439" t="s">
        <v>1757</v>
      </c>
      <c r="DC439">
        <v>95</v>
      </c>
      <c r="DD439" s="1" t="s">
        <v>4819</v>
      </c>
      <c r="DE439" s="1" t="s">
        <v>4820</v>
      </c>
      <c r="DF439" t="e">
        <f>_xlfn.XLOOKUP(Table1[[#This Row],[Player ID]],Table2[feed_id],Table2[trade_status])</f>
        <v>#N/A</v>
      </c>
      <c r="DG439">
        <f>_xlfn.NUMBERVALUE(Table1[[#This Row],[predicted]])</f>
        <v>88.191154692369096</v>
      </c>
    </row>
    <row r="440" spans="1:111" hidden="1" x14ac:dyDescent="0.25">
      <c r="A440">
        <v>119393</v>
      </c>
      <c r="B440">
        <v>8583</v>
      </c>
      <c r="C440" t="s">
        <v>4821</v>
      </c>
      <c r="D440" t="s">
        <v>109</v>
      </c>
      <c r="E440">
        <v>2023</v>
      </c>
      <c r="F440">
        <v>999715</v>
      </c>
      <c r="G440" t="s">
        <v>4822</v>
      </c>
      <c r="H440" t="s">
        <v>4823</v>
      </c>
      <c r="I440" t="s">
        <v>524</v>
      </c>
      <c r="J440">
        <v>3</v>
      </c>
      <c r="K440">
        <v>39</v>
      </c>
      <c r="L440">
        <v>47</v>
      </c>
      <c r="M440">
        <v>20</v>
      </c>
      <c r="N440">
        <v>33</v>
      </c>
      <c r="O440">
        <v>45</v>
      </c>
      <c r="P440">
        <v>8</v>
      </c>
      <c r="Q440">
        <v>3</v>
      </c>
      <c r="R440">
        <v>3</v>
      </c>
      <c r="S440">
        <v>1</v>
      </c>
      <c r="T440">
        <v>0</v>
      </c>
      <c r="U440">
        <v>2</v>
      </c>
      <c r="V440">
        <v>2</v>
      </c>
      <c r="W440">
        <v>0</v>
      </c>
      <c r="X440">
        <v>0</v>
      </c>
      <c r="Y440" t="s">
        <v>113</v>
      </c>
      <c r="Z440" t="s">
        <v>226</v>
      </c>
      <c r="AA440" t="s">
        <v>4824</v>
      </c>
      <c r="AH440" t="s">
        <v>118</v>
      </c>
      <c r="AI440">
        <v>50</v>
      </c>
      <c r="AJ440">
        <v>0</v>
      </c>
      <c r="AK440">
        <v>0</v>
      </c>
      <c r="AL440">
        <v>0</v>
      </c>
      <c r="AM440">
        <v>0.12</v>
      </c>
      <c r="AN440">
        <v>0.05</v>
      </c>
      <c r="AO440">
        <v>0.05</v>
      </c>
      <c r="AS440">
        <v>4</v>
      </c>
      <c r="AT440">
        <v>0</v>
      </c>
      <c r="AU440">
        <v>3</v>
      </c>
      <c r="AV440">
        <v>81</v>
      </c>
      <c r="AW440">
        <v>74</v>
      </c>
      <c r="AX440">
        <v>173</v>
      </c>
      <c r="AY440">
        <v>0</v>
      </c>
      <c r="AZ440" t="b">
        <v>0</v>
      </c>
      <c r="BA440">
        <v>1774</v>
      </c>
      <c r="BB440">
        <v>1502</v>
      </c>
      <c r="BC440">
        <v>23</v>
      </c>
      <c r="BD440" t="s">
        <v>4825</v>
      </c>
      <c r="BE440">
        <v>95</v>
      </c>
      <c r="BF440">
        <v>0</v>
      </c>
      <c r="BG440">
        <v>72</v>
      </c>
      <c r="BH440">
        <v>0</v>
      </c>
      <c r="BI440">
        <v>5</v>
      </c>
      <c r="BJ440" s="1" t="s">
        <v>398</v>
      </c>
      <c r="BK440" s="1" t="s">
        <v>126</v>
      </c>
      <c r="BL440">
        <v>3</v>
      </c>
      <c r="BM440">
        <v>3</v>
      </c>
      <c r="BN440">
        <v>3.2</v>
      </c>
      <c r="BO440">
        <v>3</v>
      </c>
      <c r="BP440" s="1" t="s">
        <v>304</v>
      </c>
      <c r="BQ440">
        <v>0</v>
      </c>
      <c r="BR440">
        <v>0</v>
      </c>
      <c r="BS440">
        <v>1</v>
      </c>
      <c r="BT440" s="1" t="s">
        <v>128</v>
      </c>
      <c r="BU440" s="1" t="s">
        <v>128</v>
      </c>
      <c r="BV440">
        <v>0.6</v>
      </c>
      <c r="BW440" s="1" t="s">
        <v>129</v>
      </c>
      <c r="BX440">
        <v>6.6666666666666596E-2</v>
      </c>
      <c r="BY440">
        <v>0</v>
      </c>
      <c r="BZ440">
        <v>6.6666666666666596E-2</v>
      </c>
      <c r="CA440">
        <v>0.12</v>
      </c>
      <c r="CB440">
        <v>7.1999999999999995E-2</v>
      </c>
      <c r="CC440">
        <v>0.05</v>
      </c>
      <c r="CD440" s="1" t="s">
        <v>4826</v>
      </c>
      <c r="CE440">
        <v>0.05</v>
      </c>
      <c r="CF440" s="1" t="s">
        <v>4826</v>
      </c>
      <c r="CG440">
        <v>3</v>
      </c>
      <c r="CH440">
        <v>3.8</v>
      </c>
      <c r="CI440">
        <v>0</v>
      </c>
      <c r="CJ440">
        <v>0.2</v>
      </c>
      <c r="CK440" s="1" t="s">
        <v>161</v>
      </c>
      <c r="CL440" s="1" t="s">
        <v>566</v>
      </c>
      <c r="CM440">
        <v>77</v>
      </c>
      <c r="CN440" s="1" t="s">
        <v>1839</v>
      </c>
      <c r="CO440" s="1" t="s">
        <v>1291</v>
      </c>
      <c r="CP440" s="1" t="s">
        <v>4827</v>
      </c>
      <c r="CQ440" s="1" t="s">
        <v>4828</v>
      </c>
      <c r="CR440" s="1" t="s">
        <v>4829</v>
      </c>
      <c r="CS440" s="1" t="s">
        <v>4093</v>
      </c>
      <c r="CT440" s="1" t="s">
        <v>4830</v>
      </c>
      <c r="CU440" s="1" t="s">
        <v>3276</v>
      </c>
      <c r="CV440" s="1" t="s">
        <v>4831</v>
      </c>
      <c r="CW440">
        <v>52.4</v>
      </c>
      <c r="CX440">
        <v>36.799999999999997</v>
      </c>
      <c r="CY440">
        <v>27</v>
      </c>
      <c r="CZ440" s="1" t="s">
        <v>536</v>
      </c>
      <c r="DA440">
        <v>1</v>
      </c>
      <c r="DB440" t="s">
        <v>226</v>
      </c>
      <c r="DC440">
        <v>47</v>
      </c>
      <c r="DD440" s="1" t="s">
        <v>4832</v>
      </c>
      <c r="DE440">
        <v>-29.0099775234589</v>
      </c>
      <c r="DF440" t="str">
        <f>_xlfn.XLOOKUP(Table1[[#This Row],[Player ID]],Table2[feed_id],Table2[trade_status])</f>
        <v>free_agent</v>
      </c>
      <c r="DG440">
        <f>_xlfn.NUMBERVALUE(Table1[[#This Row],[predicted]])</f>
        <v>76.0099775234589</v>
      </c>
    </row>
    <row r="441" spans="1:111" hidden="1" x14ac:dyDescent="0.25">
      <c r="A441">
        <v>119464</v>
      </c>
      <c r="B441">
        <v>8585</v>
      </c>
      <c r="C441" t="s">
        <v>4833</v>
      </c>
      <c r="D441" t="s">
        <v>109</v>
      </c>
      <c r="E441">
        <v>2023</v>
      </c>
      <c r="F441">
        <v>270146</v>
      </c>
      <c r="G441" t="s">
        <v>4834</v>
      </c>
      <c r="H441" t="s">
        <v>4835</v>
      </c>
      <c r="I441" t="s">
        <v>249</v>
      </c>
      <c r="J441">
        <v>1</v>
      </c>
      <c r="K441">
        <v>17</v>
      </c>
      <c r="L441">
        <v>21</v>
      </c>
      <c r="M441">
        <v>24</v>
      </c>
      <c r="N441">
        <v>10</v>
      </c>
      <c r="O441">
        <v>15</v>
      </c>
      <c r="P441">
        <v>1</v>
      </c>
      <c r="Q441">
        <v>1</v>
      </c>
      <c r="R441">
        <v>0</v>
      </c>
      <c r="S441">
        <v>3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113</v>
      </c>
      <c r="Z441" t="s">
        <v>525</v>
      </c>
      <c r="AA441" t="s">
        <v>4836</v>
      </c>
      <c r="AB441" t="s">
        <v>3571</v>
      </c>
      <c r="AC441" t="s">
        <v>4081</v>
      </c>
      <c r="AE441">
        <v>0</v>
      </c>
      <c r="AH441" t="s">
        <v>118</v>
      </c>
      <c r="AI441">
        <v>35</v>
      </c>
      <c r="AJ441">
        <v>20</v>
      </c>
      <c r="AK441">
        <v>102.5</v>
      </c>
      <c r="AL441">
        <v>0</v>
      </c>
      <c r="AM441">
        <v>0</v>
      </c>
      <c r="AN441">
        <v>0.44</v>
      </c>
      <c r="AO441">
        <v>0.52</v>
      </c>
      <c r="AS441">
        <v>1</v>
      </c>
      <c r="AT441">
        <v>1</v>
      </c>
      <c r="AU441">
        <v>0</v>
      </c>
      <c r="AV441">
        <v>50</v>
      </c>
      <c r="AW441">
        <v>17</v>
      </c>
      <c r="AX441">
        <v>28</v>
      </c>
      <c r="AY441">
        <v>0</v>
      </c>
      <c r="AZ441" t="b">
        <v>0</v>
      </c>
      <c r="BA441">
        <v>1562</v>
      </c>
      <c r="BB441">
        <v>1717</v>
      </c>
      <c r="BC441">
        <v>23</v>
      </c>
      <c r="BD441" t="s">
        <v>4837</v>
      </c>
      <c r="BE441">
        <v>95</v>
      </c>
      <c r="BF441">
        <v>0</v>
      </c>
      <c r="BG441">
        <v>72</v>
      </c>
      <c r="BH441">
        <v>0</v>
      </c>
      <c r="BI441">
        <v>5</v>
      </c>
      <c r="BJ441">
        <v>9</v>
      </c>
      <c r="BK441">
        <v>6</v>
      </c>
      <c r="BL441" s="1" t="s">
        <v>416</v>
      </c>
      <c r="BM441" s="1" t="s">
        <v>159</v>
      </c>
      <c r="BN441">
        <v>3</v>
      </c>
      <c r="BO441">
        <v>3</v>
      </c>
      <c r="BP441" s="1" t="s">
        <v>140</v>
      </c>
      <c r="BQ441">
        <v>0</v>
      </c>
      <c r="BR441">
        <v>0</v>
      </c>
      <c r="BS441" s="1" t="s">
        <v>129</v>
      </c>
      <c r="BT441" s="1" t="s">
        <v>184</v>
      </c>
      <c r="BU441">
        <v>0</v>
      </c>
      <c r="BV441" s="1" t="s">
        <v>130</v>
      </c>
      <c r="BW441" s="1" t="s">
        <v>129</v>
      </c>
      <c r="BX441">
        <v>0.2</v>
      </c>
      <c r="BY441" s="1" t="s">
        <v>129</v>
      </c>
      <c r="BZ441">
        <v>0.4</v>
      </c>
      <c r="CA441">
        <v>0</v>
      </c>
      <c r="CB441">
        <v>3.8666666666666599E-2</v>
      </c>
      <c r="CC441">
        <v>0.44</v>
      </c>
      <c r="CD441">
        <v>0.44</v>
      </c>
      <c r="CE441">
        <v>0.52</v>
      </c>
      <c r="CF441">
        <v>0.52</v>
      </c>
      <c r="CG441" s="1" t="s">
        <v>125</v>
      </c>
      <c r="CH441" s="1" t="s">
        <v>211</v>
      </c>
      <c r="CI441" s="1" t="s">
        <v>129</v>
      </c>
      <c r="CJ441" s="1" t="s">
        <v>257</v>
      </c>
      <c r="CK441" s="1" t="s">
        <v>129</v>
      </c>
      <c r="CL441">
        <v>2</v>
      </c>
      <c r="CM441" s="1" t="s">
        <v>572</v>
      </c>
      <c r="CN441">
        <v>65.400000000000006</v>
      </c>
      <c r="CO441" s="1" t="s">
        <v>1176</v>
      </c>
      <c r="CP441" s="1" t="s">
        <v>3439</v>
      </c>
      <c r="CQ441" s="1" t="s">
        <v>610</v>
      </c>
      <c r="CR441" s="1" t="s">
        <v>4838</v>
      </c>
      <c r="CS441">
        <v>1796</v>
      </c>
      <c r="CT441">
        <v>1698.2</v>
      </c>
      <c r="CU441" s="1" t="s">
        <v>4171</v>
      </c>
      <c r="CV441">
        <v>1586.6</v>
      </c>
      <c r="CW441">
        <v>63.65</v>
      </c>
      <c r="CX441">
        <v>46</v>
      </c>
      <c r="CY441">
        <v>46.2</v>
      </c>
      <c r="CZ441" s="1" t="s">
        <v>1926</v>
      </c>
      <c r="DA441">
        <v>1</v>
      </c>
      <c r="DB441" t="s">
        <v>525</v>
      </c>
      <c r="DC441">
        <v>21</v>
      </c>
      <c r="DD441" s="1" t="s">
        <v>4839</v>
      </c>
      <c r="DE441">
        <v>-38.752818693329203</v>
      </c>
      <c r="DF441" t="e">
        <f>_xlfn.XLOOKUP(Table1[[#This Row],[Player ID]],Table2[feed_id],Table2[trade_status])</f>
        <v>#N/A</v>
      </c>
      <c r="DG441">
        <f>_xlfn.NUMBERVALUE(Table1[[#This Row],[predicted]])</f>
        <v>59.752818693329203</v>
      </c>
    </row>
    <row r="442" spans="1:111" hidden="1" x14ac:dyDescent="0.25">
      <c r="A442">
        <v>119491</v>
      </c>
      <c r="B442">
        <v>8586</v>
      </c>
      <c r="C442" t="s">
        <v>4840</v>
      </c>
      <c r="D442" t="s">
        <v>109</v>
      </c>
      <c r="E442">
        <v>2023</v>
      </c>
      <c r="F442">
        <v>1005599</v>
      </c>
      <c r="G442" t="s">
        <v>176</v>
      </c>
      <c r="H442" t="s">
        <v>4841</v>
      </c>
      <c r="I442" t="s">
        <v>582</v>
      </c>
      <c r="J442">
        <v>18</v>
      </c>
      <c r="K442">
        <v>76</v>
      </c>
      <c r="L442">
        <v>75</v>
      </c>
      <c r="M442">
        <v>100</v>
      </c>
      <c r="N442">
        <v>58</v>
      </c>
      <c r="O442">
        <v>78</v>
      </c>
      <c r="P442">
        <v>10</v>
      </c>
      <c r="Q442">
        <v>6</v>
      </c>
      <c r="R442">
        <v>6</v>
      </c>
      <c r="S442">
        <v>4</v>
      </c>
      <c r="T442">
        <v>0</v>
      </c>
      <c r="U442">
        <v>0</v>
      </c>
      <c r="V442">
        <v>0</v>
      </c>
      <c r="W442">
        <v>0</v>
      </c>
      <c r="X442">
        <v>0</v>
      </c>
      <c r="Y442" t="s">
        <v>113</v>
      </c>
      <c r="Z442" t="s">
        <v>542</v>
      </c>
      <c r="AA442" t="s">
        <v>4842</v>
      </c>
      <c r="AB442" t="s">
        <v>226</v>
      </c>
      <c r="AC442" t="s">
        <v>3355</v>
      </c>
      <c r="AH442" t="s">
        <v>118</v>
      </c>
      <c r="AI442">
        <v>29</v>
      </c>
      <c r="AJ442">
        <v>0</v>
      </c>
      <c r="AK442">
        <v>0</v>
      </c>
      <c r="AL442">
        <v>0</v>
      </c>
      <c r="AM442">
        <v>0.04</v>
      </c>
      <c r="AN442">
        <v>0.05</v>
      </c>
      <c r="AO442">
        <v>0.04</v>
      </c>
      <c r="AS442">
        <v>3</v>
      </c>
      <c r="AT442">
        <v>1</v>
      </c>
      <c r="AU442">
        <v>3</v>
      </c>
      <c r="AV442">
        <v>68</v>
      </c>
      <c r="AW442">
        <v>93</v>
      </c>
      <c r="AX442">
        <v>257</v>
      </c>
      <c r="AY442">
        <v>0</v>
      </c>
      <c r="AZ442" t="b">
        <v>0</v>
      </c>
      <c r="BA442">
        <v>1856</v>
      </c>
      <c r="BB442">
        <v>1419</v>
      </c>
      <c r="BC442">
        <v>23</v>
      </c>
      <c r="BD442" t="s">
        <v>4843</v>
      </c>
      <c r="BE442">
        <v>95</v>
      </c>
      <c r="BF442">
        <v>0</v>
      </c>
      <c r="BG442">
        <v>72</v>
      </c>
      <c r="BH442">
        <v>1</v>
      </c>
      <c r="BI442">
        <v>9</v>
      </c>
      <c r="BJ442" s="1" t="s">
        <v>183</v>
      </c>
      <c r="BK442" s="1" t="s">
        <v>125</v>
      </c>
      <c r="BL442" s="1" t="s">
        <v>230</v>
      </c>
      <c r="BM442" s="1" t="s">
        <v>211</v>
      </c>
      <c r="BN442" s="1" t="s">
        <v>212</v>
      </c>
      <c r="BO442" s="1" t="s">
        <v>138</v>
      </c>
      <c r="BP442" s="1" t="s">
        <v>170</v>
      </c>
      <c r="BQ442">
        <v>0</v>
      </c>
      <c r="BR442">
        <v>0</v>
      </c>
      <c r="BS442" s="1" t="s">
        <v>128</v>
      </c>
      <c r="BT442" s="1" t="s">
        <v>130</v>
      </c>
      <c r="BU442" s="1" t="s">
        <v>128</v>
      </c>
      <c r="BV442" s="1" t="s">
        <v>231</v>
      </c>
      <c r="BW442">
        <v>0</v>
      </c>
      <c r="BX442">
        <v>0</v>
      </c>
      <c r="BY442">
        <v>0</v>
      </c>
      <c r="BZ442">
        <v>0</v>
      </c>
      <c r="CA442">
        <v>0.04</v>
      </c>
      <c r="CB442">
        <v>2.4E-2</v>
      </c>
      <c r="CC442">
        <v>0.05</v>
      </c>
      <c r="CD442" s="1" t="s">
        <v>4826</v>
      </c>
      <c r="CE442">
        <v>0.04</v>
      </c>
      <c r="CF442">
        <v>2.4E-2</v>
      </c>
      <c r="CG442" s="1" t="s">
        <v>138</v>
      </c>
      <c r="CH442">
        <v>3.4</v>
      </c>
      <c r="CI442" s="1" t="s">
        <v>128</v>
      </c>
      <c r="CJ442" s="1" t="s">
        <v>128</v>
      </c>
      <c r="CK442">
        <v>3</v>
      </c>
      <c r="CL442">
        <v>2</v>
      </c>
      <c r="CM442">
        <v>63</v>
      </c>
      <c r="CN442" s="1" t="s">
        <v>1053</v>
      </c>
      <c r="CO442" s="1" t="s">
        <v>364</v>
      </c>
      <c r="CP442" s="1" t="s">
        <v>2365</v>
      </c>
      <c r="CQ442" s="1" t="s">
        <v>4462</v>
      </c>
      <c r="CR442" s="1" t="s">
        <v>3574</v>
      </c>
      <c r="CS442" s="1" t="s">
        <v>4844</v>
      </c>
      <c r="CT442" s="1" t="s">
        <v>4845</v>
      </c>
      <c r="CU442" s="1" t="s">
        <v>4846</v>
      </c>
      <c r="CV442" s="1" t="s">
        <v>4847</v>
      </c>
      <c r="CW442">
        <v>52.3</v>
      </c>
      <c r="CX442">
        <v>53.4</v>
      </c>
      <c r="CY442">
        <v>64.400000000000006</v>
      </c>
      <c r="CZ442" s="1" t="s">
        <v>759</v>
      </c>
      <c r="DA442">
        <v>1</v>
      </c>
      <c r="DB442" t="s">
        <v>542</v>
      </c>
      <c r="DC442">
        <v>75</v>
      </c>
      <c r="DD442" s="1" t="s">
        <v>4848</v>
      </c>
      <c r="DE442" s="1" t="s">
        <v>4849</v>
      </c>
      <c r="DF442" t="e">
        <f>_xlfn.XLOOKUP(Table1[[#This Row],[Player ID]],Table2[feed_id],Table2[trade_status])</f>
        <v>#N/A</v>
      </c>
      <c r="DG442">
        <f>_xlfn.NUMBERVALUE(Table1[[#This Row],[predicted]])</f>
        <v>49.525736079539797</v>
      </c>
    </row>
    <row r="443" spans="1:111" hidden="1" x14ac:dyDescent="0.25">
      <c r="A443">
        <v>119493</v>
      </c>
      <c r="B443">
        <v>8586</v>
      </c>
      <c r="C443" t="s">
        <v>4840</v>
      </c>
      <c r="D443" t="s">
        <v>109</v>
      </c>
      <c r="E443">
        <v>2023</v>
      </c>
      <c r="F443">
        <v>1008282</v>
      </c>
      <c r="G443" t="s">
        <v>580</v>
      </c>
      <c r="H443" t="s">
        <v>4850</v>
      </c>
      <c r="I443" t="s">
        <v>582</v>
      </c>
      <c r="J443">
        <v>25</v>
      </c>
      <c r="K443">
        <v>75</v>
      </c>
      <c r="L443">
        <v>59</v>
      </c>
      <c r="M443">
        <v>101</v>
      </c>
      <c r="N443">
        <v>55</v>
      </c>
      <c r="O443">
        <v>81</v>
      </c>
      <c r="P443">
        <v>8</v>
      </c>
      <c r="Q443">
        <v>9</v>
      </c>
      <c r="R443">
        <v>2</v>
      </c>
      <c r="S443">
        <v>8</v>
      </c>
      <c r="T443">
        <v>0</v>
      </c>
      <c r="U443">
        <v>1</v>
      </c>
      <c r="V443">
        <v>2</v>
      </c>
      <c r="W443">
        <v>0</v>
      </c>
      <c r="X443">
        <v>0</v>
      </c>
      <c r="Y443" t="s">
        <v>113</v>
      </c>
      <c r="Z443" t="s">
        <v>1563</v>
      </c>
      <c r="AA443" t="s">
        <v>4851</v>
      </c>
      <c r="AH443" t="s">
        <v>118</v>
      </c>
      <c r="AI443">
        <v>24</v>
      </c>
      <c r="AJ443">
        <v>0</v>
      </c>
      <c r="AK443">
        <v>0</v>
      </c>
      <c r="AL443">
        <v>0</v>
      </c>
      <c r="AM443">
        <v>0.12</v>
      </c>
      <c r="AN443">
        <v>0.06</v>
      </c>
      <c r="AO443">
        <v>7.0000000000000007E-2</v>
      </c>
      <c r="AS443">
        <v>7</v>
      </c>
      <c r="AT443">
        <v>3</v>
      </c>
      <c r="AU443">
        <v>6</v>
      </c>
      <c r="AV443">
        <v>64</v>
      </c>
      <c r="AW443">
        <v>71</v>
      </c>
      <c r="AX443">
        <v>130</v>
      </c>
      <c r="AY443">
        <v>0</v>
      </c>
      <c r="AZ443" t="b">
        <v>0</v>
      </c>
      <c r="BA443">
        <v>1856</v>
      </c>
      <c r="BB443">
        <v>1419</v>
      </c>
      <c r="BC443">
        <v>23</v>
      </c>
      <c r="BD443" t="s">
        <v>4843</v>
      </c>
      <c r="BE443">
        <v>95</v>
      </c>
      <c r="BF443">
        <v>0</v>
      </c>
      <c r="BG443">
        <v>72</v>
      </c>
      <c r="BH443">
        <v>0</v>
      </c>
      <c r="BI443" s="1" t="s">
        <v>397</v>
      </c>
      <c r="BJ443" s="1" t="s">
        <v>204</v>
      </c>
      <c r="BK443" s="1" t="s">
        <v>124</v>
      </c>
      <c r="BL443" s="1" t="s">
        <v>374</v>
      </c>
      <c r="BM443" s="1" t="s">
        <v>159</v>
      </c>
      <c r="BN443" s="1" t="s">
        <v>322</v>
      </c>
      <c r="BO443">
        <v>6</v>
      </c>
      <c r="BP443">
        <v>4</v>
      </c>
      <c r="BQ443">
        <v>0</v>
      </c>
      <c r="BR443">
        <v>0</v>
      </c>
      <c r="BS443" s="1" t="s">
        <v>128</v>
      </c>
      <c r="BT443">
        <v>0.8</v>
      </c>
      <c r="BU443" s="1" t="s">
        <v>126</v>
      </c>
      <c r="BV443" s="1" t="s">
        <v>127</v>
      </c>
      <c r="BW443" s="1" t="s">
        <v>129</v>
      </c>
      <c r="BX443" s="1" t="s">
        <v>184</v>
      </c>
      <c r="BY443" s="1" t="s">
        <v>129</v>
      </c>
      <c r="BZ443" s="1" t="s">
        <v>129</v>
      </c>
      <c r="CA443">
        <v>0.12</v>
      </c>
      <c r="CB443">
        <v>0.12</v>
      </c>
      <c r="CC443">
        <v>0.06</v>
      </c>
      <c r="CD443">
        <v>0.06</v>
      </c>
      <c r="CE443">
        <v>7.0000000000000007E-2</v>
      </c>
      <c r="CF443">
        <v>7.0000000000000007E-2</v>
      </c>
      <c r="CG443" s="1" t="s">
        <v>160</v>
      </c>
      <c r="CH443" s="1" t="s">
        <v>230</v>
      </c>
      <c r="CI443">
        <v>2</v>
      </c>
      <c r="CJ443">
        <v>1.6</v>
      </c>
      <c r="CK443">
        <v>4</v>
      </c>
      <c r="CL443">
        <v>2.4</v>
      </c>
      <c r="CM443" s="1" t="s">
        <v>418</v>
      </c>
      <c r="CN443" s="1" t="s">
        <v>3439</v>
      </c>
      <c r="CO443">
        <v>69</v>
      </c>
      <c r="CP443" s="1" t="s">
        <v>3267</v>
      </c>
      <c r="CQ443" s="1" t="s">
        <v>3925</v>
      </c>
      <c r="CR443" s="1" t="s">
        <v>4852</v>
      </c>
      <c r="CS443" s="1" t="s">
        <v>2217</v>
      </c>
      <c r="CT443">
        <v>1471.8</v>
      </c>
      <c r="CU443" s="1" t="s">
        <v>3665</v>
      </c>
      <c r="CV443" s="1" t="s">
        <v>2916</v>
      </c>
      <c r="CW443">
        <v>54.45</v>
      </c>
      <c r="CX443">
        <v>47.7</v>
      </c>
      <c r="CY443">
        <v>45.2</v>
      </c>
      <c r="CZ443" s="1" t="s">
        <v>283</v>
      </c>
      <c r="DA443">
        <v>1</v>
      </c>
      <c r="DB443" t="s">
        <v>1563</v>
      </c>
      <c r="DC443">
        <v>59</v>
      </c>
      <c r="DD443" s="1" t="s">
        <v>4853</v>
      </c>
      <c r="DE443">
        <v>-10.8181564463336</v>
      </c>
      <c r="DF443" t="e">
        <f>_xlfn.XLOOKUP(Table1[[#This Row],[Player ID]],Table2[feed_id],Table2[trade_status])</f>
        <v>#N/A</v>
      </c>
      <c r="DG443">
        <f>_xlfn.NUMBERVALUE(Table1[[#This Row],[predicted]])</f>
        <v>69.818156446333603</v>
      </c>
    </row>
    <row r="444" spans="1:111" hidden="1" x14ac:dyDescent="0.25">
      <c r="A444">
        <v>119554</v>
      </c>
      <c r="B444">
        <v>8587</v>
      </c>
      <c r="C444" t="s">
        <v>4854</v>
      </c>
      <c r="D444" t="s">
        <v>109</v>
      </c>
      <c r="E444">
        <v>2023</v>
      </c>
      <c r="F444">
        <v>291962</v>
      </c>
      <c r="G444" t="s">
        <v>4855</v>
      </c>
      <c r="H444" t="s">
        <v>4856</v>
      </c>
      <c r="I444" t="s">
        <v>391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113</v>
      </c>
      <c r="Z444" t="s">
        <v>1920</v>
      </c>
      <c r="AA444" t="s">
        <v>4857</v>
      </c>
      <c r="AB444" t="s">
        <v>116</v>
      </c>
      <c r="AC444" t="s">
        <v>4858</v>
      </c>
      <c r="AE444">
        <v>0</v>
      </c>
      <c r="AH444" t="s">
        <v>155</v>
      </c>
      <c r="AI444">
        <v>20</v>
      </c>
      <c r="AJ444">
        <v>20</v>
      </c>
      <c r="AK444">
        <v>81.650000000000006</v>
      </c>
      <c r="AL444">
        <v>0</v>
      </c>
      <c r="AM444">
        <v>0</v>
      </c>
      <c r="AN444">
        <v>0.33</v>
      </c>
      <c r="AO444">
        <v>0.93</v>
      </c>
      <c r="AS444">
        <v>0</v>
      </c>
      <c r="AT444">
        <v>0</v>
      </c>
      <c r="AU444">
        <v>0</v>
      </c>
      <c r="AV444">
        <v>0</v>
      </c>
      <c r="AW444">
        <v>3</v>
      </c>
      <c r="AX444">
        <v>0</v>
      </c>
      <c r="AY444">
        <v>1</v>
      </c>
      <c r="AZ444" t="b">
        <v>1</v>
      </c>
      <c r="BA444">
        <v>1441</v>
      </c>
      <c r="BB444">
        <v>1843</v>
      </c>
      <c r="BC444">
        <v>23</v>
      </c>
      <c r="BD444" t="s">
        <v>4859</v>
      </c>
      <c r="BE444">
        <v>95</v>
      </c>
      <c r="BF444">
        <v>0</v>
      </c>
      <c r="BG444">
        <v>72</v>
      </c>
      <c r="BH444">
        <v>0</v>
      </c>
      <c r="BI444">
        <v>8</v>
      </c>
      <c r="BJ444" s="1" t="s">
        <v>1239</v>
      </c>
      <c r="BK444" s="1" t="s">
        <v>294</v>
      </c>
      <c r="BL444" s="1" t="s">
        <v>139</v>
      </c>
      <c r="BM444" s="1" t="s">
        <v>211</v>
      </c>
      <c r="BN444" s="1" t="s">
        <v>125</v>
      </c>
      <c r="BO444" s="1" t="s">
        <v>159</v>
      </c>
      <c r="BP444" s="1" t="s">
        <v>375</v>
      </c>
      <c r="BQ444">
        <v>0</v>
      </c>
      <c r="BR444">
        <v>0</v>
      </c>
      <c r="BS444">
        <v>1</v>
      </c>
      <c r="BT444">
        <v>1</v>
      </c>
      <c r="BU444" s="1" t="s">
        <v>128</v>
      </c>
      <c r="BV444" s="1" t="s">
        <v>128</v>
      </c>
      <c r="BW444" s="1" t="s">
        <v>128</v>
      </c>
      <c r="BX444" s="1" t="s">
        <v>162</v>
      </c>
      <c r="BY444">
        <v>0</v>
      </c>
      <c r="BZ444" s="1" t="s">
        <v>231</v>
      </c>
      <c r="CA444">
        <v>0</v>
      </c>
      <c r="CB444">
        <v>4.1333333333333298E-2</v>
      </c>
      <c r="CC444">
        <v>0.33</v>
      </c>
      <c r="CD444">
        <v>0.26400000000000001</v>
      </c>
      <c r="CE444">
        <v>0.93</v>
      </c>
      <c r="CF444">
        <v>0.74399999999999999</v>
      </c>
      <c r="CG444">
        <v>6</v>
      </c>
      <c r="CH444">
        <v>4.8</v>
      </c>
      <c r="CI444">
        <v>1</v>
      </c>
      <c r="CJ444" s="1" t="s">
        <v>399</v>
      </c>
      <c r="CK444">
        <v>3</v>
      </c>
      <c r="CL444" s="1" t="s">
        <v>140</v>
      </c>
      <c r="CM444" s="1" t="s">
        <v>1100</v>
      </c>
      <c r="CN444" s="1" t="s">
        <v>4860</v>
      </c>
      <c r="CO444" s="1" t="s">
        <v>2953</v>
      </c>
      <c r="CP444" s="1" t="s">
        <v>1288</v>
      </c>
      <c r="CQ444" s="1" t="s">
        <v>3440</v>
      </c>
      <c r="CR444">
        <v>228</v>
      </c>
      <c r="CS444">
        <v>1731</v>
      </c>
      <c r="CT444">
        <v>1551.4</v>
      </c>
      <c r="CU444">
        <v>1557</v>
      </c>
      <c r="CV444" s="1" t="s">
        <v>4861</v>
      </c>
      <c r="CW444">
        <v>60.65</v>
      </c>
      <c r="CX444">
        <v>60.9</v>
      </c>
      <c r="CY444">
        <v>68</v>
      </c>
      <c r="CZ444">
        <v>65</v>
      </c>
      <c r="DA444">
        <v>1</v>
      </c>
      <c r="DB444" t="s">
        <v>1920</v>
      </c>
      <c r="DC444">
        <v>0</v>
      </c>
      <c r="DD444" s="1" t="s">
        <v>4862</v>
      </c>
      <c r="DE444">
        <v>-57.688676678834902</v>
      </c>
      <c r="DF444" t="e">
        <f>_xlfn.XLOOKUP(Table1[[#This Row],[Player ID]],Table2[feed_id],Table2[trade_status])</f>
        <v>#N/A</v>
      </c>
      <c r="DG444">
        <f>_xlfn.NUMBERVALUE(Table1[[#This Row],[predicted]])</f>
        <v>57.688676678834902</v>
      </c>
    </row>
    <row r="445" spans="1:111" hidden="1" x14ac:dyDescent="0.25">
      <c r="A445">
        <v>119724</v>
      </c>
      <c r="B445">
        <v>8591</v>
      </c>
      <c r="C445" t="s">
        <v>4863</v>
      </c>
      <c r="D445" t="s">
        <v>198</v>
      </c>
      <c r="E445">
        <v>2023</v>
      </c>
      <c r="F445">
        <v>270896</v>
      </c>
      <c r="G445" t="s">
        <v>4157</v>
      </c>
      <c r="H445" t="s">
        <v>4864</v>
      </c>
      <c r="I445" t="s">
        <v>317</v>
      </c>
      <c r="J445">
        <v>8</v>
      </c>
      <c r="K445">
        <v>70</v>
      </c>
      <c r="L445">
        <v>69</v>
      </c>
      <c r="M445">
        <v>89</v>
      </c>
      <c r="N445">
        <v>56</v>
      </c>
      <c r="O445">
        <v>73</v>
      </c>
      <c r="P445">
        <v>12</v>
      </c>
      <c r="Q445">
        <v>6</v>
      </c>
      <c r="R445">
        <v>5</v>
      </c>
      <c r="S445">
        <v>1</v>
      </c>
      <c r="T445">
        <v>0</v>
      </c>
      <c r="U445">
        <v>2</v>
      </c>
      <c r="V445">
        <v>0</v>
      </c>
      <c r="W445">
        <v>0</v>
      </c>
      <c r="X445">
        <v>1</v>
      </c>
      <c r="Y445" t="s">
        <v>113</v>
      </c>
      <c r="Z445" t="s">
        <v>1757</v>
      </c>
      <c r="AA445" t="s">
        <v>4865</v>
      </c>
      <c r="AB445" t="s">
        <v>877</v>
      </c>
      <c r="AC445" t="s">
        <v>4866</v>
      </c>
      <c r="AE445">
        <v>0</v>
      </c>
      <c r="AH445" t="s">
        <v>118</v>
      </c>
      <c r="AI445">
        <v>9</v>
      </c>
      <c r="AJ445">
        <v>19</v>
      </c>
      <c r="AK445">
        <v>81.260000000000005</v>
      </c>
      <c r="AL445">
        <v>0</v>
      </c>
      <c r="AM445">
        <v>0</v>
      </c>
      <c r="AN445">
        <v>0.08</v>
      </c>
      <c r="AO445">
        <v>7.0000000000000007E-2</v>
      </c>
      <c r="AS445">
        <v>8</v>
      </c>
      <c r="AT445">
        <v>4</v>
      </c>
      <c r="AU445">
        <v>2</v>
      </c>
      <c r="AV445">
        <v>77</v>
      </c>
      <c r="AW445">
        <v>77</v>
      </c>
      <c r="AX445">
        <v>191</v>
      </c>
      <c r="AY445">
        <v>0</v>
      </c>
      <c r="AZ445" t="b">
        <v>1</v>
      </c>
      <c r="BA445">
        <v>1519</v>
      </c>
      <c r="BB445">
        <v>1768</v>
      </c>
      <c r="BC445">
        <v>24</v>
      </c>
      <c r="BD445" t="s">
        <v>4867</v>
      </c>
      <c r="BE445">
        <v>99</v>
      </c>
      <c r="BF445">
        <v>0</v>
      </c>
      <c r="BG445">
        <v>70</v>
      </c>
      <c r="BH445">
        <v>0</v>
      </c>
      <c r="BI445" s="1" t="s">
        <v>977</v>
      </c>
      <c r="BJ445" s="1" t="s">
        <v>1239</v>
      </c>
      <c r="BK445" s="1" t="s">
        <v>449</v>
      </c>
      <c r="BL445">
        <v>7.6</v>
      </c>
      <c r="BM445" s="1" t="s">
        <v>159</v>
      </c>
      <c r="BN445" s="1" t="s">
        <v>528</v>
      </c>
      <c r="BO445">
        <v>2</v>
      </c>
      <c r="BP445" s="1" t="s">
        <v>159</v>
      </c>
      <c r="BQ445">
        <v>0</v>
      </c>
      <c r="BR445">
        <v>0</v>
      </c>
      <c r="BS445" s="1" t="s">
        <v>128</v>
      </c>
      <c r="BT445">
        <v>0.4</v>
      </c>
      <c r="BU445">
        <v>0</v>
      </c>
      <c r="BV445" s="1" t="s">
        <v>238</v>
      </c>
      <c r="BW445">
        <v>0</v>
      </c>
      <c r="BX445">
        <v>0.4</v>
      </c>
      <c r="BY445" s="1" t="s">
        <v>126</v>
      </c>
      <c r="BZ445" s="1" t="s">
        <v>238</v>
      </c>
      <c r="CA445">
        <v>0</v>
      </c>
      <c r="CB445">
        <v>0</v>
      </c>
      <c r="CC445">
        <v>0.08</v>
      </c>
      <c r="CD445">
        <v>0.08</v>
      </c>
      <c r="CE445">
        <v>7.0000000000000007E-2</v>
      </c>
      <c r="CF445">
        <v>7.0000000000000007E-2</v>
      </c>
      <c r="CG445" s="1" t="s">
        <v>397</v>
      </c>
      <c r="CH445" s="1" t="s">
        <v>430</v>
      </c>
      <c r="CI445">
        <v>3</v>
      </c>
      <c r="CJ445" s="1" t="s">
        <v>255</v>
      </c>
      <c r="CK445" s="1" t="s">
        <v>169</v>
      </c>
      <c r="CL445">
        <v>2.8</v>
      </c>
      <c r="CM445">
        <v>53</v>
      </c>
      <c r="CN445">
        <v>64.8</v>
      </c>
      <c r="CO445">
        <v>74</v>
      </c>
      <c r="CP445" s="1" t="s">
        <v>2374</v>
      </c>
      <c r="CQ445" s="1" t="s">
        <v>3823</v>
      </c>
      <c r="CR445">
        <v>226.8</v>
      </c>
      <c r="CS445">
        <v>1689</v>
      </c>
      <c r="CT445" s="1" t="s">
        <v>4868</v>
      </c>
      <c r="CU445" s="1" t="s">
        <v>2176</v>
      </c>
      <c r="CV445" s="1" t="s">
        <v>2864</v>
      </c>
      <c r="CW445">
        <v>61.45</v>
      </c>
      <c r="CX445">
        <v>66.3</v>
      </c>
      <c r="CY445">
        <v>54.6</v>
      </c>
      <c r="CZ445" s="1" t="s">
        <v>1524</v>
      </c>
      <c r="DA445">
        <v>1</v>
      </c>
      <c r="DB445" t="s">
        <v>1757</v>
      </c>
      <c r="DC445">
        <v>69</v>
      </c>
      <c r="DD445" s="1" t="s">
        <v>4869</v>
      </c>
      <c r="DE445" s="1" t="s">
        <v>4870</v>
      </c>
      <c r="DF445" t="e">
        <f>_xlfn.XLOOKUP(Table1[[#This Row],[Player ID]],Table2[feed_id],Table2[trade_status])</f>
        <v>#N/A</v>
      </c>
      <c r="DG445">
        <f>_xlfn.NUMBERVALUE(Table1[[#This Row],[predicted]])</f>
        <v>66.740676989089195</v>
      </c>
    </row>
    <row r="446" spans="1:111" hidden="1" x14ac:dyDescent="0.25">
      <c r="A446">
        <v>119725</v>
      </c>
      <c r="B446">
        <v>8591</v>
      </c>
      <c r="C446" t="s">
        <v>4863</v>
      </c>
      <c r="D446" t="s">
        <v>198</v>
      </c>
      <c r="E446">
        <v>2023</v>
      </c>
      <c r="F446">
        <v>250395</v>
      </c>
      <c r="G446" t="s">
        <v>1127</v>
      </c>
      <c r="H446" t="s">
        <v>1756</v>
      </c>
      <c r="I446" t="s">
        <v>317</v>
      </c>
      <c r="J446">
        <v>15</v>
      </c>
      <c r="K446">
        <v>63</v>
      </c>
      <c r="L446">
        <v>54</v>
      </c>
      <c r="M446">
        <v>81</v>
      </c>
      <c r="N446">
        <v>51</v>
      </c>
      <c r="O446">
        <v>63</v>
      </c>
      <c r="P446">
        <v>8</v>
      </c>
      <c r="Q446">
        <v>2</v>
      </c>
      <c r="R446">
        <v>6</v>
      </c>
      <c r="S446">
        <v>2</v>
      </c>
      <c r="T446">
        <v>0</v>
      </c>
      <c r="U446">
        <v>0</v>
      </c>
      <c r="V446">
        <v>0</v>
      </c>
      <c r="W446">
        <v>1</v>
      </c>
      <c r="X446">
        <v>3</v>
      </c>
      <c r="Y446" t="s">
        <v>113</v>
      </c>
      <c r="Z446" t="s">
        <v>1757</v>
      </c>
      <c r="AA446" t="s">
        <v>4871</v>
      </c>
      <c r="AB446" t="s">
        <v>656</v>
      </c>
      <c r="AC446" t="s">
        <v>4872</v>
      </c>
      <c r="AH446" t="s">
        <v>155</v>
      </c>
      <c r="AI446">
        <v>8</v>
      </c>
      <c r="AJ446">
        <v>0</v>
      </c>
      <c r="AK446">
        <v>0</v>
      </c>
      <c r="AL446">
        <v>0</v>
      </c>
      <c r="AM446">
        <v>0.16</v>
      </c>
      <c r="AN446">
        <v>0.28000000000000003</v>
      </c>
      <c r="AO446">
        <v>0.25</v>
      </c>
      <c r="AS446">
        <v>4</v>
      </c>
      <c r="AT446">
        <v>0</v>
      </c>
      <c r="AU446">
        <v>1</v>
      </c>
      <c r="AV446">
        <v>40</v>
      </c>
      <c r="AW446">
        <v>76</v>
      </c>
      <c r="AX446">
        <v>233</v>
      </c>
      <c r="AY446">
        <v>0</v>
      </c>
      <c r="AZ446" t="b">
        <v>1</v>
      </c>
      <c r="BA446">
        <v>1519</v>
      </c>
      <c r="BB446">
        <v>1768</v>
      </c>
      <c r="BC446">
        <v>24</v>
      </c>
      <c r="BD446" t="s">
        <v>4867</v>
      </c>
      <c r="BE446">
        <v>99</v>
      </c>
      <c r="BF446">
        <v>0</v>
      </c>
      <c r="BG446">
        <v>70</v>
      </c>
      <c r="BH446">
        <v>0</v>
      </c>
      <c r="BI446" s="1" t="s">
        <v>204</v>
      </c>
      <c r="BJ446" s="1" t="s">
        <v>430</v>
      </c>
      <c r="BK446" s="1" t="s">
        <v>126</v>
      </c>
      <c r="BL446" s="1" t="s">
        <v>214</v>
      </c>
      <c r="BM446" s="1" t="s">
        <v>124</v>
      </c>
      <c r="BN446">
        <v>4.8</v>
      </c>
      <c r="BO446">
        <v>1</v>
      </c>
      <c r="BP446" s="1" t="s">
        <v>214</v>
      </c>
      <c r="BQ446">
        <v>0</v>
      </c>
      <c r="BR446">
        <v>6.6666666666666596E-2</v>
      </c>
      <c r="BS446">
        <v>0</v>
      </c>
      <c r="BT446" s="1" t="s">
        <v>129</v>
      </c>
      <c r="BU446" s="1" t="s">
        <v>128</v>
      </c>
      <c r="BV446" s="1" t="s">
        <v>130</v>
      </c>
      <c r="BW446" s="1" t="s">
        <v>161</v>
      </c>
      <c r="BX446" s="1" t="s">
        <v>257</v>
      </c>
      <c r="BY446">
        <v>2</v>
      </c>
      <c r="BZ446" s="1" t="s">
        <v>206</v>
      </c>
      <c r="CA446">
        <v>0.16</v>
      </c>
      <c r="CB446">
        <v>0.16</v>
      </c>
      <c r="CC446">
        <v>0.28000000000000003</v>
      </c>
      <c r="CD446">
        <v>0.28000000000000003</v>
      </c>
      <c r="CE446">
        <v>0.25</v>
      </c>
      <c r="CF446">
        <v>0.25</v>
      </c>
      <c r="CG446" s="1" t="s">
        <v>169</v>
      </c>
      <c r="CH446">
        <v>4.5999999999999996</v>
      </c>
      <c r="CI446" s="1" t="s">
        <v>129</v>
      </c>
      <c r="CJ446">
        <v>0.2</v>
      </c>
      <c r="CK446" s="1" t="s">
        <v>126</v>
      </c>
      <c r="CL446">
        <v>2.6</v>
      </c>
      <c r="CM446">
        <v>66</v>
      </c>
      <c r="CN446" s="1" t="s">
        <v>1927</v>
      </c>
      <c r="CO446" s="1" t="s">
        <v>516</v>
      </c>
      <c r="CP446" s="1" t="s">
        <v>4873</v>
      </c>
      <c r="CQ446" s="1" t="s">
        <v>3347</v>
      </c>
      <c r="CR446" s="1" t="s">
        <v>4874</v>
      </c>
      <c r="CS446" s="1" t="s">
        <v>4875</v>
      </c>
      <c r="CT446" s="1" t="s">
        <v>4876</v>
      </c>
      <c r="CU446" s="1" t="s">
        <v>2474</v>
      </c>
      <c r="CV446" s="1" t="s">
        <v>4309</v>
      </c>
      <c r="CW446">
        <v>59.95</v>
      </c>
      <c r="CX446">
        <v>62.1</v>
      </c>
      <c r="CY446">
        <v>51.2</v>
      </c>
      <c r="CZ446">
        <v>53</v>
      </c>
      <c r="DA446">
        <v>1</v>
      </c>
      <c r="DB446" t="s">
        <v>1757</v>
      </c>
      <c r="DC446">
        <v>54</v>
      </c>
      <c r="DD446" s="1" t="s">
        <v>4877</v>
      </c>
      <c r="DE446">
        <v>-9.7153290861513799</v>
      </c>
      <c r="DF446" t="e">
        <f>_xlfn.XLOOKUP(Table1[[#This Row],[Player ID]],Table2[feed_id],Table2[trade_status])</f>
        <v>#N/A</v>
      </c>
      <c r="DG446">
        <f>_xlfn.NUMBERVALUE(Table1[[#This Row],[predicted]])</f>
        <v>63.7153290861513</v>
      </c>
    </row>
    <row r="447" spans="1:111" hidden="1" x14ac:dyDescent="0.25">
      <c r="A447">
        <v>119739</v>
      </c>
      <c r="B447">
        <v>8591</v>
      </c>
      <c r="C447" t="s">
        <v>4863</v>
      </c>
      <c r="D447" t="s">
        <v>198</v>
      </c>
      <c r="E447">
        <v>2023</v>
      </c>
      <c r="F447">
        <v>280944</v>
      </c>
      <c r="G447" t="s">
        <v>1127</v>
      </c>
      <c r="H447" t="s">
        <v>4878</v>
      </c>
      <c r="I447" t="s">
        <v>813</v>
      </c>
      <c r="J447">
        <v>10</v>
      </c>
      <c r="K447">
        <v>88</v>
      </c>
      <c r="L447">
        <v>95</v>
      </c>
      <c r="M447">
        <v>48</v>
      </c>
      <c r="N447">
        <v>67</v>
      </c>
      <c r="O447">
        <v>94</v>
      </c>
      <c r="P447">
        <v>17</v>
      </c>
      <c r="Q447">
        <v>6</v>
      </c>
      <c r="R447">
        <v>5</v>
      </c>
      <c r="S447">
        <v>3</v>
      </c>
      <c r="T447">
        <v>0</v>
      </c>
      <c r="U447">
        <v>0</v>
      </c>
      <c r="V447">
        <v>1</v>
      </c>
      <c r="W447">
        <v>0</v>
      </c>
      <c r="X447">
        <v>1</v>
      </c>
      <c r="Y447" t="s">
        <v>113</v>
      </c>
      <c r="Z447" t="s">
        <v>1757</v>
      </c>
      <c r="AA447" t="s">
        <v>4879</v>
      </c>
      <c r="AB447" t="s">
        <v>987</v>
      </c>
      <c r="AC447" t="s">
        <v>4880</v>
      </c>
      <c r="AE447">
        <v>0</v>
      </c>
      <c r="AH447" t="s">
        <v>118</v>
      </c>
      <c r="AI447">
        <v>7</v>
      </c>
      <c r="AJ447">
        <v>21</v>
      </c>
      <c r="AK447">
        <v>82.48</v>
      </c>
      <c r="AL447">
        <v>0</v>
      </c>
      <c r="AM447">
        <v>0</v>
      </c>
      <c r="AN447">
        <v>0.81</v>
      </c>
      <c r="AO447">
        <v>0.41</v>
      </c>
      <c r="AS447">
        <v>4</v>
      </c>
      <c r="AT447">
        <v>1</v>
      </c>
      <c r="AU447">
        <v>3</v>
      </c>
      <c r="AV447">
        <v>87</v>
      </c>
      <c r="AW447">
        <v>76</v>
      </c>
      <c r="AX447">
        <v>447</v>
      </c>
      <c r="AY447">
        <v>0</v>
      </c>
      <c r="AZ447" t="b">
        <v>1</v>
      </c>
      <c r="BA447">
        <v>1768</v>
      </c>
      <c r="BB447">
        <v>1519</v>
      </c>
      <c r="BC447">
        <v>24</v>
      </c>
      <c r="BD447" t="s">
        <v>4881</v>
      </c>
      <c r="BE447">
        <v>99</v>
      </c>
      <c r="BF447">
        <v>0</v>
      </c>
      <c r="BG447">
        <v>70</v>
      </c>
      <c r="BH447">
        <v>1</v>
      </c>
      <c r="BI447" s="1" t="s">
        <v>4882</v>
      </c>
      <c r="BJ447" s="1" t="s">
        <v>4883</v>
      </c>
      <c r="BK447">
        <v>8</v>
      </c>
      <c r="BL447" s="1" t="s">
        <v>781</v>
      </c>
      <c r="BM447" s="1" t="s">
        <v>253</v>
      </c>
      <c r="BN447">
        <v>6.4</v>
      </c>
      <c r="BO447" s="1" t="s">
        <v>169</v>
      </c>
      <c r="BP447" s="1" t="s">
        <v>214</v>
      </c>
      <c r="BQ447">
        <v>0</v>
      </c>
      <c r="BR447">
        <v>0</v>
      </c>
      <c r="BS447" s="1" t="s">
        <v>129</v>
      </c>
      <c r="BT447" s="1" t="s">
        <v>130</v>
      </c>
      <c r="BU447" s="1" t="s">
        <v>128</v>
      </c>
      <c r="BV447" s="1" t="s">
        <v>238</v>
      </c>
      <c r="BW447">
        <v>0</v>
      </c>
      <c r="BX447">
        <v>6.6666666666666596E-2</v>
      </c>
      <c r="BY447" s="1" t="s">
        <v>129</v>
      </c>
      <c r="BZ447">
        <v>0.2</v>
      </c>
      <c r="CA447">
        <v>0</v>
      </c>
      <c r="CB447">
        <v>0</v>
      </c>
      <c r="CC447">
        <v>0.81</v>
      </c>
      <c r="CD447">
        <v>0.81</v>
      </c>
      <c r="CE447">
        <v>0.41</v>
      </c>
      <c r="CF447">
        <v>0.41</v>
      </c>
      <c r="CG447">
        <v>5</v>
      </c>
      <c r="CH447" s="1" t="s">
        <v>781</v>
      </c>
      <c r="CI447" s="1" t="s">
        <v>129</v>
      </c>
      <c r="CJ447" s="1" t="s">
        <v>129</v>
      </c>
      <c r="CK447">
        <v>5</v>
      </c>
      <c r="CL447" s="1" t="s">
        <v>431</v>
      </c>
      <c r="CM447" s="1" t="s">
        <v>364</v>
      </c>
      <c r="CN447" s="1" t="s">
        <v>4884</v>
      </c>
      <c r="CO447">
        <v>82</v>
      </c>
      <c r="CP447" s="1" t="s">
        <v>366</v>
      </c>
      <c r="CQ447">
        <v>516</v>
      </c>
      <c r="CR447" s="1" t="s">
        <v>4885</v>
      </c>
      <c r="CS447" s="1" t="s">
        <v>242</v>
      </c>
      <c r="CT447" s="1" t="s">
        <v>4886</v>
      </c>
      <c r="CU447" s="1" t="s">
        <v>3836</v>
      </c>
      <c r="CV447" s="1" t="s">
        <v>4887</v>
      </c>
      <c r="CW447">
        <v>87.3</v>
      </c>
      <c r="CX447">
        <v>74.8</v>
      </c>
      <c r="CY447">
        <v>76</v>
      </c>
      <c r="CZ447">
        <v>104</v>
      </c>
      <c r="DA447">
        <v>1</v>
      </c>
      <c r="DB447" t="s">
        <v>1757</v>
      </c>
      <c r="DC447">
        <v>95</v>
      </c>
      <c r="DD447" s="1" t="s">
        <v>4888</v>
      </c>
      <c r="DE447" s="1" t="s">
        <v>4889</v>
      </c>
      <c r="DF447" t="e">
        <f>_xlfn.XLOOKUP(Table1[[#This Row],[Player ID]],Table2[feed_id],Table2[trade_status])</f>
        <v>#N/A</v>
      </c>
      <c r="DG447">
        <f>_xlfn.NUMBERVALUE(Table1[[#This Row],[predicted]])</f>
        <v>92.481074102746405</v>
      </c>
    </row>
    <row r="448" spans="1:111" hidden="1" x14ac:dyDescent="0.25">
      <c r="A448">
        <v>119907</v>
      </c>
      <c r="B448">
        <v>8595</v>
      </c>
      <c r="C448" t="s">
        <v>4890</v>
      </c>
      <c r="D448" t="s">
        <v>198</v>
      </c>
      <c r="E448">
        <v>2023</v>
      </c>
      <c r="F448">
        <v>270963</v>
      </c>
      <c r="G448" t="s">
        <v>4099</v>
      </c>
      <c r="H448" t="s">
        <v>4891</v>
      </c>
      <c r="I448" t="s">
        <v>510</v>
      </c>
      <c r="J448">
        <v>13</v>
      </c>
      <c r="K448">
        <v>50</v>
      </c>
      <c r="L448">
        <v>51</v>
      </c>
      <c r="M448">
        <v>67</v>
      </c>
      <c r="N448">
        <v>33</v>
      </c>
      <c r="O448">
        <v>48</v>
      </c>
      <c r="P448">
        <v>3</v>
      </c>
      <c r="Q448">
        <v>6</v>
      </c>
      <c r="R448">
        <v>0</v>
      </c>
      <c r="S448">
        <v>7</v>
      </c>
      <c r="T448">
        <v>0</v>
      </c>
      <c r="U448">
        <v>1</v>
      </c>
      <c r="V448">
        <v>0</v>
      </c>
      <c r="W448">
        <v>0</v>
      </c>
      <c r="X448">
        <v>0</v>
      </c>
      <c r="Y448" t="s">
        <v>113</v>
      </c>
      <c r="Z448" t="s">
        <v>114</v>
      </c>
      <c r="AA448" t="s">
        <v>4892</v>
      </c>
      <c r="AB448" t="s">
        <v>116</v>
      </c>
      <c r="AC448" t="s">
        <v>3957</v>
      </c>
      <c r="AE448">
        <v>0</v>
      </c>
      <c r="AH448" t="s">
        <v>118</v>
      </c>
      <c r="AI448">
        <v>9</v>
      </c>
      <c r="AJ448">
        <v>12</v>
      </c>
      <c r="AK448">
        <v>89.92</v>
      </c>
      <c r="AL448">
        <v>0</v>
      </c>
      <c r="AM448">
        <v>0</v>
      </c>
      <c r="AN448">
        <v>1.95</v>
      </c>
      <c r="AO448">
        <v>1.05</v>
      </c>
      <c r="AS448">
        <v>6</v>
      </c>
      <c r="AT448">
        <v>2</v>
      </c>
      <c r="AU448">
        <v>1</v>
      </c>
      <c r="AV448">
        <v>77</v>
      </c>
      <c r="AW448">
        <v>34</v>
      </c>
      <c r="AX448">
        <v>126</v>
      </c>
      <c r="AY448">
        <v>1</v>
      </c>
      <c r="AZ448" t="b">
        <v>1</v>
      </c>
      <c r="BA448">
        <v>1592</v>
      </c>
      <c r="BB448">
        <v>1687</v>
      </c>
      <c r="BC448">
        <v>24</v>
      </c>
      <c r="BD448" t="s">
        <v>4893</v>
      </c>
      <c r="BE448">
        <v>99</v>
      </c>
      <c r="BF448">
        <v>0</v>
      </c>
      <c r="BG448">
        <v>70</v>
      </c>
      <c r="BH448">
        <v>0</v>
      </c>
      <c r="BI448" s="1" t="s">
        <v>124</v>
      </c>
      <c r="BJ448" s="1" t="s">
        <v>1106</v>
      </c>
      <c r="BK448" s="1" t="s">
        <v>124</v>
      </c>
      <c r="BL448" s="1" t="s">
        <v>358</v>
      </c>
      <c r="BM448" s="1" t="s">
        <v>126</v>
      </c>
      <c r="BN448" s="1" t="s">
        <v>237</v>
      </c>
      <c r="BO448" s="1" t="s">
        <v>124</v>
      </c>
      <c r="BP448" s="1" t="s">
        <v>963</v>
      </c>
      <c r="BQ448">
        <v>0</v>
      </c>
      <c r="BR448">
        <v>6.6666666666666596E-2</v>
      </c>
      <c r="BS448" s="1" t="s">
        <v>126</v>
      </c>
      <c r="BT448" s="1" t="s">
        <v>399</v>
      </c>
      <c r="BU448">
        <v>0</v>
      </c>
      <c r="BV448">
        <v>1.4</v>
      </c>
      <c r="BW448">
        <v>0</v>
      </c>
      <c r="BX448" s="1" t="s">
        <v>129</v>
      </c>
      <c r="BY448" s="1" t="s">
        <v>129</v>
      </c>
      <c r="BZ448">
        <v>6.6666666666666596E-2</v>
      </c>
      <c r="CA448">
        <v>0</v>
      </c>
      <c r="CB448">
        <v>0</v>
      </c>
      <c r="CC448">
        <v>1.95</v>
      </c>
      <c r="CD448">
        <v>1.95</v>
      </c>
      <c r="CE448">
        <v>1.05</v>
      </c>
      <c r="CF448">
        <v>1.05</v>
      </c>
      <c r="CG448" s="1" t="s">
        <v>397</v>
      </c>
      <c r="CH448" s="1" t="s">
        <v>545</v>
      </c>
      <c r="CI448">
        <v>4</v>
      </c>
      <c r="CJ448" s="1" t="s">
        <v>256</v>
      </c>
      <c r="CK448">
        <v>1</v>
      </c>
      <c r="CL448" s="1" t="s">
        <v>528</v>
      </c>
      <c r="CM448" s="1" t="s">
        <v>350</v>
      </c>
      <c r="CN448" s="1" t="s">
        <v>1805</v>
      </c>
      <c r="CO448" s="1" t="s">
        <v>1245</v>
      </c>
      <c r="CP448" s="1" t="s">
        <v>3910</v>
      </c>
      <c r="CQ448">
        <v>166</v>
      </c>
      <c r="CR448" s="1" t="s">
        <v>4894</v>
      </c>
      <c r="CS448" s="1" t="s">
        <v>4895</v>
      </c>
      <c r="CT448" s="1" t="s">
        <v>1404</v>
      </c>
      <c r="CU448" s="1" t="s">
        <v>4896</v>
      </c>
      <c r="CV448" s="1" t="s">
        <v>4897</v>
      </c>
      <c r="CW448">
        <v>77.7</v>
      </c>
      <c r="CX448">
        <v>70.599999999999994</v>
      </c>
      <c r="CY448">
        <v>59</v>
      </c>
      <c r="CZ448" s="1" t="s">
        <v>1316</v>
      </c>
      <c r="DA448">
        <v>1</v>
      </c>
      <c r="DB448" t="s">
        <v>114</v>
      </c>
      <c r="DC448">
        <v>51</v>
      </c>
      <c r="DD448" s="1" t="s">
        <v>4898</v>
      </c>
      <c r="DE448">
        <v>-2.7721244958029101</v>
      </c>
      <c r="DF448" t="e">
        <f>_xlfn.XLOOKUP(Table1[[#This Row],[Player ID]],Table2[feed_id],Table2[trade_status])</f>
        <v>#N/A</v>
      </c>
      <c r="DG448">
        <f>_xlfn.NUMBERVALUE(Table1[[#This Row],[predicted]])</f>
        <v>53.772124495802899</v>
      </c>
    </row>
    <row r="449" spans="1:111" hidden="1" x14ac:dyDescent="0.25">
      <c r="A449">
        <v>120022</v>
      </c>
      <c r="B449">
        <v>8597</v>
      </c>
      <c r="C449" t="s">
        <v>4899</v>
      </c>
      <c r="D449" t="s">
        <v>198</v>
      </c>
      <c r="E449">
        <v>2023</v>
      </c>
      <c r="F449">
        <v>1013093</v>
      </c>
      <c r="G449" t="s">
        <v>4900</v>
      </c>
      <c r="H449" t="s">
        <v>4901</v>
      </c>
      <c r="I449" t="s">
        <v>391</v>
      </c>
      <c r="J449">
        <v>13</v>
      </c>
      <c r="K449">
        <v>46</v>
      </c>
      <c r="L449">
        <v>52</v>
      </c>
      <c r="M449">
        <v>38</v>
      </c>
      <c r="N449">
        <v>43</v>
      </c>
      <c r="O449">
        <v>51</v>
      </c>
      <c r="P449">
        <v>5</v>
      </c>
      <c r="Q449">
        <v>3</v>
      </c>
      <c r="R449">
        <v>7</v>
      </c>
      <c r="S449">
        <v>0</v>
      </c>
      <c r="T449">
        <v>0</v>
      </c>
      <c r="U449">
        <v>1</v>
      </c>
      <c r="V449">
        <v>1</v>
      </c>
      <c r="W449">
        <v>1</v>
      </c>
      <c r="X449">
        <v>0</v>
      </c>
      <c r="Y449" t="s">
        <v>113</v>
      </c>
      <c r="Z449" t="s">
        <v>656</v>
      </c>
      <c r="AA449" t="s">
        <v>4902</v>
      </c>
      <c r="AH449" t="s">
        <v>181</v>
      </c>
      <c r="AI449">
        <v>24</v>
      </c>
      <c r="AJ449">
        <v>0</v>
      </c>
      <c r="AK449">
        <v>0</v>
      </c>
      <c r="AL449">
        <v>0</v>
      </c>
      <c r="AM449">
        <v>0.62</v>
      </c>
      <c r="AN449">
        <v>0.32</v>
      </c>
      <c r="AO449">
        <v>1.01</v>
      </c>
      <c r="AS449">
        <v>4</v>
      </c>
      <c r="AT449">
        <v>0</v>
      </c>
      <c r="AU449">
        <v>1</v>
      </c>
      <c r="AV449">
        <v>87</v>
      </c>
      <c r="AW449">
        <v>70</v>
      </c>
      <c r="AX449">
        <v>220</v>
      </c>
      <c r="AY449">
        <v>1</v>
      </c>
      <c r="AZ449" t="b">
        <v>0</v>
      </c>
      <c r="BA449">
        <v>1705</v>
      </c>
      <c r="BB449">
        <v>1567</v>
      </c>
      <c r="BC449">
        <v>24</v>
      </c>
      <c r="BD449" t="s">
        <v>4903</v>
      </c>
      <c r="BE449">
        <v>99</v>
      </c>
      <c r="BF449">
        <v>0</v>
      </c>
      <c r="BG449">
        <v>70</v>
      </c>
      <c r="BH449">
        <v>0</v>
      </c>
      <c r="BI449">
        <v>5</v>
      </c>
      <c r="BJ449">
        <v>4.8</v>
      </c>
      <c r="BK449" s="1" t="s">
        <v>169</v>
      </c>
      <c r="BL449">
        <v>3</v>
      </c>
      <c r="BM449">
        <v>5</v>
      </c>
      <c r="BN449" s="1" t="s">
        <v>528</v>
      </c>
      <c r="BO449" s="1" t="s">
        <v>129</v>
      </c>
      <c r="BP449">
        <v>1</v>
      </c>
      <c r="BQ449">
        <v>0</v>
      </c>
      <c r="BR449">
        <v>0</v>
      </c>
      <c r="BS449">
        <v>1</v>
      </c>
      <c r="BT449" s="1" t="s">
        <v>399</v>
      </c>
      <c r="BU449" s="1" t="s">
        <v>126</v>
      </c>
      <c r="BV449" s="1" t="s">
        <v>304</v>
      </c>
      <c r="BW449">
        <v>1</v>
      </c>
      <c r="BX449" s="1" t="s">
        <v>184</v>
      </c>
      <c r="BY449" s="1" t="s">
        <v>129</v>
      </c>
      <c r="BZ449">
        <v>6.6666666666666596E-2</v>
      </c>
      <c r="CA449">
        <v>0.62</v>
      </c>
      <c r="CB449" s="1" t="s">
        <v>2418</v>
      </c>
      <c r="CC449">
        <v>0.32</v>
      </c>
      <c r="CD449">
        <v>0.128</v>
      </c>
      <c r="CE449">
        <v>1.01</v>
      </c>
      <c r="CF449">
        <v>0.40400000000000003</v>
      </c>
      <c r="CG449" s="1" t="s">
        <v>138</v>
      </c>
      <c r="CH449" s="1" t="s">
        <v>640</v>
      </c>
      <c r="CI449">
        <v>0</v>
      </c>
      <c r="CJ449" s="1" t="s">
        <v>213</v>
      </c>
      <c r="CK449" s="1" t="s">
        <v>159</v>
      </c>
      <c r="CL449" s="1" t="s">
        <v>373</v>
      </c>
      <c r="CM449" s="1" t="s">
        <v>1053</v>
      </c>
      <c r="CN449" s="1" t="s">
        <v>3034</v>
      </c>
      <c r="CO449">
        <v>57</v>
      </c>
      <c r="CP449">
        <v>75.2</v>
      </c>
      <c r="CQ449">
        <v>152</v>
      </c>
      <c r="CR449">
        <v>116.8</v>
      </c>
      <c r="CS449">
        <v>1708</v>
      </c>
      <c r="CT449">
        <v>1621.4</v>
      </c>
      <c r="CU449">
        <v>1571</v>
      </c>
      <c r="CV449">
        <v>1670.6</v>
      </c>
      <c r="CW449">
        <v>41.65</v>
      </c>
      <c r="CX449">
        <v>34.4</v>
      </c>
      <c r="CY449">
        <v>31.2</v>
      </c>
      <c r="CZ449" s="1" t="s">
        <v>2127</v>
      </c>
      <c r="DA449">
        <v>1</v>
      </c>
      <c r="DB449" t="s">
        <v>656</v>
      </c>
      <c r="DC449">
        <v>52</v>
      </c>
      <c r="DD449" s="1" t="s">
        <v>4904</v>
      </c>
      <c r="DE449" s="1" t="s">
        <v>4905</v>
      </c>
      <c r="DF449" t="e">
        <f>_xlfn.XLOOKUP(Table1[[#This Row],[Player ID]],Table2[feed_id],Table2[trade_status])</f>
        <v>#N/A</v>
      </c>
      <c r="DG449">
        <f>_xlfn.NUMBERVALUE(Table1[[#This Row],[predicted]])</f>
        <v>48.812549274483203</v>
      </c>
    </row>
    <row r="450" spans="1:111" hidden="1" x14ac:dyDescent="0.25">
      <c r="A450">
        <v>120088</v>
      </c>
      <c r="B450">
        <v>8599</v>
      </c>
      <c r="C450" t="s">
        <v>4906</v>
      </c>
      <c r="D450" t="s">
        <v>4907</v>
      </c>
      <c r="E450">
        <v>2023</v>
      </c>
      <c r="F450">
        <v>294068</v>
      </c>
      <c r="G450" t="s">
        <v>247</v>
      </c>
      <c r="H450" t="s">
        <v>4059</v>
      </c>
      <c r="I450" t="s">
        <v>619</v>
      </c>
      <c r="J450">
        <v>14</v>
      </c>
      <c r="K450">
        <v>56</v>
      </c>
      <c r="L450">
        <v>46</v>
      </c>
      <c r="M450">
        <v>71</v>
      </c>
      <c r="N450">
        <v>45</v>
      </c>
      <c r="O450">
        <v>55</v>
      </c>
      <c r="P450">
        <v>5</v>
      </c>
      <c r="Q450">
        <v>2</v>
      </c>
      <c r="R450">
        <v>2</v>
      </c>
      <c r="S450">
        <v>4</v>
      </c>
      <c r="T450">
        <v>15</v>
      </c>
      <c r="U450">
        <v>2</v>
      </c>
      <c r="V450">
        <v>1</v>
      </c>
      <c r="W450">
        <v>0</v>
      </c>
      <c r="X450">
        <v>1</v>
      </c>
      <c r="Y450" t="s">
        <v>113</v>
      </c>
      <c r="Z450" t="s">
        <v>602</v>
      </c>
      <c r="AA450" t="s">
        <v>4908</v>
      </c>
      <c r="AE450">
        <v>0</v>
      </c>
      <c r="AH450" t="s">
        <v>274</v>
      </c>
      <c r="AI450">
        <v>34</v>
      </c>
      <c r="AJ450">
        <v>5</v>
      </c>
      <c r="AK450">
        <v>57.6</v>
      </c>
      <c r="AL450">
        <v>0</v>
      </c>
      <c r="AM450">
        <v>0</v>
      </c>
      <c r="AN450">
        <v>0.09</v>
      </c>
      <c r="AO450">
        <v>0.05</v>
      </c>
      <c r="AS450">
        <v>4</v>
      </c>
      <c r="AT450">
        <v>2</v>
      </c>
      <c r="AU450">
        <v>2</v>
      </c>
      <c r="AV450">
        <v>57</v>
      </c>
      <c r="AW450">
        <v>77</v>
      </c>
      <c r="AX450">
        <v>114</v>
      </c>
      <c r="AY450">
        <v>0</v>
      </c>
      <c r="AZ450" t="b">
        <v>0</v>
      </c>
      <c r="BA450">
        <v>1753</v>
      </c>
      <c r="BB450">
        <v>1505</v>
      </c>
      <c r="BC450">
        <v>25</v>
      </c>
      <c r="BD450" t="s">
        <v>4909</v>
      </c>
      <c r="BE450">
        <v>97</v>
      </c>
      <c r="BF450">
        <v>0</v>
      </c>
      <c r="BG450">
        <v>69</v>
      </c>
      <c r="BH450">
        <v>0</v>
      </c>
      <c r="BI450" s="1" t="s">
        <v>449</v>
      </c>
      <c r="BJ450" s="1" t="s">
        <v>565</v>
      </c>
      <c r="BK450" s="1" t="s">
        <v>169</v>
      </c>
      <c r="BL450">
        <v>3.4</v>
      </c>
      <c r="BM450" s="1" t="s">
        <v>159</v>
      </c>
      <c r="BN450">
        <v>2.2000000000000002</v>
      </c>
      <c r="BO450">
        <v>4</v>
      </c>
      <c r="BP450" s="1" t="s">
        <v>373</v>
      </c>
      <c r="BQ450">
        <v>15</v>
      </c>
      <c r="BR450" s="1" t="s">
        <v>4910</v>
      </c>
      <c r="BS450" s="1" t="s">
        <v>161</v>
      </c>
      <c r="BT450" s="1" t="s">
        <v>162</v>
      </c>
      <c r="BU450">
        <v>1</v>
      </c>
      <c r="BV450" s="1" t="s">
        <v>162</v>
      </c>
      <c r="BW450" s="1" t="s">
        <v>129</v>
      </c>
      <c r="BX450" s="1" t="s">
        <v>213</v>
      </c>
      <c r="BY450" s="1" t="s">
        <v>128</v>
      </c>
      <c r="BZ450">
        <v>0.4</v>
      </c>
      <c r="CA450">
        <v>0</v>
      </c>
      <c r="CB450">
        <v>0</v>
      </c>
      <c r="CC450">
        <v>0.09</v>
      </c>
      <c r="CD450">
        <v>0.09</v>
      </c>
      <c r="CE450">
        <v>0.05</v>
      </c>
      <c r="CF450">
        <v>0.05</v>
      </c>
      <c r="CG450">
        <v>6</v>
      </c>
      <c r="CH450">
        <v>5</v>
      </c>
      <c r="CI450" s="1" t="s">
        <v>169</v>
      </c>
      <c r="CJ450">
        <v>2.2000000000000002</v>
      </c>
      <c r="CK450">
        <v>2</v>
      </c>
      <c r="CL450">
        <v>2.4</v>
      </c>
      <c r="CM450">
        <v>51</v>
      </c>
      <c r="CN450" s="1" t="s">
        <v>2374</v>
      </c>
      <c r="CO450" s="1" t="s">
        <v>261</v>
      </c>
      <c r="CP450">
        <v>69.400000000000006</v>
      </c>
      <c r="CQ450">
        <v>160</v>
      </c>
      <c r="CR450">
        <v>108.8</v>
      </c>
      <c r="CS450" s="1" t="s">
        <v>2933</v>
      </c>
      <c r="CT450" s="1" t="s">
        <v>702</v>
      </c>
      <c r="CU450" s="1" t="s">
        <v>2060</v>
      </c>
      <c r="CV450" s="1" t="s">
        <v>4502</v>
      </c>
      <c r="CW450">
        <v>61.9</v>
      </c>
      <c r="CX450">
        <v>64.400000000000006</v>
      </c>
      <c r="CY450">
        <v>60.2</v>
      </c>
      <c r="CZ450">
        <v>57</v>
      </c>
      <c r="DA450">
        <v>1</v>
      </c>
      <c r="DB450" t="s">
        <v>602</v>
      </c>
      <c r="DC450">
        <v>46</v>
      </c>
      <c r="DD450" s="1" t="s">
        <v>4911</v>
      </c>
      <c r="DE450">
        <v>-28.459489545783899</v>
      </c>
      <c r="DF450" t="e">
        <f>_xlfn.XLOOKUP(Table1[[#This Row],[Player ID]],Table2[feed_id],Table2[trade_status])</f>
        <v>#N/A</v>
      </c>
      <c r="DG450">
        <f>_xlfn.NUMBERVALUE(Table1[[#This Row],[predicted]])</f>
        <v>74.459489545783896</v>
      </c>
    </row>
    <row r="451" spans="1:111" hidden="1" x14ac:dyDescent="0.25">
      <c r="A451">
        <v>120090</v>
      </c>
      <c r="B451">
        <v>8599</v>
      </c>
      <c r="C451" t="s">
        <v>4906</v>
      </c>
      <c r="D451" t="s">
        <v>4907</v>
      </c>
      <c r="E451">
        <v>2023</v>
      </c>
      <c r="F451">
        <v>990606</v>
      </c>
      <c r="G451" t="s">
        <v>2115</v>
      </c>
      <c r="H451" t="s">
        <v>4912</v>
      </c>
      <c r="I451" t="s">
        <v>619</v>
      </c>
      <c r="J451">
        <v>3</v>
      </c>
      <c r="K451">
        <v>40</v>
      </c>
      <c r="L451">
        <v>42</v>
      </c>
      <c r="M451">
        <v>49</v>
      </c>
      <c r="N451">
        <v>34</v>
      </c>
      <c r="O451">
        <v>46</v>
      </c>
      <c r="P451">
        <v>4</v>
      </c>
      <c r="Q451">
        <v>7</v>
      </c>
      <c r="R451">
        <v>3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1</v>
      </c>
      <c r="Y451" t="s">
        <v>113</v>
      </c>
      <c r="Z451" t="s">
        <v>525</v>
      </c>
      <c r="AA451" t="s">
        <v>4913</v>
      </c>
      <c r="AE451">
        <v>0</v>
      </c>
      <c r="AH451" t="s">
        <v>118</v>
      </c>
      <c r="AI451">
        <v>11</v>
      </c>
      <c r="AJ451">
        <v>0</v>
      </c>
      <c r="AK451">
        <v>0</v>
      </c>
      <c r="AL451">
        <v>0</v>
      </c>
      <c r="AM451">
        <v>0</v>
      </c>
      <c r="AN451">
        <v>7.0000000000000007E-2</v>
      </c>
      <c r="AO451">
        <v>0.06</v>
      </c>
      <c r="AS451">
        <v>5</v>
      </c>
      <c r="AT451">
        <v>1</v>
      </c>
      <c r="AU451">
        <v>2</v>
      </c>
      <c r="AV451">
        <v>63</v>
      </c>
      <c r="AW451">
        <v>82</v>
      </c>
      <c r="AX451">
        <v>80</v>
      </c>
      <c r="AY451">
        <v>0</v>
      </c>
      <c r="AZ451" t="b">
        <v>0</v>
      </c>
      <c r="BA451">
        <v>1753</v>
      </c>
      <c r="BB451">
        <v>1505</v>
      </c>
      <c r="BC451">
        <v>25</v>
      </c>
      <c r="BD451" t="s">
        <v>4909</v>
      </c>
      <c r="BE451">
        <v>97</v>
      </c>
      <c r="BF451">
        <v>0</v>
      </c>
      <c r="BG451">
        <v>69</v>
      </c>
      <c r="BH451">
        <v>0</v>
      </c>
      <c r="BI451">
        <v>5</v>
      </c>
      <c r="BJ451">
        <v>6</v>
      </c>
      <c r="BK451" s="1" t="s">
        <v>211</v>
      </c>
      <c r="BL451" s="1" t="s">
        <v>260</v>
      </c>
      <c r="BM451" s="1" t="s">
        <v>125</v>
      </c>
      <c r="BN451" s="1" t="s">
        <v>237</v>
      </c>
      <c r="BO451" s="1" t="s">
        <v>126</v>
      </c>
      <c r="BP451" s="1" t="s">
        <v>138</v>
      </c>
      <c r="BQ451">
        <v>0</v>
      </c>
      <c r="BR451">
        <v>0</v>
      </c>
      <c r="BS451">
        <v>0</v>
      </c>
      <c r="BT451" s="1" t="s">
        <v>128</v>
      </c>
      <c r="BU451" s="1" t="s">
        <v>129</v>
      </c>
      <c r="BV451">
        <v>0.2</v>
      </c>
      <c r="BW451">
        <v>0</v>
      </c>
      <c r="BX451">
        <v>0.4</v>
      </c>
      <c r="BY451" s="1" t="s">
        <v>129</v>
      </c>
      <c r="BZ451">
        <v>0.2</v>
      </c>
      <c r="CA451">
        <v>0</v>
      </c>
      <c r="CB451">
        <v>0</v>
      </c>
      <c r="CC451">
        <v>7.0000000000000007E-2</v>
      </c>
      <c r="CD451">
        <v>6.5333333333333299E-2</v>
      </c>
      <c r="CE451">
        <v>0.06</v>
      </c>
      <c r="CF451">
        <v>5.6000000000000001E-2</v>
      </c>
      <c r="CG451" s="1" t="s">
        <v>159</v>
      </c>
      <c r="CH451" s="1" t="s">
        <v>587</v>
      </c>
      <c r="CI451" s="1" t="s">
        <v>128</v>
      </c>
      <c r="CJ451" s="1" t="s">
        <v>399</v>
      </c>
      <c r="CK451" s="1" t="s">
        <v>161</v>
      </c>
      <c r="CL451" s="1" t="s">
        <v>304</v>
      </c>
      <c r="CM451">
        <v>60</v>
      </c>
      <c r="CN451" s="1" t="s">
        <v>483</v>
      </c>
      <c r="CO451">
        <v>64</v>
      </c>
      <c r="CP451">
        <v>69.8</v>
      </c>
      <c r="CQ451">
        <v>151</v>
      </c>
      <c r="CR451" s="1" t="s">
        <v>4914</v>
      </c>
      <c r="CS451" s="1" t="s">
        <v>2217</v>
      </c>
      <c r="CT451" s="1" t="s">
        <v>3234</v>
      </c>
      <c r="CU451" s="1" t="s">
        <v>4915</v>
      </c>
      <c r="CV451">
        <v>1643.6</v>
      </c>
      <c r="CW451">
        <v>55.7</v>
      </c>
      <c r="CX451">
        <v>50.2</v>
      </c>
      <c r="CY451">
        <v>40</v>
      </c>
      <c r="CZ451" s="1" t="s">
        <v>4138</v>
      </c>
      <c r="DA451">
        <v>1</v>
      </c>
      <c r="DB451" t="s">
        <v>525</v>
      </c>
      <c r="DC451">
        <v>42</v>
      </c>
      <c r="DD451" s="1" t="s">
        <v>4916</v>
      </c>
      <c r="DE451">
        <v>-13.6396221067907</v>
      </c>
      <c r="DF451" t="e">
        <f>_xlfn.XLOOKUP(Table1[[#This Row],[Player ID]],Table2[feed_id],Table2[trade_status])</f>
        <v>#N/A</v>
      </c>
      <c r="DG451">
        <f>_xlfn.NUMBERVALUE(Table1[[#This Row],[predicted]])</f>
        <v>55.639622106790704</v>
      </c>
    </row>
    <row r="452" spans="1:111" hidden="1" x14ac:dyDescent="0.25">
      <c r="A452">
        <v>120093</v>
      </c>
      <c r="B452">
        <v>8599</v>
      </c>
      <c r="C452" t="s">
        <v>4906</v>
      </c>
      <c r="D452" t="s">
        <v>4907</v>
      </c>
      <c r="E452">
        <v>2023</v>
      </c>
      <c r="F452">
        <v>294092</v>
      </c>
      <c r="G452" t="s">
        <v>2813</v>
      </c>
      <c r="H452" t="s">
        <v>4917</v>
      </c>
      <c r="I452" t="s">
        <v>619</v>
      </c>
      <c r="J452">
        <v>0</v>
      </c>
      <c r="K452">
        <v>14</v>
      </c>
      <c r="L452">
        <v>10</v>
      </c>
      <c r="M452">
        <v>18</v>
      </c>
      <c r="N452">
        <v>10</v>
      </c>
      <c r="O452">
        <v>15</v>
      </c>
      <c r="P452">
        <v>2</v>
      </c>
      <c r="Q452">
        <v>2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113</v>
      </c>
      <c r="Z452" t="s">
        <v>525</v>
      </c>
      <c r="AA452" t="s">
        <v>4918</v>
      </c>
      <c r="AB452" t="s">
        <v>3571</v>
      </c>
      <c r="AC452" t="s">
        <v>4081</v>
      </c>
      <c r="AE452">
        <v>0</v>
      </c>
      <c r="AH452" t="s">
        <v>181</v>
      </c>
      <c r="AI452">
        <v>43</v>
      </c>
      <c r="AJ452">
        <v>21</v>
      </c>
      <c r="AK452">
        <v>65.95</v>
      </c>
      <c r="AL452">
        <v>0</v>
      </c>
      <c r="AM452">
        <v>0</v>
      </c>
      <c r="AN452">
        <v>2.77</v>
      </c>
      <c r="AO452">
        <v>2.06</v>
      </c>
      <c r="AS452">
        <v>1</v>
      </c>
      <c r="AT452">
        <v>0</v>
      </c>
      <c r="AU452">
        <v>0</v>
      </c>
      <c r="AV452">
        <v>25</v>
      </c>
      <c r="AW452">
        <v>62</v>
      </c>
      <c r="AX452">
        <v>37</v>
      </c>
      <c r="AY452">
        <v>0</v>
      </c>
      <c r="AZ452" t="b">
        <v>0</v>
      </c>
      <c r="BA452">
        <v>1753</v>
      </c>
      <c r="BB452">
        <v>1505</v>
      </c>
      <c r="BC452">
        <v>25</v>
      </c>
      <c r="BD452" t="s">
        <v>4909</v>
      </c>
      <c r="BE452">
        <v>97</v>
      </c>
      <c r="BF452">
        <v>0</v>
      </c>
      <c r="BG452">
        <v>69</v>
      </c>
      <c r="BH452">
        <v>0</v>
      </c>
      <c r="BI452" s="1" t="s">
        <v>138</v>
      </c>
      <c r="BJ452" s="1" t="s">
        <v>256</v>
      </c>
      <c r="BK452" s="1" t="s">
        <v>125</v>
      </c>
      <c r="BL452">
        <v>3.2</v>
      </c>
      <c r="BM452" s="1" t="s">
        <v>161</v>
      </c>
      <c r="BN452" s="1" t="s">
        <v>375</v>
      </c>
      <c r="BO452" s="1" t="s">
        <v>169</v>
      </c>
      <c r="BP452" s="1" t="s">
        <v>159</v>
      </c>
      <c r="BQ452">
        <v>0</v>
      </c>
      <c r="BR452">
        <v>0</v>
      </c>
      <c r="BS452">
        <v>0</v>
      </c>
      <c r="BT452" s="1" t="s">
        <v>184</v>
      </c>
      <c r="BU452" s="1" t="s">
        <v>126</v>
      </c>
      <c r="BV452" s="1" t="s">
        <v>128</v>
      </c>
      <c r="BW452" s="1" t="s">
        <v>129</v>
      </c>
      <c r="BX452" s="1" t="s">
        <v>130</v>
      </c>
      <c r="BY452" s="1" t="s">
        <v>129</v>
      </c>
      <c r="BZ452" s="1" t="s">
        <v>238</v>
      </c>
      <c r="CA452">
        <v>0</v>
      </c>
      <c r="CB452" s="1" t="s">
        <v>4919</v>
      </c>
      <c r="CC452">
        <v>2.77</v>
      </c>
      <c r="CD452">
        <v>1.1080000000000001</v>
      </c>
      <c r="CE452">
        <v>2.06</v>
      </c>
      <c r="CF452">
        <v>0.82399999999999995</v>
      </c>
      <c r="CG452" s="1" t="s">
        <v>169</v>
      </c>
      <c r="CH452" s="1" t="s">
        <v>255</v>
      </c>
      <c r="CI452">
        <v>0</v>
      </c>
      <c r="CJ452">
        <v>0.2</v>
      </c>
      <c r="CK452" s="1" t="s">
        <v>161</v>
      </c>
      <c r="CL452" s="1" t="s">
        <v>126</v>
      </c>
      <c r="CM452" s="1" t="s">
        <v>1316</v>
      </c>
      <c r="CN452" s="1" t="s">
        <v>1838</v>
      </c>
      <c r="CO452" s="1" t="s">
        <v>1615</v>
      </c>
      <c r="CP452" s="1" t="s">
        <v>1472</v>
      </c>
      <c r="CQ452">
        <v>85</v>
      </c>
      <c r="CR452">
        <v>99.4</v>
      </c>
      <c r="CS452" s="1" t="s">
        <v>1373</v>
      </c>
      <c r="CT452" s="1" t="s">
        <v>4920</v>
      </c>
      <c r="CU452" s="1" t="s">
        <v>982</v>
      </c>
      <c r="CV452" s="1" t="s">
        <v>4921</v>
      </c>
      <c r="CW452">
        <v>51.7</v>
      </c>
      <c r="CX452">
        <v>34.1</v>
      </c>
      <c r="CY452">
        <v>42.6</v>
      </c>
      <c r="CZ452" s="1" t="s">
        <v>4076</v>
      </c>
      <c r="DA452">
        <v>1</v>
      </c>
      <c r="DB452" t="s">
        <v>525</v>
      </c>
      <c r="DC452">
        <v>10</v>
      </c>
      <c r="DD452" s="1" t="s">
        <v>4922</v>
      </c>
      <c r="DE452">
        <v>-42.923180457709798</v>
      </c>
      <c r="DF452" t="e">
        <f>_xlfn.XLOOKUP(Table1[[#This Row],[Player ID]],Table2[feed_id],Table2[trade_status])</f>
        <v>#N/A</v>
      </c>
      <c r="DG452">
        <f>_xlfn.NUMBERVALUE(Table1[[#This Row],[predicted]])</f>
        <v>52.923180457709798</v>
      </c>
    </row>
    <row r="453" spans="1:111" hidden="1" x14ac:dyDescent="0.25">
      <c r="A453">
        <v>120137</v>
      </c>
      <c r="B453">
        <v>8600</v>
      </c>
      <c r="C453" t="s">
        <v>4923</v>
      </c>
      <c r="D453" t="s">
        <v>4907</v>
      </c>
      <c r="E453">
        <v>2023</v>
      </c>
      <c r="F453">
        <v>1011839</v>
      </c>
      <c r="G453" t="s">
        <v>617</v>
      </c>
      <c r="H453" t="s">
        <v>4924</v>
      </c>
      <c r="I453" t="s">
        <v>391</v>
      </c>
      <c r="J453">
        <v>2</v>
      </c>
      <c r="K453">
        <v>22</v>
      </c>
      <c r="L453">
        <v>44</v>
      </c>
      <c r="M453">
        <v>29</v>
      </c>
      <c r="N453">
        <v>22</v>
      </c>
      <c r="O453">
        <v>30</v>
      </c>
      <c r="P453">
        <v>4</v>
      </c>
      <c r="Q453">
        <v>3</v>
      </c>
      <c r="R453">
        <v>3</v>
      </c>
      <c r="S453">
        <v>0</v>
      </c>
      <c r="T453">
        <v>0</v>
      </c>
      <c r="U453">
        <v>1</v>
      </c>
      <c r="V453">
        <v>2</v>
      </c>
      <c r="W453">
        <v>0</v>
      </c>
      <c r="X453">
        <v>0</v>
      </c>
      <c r="Y453" t="s">
        <v>113</v>
      </c>
      <c r="Z453" t="s">
        <v>179</v>
      </c>
      <c r="AA453" t="s">
        <v>4925</v>
      </c>
      <c r="AH453" t="s">
        <v>181</v>
      </c>
      <c r="AI453">
        <v>36</v>
      </c>
      <c r="AJ453">
        <v>0</v>
      </c>
      <c r="AK453">
        <v>0</v>
      </c>
      <c r="AL453">
        <v>0</v>
      </c>
      <c r="AM453">
        <v>0.12</v>
      </c>
      <c r="AN453">
        <v>0.11</v>
      </c>
      <c r="AO453">
        <v>0.24</v>
      </c>
      <c r="AS453">
        <v>5</v>
      </c>
      <c r="AT453">
        <v>0</v>
      </c>
      <c r="AU453">
        <v>2</v>
      </c>
      <c r="AV453">
        <v>100</v>
      </c>
      <c r="AW453">
        <v>94</v>
      </c>
      <c r="AX453">
        <v>39</v>
      </c>
      <c r="AY453">
        <v>0</v>
      </c>
      <c r="AZ453" t="b">
        <v>0</v>
      </c>
      <c r="BA453">
        <v>1734</v>
      </c>
      <c r="BB453">
        <v>1554</v>
      </c>
      <c r="BC453">
        <v>25</v>
      </c>
      <c r="BD453" t="s">
        <v>4926</v>
      </c>
      <c r="BE453">
        <v>97</v>
      </c>
      <c r="BF453">
        <v>0</v>
      </c>
      <c r="BG453">
        <v>69</v>
      </c>
      <c r="BH453">
        <v>0</v>
      </c>
      <c r="BI453">
        <v>3</v>
      </c>
      <c r="BJ453" s="1" t="s">
        <v>990</v>
      </c>
      <c r="BK453" s="1" t="s">
        <v>169</v>
      </c>
      <c r="BL453" s="1" t="s">
        <v>169</v>
      </c>
      <c r="BM453" s="1" t="s">
        <v>159</v>
      </c>
      <c r="BN453">
        <v>2</v>
      </c>
      <c r="BO453" s="1" t="s">
        <v>126</v>
      </c>
      <c r="BP453">
        <v>2</v>
      </c>
      <c r="BQ453">
        <v>0</v>
      </c>
      <c r="BR453">
        <v>0</v>
      </c>
      <c r="BS453">
        <v>1</v>
      </c>
      <c r="BT453" s="1" t="s">
        <v>130</v>
      </c>
      <c r="BU453" s="1" t="s">
        <v>161</v>
      </c>
      <c r="BV453" s="1" t="s">
        <v>257</v>
      </c>
      <c r="BW453">
        <v>0</v>
      </c>
      <c r="BX453">
        <v>0</v>
      </c>
      <c r="BY453">
        <v>0</v>
      </c>
      <c r="BZ453">
        <v>0</v>
      </c>
      <c r="CA453">
        <v>0.12</v>
      </c>
      <c r="CB453" s="1" t="s">
        <v>4927</v>
      </c>
      <c r="CC453">
        <v>0.11</v>
      </c>
      <c r="CD453">
        <v>9.5333333333333298E-2</v>
      </c>
      <c r="CE453">
        <v>0.24</v>
      </c>
      <c r="CF453" s="1" t="s">
        <v>4771</v>
      </c>
      <c r="CG453" s="1" t="s">
        <v>138</v>
      </c>
      <c r="CH453">
        <v>3.4</v>
      </c>
      <c r="CI453" s="1" t="s">
        <v>129</v>
      </c>
      <c r="CJ453">
        <v>0.2</v>
      </c>
      <c r="CK453">
        <v>2</v>
      </c>
      <c r="CL453">
        <v>2.2000000000000002</v>
      </c>
      <c r="CM453" s="1" t="s">
        <v>1080</v>
      </c>
      <c r="CN453" s="1" t="s">
        <v>1301</v>
      </c>
      <c r="CO453">
        <v>89</v>
      </c>
      <c r="CP453">
        <v>82.8</v>
      </c>
      <c r="CQ453" s="1" t="s">
        <v>1476</v>
      </c>
      <c r="CR453" s="1" t="s">
        <v>4928</v>
      </c>
      <c r="CS453" s="1" t="s">
        <v>2707</v>
      </c>
      <c r="CT453" s="1" t="s">
        <v>613</v>
      </c>
      <c r="CU453">
        <v>1545</v>
      </c>
      <c r="CV453">
        <v>1681.6</v>
      </c>
      <c r="CW453">
        <v>38.549999999999997</v>
      </c>
      <c r="CX453">
        <v>39.200000000000003</v>
      </c>
      <c r="CY453">
        <v>35.4</v>
      </c>
      <c r="CZ453">
        <v>31</v>
      </c>
      <c r="DA453">
        <v>1</v>
      </c>
      <c r="DB453" t="s">
        <v>179</v>
      </c>
      <c r="DC453">
        <v>44</v>
      </c>
      <c r="DD453" s="1" t="s">
        <v>4929</v>
      </c>
      <c r="DE453" s="1" t="s">
        <v>4930</v>
      </c>
      <c r="DF453" t="str">
        <f>_xlfn.XLOOKUP(Table1[[#This Row],[Player ID]],Table2[feed_id],Table2[trade_status])</f>
        <v>free_agent</v>
      </c>
      <c r="DG453">
        <f>_xlfn.NUMBERVALUE(Table1[[#This Row],[predicted]])</f>
        <v>33.861632705986104</v>
      </c>
    </row>
    <row r="454" spans="1:111" hidden="1" x14ac:dyDescent="0.25">
      <c r="A454">
        <v>120166</v>
      </c>
      <c r="B454">
        <v>8601</v>
      </c>
      <c r="C454" t="s">
        <v>4931</v>
      </c>
      <c r="D454" t="s">
        <v>4907</v>
      </c>
      <c r="E454">
        <v>2023</v>
      </c>
      <c r="F454">
        <v>1005729</v>
      </c>
      <c r="G454" t="s">
        <v>4932</v>
      </c>
      <c r="H454" t="s">
        <v>2222</v>
      </c>
      <c r="I454" t="s">
        <v>813</v>
      </c>
      <c r="J454">
        <v>25</v>
      </c>
      <c r="K454">
        <v>94</v>
      </c>
      <c r="L454">
        <v>107</v>
      </c>
      <c r="M454">
        <v>124</v>
      </c>
      <c r="N454">
        <v>67</v>
      </c>
      <c r="O454">
        <v>97</v>
      </c>
      <c r="P454">
        <v>11</v>
      </c>
      <c r="Q454">
        <v>11</v>
      </c>
      <c r="R454">
        <v>1</v>
      </c>
      <c r="S454">
        <v>9</v>
      </c>
      <c r="T454">
        <v>0</v>
      </c>
      <c r="U454">
        <v>2</v>
      </c>
      <c r="V454">
        <v>1</v>
      </c>
      <c r="W454">
        <v>0</v>
      </c>
      <c r="X454">
        <v>1</v>
      </c>
      <c r="Y454" t="s">
        <v>113</v>
      </c>
      <c r="Z454" t="s">
        <v>4765</v>
      </c>
      <c r="AA454" t="s">
        <v>4933</v>
      </c>
      <c r="AB454" t="s">
        <v>525</v>
      </c>
      <c r="AC454" t="s">
        <v>4934</v>
      </c>
      <c r="AH454" t="s">
        <v>118</v>
      </c>
      <c r="AI454">
        <v>26</v>
      </c>
      <c r="AJ454">
        <v>0</v>
      </c>
      <c r="AK454">
        <v>0</v>
      </c>
      <c r="AL454">
        <v>0</v>
      </c>
      <c r="AM454">
        <v>5.9</v>
      </c>
      <c r="AN454">
        <v>7.07</v>
      </c>
      <c r="AO454">
        <v>7.14</v>
      </c>
      <c r="AS454">
        <v>15</v>
      </c>
      <c r="AT454">
        <v>10</v>
      </c>
      <c r="AU454">
        <v>1</v>
      </c>
      <c r="AV454">
        <v>72</v>
      </c>
      <c r="AW454">
        <v>83</v>
      </c>
      <c r="AX454">
        <v>370</v>
      </c>
      <c r="AY454">
        <v>0</v>
      </c>
      <c r="AZ454" t="b">
        <v>0</v>
      </c>
      <c r="BA454">
        <v>1530</v>
      </c>
      <c r="BB454">
        <v>1741</v>
      </c>
      <c r="BC454">
        <v>25</v>
      </c>
      <c r="BD454" t="s">
        <v>4935</v>
      </c>
      <c r="BE454">
        <v>97</v>
      </c>
      <c r="BF454">
        <v>1</v>
      </c>
      <c r="BG454">
        <v>69</v>
      </c>
      <c r="BH454">
        <v>1</v>
      </c>
      <c r="BI454" s="1" t="s">
        <v>395</v>
      </c>
      <c r="BJ454" s="1" t="s">
        <v>879</v>
      </c>
      <c r="BK454" s="1" t="s">
        <v>1008</v>
      </c>
      <c r="BL454">
        <v>8</v>
      </c>
      <c r="BM454" s="1" t="s">
        <v>125</v>
      </c>
      <c r="BN454" s="1" t="s">
        <v>159</v>
      </c>
      <c r="BO454" s="1" t="s">
        <v>449</v>
      </c>
      <c r="BP454">
        <v>4.4000000000000004</v>
      </c>
      <c r="BQ454">
        <v>0</v>
      </c>
      <c r="BR454">
        <v>0</v>
      </c>
      <c r="BS454" s="1" t="s">
        <v>126</v>
      </c>
      <c r="BT454" s="1" t="s">
        <v>162</v>
      </c>
      <c r="BU454" s="1" t="s">
        <v>126</v>
      </c>
      <c r="BV454" s="1" t="s">
        <v>298</v>
      </c>
      <c r="BW454" s="1" t="s">
        <v>128</v>
      </c>
      <c r="BX454" s="1" t="s">
        <v>130</v>
      </c>
      <c r="BY454">
        <v>1</v>
      </c>
      <c r="BZ454" s="1" t="s">
        <v>184</v>
      </c>
      <c r="CA454">
        <v>5.9</v>
      </c>
      <c r="CB454" s="1" t="s">
        <v>4936</v>
      </c>
      <c r="CC454">
        <v>7.07</v>
      </c>
      <c r="CD454" s="1" t="s">
        <v>4937</v>
      </c>
      <c r="CE454">
        <v>7.14</v>
      </c>
      <c r="CF454">
        <v>5.7119999999999997</v>
      </c>
      <c r="CG454" s="1" t="s">
        <v>395</v>
      </c>
      <c r="CH454">
        <v>8.4</v>
      </c>
      <c r="CI454" s="1" t="s">
        <v>204</v>
      </c>
      <c r="CJ454" s="1" t="s">
        <v>990</v>
      </c>
      <c r="CK454" s="1" t="s">
        <v>138</v>
      </c>
      <c r="CL454">
        <v>2.8</v>
      </c>
      <c r="CM454" s="1" t="s">
        <v>1012</v>
      </c>
      <c r="CN454" s="1" t="s">
        <v>531</v>
      </c>
      <c r="CO454">
        <v>83</v>
      </c>
      <c r="CP454" s="1" t="s">
        <v>2386</v>
      </c>
      <c r="CQ454">
        <v>448</v>
      </c>
      <c r="CR454" s="1" t="s">
        <v>4938</v>
      </c>
      <c r="CS454">
        <v>1605</v>
      </c>
      <c r="CT454" s="1" t="s">
        <v>4939</v>
      </c>
      <c r="CU454">
        <v>1676</v>
      </c>
      <c r="CV454">
        <v>1749.8</v>
      </c>
      <c r="CW454">
        <v>76.099999999999994</v>
      </c>
      <c r="CX454">
        <v>88.2</v>
      </c>
      <c r="CY454">
        <v>93.6</v>
      </c>
      <c r="CZ454" s="1" t="s">
        <v>4940</v>
      </c>
      <c r="DA454">
        <v>1</v>
      </c>
      <c r="DB454" t="s">
        <v>4765</v>
      </c>
      <c r="DC454">
        <v>107</v>
      </c>
      <c r="DD454" s="1" t="s">
        <v>4941</v>
      </c>
      <c r="DE454" s="1" t="s">
        <v>4942</v>
      </c>
      <c r="DF454" t="e">
        <f>_xlfn.XLOOKUP(Table1[[#This Row],[Player ID]],Table2[feed_id],Table2[trade_status])</f>
        <v>#N/A</v>
      </c>
      <c r="DG454">
        <f>_xlfn.NUMBERVALUE(Table1[[#This Row],[predicted]])</f>
        <v>82.567639628222295</v>
      </c>
    </row>
    <row r="455" spans="1:111" hidden="1" x14ac:dyDescent="0.25">
      <c r="A455">
        <v>120172</v>
      </c>
      <c r="B455">
        <v>8601</v>
      </c>
      <c r="C455" t="s">
        <v>4931</v>
      </c>
      <c r="D455" t="s">
        <v>4907</v>
      </c>
      <c r="E455">
        <v>2023</v>
      </c>
      <c r="F455">
        <v>992499</v>
      </c>
      <c r="G455" t="s">
        <v>4943</v>
      </c>
      <c r="H455" t="s">
        <v>4944</v>
      </c>
      <c r="I455" t="s">
        <v>813</v>
      </c>
      <c r="J455">
        <v>15</v>
      </c>
      <c r="K455">
        <v>74</v>
      </c>
      <c r="L455">
        <v>65</v>
      </c>
      <c r="M455">
        <v>98</v>
      </c>
      <c r="N455">
        <v>58</v>
      </c>
      <c r="O455">
        <v>75</v>
      </c>
      <c r="P455">
        <v>6</v>
      </c>
      <c r="Q455">
        <v>6</v>
      </c>
      <c r="R455">
        <v>8</v>
      </c>
      <c r="S455">
        <v>5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113</v>
      </c>
      <c r="Z455" t="s">
        <v>525</v>
      </c>
      <c r="AA455" t="s">
        <v>4945</v>
      </c>
      <c r="AE455">
        <v>0</v>
      </c>
      <c r="AH455" t="s">
        <v>155</v>
      </c>
      <c r="AI455">
        <v>28</v>
      </c>
      <c r="AJ455">
        <v>21</v>
      </c>
      <c r="AK455">
        <v>47.86</v>
      </c>
      <c r="AL455">
        <v>0</v>
      </c>
      <c r="AM455">
        <v>0</v>
      </c>
      <c r="AN455">
        <v>0.15</v>
      </c>
      <c r="AO455">
        <v>0.06</v>
      </c>
      <c r="AS455">
        <v>1</v>
      </c>
      <c r="AT455">
        <v>0</v>
      </c>
      <c r="AU455">
        <v>1</v>
      </c>
      <c r="AV455">
        <v>83</v>
      </c>
      <c r="AW455">
        <v>84</v>
      </c>
      <c r="AX455">
        <v>115</v>
      </c>
      <c r="AY455">
        <v>0</v>
      </c>
      <c r="AZ455" t="b">
        <v>0</v>
      </c>
      <c r="BA455">
        <v>1530</v>
      </c>
      <c r="BB455">
        <v>1741</v>
      </c>
      <c r="BC455">
        <v>25</v>
      </c>
      <c r="BD455" t="s">
        <v>4935</v>
      </c>
      <c r="BE455">
        <v>97</v>
      </c>
      <c r="BF455">
        <v>0</v>
      </c>
      <c r="BG455">
        <v>69</v>
      </c>
      <c r="BH455">
        <v>0</v>
      </c>
      <c r="BI455">
        <v>6</v>
      </c>
      <c r="BJ455" s="1" t="s">
        <v>449</v>
      </c>
      <c r="BK455" s="1" t="s">
        <v>204</v>
      </c>
      <c r="BL455" s="1" t="s">
        <v>230</v>
      </c>
      <c r="BM455" s="1" t="s">
        <v>211</v>
      </c>
      <c r="BN455" s="1" t="s">
        <v>321</v>
      </c>
      <c r="BO455">
        <v>4</v>
      </c>
      <c r="BP455" s="1" t="s">
        <v>140</v>
      </c>
      <c r="BQ455">
        <v>0</v>
      </c>
      <c r="BR455">
        <v>0</v>
      </c>
      <c r="BS455" s="1" t="s">
        <v>129</v>
      </c>
      <c r="BT455">
        <v>0.4</v>
      </c>
      <c r="BU455" s="1" t="s">
        <v>129</v>
      </c>
      <c r="BV455" s="1" t="s">
        <v>184</v>
      </c>
      <c r="BW455">
        <v>0</v>
      </c>
      <c r="BX455">
        <v>0.2</v>
      </c>
      <c r="BY455">
        <v>0</v>
      </c>
      <c r="BZ455" s="1" t="s">
        <v>213</v>
      </c>
      <c r="CA455">
        <v>0</v>
      </c>
      <c r="CB455" s="1" t="s">
        <v>4946</v>
      </c>
      <c r="CC455">
        <v>0.15</v>
      </c>
      <c r="CD455">
        <v>0.11</v>
      </c>
      <c r="CE455">
        <v>0.06</v>
      </c>
      <c r="CF455">
        <v>4.39999999999999E-2</v>
      </c>
      <c r="CG455" s="1" t="s">
        <v>138</v>
      </c>
      <c r="CH455">
        <v>3.6</v>
      </c>
      <c r="CI455">
        <v>0</v>
      </c>
      <c r="CJ455">
        <v>0.4</v>
      </c>
      <c r="CK455" s="1" t="s">
        <v>126</v>
      </c>
      <c r="CL455" s="1" t="s">
        <v>298</v>
      </c>
      <c r="CM455" s="1" t="s">
        <v>683</v>
      </c>
      <c r="CN455" s="1" t="s">
        <v>1805</v>
      </c>
      <c r="CO455" s="1" t="s">
        <v>994</v>
      </c>
      <c r="CP455">
        <v>67.8</v>
      </c>
      <c r="CQ455" s="1" t="s">
        <v>4947</v>
      </c>
      <c r="CR455">
        <v>127.4</v>
      </c>
      <c r="CS455">
        <v>1605</v>
      </c>
      <c r="CT455">
        <v>1529.8</v>
      </c>
      <c r="CU455">
        <v>1676</v>
      </c>
      <c r="CV455" s="1" t="s">
        <v>4948</v>
      </c>
      <c r="CW455">
        <v>50.4</v>
      </c>
      <c r="CX455">
        <v>52</v>
      </c>
      <c r="CY455">
        <v>63.8</v>
      </c>
      <c r="CZ455" s="1" t="s">
        <v>681</v>
      </c>
      <c r="DA455">
        <v>1</v>
      </c>
      <c r="DB455" t="s">
        <v>525</v>
      </c>
      <c r="DC455">
        <v>65</v>
      </c>
      <c r="DD455" s="1" t="s">
        <v>4949</v>
      </c>
      <c r="DE455" s="1" t="s">
        <v>4950</v>
      </c>
      <c r="DF455" t="e">
        <f>_xlfn.XLOOKUP(Table1[[#This Row],[Player ID]],Table2[feed_id],Table2[trade_status])</f>
        <v>#N/A</v>
      </c>
      <c r="DG455">
        <f>_xlfn.NUMBERVALUE(Table1[[#This Row],[predicted]])</f>
        <v>54.805867374162801</v>
      </c>
    </row>
    <row r="456" spans="1:111" hidden="1" x14ac:dyDescent="0.25">
      <c r="A456">
        <v>120182</v>
      </c>
      <c r="B456">
        <v>8601</v>
      </c>
      <c r="C456" t="s">
        <v>4931</v>
      </c>
      <c r="D456" t="s">
        <v>4907</v>
      </c>
      <c r="E456">
        <v>2023</v>
      </c>
      <c r="F456">
        <v>992462</v>
      </c>
      <c r="G456" t="s">
        <v>289</v>
      </c>
      <c r="H456" t="s">
        <v>4951</v>
      </c>
      <c r="I456" t="s">
        <v>813</v>
      </c>
      <c r="J456">
        <v>9</v>
      </c>
      <c r="K456">
        <v>39</v>
      </c>
      <c r="L456">
        <v>23</v>
      </c>
      <c r="M456">
        <v>50</v>
      </c>
      <c r="N456">
        <v>31</v>
      </c>
      <c r="O456">
        <v>39</v>
      </c>
      <c r="P456">
        <v>4</v>
      </c>
      <c r="Q456">
        <v>2</v>
      </c>
      <c r="R456">
        <v>3</v>
      </c>
      <c r="S456">
        <v>2</v>
      </c>
      <c r="T456">
        <v>0</v>
      </c>
      <c r="U456">
        <v>0</v>
      </c>
      <c r="V456">
        <v>0</v>
      </c>
      <c r="W456">
        <v>1</v>
      </c>
      <c r="X456">
        <v>0</v>
      </c>
      <c r="Y456" t="s">
        <v>113</v>
      </c>
      <c r="Z456" t="s">
        <v>525</v>
      </c>
      <c r="AA456" t="s">
        <v>4952</v>
      </c>
      <c r="AB456" t="s">
        <v>3571</v>
      </c>
      <c r="AC456" t="s">
        <v>4081</v>
      </c>
      <c r="AE456">
        <v>0</v>
      </c>
      <c r="AH456" t="s">
        <v>181</v>
      </c>
      <c r="AI456">
        <v>15</v>
      </c>
      <c r="AJ456">
        <v>15</v>
      </c>
      <c r="AK456">
        <v>77.2</v>
      </c>
      <c r="AL456">
        <v>0</v>
      </c>
      <c r="AM456">
        <v>0</v>
      </c>
      <c r="AN456">
        <v>0.12</v>
      </c>
      <c r="AO456">
        <v>0.1</v>
      </c>
      <c r="AS456">
        <v>1</v>
      </c>
      <c r="AT456">
        <v>0</v>
      </c>
      <c r="AU456">
        <v>1</v>
      </c>
      <c r="AV456">
        <v>66</v>
      </c>
      <c r="AW456">
        <v>37</v>
      </c>
      <c r="AX456">
        <v>89</v>
      </c>
      <c r="AY456">
        <v>0</v>
      </c>
      <c r="AZ456" t="b">
        <v>0</v>
      </c>
      <c r="BA456">
        <v>1530</v>
      </c>
      <c r="BB456">
        <v>1741</v>
      </c>
      <c r="BC456">
        <v>25</v>
      </c>
      <c r="BD456" t="s">
        <v>4935</v>
      </c>
      <c r="BE456">
        <v>97</v>
      </c>
      <c r="BF456">
        <v>0</v>
      </c>
      <c r="BG456">
        <v>69</v>
      </c>
      <c r="BH456">
        <v>0</v>
      </c>
      <c r="BI456">
        <v>8</v>
      </c>
      <c r="BJ456" s="1" t="s">
        <v>1426</v>
      </c>
      <c r="BK456" s="1" t="s">
        <v>160</v>
      </c>
      <c r="BL456">
        <v>5.2</v>
      </c>
      <c r="BM456" s="1" t="s">
        <v>138</v>
      </c>
      <c r="BN456" s="1" t="s">
        <v>256</v>
      </c>
      <c r="BO456" s="1" t="s">
        <v>125</v>
      </c>
      <c r="BP456" s="1" t="s">
        <v>566</v>
      </c>
      <c r="BQ456">
        <v>0</v>
      </c>
      <c r="BR456">
        <v>0</v>
      </c>
      <c r="BS456">
        <v>1</v>
      </c>
      <c r="BT456" s="1" t="s">
        <v>128</v>
      </c>
      <c r="BU456" s="1" t="s">
        <v>129</v>
      </c>
      <c r="BV456">
        <v>0.8</v>
      </c>
      <c r="BW456" s="1" t="s">
        <v>129</v>
      </c>
      <c r="BX456">
        <v>0.2</v>
      </c>
      <c r="BY456">
        <v>0</v>
      </c>
      <c r="BZ456">
        <v>6.6666666666666596E-2</v>
      </c>
      <c r="CA456">
        <v>0</v>
      </c>
      <c r="CB456">
        <v>0</v>
      </c>
      <c r="CC456">
        <v>0.12</v>
      </c>
      <c r="CD456">
        <v>8.7999999999999995E-2</v>
      </c>
      <c r="CE456">
        <v>0.1</v>
      </c>
      <c r="CF456">
        <v>7.3333333333333306E-2</v>
      </c>
      <c r="CG456">
        <v>4</v>
      </c>
      <c r="CH456" s="1" t="s">
        <v>212</v>
      </c>
      <c r="CI456" s="1" t="s">
        <v>126</v>
      </c>
      <c r="CJ456" s="1" t="s">
        <v>126</v>
      </c>
      <c r="CK456">
        <v>3</v>
      </c>
      <c r="CL456" s="1" t="s">
        <v>255</v>
      </c>
      <c r="CM456" s="1" t="s">
        <v>2490</v>
      </c>
      <c r="CN456" s="1" t="s">
        <v>1163</v>
      </c>
      <c r="CO456">
        <v>64</v>
      </c>
      <c r="CP456" s="1" t="s">
        <v>3123</v>
      </c>
      <c r="CQ456">
        <v>160</v>
      </c>
      <c r="CR456">
        <v>229</v>
      </c>
      <c r="CS456" s="1" t="s">
        <v>4953</v>
      </c>
      <c r="CT456" s="1" t="s">
        <v>2453</v>
      </c>
      <c r="CU456" s="1" t="s">
        <v>3876</v>
      </c>
      <c r="CV456">
        <v>1760.4</v>
      </c>
      <c r="CW456">
        <v>57.3</v>
      </c>
      <c r="CX456">
        <v>58.1</v>
      </c>
      <c r="CY456">
        <v>50.8</v>
      </c>
      <c r="CZ456">
        <v>43</v>
      </c>
      <c r="DA456">
        <v>1</v>
      </c>
      <c r="DB456" t="s">
        <v>525</v>
      </c>
      <c r="DC456">
        <v>23</v>
      </c>
      <c r="DD456">
        <v>57.722232199061303</v>
      </c>
      <c r="DE456">
        <v>-34.722232199061303</v>
      </c>
      <c r="DF456" t="e">
        <f>_xlfn.XLOOKUP(Table1[[#This Row],[Player ID]],Table2[feed_id],Table2[trade_status])</f>
        <v>#N/A</v>
      </c>
      <c r="DG456">
        <f>_xlfn.NUMBERVALUE(Table1[[#This Row],[predicted]])</f>
        <v>57.722232199061303</v>
      </c>
    </row>
    <row r="457" spans="1:111" hidden="1" x14ac:dyDescent="0.25">
      <c r="A457">
        <v>120183</v>
      </c>
      <c r="B457">
        <v>8601</v>
      </c>
      <c r="C457" t="s">
        <v>4931</v>
      </c>
      <c r="D457" t="s">
        <v>4907</v>
      </c>
      <c r="E457">
        <v>2023</v>
      </c>
      <c r="F457">
        <v>1011771</v>
      </c>
      <c r="G457" t="s">
        <v>4954</v>
      </c>
      <c r="H457" t="s">
        <v>4955</v>
      </c>
      <c r="I457" t="s">
        <v>813</v>
      </c>
      <c r="J457">
        <v>3</v>
      </c>
      <c r="K457">
        <v>38</v>
      </c>
      <c r="L457">
        <v>29</v>
      </c>
      <c r="M457">
        <v>50</v>
      </c>
      <c r="N457">
        <v>31</v>
      </c>
      <c r="O457">
        <v>42</v>
      </c>
      <c r="P457">
        <v>7</v>
      </c>
      <c r="Q457">
        <v>3</v>
      </c>
      <c r="R457">
        <v>3</v>
      </c>
      <c r="S457">
        <v>1</v>
      </c>
      <c r="T457">
        <v>0</v>
      </c>
      <c r="U457">
        <v>1</v>
      </c>
      <c r="V457">
        <v>1</v>
      </c>
      <c r="W457">
        <v>0</v>
      </c>
      <c r="X457">
        <v>0</v>
      </c>
      <c r="Y457" t="s">
        <v>113</v>
      </c>
      <c r="Z457" t="s">
        <v>226</v>
      </c>
      <c r="AA457" t="s">
        <v>4956</v>
      </c>
      <c r="AH457" t="s">
        <v>118</v>
      </c>
      <c r="AI457">
        <v>39</v>
      </c>
      <c r="AJ457">
        <v>0</v>
      </c>
      <c r="AK457">
        <v>0</v>
      </c>
      <c r="AL457">
        <v>0</v>
      </c>
      <c r="AM457">
        <v>0.08</v>
      </c>
      <c r="AN457">
        <v>0.48</v>
      </c>
      <c r="AO457">
        <v>0.27</v>
      </c>
      <c r="AS457">
        <v>2</v>
      </c>
      <c r="AT457">
        <v>0</v>
      </c>
      <c r="AU457">
        <v>4</v>
      </c>
      <c r="AV457">
        <v>70</v>
      </c>
      <c r="AW457">
        <v>84</v>
      </c>
      <c r="AX457">
        <v>138</v>
      </c>
      <c r="AY457">
        <v>0</v>
      </c>
      <c r="AZ457" t="b">
        <v>0</v>
      </c>
      <c r="BA457">
        <v>1530</v>
      </c>
      <c r="BB457">
        <v>1741</v>
      </c>
      <c r="BC457">
        <v>25</v>
      </c>
      <c r="BD457" t="s">
        <v>4935</v>
      </c>
      <c r="BE457">
        <v>97</v>
      </c>
      <c r="BF457">
        <v>0</v>
      </c>
      <c r="BG457">
        <v>69</v>
      </c>
      <c r="BH457">
        <v>0</v>
      </c>
      <c r="BI457" s="1" t="s">
        <v>124</v>
      </c>
      <c r="BJ457">
        <v>7.2</v>
      </c>
      <c r="BK457" s="1" t="s">
        <v>211</v>
      </c>
      <c r="BL457" s="1" t="s">
        <v>229</v>
      </c>
      <c r="BM457">
        <v>3</v>
      </c>
      <c r="BN457">
        <v>3.2</v>
      </c>
      <c r="BO457" s="1" t="s">
        <v>126</v>
      </c>
      <c r="BP457">
        <v>2</v>
      </c>
      <c r="BQ457">
        <v>0</v>
      </c>
      <c r="BR457">
        <v>0</v>
      </c>
      <c r="BS457" s="1" t="s">
        <v>129</v>
      </c>
      <c r="BT457" s="1" t="s">
        <v>238</v>
      </c>
      <c r="BU457" s="1" t="s">
        <v>129</v>
      </c>
      <c r="BV457">
        <v>0.6</v>
      </c>
      <c r="BW457" s="1" t="s">
        <v>129</v>
      </c>
      <c r="BX457">
        <v>6.6666666666666596E-2</v>
      </c>
      <c r="BY457">
        <v>0</v>
      </c>
      <c r="BZ457">
        <v>0</v>
      </c>
      <c r="CA457">
        <v>0.08</v>
      </c>
      <c r="CB457">
        <v>2.6666666666666599E-2</v>
      </c>
      <c r="CC457">
        <v>0.48</v>
      </c>
      <c r="CD457">
        <v>0.16</v>
      </c>
      <c r="CE457">
        <v>0.27</v>
      </c>
      <c r="CF457">
        <v>0.09</v>
      </c>
      <c r="CG457" s="1" t="s">
        <v>126</v>
      </c>
      <c r="CH457">
        <v>3</v>
      </c>
      <c r="CI457">
        <v>0</v>
      </c>
      <c r="CJ457" s="1" t="s">
        <v>238</v>
      </c>
      <c r="CK457" s="1" t="s">
        <v>169</v>
      </c>
      <c r="CL457" s="1" t="s">
        <v>169</v>
      </c>
      <c r="CM457">
        <v>69</v>
      </c>
      <c r="CN457" s="1" t="s">
        <v>772</v>
      </c>
      <c r="CO457" s="1" t="s">
        <v>968</v>
      </c>
      <c r="CP457" s="1" t="s">
        <v>3439</v>
      </c>
      <c r="CQ457">
        <v>138</v>
      </c>
      <c r="CR457">
        <v>195.2</v>
      </c>
      <c r="CS457" s="1" t="s">
        <v>2573</v>
      </c>
      <c r="CT457">
        <v>1550.6</v>
      </c>
      <c r="CU457" s="1" t="s">
        <v>4957</v>
      </c>
      <c r="CV457" s="1" t="s">
        <v>4958</v>
      </c>
      <c r="CW457">
        <v>43.9</v>
      </c>
      <c r="CX457">
        <v>44.4</v>
      </c>
      <c r="CY457">
        <v>37.4</v>
      </c>
      <c r="CZ457" s="1" t="s">
        <v>4076</v>
      </c>
      <c r="DA457">
        <v>1</v>
      </c>
      <c r="DB457" t="s">
        <v>226</v>
      </c>
      <c r="DC457">
        <v>29</v>
      </c>
      <c r="DD457" s="1" t="s">
        <v>4959</v>
      </c>
      <c r="DE457">
        <v>-43.2454067168539</v>
      </c>
      <c r="DF457" t="e">
        <f>_xlfn.XLOOKUP(Table1[[#This Row],[Player ID]],Table2[feed_id],Table2[trade_status])</f>
        <v>#N/A</v>
      </c>
      <c r="DG457">
        <f>_xlfn.NUMBERVALUE(Table1[[#This Row],[predicted]])</f>
        <v>72.245406716853907</v>
      </c>
    </row>
    <row r="458" spans="1:111" hidden="1" x14ac:dyDescent="0.25">
      <c r="A458">
        <v>120252</v>
      </c>
      <c r="B458">
        <v>8603</v>
      </c>
      <c r="C458" t="s">
        <v>4960</v>
      </c>
      <c r="D458" t="s">
        <v>4907</v>
      </c>
      <c r="E458">
        <v>2023</v>
      </c>
      <c r="F458">
        <v>294877</v>
      </c>
      <c r="G458" t="s">
        <v>4961</v>
      </c>
      <c r="H458" t="s">
        <v>1538</v>
      </c>
      <c r="I458" t="s">
        <v>1061</v>
      </c>
      <c r="J458">
        <v>42</v>
      </c>
      <c r="K458">
        <v>160</v>
      </c>
      <c r="L458">
        <v>122</v>
      </c>
      <c r="M458">
        <v>208</v>
      </c>
      <c r="N458">
        <v>123</v>
      </c>
      <c r="O458">
        <v>163</v>
      </c>
      <c r="P458">
        <v>27</v>
      </c>
      <c r="Q458">
        <v>9</v>
      </c>
      <c r="R458">
        <v>11</v>
      </c>
      <c r="S458">
        <v>5</v>
      </c>
      <c r="T458">
        <v>0</v>
      </c>
      <c r="U458">
        <v>1</v>
      </c>
      <c r="V458">
        <v>0</v>
      </c>
      <c r="W458">
        <v>1</v>
      </c>
      <c r="X458">
        <v>1</v>
      </c>
      <c r="Y458" t="s">
        <v>113</v>
      </c>
      <c r="Z458" t="s">
        <v>4962</v>
      </c>
      <c r="AA458" t="s">
        <v>4963</v>
      </c>
      <c r="AB458" t="s">
        <v>525</v>
      </c>
      <c r="AC458" t="s">
        <v>4964</v>
      </c>
      <c r="AE458">
        <v>0</v>
      </c>
      <c r="AH458" t="s">
        <v>118</v>
      </c>
      <c r="AI458">
        <v>7</v>
      </c>
      <c r="AJ458">
        <v>21</v>
      </c>
      <c r="AK458">
        <v>90.81</v>
      </c>
      <c r="AL458">
        <v>0</v>
      </c>
      <c r="AM458">
        <v>0</v>
      </c>
      <c r="AN458">
        <v>0.68</v>
      </c>
      <c r="AO458">
        <v>0.8</v>
      </c>
      <c r="AS458">
        <v>6</v>
      </c>
      <c r="AT458">
        <v>2</v>
      </c>
      <c r="AU458">
        <v>3</v>
      </c>
      <c r="AV458">
        <v>69</v>
      </c>
      <c r="AW458">
        <v>88</v>
      </c>
      <c r="AX458">
        <v>947</v>
      </c>
      <c r="AY458">
        <v>0</v>
      </c>
      <c r="AZ458" t="b">
        <v>0</v>
      </c>
      <c r="BA458">
        <v>1663</v>
      </c>
      <c r="BB458">
        <v>1630</v>
      </c>
      <c r="BC458">
        <v>25</v>
      </c>
      <c r="BD458" t="s">
        <v>4965</v>
      </c>
      <c r="BE458">
        <v>97</v>
      </c>
      <c r="BF458">
        <v>1</v>
      </c>
      <c r="BG458">
        <v>69</v>
      </c>
      <c r="BH458">
        <v>1</v>
      </c>
      <c r="BI458" s="1" t="s">
        <v>4966</v>
      </c>
      <c r="BJ458" s="1" t="s">
        <v>1035</v>
      </c>
      <c r="BK458" s="1" t="s">
        <v>397</v>
      </c>
      <c r="BL458" s="1" t="s">
        <v>260</v>
      </c>
      <c r="BM458">
        <v>9</v>
      </c>
      <c r="BN458" s="1" t="s">
        <v>964</v>
      </c>
      <c r="BO458" s="1" t="s">
        <v>125</v>
      </c>
      <c r="BP458">
        <v>1.6</v>
      </c>
      <c r="BQ458">
        <v>0</v>
      </c>
      <c r="BR458">
        <v>0</v>
      </c>
      <c r="BS458" s="1" t="s">
        <v>129</v>
      </c>
      <c r="BT458">
        <v>0.4</v>
      </c>
      <c r="BU458">
        <v>0</v>
      </c>
      <c r="BV458" s="1" t="s">
        <v>129</v>
      </c>
      <c r="BW458" s="1" t="s">
        <v>129</v>
      </c>
      <c r="BX458" s="1" t="s">
        <v>238</v>
      </c>
      <c r="BY458" s="1" t="s">
        <v>129</v>
      </c>
      <c r="BZ458">
        <v>0.6</v>
      </c>
      <c r="CA458">
        <v>0</v>
      </c>
      <c r="CB458">
        <v>0</v>
      </c>
      <c r="CC458">
        <v>0.68</v>
      </c>
      <c r="CD458">
        <v>0.68</v>
      </c>
      <c r="CE458">
        <v>0.8</v>
      </c>
      <c r="CF458">
        <v>0.8</v>
      </c>
      <c r="CG458" s="1" t="s">
        <v>138</v>
      </c>
      <c r="CH458" s="1" t="s">
        <v>321</v>
      </c>
      <c r="CI458">
        <v>1</v>
      </c>
      <c r="CJ458" s="1" t="s">
        <v>298</v>
      </c>
      <c r="CK458" s="1" t="s">
        <v>169</v>
      </c>
      <c r="CL458" s="1" t="s">
        <v>169</v>
      </c>
      <c r="CM458">
        <v>77</v>
      </c>
      <c r="CN458" s="1" t="s">
        <v>531</v>
      </c>
      <c r="CO458" s="1" t="s">
        <v>403</v>
      </c>
      <c r="CP458" s="1" t="s">
        <v>268</v>
      </c>
      <c r="CQ458">
        <v>563</v>
      </c>
      <c r="CR458">
        <v>471.8</v>
      </c>
      <c r="CS458">
        <v>1516</v>
      </c>
      <c r="CT458">
        <v>1590</v>
      </c>
      <c r="CU458">
        <v>1770</v>
      </c>
      <c r="CV458" s="1" t="s">
        <v>347</v>
      </c>
      <c r="CW458">
        <v>78.400000000000006</v>
      </c>
      <c r="CX458">
        <v>74.099999999999994</v>
      </c>
      <c r="CY458">
        <v>83.6</v>
      </c>
      <c r="CZ458" s="1" t="s">
        <v>2177</v>
      </c>
      <c r="DA458">
        <v>1</v>
      </c>
      <c r="DB458" t="s">
        <v>4962</v>
      </c>
      <c r="DC458">
        <v>122</v>
      </c>
      <c r="DD458" s="1" t="s">
        <v>4967</v>
      </c>
      <c r="DE458" s="1" t="s">
        <v>4968</v>
      </c>
      <c r="DF458" t="e">
        <f>_xlfn.XLOOKUP(Table1[[#This Row],[Player ID]],Table2[feed_id],Table2[trade_status])</f>
        <v>#N/A</v>
      </c>
      <c r="DG458">
        <f>_xlfn.NUMBERVALUE(Table1[[#This Row],[predicted]])</f>
        <v>62.8196263740682</v>
      </c>
    </row>
    <row r="459" spans="1:111" hidden="1" x14ac:dyDescent="0.25">
      <c r="A459">
        <v>120256</v>
      </c>
      <c r="B459">
        <v>8603</v>
      </c>
      <c r="C459" t="s">
        <v>4960</v>
      </c>
      <c r="D459" t="s">
        <v>4907</v>
      </c>
      <c r="E459">
        <v>2023</v>
      </c>
      <c r="F459">
        <v>294199</v>
      </c>
      <c r="G459" t="s">
        <v>958</v>
      </c>
      <c r="H459" t="s">
        <v>4969</v>
      </c>
      <c r="I459" t="s">
        <v>1061</v>
      </c>
      <c r="J459">
        <v>19</v>
      </c>
      <c r="K459">
        <v>99</v>
      </c>
      <c r="L459">
        <v>60</v>
      </c>
      <c r="M459">
        <v>128</v>
      </c>
      <c r="N459">
        <v>78</v>
      </c>
      <c r="O459">
        <v>109</v>
      </c>
      <c r="P459">
        <v>17</v>
      </c>
      <c r="Q459">
        <v>10</v>
      </c>
      <c r="R459">
        <v>6</v>
      </c>
      <c r="S459">
        <v>3</v>
      </c>
      <c r="T459">
        <v>0</v>
      </c>
      <c r="U459">
        <v>0</v>
      </c>
      <c r="V459">
        <v>1</v>
      </c>
      <c r="W459">
        <v>0</v>
      </c>
      <c r="X459">
        <v>1</v>
      </c>
      <c r="Y459" t="s">
        <v>113</v>
      </c>
      <c r="Z459" t="s">
        <v>525</v>
      </c>
      <c r="AA459" t="s">
        <v>4970</v>
      </c>
      <c r="AE459">
        <v>0</v>
      </c>
      <c r="AH459" t="s">
        <v>118</v>
      </c>
      <c r="AI459">
        <v>27</v>
      </c>
      <c r="AJ459">
        <v>21</v>
      </c>
      <c r="AK459">
        <v>98.43</v>
      </c>
      <c r="AL459">
        <v>0</v>
      </c>
      <c r="AM459">
        <v>0</v>
      </c>
      <c r="AN459">
        <v>0.64</v>
      </c>
      <c r="AO459">
        <v>0.12</v>
      </c>
      <c r="AS459">
        <v>6</v>
      </c>
      <c r="AT459">
        <v>3</v>
      </c>
      <c r="AU459">
        <v>10</v>
      </c>
      <c r="AV459">
        <v>51</v>
      </c>
      <c r="AW459">
        <v>81</v>
      </c>
      <c r="AX459">
        <v>486</v>
      </c>
      <c r="AY459">
        <v>0</v>
      </c>
      <c r="AZ459" t="b">
        <v>0</v>
      </c>
      <c r="BA459">
        <v>1663</v>
      </c>
      <c r="BB459">
        <v>1630</v>
      </c>
      <c r="BC459">
        <v>25</v>
      </c>
      <c r="BD459" t="s">
        <v>4965</v>
      </c>
      <c r="BE459">
        <v>97</v>
      </c>
      <c r="BF459">
        <v>0</v>
      </c>
      <c r="BG459">
        <v>69</v>
      </c>
      <c r="BH459">
        <v>0</v>
      </c>
      <c r="BI459">
        <v>16</v>
      </c>
      <c r="BJ459" s="1" t="s">
        <v>1035</v>
      </c>
      <c r="BK459" s="1" t="s">
        <v>183</v>
      </c>
      <c r="BL459">
        <v>7.8</v>
      </c>
      <c r="BM459">
        <v>5</v>
      </c>
      <c r="BN459">
        <v>5.4</v>
      </c>
      <c r="BO459">
        <v>2</v>
      </c>
      <c r="BP459" s="1" t="s">
        <v>322</v>
      </c>
      <c r="BQ459">
        <v>0</v>
      </c>
      <c r="BR459">
        <v>0</v>
      </c>
      <c r="BS459" s="1" t="s">
        <v>129</v>
      </c>
      <c r="BT459" s="1" t="s">
        <v>129</v>
      </c>
      <c r="BU459" s="1" t="s">
        <v>128</v>
      </c>
      <c r="BV459" s="1" t="s">
        <v>298</v>
      </c>
      <c r="BW459" s="1" t="s">
        <v>128</v>
      </c>
      <c r="BX459" s="1" t="s">
        <v>238</v>
      </c>
      <c r="BY459" s="1" t="s">
        <v>128</v>
      </c>
      <c r="BZ459" s="1" t="s">
        <v>130</v>
      </c>
      <c r="CA459">
        <v>0</v>
      </c>
      <c r="CB459">
        <v>0</v>
      </c>
      <c r="CC459" s="1" t="s">
        <v>546</v>
      </c>
      <c r="CD459" s="1" t="s">
        <v>4702</v>
      </c>
      <c r="CE459">
        <v>0.04</v>
      </c>
      <c r="CF459">
        <v>8.0000000000000002E-3</v>
      </c>
      <c r="CG459" s="1" t="s">
        <v>449</v>
      </c>
      <c r="CH459" s="1" t="s">
        <v>680</v>
      </c>
      <c r="CI459" s="1" t="s">
        <v>161</v>
      </c>
      <c r="CJ459" s="1" t="s">
        <v>275</v>
      </c>
      <c r="CK459" s="1" t="s">
        <v>397</v>
      </c>
      <c r="CL459" s="1" t="s">
        <v>212</v>
      </c>
      <c r="CM459">
        <v>64</v>
      </c>
      <c r="CN459" s="1" t="s">
        <v>4368</v>
      </c>
      <c r="CO459" s="1" t="s">
        <v>516</v>
      </c>
      <c r="CP459" s="1" t="s">
        <v>3003</v>
      </c>
      <c r="CQ459" s="1" t="s">
        <v>4971</v>
      </c>
      <c r="CR459" s="1" t="s">
        <v>4972</v>
      </c>
      <c r="CS459" s="1" t="s">
        <v>1940</v>
      </c>
      <c r="CT459">
        <v>1729</v>
      </c>
      <c r="CU459">
        <v>1523</v>
      </c>
      <c r="CV459" s="1" t="s">
        <v>4973</v>
      </c>
      <c r="CW459">
        <v>86.7</v>
      </c>
      <c r="CX459">
        <v>81.3</v>
      </c>
      <c r="CY459">
        <v>76.8</v>
      </c>
      <c r="CZ459" s="1" t="s">
        <v>305</v>
      </c>
      <c r="DA459">
        <v>1</v>
      </c>
      <c r="DB459" t="s">
        <v>525</v>
      </c>
      <c r="DC459">
        <v>60</v>
      </c>
      <c r="DD459" s="1" t="s">
        <v>4974</v>
      </c>
      <c r="DE459">
        <v>-24.5618086988047</v>
      </c>
      <c r="DF459" t="e">
        <f>_xlfn.XLOOKUP(Table1[[#This Row],[Player ID]],Table2[feed_id],Table2[trade_status])</f>
        <v>#N/A</v>
      </c>
      <c r="DG459">
        <f>_xlfn.NUMBERVALUE(Table1[[#This Row],[predicted]])</f>
        <v>84.561808698804697</v>
      </c>
    </row>
    <row r="460" spans="1:111" hidden="1" x14ac:dyDescent="0.25">
      <c r="A460">
        <v>120285</v>
      </c>
      <c r="B460">
        <v>8603</v>
      </c>
      <c r="C460" t="s">
        <v>4960</v>
      </c>
      <c r="D460" t="s">
        <v>4907</v>
      </c>
      <c r="E460">
        <v>2023</v>
      </c>
      <c r="F460">
        <v>293651</v>
      </c>
      <c r="G460" t="s">
        <v>2868</v>
      </c>
      <c r="H460" t="s">
        <v>4975</v>
      </c>
      <c r="I460" t="s">
        <v>712</v>
      </c>
      <c r="J460">
        <v>13</v>
      </c>
      <c r="K460">
        <v>70</v>
      </c>
      <c r="L460">
        <v>61</v>
      </c>
      <c r="M460">
        <v>50</v>
      </c>
      <c r="N460">
        <v>56</v>
      </c>
      <c r="O460">
        <v>75</v>
      </c>
      <c r="P460">
        <v>10</v>
      </c>
      <c r="Q460">
        <v>7</v>
      </c>
      <c r="R460">
        <v>6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113</v>
      </c>
      <c r="Z460" t="s">
        <v>226</v>
      </c>
      <c r="AA460" t="s">
        <v>4976</v>
      </c>
      <c r="AH460" t="s">
        <v>181</v>
      </c>
      <c r="AI460">
        <v>9</v>
      </c>
      <c r="AJ460">
        <v>0</v>
      </c>
      <c r="AK460">
        <v>0</v>
      </c>
      <c r="AL460">
        <v>0</v>
      </c>
      <c r="AM460">
        <v>0.5</v>
      </c>
      <c r="AN460">
        <v>0.47</v>
      </c>
      <c r="AO460">
        <v>0.09</v>
      </c>
      <c r="AS460">
        <v>4</v>
      </c>
      <c r="AT460">
        <v>1</v>
      </c>
      <c r="AU460">
        <v>2</v>
      </c>
      <c r="AV460">
        <v>76</v>
      </c>
      <c r="AW460">
        <v>74</v>
      </c>
      <c r="AX460">
        <v>233</v>
      </c>
      <c r="AY460">
        <v>0</v>
      </c>
      <c r="AZ460" t="b">
        <v>0</v>
      </c>
      <c r="BA460">
        <v>1630</v>
      </c>
      <c r="BB460">
        <v>1663</v>
      </c>
      <c r="BC460">
        <v>25</v>
      </c>
      <c r="BD460" t="s">
        <v>4977</v>
      </c>
      <c r="BE460">
        <v>97</v>
      </c>
      <c r="BF460">
        <v>0</v>
      </c>
      <c r="BG460">
        <v>69</v>
      </c>
      <c r="BH460">
        <v>0</v>
      </c>
      <c r="BI460" s="1" t="s">
        <v>204</v>
      </c>
      <c r="BJ460">
        <v>9.6</v>
      </c>
      <c r="BK460">
        <v>4</v>
      </c>
      <c r="BL460" s="1" t="s">
        <v>436</v>
      </c>
      <c r="BM460">
        <v>3</v>
      </c>
      <c r="BN460" s="1" t="s">
        <v>781</v>
      </c>
      <c r="BO460" s="1" t="s">
        <v>126</v>
      </c>
      <c r="BP460">
        <v>1.2</v>
      </c>
      <c r="BQ460">
        <v>0</v>
      </c>
      <c r="BR460">
        <v>0</v>
      </c>
      <c r="BS460" s="1" t="s">
        <v>129</v>
      </c>
      <c r="BT460" s="1" t="s">
        <v>130</v>
      </c>
      <c r="BU460" s="1" t="s">
        <v>129</v>
      </c>
      <c r="BV460">
        <v>0.6</v>
      </c>
      <c r="BW460">
        <v>0</v>
      </c>
      <c r="BX460">
        <v>6.6666666666666596E-2</v>
      </c>
      <c r="BY460">
        <v>0</v>
      </c>
      <c r="BZ460">
        <v>6.6666666666666596E-2</v>
      </c>
      <c r="CA460">
        <v>0.5</v>
      </c>
      <c r="CB460" s="1" t="s">
        <v>213</v>
      </c>
      <c r="CC460">
        <v>0.47</v>
      </c>
      <c r="CD460" s="1" t="s">
        <v>4978</v>
      </c>
      <c r="CE460">
        <v>0.09</v>
      </c>
      <c r="CF460">
        <v>2.4E-2</v>
      </c>
      <c r="CG460" s="1" t="s">
        <v>169</v>
      </c>
      <c r="CH460" s="1" t="s">
        <v>189</v>
      </c>
      <c r="CI460" s="1" t="s">
        <v>129</v>
      </c>
      <c r="CJ460">
        <v>0.2</v>
      </c>
      <c r="CK460">
        <v>2</v>
      </c>
      <c r="CL460" s="1" t="s">
        <v>275</v>
      </c>
      <c r="CM460" s="1" t="s">
        <v>930</v>
      </c>
      <c r="CN460" s="1" t="s">
        <v>1258</v>
      </c>
      <c r="CO460" s="1" t="s">
        <v>681</v>
      </c>
      <c r="CP460" s="1" t="s">
        <v>4979</v>
      </c>
      <c r="CQ460" s="1" t="s">
        <v>4980</v>
      </c>
      <c r="CR460" s="1" t="s">
        <v>4981</v>
      </c>
      <c r="CS460" s="1" t="s">
        <v>734</v>
      </c>
      <c r="CT460">
        <v>1655</v>
      </c>
      <c r="CU460" s="1" t="s">
        <v>2217</v>
      </c>
      <c r="CV460" s="1" t="s">
        <v>4982</v>
      </c>
      <c r="CW460">
        <v>63.95</v>
      </c>
      <c r="CX460">
        <v>52.6</v>
      </c>
      <c r="CY460">
        <v>54.6</v>
      </c>
      <c r="CZ460" s="1" t="s">
        <v>2710</v>
      </c>
      <c r="DA460">
        <v>1</v>
      </c>
      <c r="DB460" t="s">
        <v>226</v>
      </c>
      <c r="DC460">
        <v>61</v>
      </c>
      <c r="DD460">
        <v>84.597339320523602</v>
      </c>
      <c r="DE460">
        <v>-23.597339320523599</v>
      </c>
      <c r="DF460" t="e">
        <f>_xlfn.XLOOKUP(Table1[[#This Row],[Player ID]],Table2[feed_id],Table2[trade_status])</f>
        <v>#N/A</v>
      </c>
      <c r="DG460">
        <f>_xlfn.NUMBERVALUE(Table1[[#This Row],[predicted]])</f>
        <v>84.597339320523602</v>
      </c>
    </row>
    <row r="461" spans="1:111" hidden="1" x14ac:dyDescent="0.25">
      <c r="A461">
        <v>120290</v>
      </c>
      <c r="B461">
        <v>8603</v>
      </c>
      <c r="C461" t="s">
        <v>4960</v>
      </c>
      <c r="D461" t="s">
        <v>4907</v>
      </c>
      <c r="E461">
        <v>2023</v>
      </c>
      <c r="F461">
        <v>996483</v>
      </c>
      <c r="G461" t="s">
        <v>4983</v>
      </c>
      <c r="H461" t="s">
        <v>4984</v>
      </c>
      <c r="I461" t="s">
        <v>712</v>
      </c>
      <c r="J461">
        <v>18</v>
      </c>
      <c r="K461">
        <v>56</v>
      </c>
      <c r="L461">
        <v>50</v>
      </c>
      <c r="M461">
        <v>56</v>
      </c>
      <c r="N461">
        <v>42</v>
      </c>
      <c r="O461">
        <v>63</v>
      </c>
      <c r="P461">
        <v>4</v>
      </c>
      <c r="Q461">
        <v>11</v>
      </c>
      <c r="R461">
        <v>0</v>
      </c>
      <c r="S461">
        <v>6</v>
      </c>
      <c r="T461">
        <v>0</v>
      </c>
      <c r="U461">
        <v>1</v>
      </c>
      <c r="V461">
        <v>1</v>
      </c>
      <c r="W461">
        <v>0</v>
      </c>
      <c r="X461">
        <v>0</v>
      </c>
      <c r="Y461" t="s">
        <v>113</v>
      </c>
      <c r="Z461" t="s">
        <v>525</v>
      </c>
      <c r="AA461" t="s">
        <v>4985</v>
      </c>
      <c r="AH461" t="s">
        <v>155</v>
      </c>
      <c r="AI461">
        <v>16</v>
      </c>
      <c r="AJ461">
        <v>0</v>
      </c>
      <c r="AK461">
        <v>0</v>
      </c>
      <c r="AL461">
        <v>0</v>
      </c>
      <c r="AM461">
        <v>52.37</v>
      </c>
      <c r="AN461">
        <v>55.06</v>
      </c>
      <c r="AO461">
        <v>30.96</v>
      </c>
      <c r="AS461">
        <v>6</v>
      </c>
      <c r="AT461">
        <v>4</v>
      </c>
      <c r="AU461">
        <v>2</v>
      </c>
      <c r="AV461">
        <v>80</v>
      </c>
      <c r="AW461">
        <v>76</v>
      </c>
      <c r="AX461">
        <v>106</v>
      </c>
      <c r="AY461">
        <v>0</v>
      </c>
      <c r="AZ461" t="b">
        <v>0</v>
      </c>
      <c r="BA461">
        <v>1630</v>
      </c>
      <c r="BB461">
        <v>1663</v>
      </c>
      <c r="BC461">
        <v>25</v>
      </c>
      <c r="BD461" t="s">
        <v>4977</v>
      </c>
      <c r="BE461">
        <v>97</v>
      </c>
      <c r="BF461">
        <v>0</v>
      </c>
      <c r="BG461">
        <v>69</v>
      </c>
      <c r="BH461">
        <v>0</v>
      </c>
      <c r="BI461">
        <v>3</v>
      </c>
      <c r="BJ461" s="1" t="s">
        <v>230</v>
      </c>
      <c r="BK461" s="1" t="s">
        <v>276</v>
      </c>
      <c r="BL461">
        <v>9</v>
      </c>
      <c r="BM461" s="1" t="s">
        <v>159</v>
      </c>
      <c r="BN461" s="1" t="s">
        <v>275</v>
      </c>
      <c r="BO461" s="1" t="s">
        <v>125</v>
      </c>
      <c r="BP461">
        <v>4</v>
      </c>
      <c r="BQ461">
        <v>0</v>
      </c>
      <c r="BR461">
        <v>0</v>
      </c>
      <c r="BS461" s="1" t="s">
        <v>129</v>
      </c>
      <c r="BT461">
        <v>0.8</v>
      </c>
      <c r="BU461" s="1" t="s">
        <v>126</v>
      </c>
      <c r="BV461" s="1" t="s">
        <v>130</v>
      </c>
      <c r="BW461">
        <v>0</v>
      </c>
      <c r="BX461" s="1" t="s">
        <v>231</v>
      </c>
      <c r="BY461">
        <v>0</v>
      </c>
      <c r="BZ461">
        <v>0.4</v>
      </c>
      <c r="CA461">
        <v>52.37</v>
      </c>
      <c r="CB461" s="1" t="s">
        <v>4986</v>
      </c>
      <c r="CC461">
        <v>55.06</v>
      </c>
      <c r="CD461" s="1" t="s">
        <v>4987</v>
      </c>
      <c r="CE461">
        <v>30.96</v>
      </c>
      <c r="CF461">
        <v>8.2560000000000002</v>
      </c>
      <c r="CG461" s="1" t="s">
        <v>449</v>
      </c>
      <c r="CH461" s="1" t="s">
        <v>416</v>
      </c>
      <c r="CI461" s="1" t="s">
        <v>169</v>
      </c>
      <c r="CJ461">
        <v>1.8</v>
      </c>
      <c r="CK461" s="1" t="s">
        <v>169</v>
      </c>
      <c r="CL461" s="1" t="s">
        <v>304</v>
      </c>
      <c r="CM461">
        <v>74</v>
      </c>
      <c r="CN461" s="1" t="s">
        <v>1406</v>
      </c>
      <c r="CO461" s="1" t="s">
        <v>417</v>
      </c>
      <c r="CP461" s="1" t="s">
        <v>572</v>
      </c>
      <c r="CQ461" s="1" t="s">
        <v>4783</v>
      </c>
      <c r="CR461" s="1" t="s">
        <v>4988</v>
      </c>
      <c r="CS461" s="1" t="s">
        <v>3934</v>
      </c>
      <c r="CT461">
        <v>1649.4</v>
      </c>
      <c r="CU461">
        <v>1627</v>
      </c>
      <c r="CV461">
        <v>1634</v>
      </c>
      <c r="CW461">
        <v>63.15</v>
      </c>
      <c r="CX461">
        <v>56.7</v>
      </c>
      <c r="CY461">
        <v>54</v>
      </c>
      <c r="CZ461" s="1" t="s">
        <v>1100</v>
      </c>
      <c r="DA461">
        <v>1</v>
      </c>
      <c r="DB461" t="s">
        <v>525</v>
      </c>
      <c r="DC461">
        <v>50</v>
      </c>
      <c r="DD461" s="1" t="s">
        <v>4989</v>
      </c>
      <c r="DE461">
        <v>-13.940084762316401</v>
      </c>
      <c r="DF461" t="e">
        <f>_xlfn.XLOOKUP(Table1[[#This Row],[Player ID]],Table2[feed_id],Table2[trade_status])</f>
        <v>#N/A</v>
      </c>
      <c r="DG461">
        <f>_xlfn.NUMBERVALUE(Table1[[#This Row],[predicted]])</f>
        <v>63.940084762316403</v>
      </c>
    </row>
    <row r="462" spans="1:111" hidden="1" x14ac:dyDescent="0.25">
      <c r="A462">
        <v>120300</v>
      </c>
      <c r="B462">
        <v>8604</v>
      </c>
      <c r="C462" t="s">
        <v>4990</v>
      </c>
      <c r="D462" t="s">
        <v>4907</v>
      </c>
      <c r="E462">
        <v>2023</v>
      </c>
      <c r="F462">
        <v>280078</v>
      </c>
      <c r="G462" t="s">
        <v>176</v>
      </c>
      <c r="H462" t="s">
        <v>4991</v>
      </c>
      <c r="I462" t="s">
        <v>582</v>
      </c>
      <c r="J462">
        <v>26</v>
      </c>
      <c r="K462">
        <v>101</v>
      </c>
      <c r="L462">
        <v>94</v>
      </c>
      <c r="M462">
        <v>131</v>
      </c>
      <c r="N462">
        <v>77</v>
      </c>
      <c r="O462">
        <v>105</v>
      </c>
      <c r="P462">
        <v>18</v>
      </c>
      <c r="Q462">
        <v>7</v>
      </c>
      <c r="R462">
        <v>4</v>
      </c>
      <c r="S462">
        <v>4</v>
      </c>
      <c r="T462">
        <v>0</v>
      </c>
      <c r="U462">
        <v>2</v>
      </c>
      <c r="V462">
        <v>1</v>
      </c>
      <c r="W462">
        <v>1</v>
      </c>
      <c r="X462">
        <v>0</v>
      </c>
      <c r="Y462" t="s">
        <v>113</v>
      </c>
      <c r="Z462" t="s">
        <v>339</v>
      </c>
      <c r="AA462" t="s">
        <v>4992</v>
      </c>
      <c r="AB462" t="s">
        <v>877</v>
      </c>
      <c r="AC462" t="s">
        <v>4993</v>
      </c>
      <c r="AH462" t="s">
        <v>118</v>
      </c>
      <c r="AI462">
        <v>13</v>
      </c>
      <c r="AJ462">
        <v>0</v>
      </c>
      <c r="AK462">
        <v>0</v>
      </c>
      <c r="AL462">
        <v>0</v>
      </c>
      <c r="AM462">
        <v>0.19</v>
      </c>
      <c r="AN462">
        <v>0.18</v>
      </c>
      <c r="AO462">
        <v>0.14000000000000001</v>
      </c>
      <c r="AS462">
        <v>10</v>
      </c>
      <c r="AT462">
        <v>5</v>
      </c>
      <c r="AU462">
        <v>5</v>
      </c>
      <c r="AV462">
        <v>68</v>
      </c>
      <c r="AW462">
        <v>64</v>
      </c>
      <c r="AX462">
        <v>544</v>
      </c>
      <c r="AY462">
        <v>0</v>
      </c>
      <c r="AZ462" t="b">
        <v>0</v>
      </c>
      <c r="BA462">
        <v>1659</v>
      </c>
      <c r="BB462">
        <v>1589</v>
      </c>
      <c r="BC462">
        <v>25</v>
      </c>
      <c r="BD462" t="s">
        <v>4994</v>
      </c>
      <c r="BE462">
        <v>97</v>
      </c>
      <c r="BF462">
        <v>0</v>
      </c>
      <c r="BG462">
        <v>69</v>
      </c>
      <c r="BH462">
        <v>1</v>
      </c>
      <c r="BI462">
        <v>14</v>
      </c>
      <c r="BJ462" s="1" t="s">
        <v>1672</v>
      </c>
      <c r="BK462" s="1" t="s">
        <v>157</v>
      </c>
      <c r="BL462" s="1" t="s">
        <v>1426</v>
      </c>
      <c r="BM462" s="1" t="s">
        <v>159</v>
      </c>
      <c r="BN462">
        <v>2.4</v>
      </c>
      <c r="BO462" s="1" t="s">
        <v>449</v>
      </c>
      <c r="BP462" s="1" t="s">
        <v>1092</v>
      </c>
      <c r="BQ462">
        <v>0</v>
      </c>
      <c r="BR462">
        <v>0</v>
      </c>
      <c r="BS462" s="1" t="s">
        <v>161</v>
      </c>
      <c r="BT462">
        <v>1.8</v>
      </c>
      <c r="BU462" s="1" t="s">
        <v>126</v>
      </c>
      <c r="BV462" s="1" t="s">
        <v>206</v>
      </c>
      <c r="BW462" s="1" t="s">
        <v>129</v>
      </c>
      <c r="BX462" s="1" t="s">
        <v>184</v>
      </c>
      <c r="BY462">
        <v>0</v>
      </c>
      <c r="BZ462" s="1" t="s">
        <v>213</v>
      </c>
      <c r="CA462">
        <v>0.19</v>
      </c>
      <c r="CB462">
        <v>0.114</v>
      </c>
      <c r="CC462">
        <v>0.18</v>
      </c>
      <c r="CD462">
        <v>0.108</v>
      </c>
      <c r="CE462">
        <v>0.14000000000000001</v>
      </c>
      <c r="CF462">
        <v>8.4000000000000005E-2</v>
      </c>
      <c r="CG462" s="1" t="s">
        <v>157</v>
      </c>
      <c r="CH462" s="1" t="s">
        <v>1239</v>
      </c>
      <c r="CI462" s="1" t="s">
        <v>124</v>
      </c>
      <c r="CJ462" s="1" t="s">
        <v>160</v>
      </c>
      <c r="CK462" s="1" t="s">
        <v>125</v>
      </c>
      <c r="CL462">
        <v>3.2</v>
      </c>
      <c r="CM462">
        <v>70</v>
      </c>
      <c r="CN462">
        <v>73.599999999999994</v>
      </c>
      <c r="CO462" s="1" t="s">
        <v>883</v>
      </c>
      <c r="CP462" s="1" t="s">
        <v>3733</v>
      </c>
      <c r="CQ462" s="1" t="s">
        <v>4995</v>
      </c>
      <c r="CR462" s="1" t="s">
        <v>4996</v>
      </c>
      <c r="CS462" s="1" t="s">
        <v>4920</v>
      </c>
      <c r="CT462">
        <v>1561.6</v>
      </c>
      <c r="CU462" s="1" t="s">
        <v>1030</v>
      </c>
      <c r="CV462" s="1" t="s">
        <v>4997</v>
      </c>
      <c r="CW462">
        <v>84.85</v>
      </c>
      <c r="CX462">
        <v>85.8</v>
      </c>
      <c r="CY462">
        <v>95.2</v>
      </c>
      <c r="CZ462" s="1" t="s">
        <v>3487</v>
      </c>
      <c r="DA462">
        <v>1</v>
      </c>
      <c r="DB462" t="s">
        <v>339</v>
      </c>
      <c r="DC462">
        <v>94</v>
      </c>
      <c r="DD462" s="1" t="s">
        <v>4998</v>
      </c>
      <c r="DE462" s="1" t="s">
        <v>4999</v>
      </c>
      <c r="DF462" t="e">
        <f>_xlfn.XLOOKUP(Table1[[#This Row],[Player ID]],Table2[feed_id],Table2[trade_status])</f>
        <v>#N/A</v>
      </c>
      <c r="DG462">
        <f>_xlfn.NUMBERVALUE(Table1[[#This Row],[predicted]])</f>
        <v>87.104907493732497</v>
      </c>
    </row>
    <row r="463" spans="1:111" hidden="1" x14ac:dyDescent="0.25">
      <c r="A463">
        <v>120302</v>
      </c>
      <c r="B463">
        <v>8604</v>
      </c>
      <c r="C463" t="s">
        <v>4990</v>
      </c>
      <c r="D463" t="s">
        <v>4907</v>
      </c>
      <c r="E463">
        <v>2023</v>
      </c>
      <c r="F463">
        <v>240283</v>
      </c>
      <c r="G463" t="s">
        <v>5000</v>
      </c>
      <c r="H463" t="s">
        <v>5001</v>
      </c>
      <c r="I463" t="s">
        <v>582</v>
      </c>
      <c r="J463">
        <v>14</v>
      </c>
      <c r="K463">
        <v>89</v>
      </c>
      <c r="L463">
        <v>88</v>
      </c>
      <c r="M463">
        <v>117</v>
      </c>
      <c r="N463">
        <v>67</v>
      </c>
      <c r="O463">
        <v>90</v>
      </c>
      <c r="P463">
        <v>18</v>
      </c>
      <c r="Q463">
        <v>4</v>
      </c>
      <c r="R463">
        <v>6</v>
      </c>
      <c r="S463">
        <v>2</v>
      </c>
      <c r="T463">
        <v>0</v>
      </c>
      <c r="U463">
        <v>1</v>
      </c>
      <c r="V463">
        <v>0</v>
      </c>
      <c r="W463">
        <v>0</v>
      </c>
      <c r="X463">
        <v>0</v>
      </c>
      <c r="Y463" t="s">
        <v>113</v>
      </c>
      <c r="Z463" t="s">
        <v>5002</v>
      </c>
      <c r="AA463" t="s">
        <v>5003</v>
      </c>
      <c r="AH463" t="s">
        <v>181</v>
      </c>
      <c r="AI463">
        <v>25</v>
      </c>
      <c r="AJ463">
        <v>0</v>
      </c>
      <c r="AK463">
        <v>0</v>
      </c>
      <c r="AL463">
        <v>0</v>
      </c>
      <c r="AM463">
        <v>0.23</v>
      </c>
      <c r="AN463">
        <v>0.24</v>
      </c>
      <c r="AO463">
        <v>0.3</v>
      </c>
      <c r="AS463">
        <v>2</v>
      </c>
      <c r="AT463">
        <v>1</v>
      </c>
      <c r="AU463">
        <v>2</v>
      </c>
      <c r="AV463">
        <v>95</v>
      </c>
      <c r="AW463">
        <v>83</v>
      </c>
      <c r="AX463">
        <v>506</v>
      </c>
      <c r="AY463">
        <v>0</v>
      </c>
      <c r="AZ463" t="b">
        <v>0</v>
      </c>
      <c r="BA463">
        <v>1659</v>
      </c>
      <c r="BB463">
        <v>1589</v>
      </c>
      <c r="BC463">
        <v>25</v>
      </c>
      <c r="BD463" t="s">
        <v>4994</v>
      </c>
      <c r="BE463">
        <v>97</v>
      </c>
      <c r="BF463">
        <v>0</v>
      </c>
      <c r="BG463">
        <v>69</v>
      </c>
      <c r="BH463">
        <v>1</v>
      </c>
      <c r="BI463" s="1" t="s">
        <v>5004</v>
      </c>
      <c r="BJ463" s="1" t="s">
        <v>3068</v>
      </c>
      <c r="BK463">
        <v>4</v>
      </c>
      <c r="BL463" s="1" t="s">
        <v>374</v>
      </c>
      <c r="BM463" s="1" t="s">
        <v>253</v>
      </c>
      <c r="BN463" s="1" t="s">
        <v>1092</v>
      </c>
      <c r="BO463">
        <v>2</v>
      </c>
      <c r="BP463">
        <v>2</v>
      </c>
      <c r="BQ463">
        <v>0</v>
      </c>
      <c r="BR463">
        <v>0</v>
      </c>
      <c r="BS463" s="1" t="s">
        <v>129</v>
      </c>
      <c r="BT463" s="1" t="s">
        <v>129</v>
      </c>
      <c r="BU463" s="1" t="s">
        <v>128</v>
      </c>
      <c r="BV463" s="1" t="s">
        <v>238</v>
      </c>
      <c r="BW463">
        <v>0</v>
      </c>
      <c r="BX463">
        <v>0</v>
      </c>
      <c r="BY463">
        <v>0</v>
      </c>
      <c r="BZ463">
        <v>0</v>
      </c>
      <c r="CA463">
        <v>0.23</v>
      </c>
      <c r="CB463" s="1" t="s">
        <v>500</v>
      </c>
      <c r="CC463">
        <v>0.24</v>
      </c>
      <c r="CD463" s="1" t="s">
        <v>4771</v>
      </c>
      <c r="CE463">
        <v>0.3</v>
      </c>
      <c r="CF463">
        <v>0.26</v>
      </c>
      <c r="CG463">
        <v>3</v>
      </c>
      <c r="CH463">
        <v>3.8</v>
      </c>
      <c r="CI463" s="1" t="s">
        <v>128</v>
      </c>
      <c r="CJ463" s="1" t="s">
        <v>129</v>
      </c>
      <c r="CK463" s="1" t="s">
        <v>161</v>
      </c>
      <c r="CL463">
        <v>1.8</v>
      </c>
      <c r="CM463" s="1" t="s">
        <v>1739</v>
      </c>
      <c r="CN463" s="1" t="s">
        <v>3558</v>
      </c>
      <c r="CO463" s="1" t="s">
        <v>1258</v>
      </c>
      <c r="CP463">
        <v>74.8</v>
      </c>
      <c r="CQ463">
        <v>397</v>
      </c>
      <c r="CR463">
        <v>425.6</v>
      </c>
      <c r="CS463" s="1" t="s">
        <v>835</v>
      </c>
      <c r="CT463">
        <v>1556.2</v>
      </c>
      <c r="CU463" s="1" t="s">
        <v>5005</v>
      </c>
      <c r="CV463">
        <v>1726.8</v>
      </c>
      <c r="CW463">
        <v>99.95</v>
      </c>
      <c r="CX463">
        <v>90</v>
      </c>
      <c r="CY463">
        <v>99.2</v>
      </c>
      <c r="CZ463" s="1" t="s">
        <v>995</v>
      </c>
      <c r="DA463">
        <v>1</v>
      </c>
      <c r="DB463" t="s">
        <v>5002</v>
      </c>
      <c r="DC463">
        <v>88</v>
      </c>
      <c r="DD463" s="1" t="s">
        <v>5006</v>
      </c>
      <c r="DE463">
        <v>-23.581359738491599</v>
      </c>
      <c r="DF463" t="e">
        <f>_xlfn.XLOOKUP(Table1[[#This Row],[Player ID]],Table2[feed_id],Table2[trade_status])</f>
        <v>#N/A</v>
      </c>
      <c r="DG463">
        <f>_xlfn.NUMBERVALUE(Table1[[#This Row],[predicted]])</f>
        <v>111.581359738491</v>
      </c>
    </row>
    <row r="464" spans="1:111" hidden="1" x14ac:dyDescent="0.25">
      <c r="A464">
        <v>120307</v>
      </c>
      <c r="B464">
        <v>8604</v>
      </c>
      <c r="C464" t="s">
        <v>4990</v>
      </c>
      <c r="D464" t="s">
        <v>4907</v>
      </c>
      <c r="E464">
        <v>2023</v>
      </c>
      <c r="F464">
        <v>994539</v>
      </c>
      <c r="G464" t="s">
        <v>958</v>
      </c>
      <c r="H464" t="s">
        <v>5007</v>
      </c>
      <c r="I464" t="s">
        <v>582</v>
      </c>
      <c r="J464">
        <v>8</v>
      </c>
      <c r="K464">
        <v>64</v>
      </c>
      <c r="L464">
        <v>67</v>
      </c>
      <c r="M464">
        <v>79</v>
      </c>
      <c r="N464">
        <v>52</v>
      </c>
      <c r="O464">
        <v>72</v>
      </c>
      <c r="P464">
        <v>6</v>
      </c>
      <c r="Q464">
        <v>12</v>
      </c>
      <c r="R464">
        <v>3</v>
      </c>
      <c r="S464">
        <v>3</v>
      </c>
      <c r="T464">
        <v>0</v>
      </c>
      <c r="U464">
        <v>1</v>
      </c>
      <c r="V464">
        <v>0</v>
      </c>
      <c r="W464">
        <v>0</v>
      </c>
      <c r="X464">
        <v>0</v>
      </c>
      <c r="Y464" t="s">
        <v>113</v>
      </c>
      <c r="Z464" t="s">
        <v>525</v>
      </c>
      <c r="AA464" t="s">
        <v>3030</v>
      </c>
      <c r="AE464">
        <v>0</v>
      </c>
      <c r="AH464" t="s">
        <v>118</v>
      </c>
      <c r="AI464">
        <v>10</v>
      </c>
      <c r="AJ464">
        <v>21</v>
      </c>
      <c r="AK464">
        <v>69.33</v>
      </c>
      <c r="AL464">
        <v>0</v>
      </c>
      <c r="AM464">
        <v>0</v>
      </c>
      <c r="AN464">
        <v>7.0000000000000007E-2</v>
      </c>
      <c r="AO464">
        <v>0.05</v>
      </c>
      <c r="AS464">
        <v>6</v>
      </c>
      <c r="AT464">
        <v>0</v>
      </c>
      <c r="AU464">
        <v>3</v>
      </c>
      <c r="AV464">
        <v>83</v>
      </c>
      <c r="AW464">
        <v>61</v>
      </c>
      <c r="AX464">
        <v>87</v>
      </c>
      <c r="AY464">
        <v>1</v>
      </c>
      <c r="AZ464" t="b">
        <v>0</v>
      </c>
      <c r="BA464">
        <v>1659</v>
      </c>
      <c r="BB464">
        <v>1589</v>
      </c>
      <c r="BC464">
        <v>25</v>
      </c>
      <c r="BD464" t="s">
        <v>4994</v>
      </c>
      <c r="BE464">
        <v>97</v>
      </c>
      <c r="BF464">
        <v>0</v>
      </c>
      <c r="BG464">
        <v>69</v>
      </c>
      <c r="BH464">
        <v>0</v>
      </c>
      <c r="BI464" s="1" t="s">
        <v>183</v>
      </c>
      <c r="BJ464" s="1" t="s">
        <v>168</v>
      </c>
      <c r="BK464" s="1" t="s">
        <v>294</v>
      </c>
      <c r="BL464" s="1" t="s">
        <v>397</v>
      </c>
      <c r="BM464">
        <v>2</v>
      </c>
      <c r="BN464" s="1" t="s">
        <v>140</v>
      </c>
      <c r="BO464">
        <v>5</v>
      </c>
      <c r="BP464">
        <v>3.2</v>
      </c>
      <c r="BQ464">
        <v>0</v>
      </c>
      <c r="BR464">
        <v>0</v>
      </c>
      <c r="BS464" s="1" t="s">
        <v>129</v>
      </c>
      <c r="BT464">
        <v>0.4</v>
      </c>
      <c r="BU464">
        <v>0</v>
      </c>
      <c r="BV464" s="1" t="s">
        <v>184</v>
      </c>
      <c r="BW464">
        <v>0</v>
      </c>
      <c r="BX464">
        <v>0.2</v>
      </c>
      <c r="BY464" s="1" t="s">
        <v>129</v>
      </c>
      <c r="BZ464">
        <v>0.2</v>
      </c>
      <c r="CA464">
        <v>0</v>
      </c>
      <c r="CB464">
        <v>0</v>
      </c>
      <c r="CC464">
        <v>7.0000000000000007E-2</v>
      </c>
      <c r="CD464" s="1" t="s">
        <v>5008</v>
      </c>
      <c r="CE464">
        <v>0.05</v>
      </c>
      <c r="CF464" s="1" t="s">
        <v>4693</v>
      </c>
      <c r="CG464" s="1" t="s">
        <v>397</v>
      </c>
      <c r="CH464">
        <v>5.4</v>
      </c>
      <c r="CI464" s="1" t="s">
        <v>161</v>
      </c>
      <c r="CJ464">
        <v>1</v>
      </c>
      <c r="CK464" s="1" t="s">
        <v>161</v>
      </c>
      <c r="CL464">
        <v>1.2</v>
      </c>
      <c r="CM464" s="1" t="s">
        <v>215</v>
      </c>
      <c r="CN464" s="1" t="s">
        <v>755</v>
      </c>
      <c r="CO464">
        <v>67</v>
      </c>
      <c r="CP464">
        <v>72.8</v>
      </c>
      <c r="CQ464">
        <v>179</v>
      </c>
      <c r="CR464" s="1" t="s">
        <v>5009</v>
      </c>
      <c r="CS464" s="1" t="s">
        <v>5010</v>
      </c>
      <c r="CT464">
        <v>1479</v>
      </c>
      <c r="CU464" s="1" t="s">
        <v>4213</v>
      </c>
      <c r="CV464" s="1" t="s">
        <v>5011</v>
      </c>
      <c r="CW464">
        <v>60.8</v>
      </c>
      <c r="CX464">
        <v>60.8</v>
      </c>
      <c r="CY464">
        <v>75.599999999999994</v>
      </c>
      <c r="CZ464">
        <v>73</v>
      </c>
      <c r="DA464">
        <v>1</v>
      </c>
      <c r="DB464" t="s">
        <v>525</v>
      </c>
      <c r="DC464">
        <v>67</v>
      </c>
      <c r="DD464" s="1" t="s">
        <v>5012</v>
      </c>
      <c r="DE464" s="1" t="s">
        <v>5013</v>
      </c>
      <c r="DF464" t="e">
        <f>_xlfn.XLOOKUP(Table1[[#This Row],[Player ID]],Table2[feed_id],Table2[trade_status])</f>
        <v>#N/A</v>
      </c>
      <c r="DG464">
        <f>_xlfn.NUMBERVALUE(Table1[[#This Row],[predicted]])</f>
        <v>63.468436867019101</v>
      </c>
    </row>
    <row r="465" spans="1:111" hidden="1" x14ac:dyDescent="0.25">
      <c r="A465">
        <v>120362</v>
      </c>
      <c r="B465">
        <v>8605</v>
      </c>
      <c r="C465" t="s">
        <v>5014</v>
      </c>
      <c r="D465" t="s">
        <v>4907</v>
      </c>
      <c r="E465">
        <v>2023</v>
      </c>
      <c r="F465">
        <v>292145</v>
      </c>
      <c r="G465" t="s">
        <v>776</v>
      </c>
      <c r="H465" t="s">
        <v>5015</v>
      </c>
      <c r="I465" t="s">
        <v>425</v>
      </c>
      <c r="J465">
        <v>3</v>
      </c>
      <c r="K465">
        <v>31</v>
      </c>
      <c r="L465">
        <v>41</v>
      </c>
      <c r="M465">
        <v>40</v>
      </c>
      <c r="N465">
        <v>27</v>
      </c>
      <c r="O465">
        <v>33</v>
      </c>
      <c r="P465">
        <v>4</v>
      </c>
      <c r="Q465">
        <v>2</v>
      </c>
      <c r="R465">
        <v>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113</v>
      </c>
      <c r="Z465" t="s">
        <v>179</v>
      </c>
      <c r="AA465" t="s">
        <v>5016</v>
      </c>
      <c r="AE465">
        <v>0</v>
      </c>
      <c r="AH465" t="s">
        <v>181</v>
      </c>
      <c r="AI465">
        <v>1</v>
      </c>
      <c r="AJ465">
        <v>17</v>
      </c>
      <c r="AK465">
        <v>75.53</v>
      </c>
      <c r="AL465">
        <v>0</v>
      </c>
      <c r="AM465">
        <v>0</v>
      </c>
      <c r="AN465">
        <v>0.2</v>
      </c>
      <c r="AO465">
        <v>0.17</v>
      </c>
      <c r="AS465">
        <v>0</v>
      </c>
      <c r="AT465">
        <v>0</v>
      </c>
      <c r="AU465">
        <v>2</v>
      </c>
      <c r="AV465">
        <v>83</v>
      </c>
      <c r="AW465">
        <v>94</v>
      </c>
      <c r="AX465">
        <v>75</v>
      </c>
      <c r="AY465">
        <v>0</v>
      </c>
      <c r="AZ465" t="b">
        <v>0</v>
      </c>
      <c r="BA465">
        <v>1547</v>
      </c>
      <c r="BB465">
        <v>1747</v>
      </c>
      <c r="BC465">
        <v>25</v>
      </c>
      <c r="BD465" t="s">
        <v>5017</v>
      </c>
      <c r="BE465">
        <v>97</v>
      </c>
      <c r="BF465">
        <v>0</v>
      </c>
      <c r="BG465">
        <v>69</v>
      </c>
      <c r="BH465">
        <v>0</v>
      </c>
      <c r="BI465" s="1" t="s">
        <v>449</v>
      </c>
      <c r="BJ465" s="1" t="s">
        <v>205</v>
      </c>
      <c r="BK465" s="1" t="s">
        <v>138</v>
      </c>
      <c r="BL465">
        <v>3</v>
      </c>
      <c r="BM465" s="1" t="s">
        <v>211</v>
      </c>
      <c r="BN465">
        <v>3.8</v>
      </c>
      <c r="BO465" s="1" t="s">
        <v>161</v>
      </c>
      <c r="BP465" s="1" t="s">
        <v>566</v>
      </c>
      <c r="BQ465">
        <v>0</v>
      </c>
      <c r="BR465">
        <v>0</v>
      </c>
      <c r="BS465">
        <v>1</v>
      </c>
      <c r="BT465" s="1" t="s">
        <v>128</v>
      </c>
      <c r="BU465">
        <v>0</v>
      </c>
      <c r="BV465" s="1" t="s">
        <v>238</v>
      </c>
      <c r="BW465">
        <v>0</v>
      </c>
      <c r="BX465">
        <v>6.6666666666666596E-2</v>
      </c>
      <c r="BY465">
        <v>0</v>
      </c>
      <c r="BZ465">
        <v>0</v>
      </c>
      <c r="CA465">
        <v>0</v>
      </c>
      <c r="CB465" s="1" t="s">
        <v>4758</v>
      </c>
      <c r="CC465">
        <v>0.2</v>
      </c>
      <c r="CD465" s="1" t="s">
        <v>5018</v>
      </c>
      <c r="CE465">
        <v>0.17</v>
      </c>
      <c r="CF465">
        <v>0.13600000000000001</v>
      </c>
      <c r="CG465" s="1" t="s">
        <v>138</v>
      </c>
      <c r="CH465" s="1" t="s">
        <v>169</v>
      </c>
      <c r="CI465" s="1" t="s">
        <v>129</v>
      </c>
      <c r="CJ465" s="1" t="s">
        <v>213</v>
      </c>
      <c r="CK465" s="1" t="s">
        <v>126</v>
      </c>
      <c r="CL465" s="1" t="s">
        <v>566</v>
      </c>
      <c r="CM465">
        <v>87</v>
      </c>
      <c r="CN465" s="1" t="s">
        <v>3208</v>
      </c>
      <c r="CO465">
        <v>83</v>
      </c>
      <c r="CP465" s="1" t="s">
        <v>5019</v>
      </c>
      <c r="CQ465" s="1" t="s">
        <v>572</v>
      </c>
      <c r="CR465" s="1" t="s">
        <v>5020</v>
      </c>
      <c r="CS465">
        <v>1709</v>
      </c>
      <c r="CT465">
        <v>1699.8</v>
      </c>
      <c r="CU465">
        <v>1564</v>
      </c>
      <c r="CV465" s="1" t="s">
        <v>3514</v>
      </c>
      <c r="CW465">
        <v>53.8</v>
      </c>
      <c r="CX465">
        <v>47.4</v>
      </c>
      <c r="CY465">
        <v>50</v>
      </c>
      <c r="CZ465" s="1" t="s">
        <v>971</v>
      </c>
      <c r="DA465">
        <v>1</v>
      </c>
      <c r="DB465" t="s">
        <v>179</v>
      </c>
      <c r="DC465">
        <v>41</v>
      </c>
      <c r="DD465" s="1" t="s">
        <v>5021</v>
      </c>
      <c r="DE465">
        <v>-5.4098751562862599</v>
      </c>
      <c r="DF465" t="e">
        <f>_xlfn.XLOOKUP(Table1[[#This Row],[Player ID]],Table2[feed_id],Table2[trade_status])</f>
        <v>#N/A</v>
      </c>
      <c r="DG465">
        <f>_xlfn.NUMBERVALUE(Table1[[#This Row],[predicted]])</f>
        <v>46.409875156286198</v>
      </c>
    </row>
    <row r="466" spans="1:111" hidden="1" x14ac:dyDescent="0.25">
      <c r="A466">
        <v>120407</v>
      </c>
      <c r="B466">
        <v>8606</v>
      </c>
      <c r="C466" t="s">
        <v>5022</v>
      </c>
      <c r="D466" t="s">
        <v>4907</v>
      </c>
      <c r="E466">
        <v>2023</v>
      </c>
      <c r="F466">
        <v>996442</v>
      </c>
      <c r="G466" t="s">
        <v>1332</v>
      </c>
      <c r="H466" t="s">
        <v>200</v>
      </c>
      <c r="I466" t="s">
        <v>338</v>
      </c>
      <c r="J466">
        <v>1</v>
      </c>
      <c r="K466">
        <v>25</v>
      </c>
      <c r="L466">
        <v>40</v>
      </c>
      <c r="M466">
        <v>28</v>
      </c>
      <c r="N466">
        <v>23</v>
      </c>
      <c r="O466">
        <v>33</v>
      </c>
      <c r="P466">
        <v>0</v>
      </c>
      <c r="Q466">
        <v>9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113</v>
      </c>
      <c r="Z466" t="s">
        <v>542</v>
      </c>
      <c r="AA466" t="s">
        <v>5023</v>
      </c>
      <c r="AB466" t="s">
        <v>1563</v>
      </c>
      <c r="AC466" t="s">
        <v>5024</v>
      </c>
      <c r="AE466">
        <v>0</v>
      </c>
      <c r="AH466" t="s">
        <v>118</v>
      </c>
      <c r="AI466">
        <v>4</v>
      </c>
      <c r="AJ466">
        <v>18</v>
      </c>
      <c r="AK466">
        <v>69.83</v>
      </c>
      <c r="AL466">
        <v>0</v>
      </c>
      <c r="AM466">
        <v>0</v>
      </c>
      <c r="AN466">
        <v>0.02</v>
      </c>
      <c r="AO466">
        <v>0.04</v>
      </c>
      <c r="AS466">
        <v>4</v>
      </c>
      <c r="AT466">
        <v>0</v>
      </c>
      <c r="AU466">
        <v>0</v>
      </c>
      <c r="AV466">
        <v>88</v>
      </c>
      <c r="AW466">
        <v>68</v>
      </c>
      <c r="AX466">
        <v>31</v>
      </c>
      <c r="AY466">
        <v>1</v>
      </c>
      <c r="AZ466" t="b">
        <v>0</v>
      </c>
      <c r="BA466">
        <v>1615</v>
      </c>
      <c r="BB466">
        <v>1643</v>
      </c>
      <c r="BC466">
        <v>25</v>
      </c>
      <c r="BD466" t="s">
        <v>5025</v>
      </c>
      <c r="BE466">
        <v>97</v>
      </c>
      <c r="BF466">
        <v>0</v>
      </c>
      <c r="BG466">
        <v>69</v>
      </c>
      <c r="BH466">
        <v>0</v>
      </c>
      <c r="BI466">
        <v>2</v>
      </c>
      <c r="BJ466">
        <v>3.6</v>
      </c>
      <c r="BK466" s="1" t="s">
        <v>449</v>
      </c>
      <c r="BL466">
        <v>5.4</v>
      </c>
      <c r="BM466" s="1" t="s">
        <v>129</v>
      </c>
      <c r="BN466" s="1" t="s">
        <v>304</v>
      </c>
      <c r="BO466" s="1" t="s">
        <v>126</v>
      </c>
      <c r="BP466" s="1" t="s">
        <v>214</v>
      </c>
      <c r="BQ466">
        <v>0</v>
      </c>
      <c r="BR466">
        <v>0</v>
      </c>
      <c r="BS466">
        <v>0</v>
      </c>
      <c r="BT466">
        <v>0.4</v>
      </c>
      <c r="BU466" s="1" t="s">
        <v>129</v>
      </c>
      <c r="BV466" s="1" t="s">
        <v>128</v>
      </c>
      <c r="BW466">
        <v>0</v>
      </c>
      <c r="BX466" s="1" t="s">
        <v>129</v>
      </c>
      <c r="BY466">
        <v>0</v>
      </c>
      <c r="BZ466">
        <v>0.2</v>
      </c>
      <c r="CA466">
        <v>0</v>
      </c>
      <c r="CB466">
        <v>0</v>
      </c>
      <c r="CC466">
        <v>0.02</v>
      </c>
      <c r="CD466" s="1" t="s">
        <v>5026</v>
      </c>
      <c r="CE466">
        <v>0.04</v>
      </c>
      <c r="CF466" s="1" t="s">
        <v>3092</v>
      </c>
      <c r="CG466">
        <v>3</v>
      </c>
      <c r="CH466" s="1" t="s">
        <v>640</v>
      </c>
      <c r="CI466">
        <v>0</v>
      </c>
      <c r="CJ466" s="1" t="s">
        <v>184</v>
      </c>
      <c r="CK466" s="1" t="s">
        <v>128</v>
      </c>
      <c r="CL466" s="1" t="s">
        <v>566</v>
      </c>
      <c r="CM466" s="1" t="s">
        <v>2738</v>
      </c>
      <c r="CN466">
        <v>72.8</v>
      </c>
      <c r="CO466" s="1" t="s">
        <v>649</v>
      </c>
      <c r="CP466" s="1" t="s">
        <v>2523</v>
      </c>
      <c r="CQ466" s="1" t="s">
        <v>1291</v>
      </c>
      <c r="CR466" s="1" t="s">
        <v>2385</v>
      </c>
      <c r="CS466" s="1" t="s">
        <v>1780</v>
      </c>
      <c r="CT466">
        <v>1635.4</v>
      </c>
      <c r="CU466" s="1" t="s">
        <v>3851</v>
      </c>
      <c r="CV466">
        <v>1640.6</v>
      </c>
      <c r="CW466">
        <v>42.15</v>
      </c>
      <c r="CX466">
        <v>33.200000000000003</v>
      </c>
      <c r="CY466">
        <v>25</v>
      </c>
      <c r="CZ466" s="1" t="s">
        <v>4076</v>
      </c>
      <c r="DA466">
        <v>1</v>
      </c>
      <c r="DB466" t="s">
        <v>542</v>
      </c>
      <c r="DC466">
        <v>40</v>
      </c>
      <c r="DD466" s="1" t="s">
        <v>5027</v>
      </c>
      <c r="DE466" s="1" t="s">
        <v>5028</v>
      </c>
      <c r="DF466" t="e">
        <f>_xlfn.XLOOKUP(Table1[[#This Row],[Player ID]],Table2[feed_id],Table2[trade_status])</f>
        <v>#N/A</v>
      </c>
      <c r="DG466">
        <f>_xlfn.NUMBERVALUE(Table1[[#This Row],[predicted]])</f>
        <v>38.3463234562591</v>
      </c>
    </row>
    <row r="467" spans="1:111" hidden="1" x14ac:dyDescent="0.25">
      <c r="A467">
        <v>120415</v>
      </c>
      <c r="B467">
        <v>8606</v>
      </c>
      <c r="C467" t="s">
        <v>5022</v>
      </c>
      <c r="D467" t="s">
        <v>4907</v>
      </c>
      <c r="E467">
        <v>2023</v>
      </c>
      <c r="F467">
        <v>298279</v>
      </c>
      <c r="G467" t="s">
        <v>1561</v>
      </c>
      <c r="H467" t="s">
        <v>5029</v>
      </c>
      <c r="I467" t="s">
        <v>291</v>
      </c>
      <c r="J467">
        <v>19</v>
      </c>
      <c r="K467">
        <v>86</v>
      </c>
      <c r="L467">
        <v>77</v>
      </c>
      <c r="M467">
        <v>64</v>
      </c>
      <c r="N467">
        <v>65</v>
      </c>
      <c r="O467">
        <v>91</v>
      </c>
      <c r="P467">
        <v>11</v>
      </c>
      <c r="Q467">
        <v>11</v>
      </c>
      <c r="R467">
        <v>1</v>
      </c>
      <c r="S467">
        <v>5</v>
      </c>
      <c r="T467">
        <v>0</v>
      </c>
      <c r="U467">
        <v>1</v>
      </c>
      <c r="V467">
        <v>0</v>
      </c>
      <c r="W467">
        <v>1</v>
      </c>
      <c r="X467">
        <v>1</v>
      </c>
      <c r="Y467" t="s">
        <v>113</v>
      </c>
      <c r="Z467" t="s">
        <v>877</v>
      </c>
      <c r="AA467" t="s">
        <v>5030</v>
      </c>
      <c r="AE467">
        <v>0</v>
      </c>
      <c r="AH467" t="s">
        <v>118</v>
      </c>
      <c r="AI467">
        <v>10</v>
      </c>
      <c r="AJ467">
        <v>18</v>
      </c>
      <c r="AK467">
        <v>104.11</v>
      </c>
      <c r="AL467">
        <v>0</v>
      </c>
      <c r="AM467">
        <v>0</v>
      </c>
      <c r="AN467">
        <v>7.63</v>
      </c>
      <c r="AO467">
        <v>14.93</v>
      </c>
      <c r="AS467">
        <v>9</v>
      </c>
      <c r="AT467">
        <v>5</v>
      </c>
      <c r="AU467">
        <v>4</v>
      </c>
      <c r="AV467">
        <v>59</v>
      </c>
      <c r="AW467">
        <v>75</v>
      </c>
      <c r="AX467">
        <v>315</v>
      </c>
      <c r="AY467">
        <v>0</v>
      </c>
      <c r="AZ467" t="b">
        <v>0</v>
      </c>
      <c r="BA467">
        <v>1643</v>
      </c>
      <c r="BB467">
        <v>1615</v>
      </c>
      <c r="BC467">
        <v>25</v>
      </c>
      <c r="BD467" t="s">
        <v>5031</v>
      </c>
      <c r="BE467">
        <v>97</v>
      </c>
      <c r="BF467">
        <v>0</v>
      </c>
      <c r="BG467">
        <v>69</v>
      </c>
      <c r="BH467">
        <v>1</v>
      </c>
      <c r="BI467">
        <v>11</v>
      </c>
      <c r="BJ467" s="1" t="s">
        <v>746</v>
      </c>
      <c r="BK467" s="1" t="s">
        <v>121</v>
      </c>
      <c r="BL467">
        <v>12.8</v>
      </c>
      <c r="BM467" s="1" t="s">
        <v>169</v>
      </c>
      <c r="BN467" s="1" t="s">
        <v>640</v>
      </c>
      <c r="BO467" s="1" t="s">
        <v>397</v>
      </c>
      <c r="BP467" s="1" t="s">
        <v>256</v>
      </c>
      <c r="BQ467">
        <v>0</v>
      </c>
      <c r="BR467">
        <v>0</v>
      </c>
      <c r="BS467" s="1" t="s">
        <v>128</v>
      </c>
      <c r="BT467">
        <v>0.8</v>
      </c>
      <c r="BU467">
        <v>0</v>
      </c>
      <c r="BV467">
        <v>0.2</v>
      </c>
      <c r="BW467" s="1" t="s">
        <v>128</v>
      </c>
      <c r="BX467" s="1" t="s">
        <v>213</v>
      </c>
      <c r="BY467" s="1" t="s">
        <v>129</v>
      </c>
      <c r="BZ467" s="1" t="s">
        <v>184</v>
      </c>
      <c r="CA467">
        <v>0</v>
      </c>
      <c r="CB467">
        <v>0</v>
      </c>
      <c r="CC467">
        <v>7.63</v>
      </c>
      <c r="CD467">
        <v>7.63</v>
      </c>
      <c r="CE467">
        <v>14.93</v>
      </c>
      <c r="CF467">
        <v>14.93</v>
      </c>
      <c r="CG467" s="1" t="s">
        <v>294</v>
      </c>
      <c r="CH467" s="1" t="s">
        <v>864</v>
      </c>
      <c r="CI467">
        <v>5</v>
      </c>
      <c r="CJ467" s="1" t="s">
        <v>160</v>
      </c>
      <c r="CK467">
        <v>3</v>
      </c>
      <c r="CL467">
        <v>2.8</v>
      </c>
      <c r="CM467" s="1" t="s">
        <v>1615</v>
      </c>
      <c r="CN467" s="1" t="s">
        <v>2924</v>
      </c>
      <c r="CO467">
        <v>76</v>
      </c>
      <c r="CP467">
        <v>77.400000000000006</v>
      </c>
      <c r="CQ467">
        <v>273</v>
      </c>
      <c r="CR467">
        <v>328.8</v>
      </c>
      <c r="CS467" s="1" t="s">
        <v>4646</v>
      </c>
      <c r="CT467" s="1" t="s">
        <v>5032</v>
      </c>
      <c r="CU467" s="1" t="s">
        <v>5033</v>
      </c>
      <c r="CV467">
        <v>1614</v>
      </c>
      <c r="CW467">
        <v>91.55</v>
      </c>
      <c r="CX467">
        <v>97.6</v>
      </c>
      <c r="CY467">
        <v>92.6</v>
      </c>
      <c r="CZ467" s="1" t="s">
        <v>2492</v>
      </c>
      <c r="DA467">
        <v>1</v>
      </c>
      <c r="DB467" t="s">
        <v>877</v>
      </c>
      <c r="DC467">
        <v>77</v>
      </c>
      <c r="DD467" s="1" t="s">
        <v>5034</v>
      </c>
      <c r="DE467" s="1" t="s">
        <v>5035</v>
      </c>
      <c r="DF467" t="e">
        <f>_xlfn.XLOOKUP(Table1[[#This Row],[Player ID]],Table2[feed_id],Table2[trade_status])</f>
        <v>#N/A</v>
      </c>
      <c r="DG467">
        <f>_xlfn.NUMBERVALUE(Table1[[#This Row],[predicted]])</f>
        <v>73.213613063717602</v>
      </c>
    </row>
    <row r="468" spans="1:111" hidden="1" x14ac:dyDescent="0.25">
      <c r="A468">
        <v>120921</v>
      </c>
      <c r="B468">
        <v>8626</v>
      </c>
      <c r="C468" t="s">
        <v>5036</v>
      </c>
      <c r="D468" t="s">
        <v>314</v>
      </c>
      <c r="E468">
        <v>2023</v>
      </c>
      <c r="F468">
        <v>290160</v>
      </c>
      <c r="G468" t="s">
        <v>461</v>
      </c>
      <c r="H468" t="s">
        <v>5037</v>
      </c>
      <c r="I468" t="s">
        <v>291</v>
      </c>
      <c r="J468">
        <v>4</v>
      </c>
      <c r="K468">
        <v>45</v>
      </c>
      <c r="L468">
        <v>78</v>
      </c>
      <c r="M468">
        <v>34</v>
      </c>
      <c r="N468">
        <v>35</v>
      </c>
      <c r="O468">
        <v>45</v>
      </c>
      <c r="P468">
        <v>6</v>
      </c>
      <c r="Q468">
        <v>4</v>
      </c>
      <c r="R468">
        <v>3</v>
      </c>
      <c r="S468">
        <v>2</v>
      </c>
      <c r="T468">
        <v>0</v>
      </c>
      <c r="U468">
        <v>2</v>
      </c>
      <c r="V468">
        <v>0</v>
      </c>
      <c r="W468">
        <v>0</v>
      </c>
      <c r="X468">
        <v>0</v>
      </c>
      <c r="Y468" t="s">
        <v>113</v>
      </c>
      <c r="Z468" t="s">
        <v>226</v>
      </c>
      <c r="AA468" t="s">
        <v>5038</v>
      </c>
      <c r="AE468">
        <v>0</v>
      </c>
      <c r="AH468" t="s">
        <v>181</v>
      </c>
      <c r="AI468">
        <v>14</v>
      </c>
      <c r="AJ468">
        <v>17</v>
      </c>
      <c r="AK468">
        <v>68.819999999999993</v>
      </c>
      <c r="AL468">
        <v>0</v>
      </c>
      <c r="AM468">
        <v>0</v>
      </c>
      <c r="AN468">
        <v>7.0000000000000007E-2</v>
      </c>
      <c r="AO468">
        <v>7.0000000000000007E-2</v>
      </c>
      <c r="AS468">
        <v>5</v>
      </c>
      <c r="AT468">
        <v>0</v>
      </c>
      <c r="AU468">
        <v>0</v>
      </c>
      <c r="AV468">
        <v>100</v>
      </c>
      <c r="AW468">
        <v>93</v>
      </c>
      <c r="AX468">
        <v>193</v>
      </c>
      <c r="AY468">
        <v>0</v>
      </c>
      <c r="AZ468" t="b">
        <v>0</v>
      </c>
      <c r="BA468">
        <v>1684</v>
      </c>
      <c r="BB468">
        <v>1604</v>
      </c>
      <c r="BC468">
        <v>30</v>
      </c>
      <c r="BD468" t="s">
        <v>5039</v>
      </c>
      <c r="BE468" s="1" t="s">
        <v>5040</v>
      </c>
      <c r="BF468">
        <v>0</v>
      </c>
      <c r="BG468">
        <v>69</v>
      </c>
      <c r="BH468">
        <v>1</v>
      </c>
      <c r="BI468" s="1" t="s">
        <v>204</v>
      </c>
      <c r="BJ468" s="1" t="s">
        <v>254</v>
      </c>
      <c r="BK468" s="1" t="s">
        <v>138</v>
      </c>
      <c r="BL468" s="1" t="s">
        <v>752</v>
      </c>
      <c r="BM468" s="1" t="s">
        <v>138</v>
      </c>
      <c r="BN468" s="1" t="s">
        <v>640</v>
      </c>
      <c r="BO468" s="1" t="s">
        <v>126</v>
      </c>
      <c r="BP468" s="1" t="s">
        <v>257</v>
      </c>
      <c r="BQ468">
        <v>0</v>
      </c>
      <c r="BR468">
        <v>0</v>
      </c>
      <c r="BS468" s="1" t="s">
        <v>128</v>
      </c>
      <c r="BT468" s="1" t="s">
        <v>238</v>
      </c>
      <c r="BU468" s="1" t="s">
        <v>129</v>
      </c>
      <c r="BV468">
        <v>0.6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7.0000000000000007E-2</v>
      </c>
      <c r="CD468">
        <v>4.2000000000000003E-2</v>
      </c>
      <c r="CE468">
        <v>7.0000000000000007E-2</v>
      </c>
      <c r="CF468">
        <v>4.2000000000000003E-2</v>
      </c>
      <c r="CG468">
        <v>5</v>
      </c>
      <c r="CH468" s="1" t="s">
        <v>416</v>
      </c>
      <c r="CI468">
        <v>0</v>
      </c>
      <c r="CJ468">
        <v>6.6666666666666596E-2</v>
      </c>
      <c r="CK468" s="1" t="s">
        <v>126</v>
      </c>
      <c r="CL468" s="1" t="s">
        <v>161</v>
      </c>
      <c r="CM468" s="1" t="s">
        <v>437</v>
      </c>
      <c r="CN468" s="1" t="s">
        <v>2600</v>
      </c>
      <c r="CO468" s="1" t="s">
        <v>630</v>
      </c>
      <c r="CP468" s="1" t="s">
        <v>5041</v>
      </c>
      <c r="CQ468" s="1" t="s">
        <v>5042</v>
      </c>
      <c r="CR468" s="1" t="s">
        <v>4797</v>
      </c>
      <c r="CS468" s="1" t="s">
        <v>5043</v>
      </c>
      <c r="CT468">
        <v>1695.8</v>
      </c>
      <c r="CU468" s="1" t="s">
        <v>4537</v>
      </c>
      <c r="CV468">
        <v>1597.6</v>
      </c>
      <c r="CW468">
        <v>63.95</v>
      </c>
      <c r="CX468">
        <v>69.099999999999994</v>
      </c>
      <c r="CY468">
        <v>62.8</v>
      </c>
      <c r="CZ468" s="1" t="s">
        <v>1615</v>
      </c>
      <c r="DA468">
        <v>1</v>
      </c>
      <c r="DB468" t="s">
        <v>226</v>
      </c>
      <c r="DC468">
        <v>78</v>
      </c>
      <c r="DD468" s="1" t="s">
        <v>5044</v>
      </c>
      <c r="DE468">
        <v>-7.1285358058783501</v>
      </c>
      <c r="DF468" t="e">
        <f>_xlfn.XLOOKUP(Table1[[#This Row],[Player ID]],Table2[feed_id],Table2[trade_status])</f>
        <v>#N/A</v>
      </c>
      <c r="DG468">
        <f>_xlfn.NUMBERVALUE(Table1[[#This Row],[predicted]])</f>
        <v>85.1285358058783</v>
      </c>
    </row>
    <row r="469" spans="1:111" hidden="1" x14ac:dyDescent="0.25">
      <c r="A469">
        <v>120969</v>
      </c>
      <c r="B469">
        <v>8627</v>
      </c>
      <c r="C469" t="s">
        <v>5045</v>
      </c>
      <c r="D469" t="s">
        <v>314</v>
      </c>
      <c r="E469">
        <v>2023</v>
      </c>
      <c r="F469">
        <v>294266</v>
      </c>
      <c r="G469" t="s">
        <v>776</v>
      </c>
      <c r="H469" t="s">
        <v>5046</v>
      </c>
      <c r="I469" t="s">
        <v>338</v>
      </c>
      <c r="J469">
        <v>10</v>
      </c>
      <c r="K469">
        <v>50</v>
      </c>
      <c r="L469">
        <v>88</v>
      </c>
      <c r="M469">
        <v>51</v>
      </c>
      <c r="N469">
        <v>51</v>
      </c>
      <c r="O469">
        <v>63</v>
      </c>
      <c r="P469">
        <v>1</v>
      </c>
      <c r="Q469">
        <v>9</v>
      </c>
      <c r="R469">
        <v>2</v>
      </c>
      <c r="S469">
        <v>1</v>
      </c>
      <c r="T469">
        <v>24</v>
      </c>
      <c r="U469">
        <v>1</v>
      </c>
      <c r="V469">
        <v>2</v>
      </c>
      <c r="W469">
        <v>0</v>
      </c>
      <c r="X469">
        <v>0</v>
      </c>
      <c r="Y469" t="s">
        <v>113</v>
      </c>
      <c r="Z469" t="s">
        <v>602</v>
      </c>
      <c r="AA469" t="s">
        <v>5047</v>
      </c>
      <c r="AH469" t="s">
        <v>274</v>
      </c>
      <c r="AI469">
        <v>31</v>
      </c>
      <c r="AJ469">
        <v>0</v>
      </c>
      <c r="AK469">
        <v>0</v>
      </c>
      <c r="AL469">
        <v>0</v>
      </c>
      <c r="AM469">
        <v>0.82</v>
      </c>
      <c r="AN469">
        <v>0.73</v>
      </c>
      <c r="AO469">
        <v>1.18</v>
      </c>
      <c r="AS469">
        <v>9</v>
      </c>
      <c r="AT469">
        <v>2</v>
      </c>
      <c r="AU469">
        <v>2</v>
      </c>
      <c r="AV469">
        <v>80</v>
      </c>
      <c r="AW469">
        <v>75</v>
      </c>
      <c r="AX469">
        <v>52</v>
      </c>
      <c r="AY469">
        <v>0</v>
      </c>
      <c r="AZ469" t="b">
        <v>0</v>
      </c>
      <c r="BA469">
        <v>1696</v>
      </c>
      <c r="BB469">
        <v>1583</v>
      </c>
      <c r="BC469">
        <v>30</v>
      </c>
      <c r="BD469" t="s">
        <v>5048</v>
      </c>
      <c r="BE469" s="1" t="s">
        <v>5040</v>
      </c>
      <c r="BF469">
        <v>0</v>
      </c>
      <c r="BG469">
        <v>69</v>
      </c>
      <c r="BH469">
        <v>1</v>
      </c>
      <c r="BI469" s="1" t="s">
        <v>211</v>
      </c>
      <c r="BJ469" s="1" t="s">
        <v>898</v>
      </c>
      <c r="BK469" s="1" t="s">
        <v>183</v>
      </c>
      <c r="BL469" s="1" t="s">
        <v>398</v>
      </c>
      <c r="BM469" s="1" t="s">
        <v>169</v>
      </c>
      <c r="BN469" s="1" t="s">
        <v>255</v>
      </c>
      <c r="BO469" s="1" t="s">
        <v>161</v>
      </c>
      <c r="BP469" s="1" t="s">
        <v>159</v>
      </c>
      <c r="BQ469" s="1" t="s">
        <v>5049</v>
      </c>
      <c r="BR469" s="1" t="s">
        <v>5050</v>
      </c>
      <c r="BS469" s="1" t="s">
        <v>126</v>
      </c>
      <c r="BT469" s="1" t="s">
        <v>127</v>
      </c>
      <c r="BU469">
        <v>2</v>
      </c>
      <c r="BV469" s="1" t="s">
        <v>161</v>
      </c>
      <c r="BW469">
        <v>0</v>
      </c>
      <c r="BX469">
        <v>6.6666666666666596E-2</v>
      </c>
      <c r="BY469" s="1" t="s">
        <v>129</v>
      </c>
      <c r="BZ469">
        <v>0.2</v>
      </c>
      <c r="CA469">
        <v>0.82</v>
      </c>
      <c r="CB469">
        <v>0.65600000000000003</v>
      </c>
      <c r="CC469">
        <v>0.73</v>
      </c>
      <c r="CD469">
        <v>0.58399999999999996</v>
      </c>
      <c r="CE469">
        <v>1.18</v>
      </c>
      <c r="CF469" s="1" t="s">
        <v>5051</v>
      </c>
      <c r="CG469">
        <v>9</v>
      </c>
      <c r="CH469">
        <v>8.4</v>
      </c>
      <c r="CI469" s="1" t="s">
        <v>169</v>
      </c>
      <c r="CJ469" s="1" t="s">
        <v>138</v>
      </c>
      <c r="CK469" s="1" t="s">
        <v>169</v>
      </c>
      <c r="CL469" s="1" t="s">
        <v>373</v>
      </c>
      <c r="CM469" s="1" t="s">
        <v>417</v>
      </c>
      <c r="CN469" s="1" t="s">
        <v>1109</v>
      </c>
      <c r="CO469" s="1" t="s">
        <v>754</v>
      </c>
      <c r="CP469">
        <v>75.400000000000006</v>
      </c>
      <c r="CQ469" s="1" t="s">
        <v>4246</v>
      </c>
      <c r="CR469" s="1" t="s">
        <v>5052</v>
      </c>
      <c r="CS469">
        <v>1606</v>
      </c>
      <c r="CT469" s="1" t="s">
        <v>837</v>
      </c>
      <c r="CU469">
        <v>1666</v>
      </c>
      <c r="CV469">
        <v>1634</v>
      </c>
      <c r="CW469">
        <v>83.9</v>
      </c>
      <c r="CX469">
        <v>73.8</v>
      </c>
      <c r="CY469">
        <v>71</v>
      </c>
      <c r="CZ469" s="1" t="s">
        <v>755</v>
      </c>
      <c r="DA469">
        <v>1</v>
      </c>
      <c r="DB469" t="s">
        <v>602</v>
      </c>
      <c r="DC469">
        <v>88</v>
      </c>
      <c r="DD469">
        <v>89.605945767555497</v>
      </c>
      <c r="DE469">
        <v>-1.60594576755549</v>
      </c>
      <c r="DF469" t="e">
        <f>_xlfn.XLOOKUP(Table1[[#This Row],[Player ID]],Table2[feed_id],Table2[trade_status])</f>
        <v>#N/A</v>
      </c>
      <c r="DG469">
        <f>_xlfn.NUMBERVALUE(Table1[[#This Row],[predicted]])</f>
        <v>89.605945767555497</v>
      </c>
    </row>
    <row r="470" spans="1:111" hidden="1" x14ac:dyDescent="0.25">
      <c r="A470">
        <v>121078</v>
      </c>
      <c r="B470">
        <v>8630</v>
      </c>
      <c r="C470" t="s">
        <v>5053</v>
      </c>
      <c r="D470" t="s">
        <v>336</v>
      </c>
      <c r="E470">
        <v>2023</v>
      </c>
      <c r="F470">
        <v>1003546</v>
      </c>
      <c r="G470" t="s">
        <v>1087</v>
      </c>
      <c r="H470" t="s">
        <v>1538</v>
      </c>
      <c r="I470" t="s">
        <v>291</v>
      </c>
      <c r="J470">
        <v>16</v>
      </c>
      <c r="K470">
        <v>52</v>
      </c>
      <c r="L470">
        <v>59</v>
      </c>
      <c r="M470">
        <v>64</v>
      </c>
      <c r="N470">
        <v>46</v>
      </c>
      <c r="O470">
        <v>54</v>
      </c>
      <c r="P470">
        <v>4</v>
      </c>
      <c r="Q470">
        <v>2</v>
      </c>
      <c r="R470">
        <v>4</v>
      </c>
      <c r="S470">
        <v>2</v>
      </c>
      <c r="T470">
        <v>0</v>
      </c>
      <c r="U470">
        <v>1</v>
      </c>
      <c r="V470">
        <v>1</v>
      </c>
      <c r="W470">
        <v>3</v>
      </c>
      <c r="X470">
        <v>0</v>
      </c>
      <c r="Y470" t="s">
        <v>113</v>
      </c>
      <c r="Z470" t="s">
        <v>656</v>
      </c>
      <c r="AA470" t="s">
        <v>5054</v>
      </c>
      <c r="AE470">
        <v>0</v>
      </c>
      <c r="AH470" t="s">
        <v>181</v>
      </c>
      <c r="AI470">
        <v>29</v>
      </c>
      <c r="AJ470">
        <v>7</v>
      </c>
      <c r="AK470">
        <v>55.29</v>
      </c>
      <c r="AL470">
        <v>0</v>
      </c>
      <c r="AM470">
        <v>0</v>
      </c>
      <c r="AN470">
        <v>0.11</v>
      </c>
      <c r="AO470">
        <v>0.28999999999999998</v>
      </c>
      <c r="AS470">
        <v>3</v>
      </c>
      <c r="AT470">
        <v>0</v>
      </c>
      <c r="AU470">
        <v>1</v>
      </c>
      <c r="AV470">
        <v>100</v>
      </c>
      <c r="AW470">
        <v>78</v>
      </c>
      <c r="AX470">
        <v>102</v>
      </c>
      <c r="AY470">
        <v>0</v>
      </c>
      <c r="AZ470" t="b">
        <v>0</v>
      </c>
      <c r="BA470">
        <v>1641</v>
      </c>
      <c r="BB470">
        <v>1634</v>
      </c>
      <c r="BC470">
        <v>32</v>
      </c>
      <c r="BD470" t="s">
        <v>5055</v>
      </c>
      <c r="BE470">
        <v>102.2</v>
      </c>
      <c r="BF470">
        <v>0</v>
      </c>
      <c r="BG470">
        <v>70</v>
      </c>
      <c r="BH470">
        <v>0</v>
      </c>
      <c r="BI470" s="1" t="s">
        <v>124</v>
      </c>
      <c r="BJ470" s="1" t="s">
        <v>587</v>
      </c>
      <c r="BK470" s="1" t="s">
        <v>159</v>
      </c>
      <c r="BL470" s="1" t="s">
        <v>275</v>
      </c>
      <c r="BM470">
        <v>4</v>
      </c>
      <c r="BN470" s="1" t="s">
        <v>322</v>
      </c>
      <c r="BO470" s="1" t="s">
        <v>169</v>
      </c>
      <c r="BP470" s="1" t="s">
        <v>214</v>
      </c>
      <c r="BQ470" s="1" t="s">
        <v>129</v>
      </c>
      <c r="BR470">
        <v>6.6666666666666596E-2</v>
      </c>
      <c r="BS470" s="1" t="s">
        <v>129</v>
      </c>
      <c r="BT470" s="1" t="s">
        <v>129</v>
      </c>
      <c r="BU470" s="1" t="s">
        <v>129</v>
      </c>
      <c r="BV470" s="1" t="s">
        <v>238</v>
      </c>
      <c r="BW470" s="1" t="s">
        <v>126</v>
      </c>
      <c r="BX470" s="1" t="s">
        <v>130</v>
      </c>
      <c r="BY470">
        <v>0</v>
      </c>
      <c r="BZ470" s="1" t="s">
        <v>184</v>
      </c>
      <c r="CA470">
        <v>0</v>
      </c>
      <c r="CB470">
        <v>0</v>
      </c>
      <c r="CC470">
        <v>0.11</v>
      </c>
      <c r="CD470">
        <v>9.5333333333333395E-2</v>
      </c>
      <c r="CE470">
        <v>0.28999999999999998</v>
      </c>
      <c r="CF470" s="1" t="s">
        <v>5056</v>
      </c>
      <c r="CG470" s="1" t="s">
        <v>125</v>
      </c>
      <c r="CH470" s="1" t="s">
        <v>140</v>
      </c>
      <c r="CI470" s="1" t="s">
        <v>128</v>
      </c>
      <c r="CJ470" s="1" t="s">
        <v>213</v>
      </c>
      <c r="CK470" s="1" t="s">
        <v>128</v>
      </c>
      <c r="CL470" s="1" t="s">
        <v>127</v>
      </c>
      <c r="CM470" s="1" t="s">
        <v>418</v>
      </c>
      <c r="CN470">
        <v>65</v>
      </c>
      <c r="CO470" s="1" t="s">
        <v>994</v>
      </c>
      <c r="CP470">
        <v>60.2</v>
      </c>
      <c r="CQ470">
        <v>166</v>
      </c>
      <c r="CR470" s="1" t="s">
        <v>5057</v>
      </c>
      <c r="CS470" s="1" t="s">
        <v>4361</v>
      </c>
      <c r="CT470">
        <v>1665</v>
      </c>
      <c r="CU470">
        <v>1656</v>
      </c>
      <c r="CV470">
        <v>1620.2</v>
      </c>
      <c r="CW470">
        <v>45.25</v>
      </c>
      <c r="CX470">
        <v>47.4</v>
      </c>
      <c r="CY470">
        <v>55.6</v>
      </c>
      <c r="CZ470" s="1" t="s">
        <v>329</v>
      </c>
      <c r="DA470">
        <v>1</v>
      </c>
      <c r="DB470" t="s">
        <v>656</v>
      </c>
      <c r="DC470">
        <v>59</v>
      </c>
      <c r="DD470" s="1" t="s">
        <v>5058</v>
      </c>
      <c r="DE470" s="1" t="s">
        <v>5059</v>
      </c>
      <c r="DF470" t="e">
        <f>_xlfn.XLOOKUP(Table1[[#This Row],[Player ID]],Table2[feed_id],Table2[trade_status])</f>
        <v>#N/A</v>
      </c>
      <c r="DG470">
        <f>_xlfn.NUMBERVALUE(Table1[[#This Row],[predicted]])</f>
        <v>52.540402360826199</v>
      </c>
    </row>
    <row r="471" spans="1:111" hidden="1" x14ac:dyDescent="0.25">
      <c r="A471">
        <v>121126</v>
      </c>
      <c r="B471">
        <v>8631</v>
      </c>
      <c r="C471" t="s">
        <v>5060</v>
      </c>
      <c r="D471" t="s">
        <v>336</v>
      </c>
      <c r="E471">
        <v>2023</v>
      </c>
      <c r="F471">
        <v>290746</v>
      </c>
      <c r="G471" t="s">
        <v>1394</v>
      </c>
      <c r="H471" t="s">
        <v>5061</v>
      </c>
      <c r="I471" t="s">
        <v>425</v>
      </c>
      <c r="J471">
        <v>3</v>
      </c>
      <c r="K471">
        <v>32</v>
      </c>
      <c r="L471">
        <v>24</v>
      </c>
      <c r="M471">
        <v>38</v>
      </c>
      <c r="N471">
        <v>29</v>
      </c>
      <c r="O471">
        <v>37</v>
      </c>
      <c r="P471">
        <v>3</v>
      </c>
      <c r="Q471">
        <v>3</v>
      </c>
      <c r="R471">
        <v>1</v>
      </c>
      <c r="S471">
        <v>1</v>
      </c>
      <c r="T471">
        <v>13</v>
      </c>
      <c r="U471">
        <v>0</v>
      </c>
      <c r="V471">
        <v>1</v>
      </c>
      <c r="W471">
        <v>0</v>
      </c>
      <c r="X471">
        <v>0</v>
      </c>
      <c r="Y471" t="s">
        <v>113</v>
      </c>
      <c r="Z471" t="s">
        <v>114</v>
      </c>
      <c r="AA471" t="s">
        <v>5062</v>
      </c>
      <c r="AB471" t="s">
        <v>116</v>
      </c>
      <c r="AC471" t="s">
        <v>2391</v>
      </c>
      <c r="AH471" t="s">
        <v>274</v>
      </c>
      <c r="AI471">
        <v>29</v>
      </c>
      <c r="AJ471">
        <v>0</v>
      </c>
      <c r="AK471">
        <v>0</v>
      </c>
      <c r="AL471">
        <v>0</v>
      </c>
      <c r="AM471">
        <v>8.15</v>
      </c>
      <c r="AN471">
        <v>2.93</v>
      </c>
      <c r="AO471">
        <v>5.0999999999999996</v>
      </c>
      <c r="AS471">
        <v>2</v>
      </c>
      <c r="AT471">
        <v>1</v>
      </c>
      <c r="AU471">
        <v>1</v>
      </c>
      <c r="AV471">
        <v>66</v>
      </c>
      <c r="AW471">
        <v>43</v>
      </c>
      <c r="AX471">
        <v>109</v>
      </c>
      <c r="AY471">
        <v>1</v>
      </c>
      <c r="AZ471" t="b">
        <v>1</v>
      </c>
      <c r="BA471">
        <v>1892</v>
      </c>
      <c r="BB471">
        <v>1408</v>
      </c>
      <c r="BC471">
        <v>32</v>
      </c>
      <c r="BD471" t="s">
        <v>5063</v>
      </c>
      <c r="BE471">
        <v>102.2</v>
      </c>
      <c r="BF471">
        <v>0</v>
      </c>
      <c r="BG471">
        <v>70</v>
      </c>
      <c r="BH471">
        <v>0</v>
      </c>
      <c r="BI471" s="1" t="s">
        <v>159</v>
      </c>
      <c r="BJ471" s="1" t="s">
        <v>766</v>
      </c>
      <c r="BK471">
        <v>5</v>
      </c>
      <c r="BL471" s="1" t="s">
        <v>624</v>
      </c>
      <c r="BM471" s="1" t="s">
        <v>128</v>
      </c>
      <c r="BN471" s="1" t="s">
        <v>298</v>
      </c>
      <c r="BO471" s="1" t="s">
        <v>160</v>
      </c>
      <c r="BP471" s="1" t="s">
        <v>766</v>
      </c>
      <c r="BQ471">
        <v>24</v>
      </c>
      <c r="BR471" s="1" t="s">
        <v>5064</v>
      </c>
      <c r="BS471">
        <v>1</v>
      </c>
      <c r="BT471">
        <v>1.8</v>
      </c>
      <c r="BU471">
        <v>2</v>
      </c>
      <c r="BV471" s="1" t="s">
        <v>275</v>
      </c>
      <c r="BW471">
        <v>0</v>
      </c>
      <c r="BX471">
        <v>0</v>
      </c>
      <c r="BY471" s="1" t="s">
        <v>129</v>
      </c>
      <c r="BZ471">
        <v>6.6666666666666596E-2</v>
      </c>
      <c r="CA471">
        <v>8.15</v>
      </c>
      <c r="CB471" s="1" t="s">
        <v>5065</v>
      </c>
      <c r="CC471">
        <v>2.93</v>
      </c>
      <c r="CD471" s="1" t="s">
        <v>5066</v>
      </c>
      <c r="CE471">
        <v>5.0999999999999996</v>
      </c>
      <c r="CF471">
        <v>4.76</v>
      </c>
      <c r="CG471" s="1" t="s">
        <v>449</v>
      </c>
      <c r="CH471" s="1" t="s">
        <v>204</v>
      </c>
      <c r="CI471" s="1" t="s">
        <v>169</v>
      </c>
      <c r="CJ471" s="1" t="s">
        <v>990</v>
      </c>
      <c r="CK471">
        <v>3</v>
      </c>
      <c r="CL471" s="1" t="s">
        <v>431</v>
      </c>
      <c r="CM471" s="1" t="s">
        <v>822</v>
      </c>
      <c r="CN471">
        <v>74.400000000000006</v>
      </c>
      <c r="CO471" s="1" t="s">
        <v>558</v>
      </c>
      <c r="CP471" s="1" t="s">
        <v>5067</v>
      </c>
      <c r="CQ471" s="1" t="s">
        <v>1176</v>
      </c>
      <c r="CR471">
        <v>101.4</v>
      </c>
      <c r="CS471" s="1" t="s">
        <v>5068</v>
      </c>
      <c r="CT471">
        <v>1628.2</v>
      </c>
      <c r="CU471" s="1" t="s">
        <v>5069</v>
      </c>
      <c r="CV471">
        <v>1653</v>
      </c>
      <c r="CW471">
        <v>74.2</v>
      </c>
      <c r="CX471">
        <v>74.400000000000006</v>
      </c>
      <c r="CY471">
        <v>71</v>
      </c>
      <c r="CZ471" s="1" t="s">
        <v>2490</v>
      </c>
      <c r="DA471">
        <v>1</v>
      </c>
      <c r="DB471" t="s">
        <v>114</v>
      </c>
      <c r="DC471">
        <v>24</v>
      </c>
      <c r="DD471" s="1" t="s">
        <v>5070</v>
      </c>
      <c r="DE471">
        <v>-28.6828933971311</v>
      </c>
      <c r="DF471" t="e">
        <f>_xlfn.XLOOKUP(Table1[[#This Row],[Player ID]],Table2[feed_id],Table2[trade_status])</f>
        <v>#N/A</v>
      </c>
      <c r="DG471">
        <f>_xlfn.NUMBERVALUE(Table1[[#This Row],[predicted]])</f>
        <v>52.682893397131103</v>
      </c>
    </row>
    <row r="472" spans="1:111" hidden="1" x14ac:dyDescent="0.25">
      <c r="A472">
        <v>121128</v>
      </c>
      <c r="B472">
        <v>8631</v>
      </c>
      <c r="C472" t="s">
        <v>5060</v>
      </c>
      <c r="D472" t="s">
        <v>336</v>
      </c>
      <c r="E472">
        <v>2023</v>
      </c>
      <c r="F472">
        <v>290527</v>
      </c>
      <c r="G472" t="s">
        <v>4157</v>
      </c>
      <c r="H472" t="s">
        <v>829</v>
      </c>
      <c r="I472" t="s">
        <v>425</v>
      </c>
      <c r="J472">
        <v>2</v>
      </c>
      <c r="K472">
        <v>23</v>
      </c>
      <c r="L472">
        <v>34</v>
      </c>
      <c r="M472">
        <v>33</v>
      </c>
      <c r="N472">
        <v>22</v>
      </c>
      <c r="O472">
        <v>33</v>
      </c>
      <c r="P472">
        <v>7</v>
      </c>
      <c r="Q472">
        <v>1</v>
      </c>
      <c r="R472">
        <v>3</v>
      </c>
      <c r="S472">
        <v>0</v>
      </c>
      <c r="T472">
        <v>0</v>
      </c>
      <c r="U472">
        <v>0</v>
      </c>
      <c r="V472">
        <v>3</v>
      </c>
      <c r="W472">
        <v>0</v>
      </c>
      <c r="X472">
        <v>0</v>
      </c>
      <c r="Y472" t="s">
        <v>113</v>
      </c>
      <c r="Z472" t="s">
        <v>426</v>
      </c>
      <c r="AA472" t="s">
        <v>5071</v>
      </c>
      <c r="AB472" t="s">
        <v>778</v>
      </c>
      <c r="AC472" t="s">
        <v>5072</v>
      </c>
      <c r="AE472">
        <v>0</v>
      </c>
      <c r="AH472" t="s">
        <v>181</v>
      </c>
      <c r="AI472">
        <v>12</v>
      </c>
      <c r="AJ472">
        <v>1</v>
      </c>
      <c r="AK472">
        <v>41</v>
      </c>
      <c r="AL472">
        <v>0</v>
      </c>
      <c r="AM472">
        <v>0</v>
      </c>
      <c r="AN472">
        <v>0.08</v>
      </c>
      <c r="AO472">
        <v>0.03</v>
      </c>
      <c r="AS472">
        <v>2</v>
      </c>
      <c r="AT472">
        <v>0</v>
      </c>
      <c r="AU472">
        <v>3</v>
      </c>
      <c r="AV472">
        <v>75</v>
      </c>
      <c r="AW472">
        <v>90</v>
      </c>
      <c r="AX472">
        <v>214</v>
      </c>
      <c r="AY472">
        <v>1</v>
      </c>
      <c r="AZ472" t="b">
        <v>1</v>
      </c>
      <c r="BA472">
        <v>1892</v>
      </c>
      <c r="BB472">
        <v>1408</v>
      </c>
      <c r="BC472">
        <v>32</v>
      </c>
      <c r="BD472" t="s">
        <v>5063</v>
      </c>
      <c r="BE472">
        <v>102.2</v>
      </c>
      <c r="BF472">
        <v>0</v>
      </c>
      <c r="BG472">
        <v>70</v>
      </c>
      <c r="BH472">
        <v>0</v>
      </c>
      <c r="BI472" s="1" t="s">
        <v>183</v>
      </c>
      <c r="BJ472">
        <v>8.4</v>
      </c>
      <c r="BK472" s="1" t="s">
        <v>128</v>
      </c>
      <c r="BL472" s="1" t="s">
        <v>126</v>
      </c>
      <c r="BM472" s="1" t="s">
        <v>169</v>
      </c>
      <c r="BN472">
        <v>3.8</v>
      </c>
      <c r="BO472" s="1" t="s">
        <v>126</v>
      </c>
      <c r="BP472" s="1" t="s">
        <v>257</v>
      </c>
      <c r="BQ472">
        <v>0</v>
      </c>
      <c r="BR472">
        <v>0</v>
      </c>
      <c r="BS472">
        <v>0</v>
      </c>
      <c r="BT472" s="1" t="s">
        <v>129</v>
      </c>
      <c r="BU472" s="1" t="s">
        <v>126</v>
      </c>
      <c r="BV472">
        <v>0.6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0.08</v>
      </c>
      <c r="CD472">
        <v>0.08</v>
      </c>
      <c r="CE472">
        <v>0.03</v>
      </c>
      <c r="CF472">
        <v>0.03</v>
      </c>
      <c r="CG472" s="1" t="s">
        <v>159</v>
      </c>
      <c r="CH472" s="1" t="s">
        <v>373</v>
      </c>
      <c r="CI472" s="1" t="s">
        <v>129</v>
      </c>
      <c r="CJ472" s="1" t="s">
        <v>213</v>
      </c>
      <c r="CK472" s="1" t="s">
        <v>159</v>
      </c>
      <c r="CL472" s="1" t="s">
        <v>327</v>
      </c>
      <c r="CM472">
        <v>76</v>
      </c>
      <c r="CN472" s="1" t="s">
        <v>1259</v>
      </c>
      <c r="CO472" s="1" t="s">
        <v>4375</v>
      </c>
      <c r="CP472" s="1" t="s">
        <v>4873</v>
      </c>
      <c r="CQ472" s="1" t="s">
        <v>5073</v>
      </c>
      <c r="CR472" s="1" t="s">
        <v>5074</v>
      </c>
      <c r="CS472" s="1" t="s">
        <v>3933</v>
      </c>
      <c r="CT472" s="1" t="s">
        <v>5075</v>
      </c>
      <c r="CU472" s="1" t="s">
        <v>5076</v>
      </c>
      <c r="CV472" s="1" t="s">
        <v>5077</v>
      </c>
      <c r="CW472">
        <v>55.85</v>
      </c>
      <c r="CX472">
        <v>48.9</v>
      </c>
      <c r="CY472">
        <v>41</v>
      </c>
      <c r="CZ472" s="1" t="s">
        <v>999</v>
      </c>
      <c r="DA472">
        <v>1</v>
      </c>
      <c r="DB472" t="s">
        <v>426</v>
      </c>
      <c r="DC472">
        <v>34</v>
      </c>
      <c r="DD472" s="1" t="s">
        <v>5078</v>
      </c>
      <c r="DE472">
        <v>-18.283830287046001</v>
      </c>
      <c r="DF472" t="e">
        <f>_xlfn.XLOOKUP(Table1[[#This Row],[Player ID]],Table2[feed_id],Table2[trade_status])</f>
        <v>#N/A</v>
      </c>
      <c r="DG472">
        <f>_xlfn.NUMBERVALUE(Table1[[#This Row],[predicted]])</f>
        <v>52.283830287046001</v>
      </c>
    </row>
    <row r="473" spans="1:111" hidden="1" x14ac:dyDescent="0.25">
      <c r="A473">
        <v>121179</v>
      </c>
      <c r="B473">
        <v>8632</v>
      </c>
      <c r="C473" t="s">
        <v>5079</v>
      </c>
      <c r="D473" t="s">
        <v>1058</v>
      </c>
      <c r="E473">
        <v>2023</v>
      </c>
      <c r="F473">
        <v>290675</v>
      </c>
      <c r="G473" t="s">
        <v>289</v>
      </c>
      <c r="H473" t="s">
        <v>3400</v>
      </c>
      <c r="I473" t="s">
        <v>1089</v>
      </c>
      <c r="J473">
        <v>21</v>
      </c>
      <c r="K473">
        <v>87</v>
      </c>
      <c r="L473">
        <v>67</v>
      </c>
      <c r="M473">
        <v>67</v>
      </c>
      <c r="N473">
        <v>67</v>
      </c>
      <c r="O473">
        <v>85</v>
      </c>
      <c r="P473">
        <v>12</v>
      </c>
      <c r="Q473">
        <v>2</v>
      </c>
      <c r="R473">
        <v>8</v>
      </c>
      <c r="S473">
        <v>4</v>
      </c>
      <c r="T473">
        <v>0</v>
      </c>
      <c r="U473">
        <v>0</v>
      </c>
      <c r="V473">
        <v>0</v>
      </c>
      <c r="W473">
        <v>1</v>
      </c>
      <c r="X473">
        <v>1</v>
      </c>
      <c r="Y473" t="s">
        <v>113</v>
      </c>
      <c r="Z473" t="s">
        <v>525</v>
      </c>
      <c r="AA473" t="s">
        <v>5080</v>
      </c>
      <c r="AD473">
        <v>0</v>
      </c>
      <c r="AE473">
        <v>0</v>
      </c>
      <c r="AF473">
        <v>0</v>
      </c>
      <c r="AH473" t="s">
        <v>118</v>
      </c>
      <c r="AI473">
        <v>38</v>
      </c>
      <c r="AJ473">
        <v>13</v>
      </c>
      <c r="AK473">
        <v>60.08</v>
      </c>
      <c r="AL473">
        <v>0</v>
      </c>
      <c r="AM473">
        <v>0</v>
      </c>
      <c r="AN473">
        <v>0.09</v>
      </c>
      <c r="AO473">
        <v>0.04</v>
      </c>
      <c r="AP473">
        <v>0</v>
      </c>
      <c r="AS473">
        <v>3</v>
      </c>
      <c r="AT473">
        <v>0</v>
      </c>
      <c r="AU473">
        <v>1</v>
      </c>
      <c r="AV473">
        <v>57</v>
      </c>
      <c r="AW473">
        <v>88</v>
      </c>
      <c r="AX473">
        <v>322</v>
      </c>
      <c r="AY473">
        <v>0</v>
      </c>
      <c r="AZ473" t="b">
        <v>0</v>
      </c>
      <c r="BA473">
        <v>1661</v>
      </c>
      <c r="BB473">
        <v>1619</v>
      </c>
      <c r="BC473">
        <v>33</v>
      </c>
      <c r="BD473" t="s">
        <v>5081</v>
      </c>
      <c r="BE473">
        <v>96.2</v>
      </c>
      <c r="BF473">
        <v>0</v>
      </c>
      <c r="BG473">
        <v>75</v>
      </c>
      <c r="BH473">
        <v>0</v>
      </c>
      <c r="BI473">
        <v>9</v>
      </c>
      <c r="BJ473">
        <v>7.4</v>
      </c>
      <c r="BK473">
        <v>3</v>
      </c>
      <c r="BL473" s="1" t="s">
        <v>963</v>
      </c>
      <c r="BM473">
        <v>4</v>
      </c>
      <c r="BN473">
        <v>3</v>
      </c>
      <c r="BO473">
        <v>3</v>
      </c>
      <c r="BP473" s="1" t="s">
        <v>766</v>
      </c>
      <c r="BQ473">
        <v>0</v>
      </c>
      <c r="BR473">
        <v>0</v>
      </c>
      <c r="BS473" s="1" t="s">
        <v>129</v>
      </c>
      <c r="BT473" s="1" t="s">
        <v>129</v>
      </c>
      <c r="BU473">
        <v>0</v>
      </c>
      <c r="BV473">
        <v>0.2</v>
      </c>
      <c r="BW473" s="1" t="s">
        <v>128</v>
      </c>
      <c r="BX473">
        <v>0.6</v>
      </c>
      <c r="BY473" s="1" t="s">
        <v>128</v>
      </c>
      <c r="BZ473">
        <v>0.6</v>
      </c>
      <c r="CA473">
        <v>0</v>
      </c>
      <c r="CB473">
        <v>0</v>
      </c>
      <c r="CC473">
        <v>0.09</v>
      </c>
      <c r="CD473">
        <v>0.09</v>
      </c>
      <c r="CE473">
        <v>0.04</v>
      </c>
      <c r="CF473">
        <v>0.04</v>
      </c>
      <c r="CG473" s="1" t="s">
        <v>125</v>
      </c>
      <c r="CH473" s="1" t="s">
        <v>963</v>
      </c>
      <c r="CI473">
        <v>0</v>
      </c>
      <c r="CJ473">
        <v>0.2</v>
      </c>
      <c r="CK473" s="1" t="s">
        <v>126</v>
      </c>
      <c r="CL473" s="1" t="s">
        <v>214</v>
      </c>
      <c r="CM473" s="1" t="s">
        <v>1080</v>
      </c>
      <c r="CN473">
        <v>68.8</v>
      </c>
      <c r="CO473" s="1" t="s">
        <v>239</v>
      </c>
      <c r="CP473">
        <v>82</v>
      </c>
      <c r="CQ473" s="1" t="s">
        <v>5082</v>
      </c>
      <c r="CR473">
        <v>225.6</v>
      </c>
      <c r="CS473">
        <v>1747</v>
      </c>
      <c r="CT473" s="1" t="s">
        <v>5083</v>
      </c>
      <c r="CU473">
        <v>1543</v>
      </c>
      <c r="CV473">
        <v>1570</v>
      </c>
      <c r="CW473">
        <v>62.8</v>
      </c>
      <c r="CX473">
        <v>63.1</v>
      </c>
      <c r="CY473">
        <v>64</v>
      </c>
      <c r="CZ473" s="1" t="s">
        <v>1242</v>
      </c>
      <c r="DA473">
        <v>1</v>
      </c>
      <c r="DB473" t="s">
        <v>525</v>
      </c>
      <c r="DC473">
        <v>67</v>
      </c>
      <c r="DD473" s="1" t="s">
        <v>5084</v>
      </c>
      <c r="DE473" s="1" t="s">
        <v>5085</v>
      </c>
      <c r="DF473" t="e">
        <f>_xlfn.XLOOKUP(Table1[[#This Row],[Player ID]],Table2[feed_id],Table2[trade_status])</f>
        <v>#N/A</v>
      </c>
      <c r="DG473">
        <f>_xlfn.NUMBERVALUE(Table1[[#This Row],[predicted]])</f>
        <v>62.472585662206797</v>
      </c>
    </row>
    <row r="474" spans="1:111" hidden="1" x14ac:dyDescent="0.25">
      <c r="A474">
        <v>121263</v>
      </c>
      <c r="B474">
        <v>8634</v>
      </c>
      <c r="C474" t="s">
        <v>5086</v>
      </c>
      <c r="D474" t="s">
        <v>388</v>
      </c>
      <c r="E474">
        <v>2023</v>
      </c>
      <c r="F474">
        <v>1005107</v>
      </c>
      <c r="G474" t="s">
        <v>508</v>
      </c>
      <c r="H474" t="s">
        <v>1635</v>
      </c>
      <c r="I474" t="s">
        <v>112</v>
      </c>
      <c r="J474">
        <v>0</v>
      </c>
      <c r="K474">
        <v>16</v>
      </c>
      <c r="L474">
        <v>19</v>
      </c>
      <c r="M474">
        <v>21</v>
      </c>
      <c r="N474">
        <v>12</v>
      </c>
      <c r="O474">
        <v>15</v>
      </c>
      <c r="P474">
        <v>4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 t="s">
        <v>113</v>
      </c>
      <c r="Z474" t="s">
        <v>114</v>
      </c>
      <c r="AA474" t="s">
        <v>5087</v>
      </c>
      <c r="AB474" t="s">
        <v>116</v>
      </c>
      <c r="AC474" t="s">
        <v>5088</v>
      </c>
      <c r="AD474">
        <v>0</v>
      </c>
      <c r="AE474">
        <v>0</v>
      </c>
      <c r="AF474">
        <v>0</v>
      </c>
      <c r="AH474" t="s">
        <v>181</v>
      </c>
      <c r="AI474">
        <v>28</v>
      </c>
      <c r="AJ474">
        <v>1</v>
      </c>
      <c r="AK474">
        <v>46</v>
      </c>
      <c r="AL474">
        <v>0</v>
      </c>
      <c r="AM474">
        <v>0</v>
      </c>
      <c r="AN474">
        <v>0.08</v>
      </c>
      <c r="AO474">
        <v>0.32</v>
      </c>
      <c r="AP474">
        <v>0</v>
      </c>
      <c r="AS474">
        <v>1</v>
      </c>
      <c r="AT474">
        <v>0</v>
      </c>
      <c r="AU474">
        <v>1</v>
      </c>
      <c r="AV474">
        <v>100</v>
      </c>
      <c r="AW474">
        <v>20</v>
      </c>
      <c r="AX474">
        <v>73</v>
      </c>
      <c r="AY474">
        <v>1</v>
      </c>
      <c r="AZ474" t="b">
        <v>1</v>
      </c>
      <c r="BA474">
        <v>1517</v>
      </c>
      <c r="BB474">
        <v>1761</v>
      </c>
      <c r="BC474">
        <v>34</v>
      </c>
      <c r="BD474" t="s">
        <v>5089</v>
      </c>
      <c r="BE474">
        <v>110.4</v>
      </c>
      <c r="BF474">
        <v>0</v>
      </c>
      <c r="BG474">
        <v>66</v>
      </c>
      <c r="BH474">
        <v>0</v>
      </c>
      <c r="BI474" s="1" t="s">
        <v>449</v>
      </c>
      <c r="BJ474" s="1" t="s">
        <v>124</v>
      </c>
      <c r="BK474" s="1" t="s">
        <v>169</v>
      </c>
      <c r="BL474" s="1" t="s">
        <v>587</v>
      </c>
      <c r="BM474" s="1" t="s">
        <v>161</v>
      </c>
      <c r="BN474" s="1" t="s">
        <v>125</v>
      </c>
      <c r="BO474" s="1" t="s">
        <v>126</v>
      </c>
      <c r="BP474">
        <v>1.8</v>
      </c>
      <c r="BQ474">
        <v>0</v>
      </c>
      <c r="BR474">
        <v>0</v>
      </c>
      <c r="BS474" s="1" t="s">
        <v>128</v>
      </c>
      <c r="BT474">
        <v>0.8</v>
      </c>
      <c r="BU474">
        <v>1</v>
      </c>
      <c r="BV474" s="1" t="s">
        <v>399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0.08</v>
      </c>
      <c r="CD474">
        <v>0.08</v>
      </c>
      <c r="CE474">
        <v>0.32</v>
      </c>
      <c r="CF474">
        <v>0.32</v>
      </c>
      <c r="CG474" s="1" t="s">
        <v>169</v>
      </c>
      <c r="CH474" s="1" t="s">
        <v>256</v>
      </c>
      <c r="CI474">
        <v>0</v>
      </c>
      <c r="CJ474">
        <v>6.6666666666666596E-2</v>
      </c>
      <c r="CK474" s="1" t="s">
        <v>159</v>
      </c>
      <c r="CL474">
        <v>2.2000000000000002</v>
      </c>
      <c r="CM474">
        <v>80</v>
      </c>
      <c r="CN474" s="1" t="s">
        <v>2549</v>
      </c>
      <c r="CO474" s="1" t="s">
        <v>1080</v>
      </c>
      <c r="CP474" s="1" t="s">
        <v>2738</v>
      </c>
      <c r="CQ474">
        <v>117</v>
      </c>
      <c r="CR474" s="1" t="s">
        <v>5090</v>
      </c>
      <c r="CS474">
        <v>1702</v>
      </c>
      <c r="CT474" s="1" t="s">
        <v>792</v>
      </c>
      <c r="CU474">
        <v>1580</v>
      </c>
      <c r="CV474" s="1" t="s">
        <v>5091</v>
      </c>
      <c r="CW474">
        <v>58.3</v>
      </c>
      <c r="CX474">
        <v>55.2</v>
      </c>
      <c r="CY474">
        <v>41.8</v>
      </c>
      <c r="CZ474">
        <v>38</v>
      </c>
      <c r="DA474">
        <v>1</v>
      </c>
      <c r="DB474" t="s">
        <v>114</v>
      </c>
      <c r="DC474">
        <v>19</v>
      </c>
      <c r="DD474" s="1" t="s">
        <v>5092</v>
      </c>
      <c r="DE474">
        <v>-22.785841978508799</v>
      </c>
      <c r="DF474" t="e">
        <f>_xlfn.XLOOKUP(Table1[[#This Row],[Player ID]],Table2[feed_id],Table2[trade_status])</f>
        <v>#N/A</v>
      </c>
      <c r="DG474">
        <f>_xlfn.NUMBERVALUE(Table1[[#This Row],[predicted]])</f>
        <v>41.785841978508799</v>
      </c>
    </row>
    <row r="475" spans="1:111" hidden="1" x14ac:dyDescent="0.25">
      <c r="A475">
        <v>121330</v>
      </c>
      <c r="B475">
        <v>8800</v>
      </c>
      <c r="C475" t="s">
        <v>5093</v>
      </c>
      <c r="D475" t="s">
        <v>5094</v>
      </c>
      <c r="E475">
        <v>2024</v>
      </c>
      <c r="F475">
        <v>993841</v>
      </c>
      <c r="G475" t="s">
        <v>1318</v>
      </c>
      <c r="H475" t="s">
        <v>5095</v>
      </c>
      <c r="I475" t="s">
        <v>291</v>
      </c>
      <c r="J475">
        <v>2</v>
      </c>
      <c r="K475">
        <v>29</v>
      </c>
      <c r="L475">
        <v>27</v>
      </c>
      <c r="M475">
        <v>26</v>
      </c>
      <c r="N475">
        <v>22</v>
      </c>
      <c r="O475">
        <v>27</v>
      </c>
      <c r="P475">
        <v>3</v>
      </c>
      <c r="Q475">
        <v>1</v>
      </c>
      <c r="R475">
        <v>2</v>
      </c>
      <c r="S475">
        <v>2</v>
      </c>
      <c r="T475">
        <v>1</v>
      </c>
      <c r="U475">
        <v>1</v>
      </c>
      <c r="V475">
        <v>0</v>
      </c>
      <c r="W475">
        <v>0</v>
      </c>
      <c r="X475">
        <v>2</v>
      </c>
      <c r="Y475" t="s">
        <v>113</v>
      </c>
      <c r="Z475" t="s">
        <v>5096</v>
      </c>
      <c r="AA475" t="s">
        <v>5097</v>
      </c>
      <c r="AD475">
        <v>207700</v>
      </c>
      <c r="AF475">
        <v>123900</v>
      </c>
      <c r="AH475" t="s">
        <v>155</v>
      </c>
      <c r="AI475">
        <v>19</v>
      </c>
      <c r="AJ475">
        <v>0</v>
      </c>
      <c r="AK475">
        <v>0</v>
      </c>
      <c r="AL475">
        <v>0</v>
      </c>
      <c r="AM475">
        <v>0.13</v>
      </c>
      <c r="AN475">
        <v>0.33</v>
      </c>
      <c r="AO475">
        <v>0.05</v>
      </c>
      <c r="AP475">
        <v>355000</v>
      </c>
      <c r="AS475">
        <v>2</v>
      </c>
      <c r="AT475">
        <v>0</v>
      </c>
      <c r="AU475">
        <v>1</v>
      </c>
      <c r="AV475">
        <v>25</v>
      </c>
      <c r="AW475">
        <v>76</v>
      </c>
      <c r="AX475">
        <v>62</v>
      </c>
      <c r="AY475">
        <v>0</v>
      </c>
      <c r="AZ475" t="b">
        <v>0</v>
      </c>
      <c r="BA475">
        <v>1737</v>
      </c>
      <c r="BB475">
        <v>1555</v>
      </c>
      <c r="BC475">
        <v>1</v>
      </c>
      <c r="BD475" t="s">
        <v>5098</v>
      </c>
      <c r="BE475">
        <v>101</v>
      </c>
      <c r="BF475">
        <v>0</v>
      </c>
      <c r="BG475">
        <v>73</v>
      </c>
      <c r="BH475">
        <v>0</v>
      </c>
      <c r="BI475" s="1" t="s">
        <v>126</v>
      </c>
      <c r="BJ475">
        <v>5.8</v>
      </c>
      <c r="BK475" s="1" t="s">
        <v>129</v>
      </c>
      <c r="BL475">
        <v>2.2000000000000002</v>
      </c>
      <c r="BM475">
        <v>1</v>
      </c>
      <c r="BN475" s="1" t="s">
        <v>189</v>
      </c>
      <c r="BO475" s="1" t="s">
        <v>128</v>
      </c>
      <c r="BP475" s="1" t="s">
        <v>327</v>
      </c>
      <c r="BQ475" s="1" t="s">
        <v>128</v>
      </c>
      <c r="BR475" s="1" t="s">
        <v>298</v>
      </c>
      <c r="BS475" s="1" t="s">
        <v>129</v>
      </c>
      <c r="BT475">
        <v>0.4</v>
      </c>
      <c r="BU475">
        <v>0</v>
      </c>
      <c r="BV475" s="1" t="s">
        <v>128</v>
      </c>
      <c r="BW475">
        <v>0</v>
      </c>
      <c r="BX475" s="1" t="s">
        <v>128</v>
      </c>
      <c r="BY475">
        <v>1</v>
      </c>
      <c r="BZ475">
        <v>0.8</v>
      </c>
      <c r="CA475">
        <v>6.9999999999999896E-2</v>
      </c>
      <c r="CB475" s="1" t="s">
        <v>5099</v>
      </c>
      <c r="CC475" s="1" t="s">
        <v>5100</v>
      </c>
      <c r="CD475">
        <v>0.05</v>
      </c>
      <c r="CE475" s="1" t="s">
        <v>4693</v>
      </c>
      <c r="CF475" s="1" t="s">
        <v>3109</v>
      </c>
      <c r="CG475" s="1" t="s">
        <v>128</v>
      </c>
      <c r="CH475" s="1" t="s">
        <v>373</v>
      </c>
      <c r="CI475">
        <v>0</v>
      </c>
      <c r="CJ475" s="1" t="s">
        <v>184</v>
      </c>
      <c r="CK475" s="1" t="s">
        <v>129</v>
      </c>
      <c r="CL475" s="1" t="s">
        <v>206</v>
      </c>
      <c r="CM475" s="1" t="s">
        <v>545</v>
      </c>
      <c r="CN475" s="1" t="s">
        <v>5101</v>
      </c>
      <c r="CO475">
        <v>31</v>
      </c>
      <c r="CP475">
        <v>64.400000000000006</v>
      </c>
      <c r="CQ475">
        <v>31</v>
      </c>
      <c r="CR475" s="1" t="s">
        <v>5102</v>
      </c>
      <c r="CS475" s="1" t="s">
        <v>1164</v>
      </c>
      <c r="CT475" s="1" t="s">
        <v>1631</v>
      </c>
      <c r="CU475" s="1" t="s">
        <v>1418</v>
      </c>
      <c r="CV475" s="1" t="s">
        <v>3253</v>
      </c>
      <c r="CW475">
        <v>42.9</v>
      </c>
      <c r="CX475">
        <v>35.700000000000003</v>
      </c>
      <c r="CY475">
        <v>26</v>
      </c>
      <c r="CZ475">
        <v>11</v>
      </c>
      <c r="DA475">
        <v>1</v>
      </c>
      <c r="DB475" t="s">
        <v>5096</v>
      </c>
      <c r="DC475">
        <v>27</v>
      </c>
      <c r="DD475" s="1" t="s">
        <v>5103</v>
      </c>
      <c r="DE475">
        <v>-15.687662875192499</v>
      </c>
      <c r="DF475" t="e">
        <f>_xlfn.XLOOKUP(Table1[[#This Row],[Player ID]],Table2[feed_id],Table2[trade_status])</f>
        <v>#N/A</v>
      </c>
      <c r="DG475">
        <f>_xlfn.NUMBERVALUE(Table1[[#This Row],[predicted]])</f>
        <v>42.687662875192501</v>
      </c>
    </row>
    <row r="476" spans="1:111" hidden="1" x14ac:dyDescent="0.25">
      <c r="A476">
        <v>121351</v>
      </c>
      <c r="B476">
        <v>8801</v>
      </c>
      <c r="C476" t="s">
        <v>5104</v>
      </c>
      <c r="D476" t="s">
        <v>5094</v>
      </c>
      <c r="E476">
        <v>2024</v>
      </c>
      <c r="F476">
        <v>1006059</v>
      </c>
      <c r="G476" t="s">
        <v>5105</v>
      </c>
      <c r="H476" t="s">
        <v>5106</v>
      </c>
      <c r="I476" t="s">
        <v>201</v>
      </c>
      <c r="J476">
        <v>3</v>
      </c>
      <c r="K476">
        <v>34</v>
      </c>
      <c r="L476">
        <v>37</v>
      </c>
      <c r="M476">
        <v>44</v>
      </c>
      <c r="N476">
        <v>28</v>
      </c>
      <c r="O476">
        <v>36</v>
      </c>
      <c r="P476">
        <v>6</v>
      </c>
      <c r="Q476">
        <v>2</v>
      </c>
      <c r="R476">
        <v>4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113</v>
      </c>
      <c r="Z476" t="s">
        <v>1920</v>
      </c>
      <c r="AA476" t="s">
        <v>5107</v>
      </c>
      <c r="AB476" t="s">
        <v>116</v>
      </c>
      <c r="AC476" t="s">
        <v>3427</v>
      </c>
      <c r="AD476">
        <v>639600</v>
      </c>
      <c r="AF476">
        <v>398800</v>
      </c>
      <c r="AH476" t="s">
        <v>181</v>
      </c>
      <c r="AI476">
        <v>18</v>
      </c>
      <c r="AJ476">
        <v>0</v>
      </c>
      <c r="AK476">
        <v>0</v>
      </c>
      <c r="AL476">
        <v>0</v>
      </c>
      <c r="AM476">
        <v>18.600000000000001</v>
      </c>
      <c r="AN476">
        <v>18.05</v>
      </c>
      <c r="AO476">
        <v>26.11</v>
      </c>
      <c r="AP476">
        <v>628000</v>
      </c>
      <c r="AS476">
        <v>2</v>
      </c>
      <c r="AT476">
        <v>0</v>
      </c>
      <c r="AU476">
        <v>0</v>
      </c>
      <c r="AV476">
        <v>87</v>
      </c>
      <c r="AW476">
        <v>44</v>
      </c>
      <c r="AX476">
        <v>141</v>
      </c>
      <c r="AY476">
        <v>0</v>
      </c>
      <c r="AZ476" t="b">
        <v>1</v>
      </c>
      <c r="BA476">
        <v>1671</v>
      </c>
      <c r="BB476">
        <v>1593</v>
      </c>
      <c r="BC476">
        <v>1</v>
      </c>
      <c r="BD476" t="s">
        <v>5108</v>
      </c>
      <c r="BE476">
        <v>101</v>
      </c>
      <c r="BF476">
        <v>0</v>
      </c>
      <c r="BG476">
        <v>73</v>
      </c>
      <c r="BH476">
        <v>0</v>
      </c>
      <c r="BI476" s="1" t="s">
        <v>5109</v>
      </c>
      <c r="BJ476" s="1" t="s">
        <v>5110</v>
      </c>
      <c r="BK476" s="1" t="s">
        <v>169</v>
      </c>
      <c r="BL476">
        <v>3.8</v>
      </c>
      <c r="BM476" s="1" t="s">
        <v>253</v>
      </c>
      <c r="BN476" s="1" t="s">
        <v>139</v>
      </c>
      <c r="BO476" s="1" t="s">
        <v>138</v>
      </c>
      <c r="BP476" s="1" t="s">
        <v>169</v>
      </c>
      <c r="BQ476">
        <v>0</v>
      </c>
      <c r="BR476">
        <v>0</v>
      </c>
      <c r="BS476">
        <v>1</v>
      </c>
      <c r="BT476">
        <v>1.2</v>
      </c>
      <c r="BU476">
        <v>0</v>
      </c>
      <c r="BV476">
        <v>0.4</v>
      </c>
      <c r="BW476">
        <v>0</v>
      </c>
      <c r="BX476" s="1" t="s">
        <v>213</v>
      </c>
      <c r="BY476" s="1" t="s">
        <v>129</v>
      </c>
      <c r="BZ476" s="1" t="s">
        <v>184</v>
      </c>
      <c r="CA476" s="1" t="s">
        <v>5111</v>
      </c>
      <c r="CB476">
        <v>3.0880000000000001</v>
      </c>
      <c r="CC476" s="1" t="s">
        <v>5112</v>
      </c>
      <c r="CD476" s="1" t="s">
        <v>5113</v>
      </c>
      <c r="CE476">
        <v>10.17</v>
      </c>
      <c r="CF476" s="1" t="s">
        <v>5114</v>
      </c>
      <c r="CG476">
        <v>4</v>
      </c>
      <c r="CH476">
        <v>4.8</v>
      </c>
      <c r="CI476">
        <v>1</v>
      </c>
      <c r="CJ476">
        <v>0.8</v>
      </c>
      <c r="CK476" s="1" t="s">
        <v>128</v>
      </c>
      <c r="CL476" s="1" t="s">
        <v>159</v>
      </c>
      <c r="CM476">
        <v>84</v>
      </c>
      <c r="CN476">
        <v>74.2</v>
      </c>
      <c r="CO476">
        <v>68</v>
      </c>
      <c r="CP476">
        <v>73.2</v>
      </c>
      <c r="CQ476" s="1" t="s">
        <v>5115</v>
      </c>
      <c r="CR476" s="1" t="s">
        <v>5116</v>
      </c>
      <c r="CS476" s="1" t="s">
        <v>3693</v>
      </c>
      <c r="CT476" s="1" t="s">
        <v>5117</v>
      </c>
      <c r="CU476">
        <v>1669</v>
      </c>
      <c r="CV476">
        <v>1593</v>
      </c>
      <c r="CW476">
        <v>79.400000000000006</v>
      </c>
      <c r="CX476">
        <v>87.4</v>
      </c>
      <c r="CY476">
        <v>87.4</v>
      </c>
      <c r="CZ476">
        <v>97</v>
      </c>
      <c r="DA476">
        <v>1</v>
      </c>
      <c r="DB476" t="s">
        <v>1920</v>
      </c>
      <c r="DC476">
        <v>37</v>
      </c>
      <c r="DD476" s="1" t="s">
        <v>5118</v>
      </c>
      <c r="DE476">
        <v>-34.2972564961877</v>
      </c>
      <c r="DF476" t="str">
        <f>_xlfn.XLOOKUP(Table1[[#This Row],[Player ID]],Table2[feed_id],Table2[trade_status])</f>
        <v>free_agent</v>
      </c>
      <c r="DG476">
        <f>_xlfn.NUMBERVALUE(Table1[[#This Row],[predicted]])</f>
        <v>71.2972564961877</v>
      </c>
    </row>
    <row r="477" spans="1:111" hidden="1" x14ac:dyDescent="0.25">
      <c r="A477">
        <v>121682</v>
      </c>
      <c r="B477">
        <v>8808</v>
      </c>
      <c r="C477" t="s">
        <v>5119</v>
      </c>
      <c r="D477" t="s">
        <v>1893</v>
      </c>
      <c r="E477">
        <v>2024</v>
      </c>
      <c r="F477">
        <v>294307</v>
      </c>
      <c r="G477" t="s">
        <v>828</v>
      </c>
      <c r="H477" t="s">
        <v>5120</v>
      </c>
      <c r="I477" t="s">
        <v>152</v>
      </c>
      <c r="J477">
        <v>13</v>
      </c>
      <c r="K477">
        <v>59</v>
      </c>
      <c r="L477">
        <v>56</v>
      </c>
      <c r="M477">
        <v>51</v>
      </c>
      <c r="N477">
        <v>45</v>
      </c>
      <c r="O477">
        <v>63</v>
      </c>
      <c r="P477">
        <v>6</v>
      </c>
      <c r="Q477">
        <v>9</v>
      </c>
      <c r="R477">
        <v>2</v>
      </c>
      <c r="S477">
        <v>4</v>
      </c>
      <c r="T477">
        <v>0</v>
      </c>
      <c r="U477">
        <v>1</v>
      </c>
      <c r="V477">
        <v>0</v>
      </c>
      <c r="W477">
        <v>0</v>
      </c>
      <c r="X477">
        <v>0</v>
      </c>
      <c r="Y477" t="s">
        <v>113</v>
      </c>
      <c r="Z477" t="s">
        <v>877</v>
      </c>
      <c r="AA477" t="s">
        <v>5121</v>
      </c>
      <c r="AD477">
        <v>953000</v>
      </c>
      <c r="AE477">
        <v>0</v>
      </c>
      <c r="AF477">
        <v>545000</v>
      </c>
      <c r="AH477" t="s">
        <v>118</v>
      </c>
      <c r="AI477">
        <v>5</v>
      </c>
      <c r="AJ477">
        <v>0</v>
      </c>
      <c r="AK477">
        <v>0</v>
      </c>
      <c r="AL477">
        <v>0</v>
      </c>
      <c r="AM477">
        <v>0</v>
      </c>
      <c r="AN477">
        <v>0.17</v>
      </c>
      <c r="AO477">
        <v>0.49</v>
      </c>
      <c r="AP477">
        <v>932000</v>
      </c>
      <c r="AS477">
        <v>6</v>
      </c>
      <c r="AT477">
        <v>5</v>
      </c>
      <c r="AU477">
        <v>2</v>
      </c>
      <c r="AV477">
        <v>66</v>
      </c>
      <c r="AW477">
        <v>63</v>
      </c>
      <c r="AX477">
        <v>126</v>
      </c>
      <c r="AY477">
        <v>0</v>
      </c>
      <c r="AZ477" t="b">
        <v>0</v>
      </c>
      <c r="BA477">
        <v>1679</v>
      </c>
      <c r="BB477">
        <v>1618</v>
      </c>
      <c r="BC477">
        <v>2</v>
      </c>
      <c r="BD477" t="s">
        <v>5122</v>
      </c>
      <c r="BE477" s="1" t="s">
        <v>5123</v>
      </c>
      <c r="BF477">
        <v>0</v>
      </c>
      <c r="BG477">
        <v>69</v>
      </c>
      <c r="BH477">
        <v>0</v>
      </c>
      <c r="BI477" s="1" t="s">
        <v>183</v>
      </c>
      <c r="BJ477" s="1" t="s">
        <v>3429</v>
      </c>
      <c r="BK477">
        <v>13</v>
      </c>
      <c r="BL477" s="1" t="s">
        <v>5124</v>
      </c>
      <c r="BM477">
        <v>3</v>
      </c>
      <c r="BN477" s="1" t="s">
        <v>766</v>
      </c>
      <c r="BO477" s="1" t="s">
        <v>125</v>
      </c>
      <c r="BP477" s="1" t="s">
        <v>429</v>
      </c>
      <c r="BQ477">
        <v>0</v>
      </c>
      <c r="BR477">
        <v>0</v>
      </c>
      <c r="BS477" s="1" t="s">
        <v>129</v>
      </c>
      <c r="BT477" s="1" t="s">
        <v>298</v>
      </c>
      <c r="BU477" s="1" t="s">
        <v>128</v>
      </c>
      <c r="BV477" s="1" t="s">
        <v>128</v>
      </c>
      <c r="BW477" s="1" t="s">
        <v>129</v>
      </c>
      <c r="BX477">
        <v>0.4</v>
      </c>
      <c r="BY477" s="1" t="s">
        <v>129</v>
      </c>
      <c r="BZ477" s="1" t="s">
        <v>129</v>
      </c>
      <c r="CA477">
        <v>0</v>
      </c>
      <c r="CB477">
        <v>0</v>
      </c>
      <c r="CC477" s="1" t="s">
        <v>5125</v>
      </c>
      <c r="CD477">
        <v>0.19800000000000001</v>
      </c>
      <c r="CE477" s="1" t="s">
        <v>606</v>
      </c>
      <c r="CF477" s="1" t="s">
        <v>5126</v>
      </c>
      <c r="CG477" s="1" t="s">
        <v>253</v>
      </c>
      <c r="CH477" s="1" t="s">
        <v>4012</v>
      </c>
      <c r="CI477">
        <v>3</v>
      </c>
      <c r="CJ477" s="1" t="s">
        <v>963</v>
      </c>
      <c r="CK477" s="1" t="s">
        <v>138</v>
      </c>
      <c r="CL477" s="1" t="s">
        <v>256</v>
      </c>
      <c r="CM477" s="1" t="s">
        <v>772</v>
      </c>
      <c r="CN477" s="1" t="s">
        <v>5127</v>
      </c>
      <c r="CO477" s="1" t="s">
        <v>1053</v>
      </c>
      <c r="CP477" s="1" t="s">
        <v>2730</v>
      </c>
      <c r="CQ477" s="1" t="s">
        <v>5128</v>
      </c>
      <c r="CR477" s="1" t="s">
        <v>5129</v>
      </c>
      <c r="CS477" s="1" t="s">
        <v>884</v>
      </c>
      <c r="CT477" s="1" t="s">
        <v>1418</v>
      </c>
      <c r="CU477" s="1" t="s">
        <v>4915</v>
      </c>
      <c r="CV477">
        <v>1632</v>
      </c>
      <c r="CW477">
        <v>92.05</v>
      </c>
      <c r="CX477">
        <v>87.6</v>
      </c>
      <c r="CY477">
        <v>73.599999999999994</v>
      </c>
      <c r="CZ477" s="1" t="s">
        <v>772</v>
      </c>
      <c r="DA477">
        <v>1</v>
      </c>
      <c r="DB477" t="s">
        <v>877</v>
      </c>
      <c r="DC477">
        <v>56</v>
      </c>
      <c r="DD477" s="1" t="s">
        <v>5130</v>
      </c>
      <c r="DE477">
        <v>-15.1888077421102</v>
      </c>
      <c r="DF477" t="e">
        <f>_xlfn.XLOOKUP(Table1[[#This Row],[Player ID]],Table2[feed_id],Table2[trade_status])</f>
        <v>#N/A</v>
      </c>
      <c r="DG477">
        <f>_xlfn.NUMBERVALUE(Table1[[#This Row],[predicted]])</f>
        <v>71.1888077421102</v>
      </c>
    </row>
    <row r="478" spans="1:111" hidden="1" x14ac:dyDescent="0.25">
      <c r="A478">
        <v>121714</v>
      </c>
      <c r="B478">
        <v>8809</v>
      </c>
      <c r="C478" t="s">
        <v>5131</v>
      </c>
      <c r="D478" t="s">
        <v>1893</v>
      </c>
      <c r="E478">
        <v>2024</v>
      </c>
      <c r="F478">
        <v>996464</v>
      </c>
      <c r="G478" t="s">
        <v>3105</v>
      </c>
      <c r="H478" t="s">
        <v>5132</v>
      </c>
      <c r="I478" t="s">
        <v>524</v>
      </c>
      <c r="J478">
        <v>0</v>
      </c>
      <c r="K478">
        <v>3</v>
      </c>
      <c r="L478">
        <v>1</v>
      </c>
      <c r="M478">
        <v>4</v>
      </c>
      <c r="N478">
        <v>2</v>
      </c>
      <c r="O478">
        <v>3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113</v>
      </c>
      <c r="Z478" t="s">
        <v>226</v>
      </c>
      <c r="AA478" t="s">
        <v>5133</v>
      </c>
      <c r="AB478" t="s">
        <v>3571</v>
      </c>
      <c r="AC478" t="s">
        <v>4081</v>
      </c>
      <c r="AD478">
        <v>702600</v>
      </c>
      <c r="AE478">
        <v>0</v>
      </c>
      <c r="AF478">
        <v>398500</v>
      </c>
      <c r="AH478" t="s">
        <v>181</v>
      </c>
      <c r="AI478">
        <v>44</v>
      </c>
      <c r="AJ478">
        <v>5</v>
      </c>
      <c r="AK478">
        <v>71.400000000000006</v>
      </c>
      <c r="AL478">
        <v>0</v>
      </c>
      <c r="AM478">
        <v>0</v>
      </c>
      <c r="AN478">
        <v>0.22</v>
      </c>
      <c r="AO478">
        <v>0.12</v>
      </c>
      <c r="AP478">
        <v>687000</v>
      </c>
      <c r="AS478">
        <v>0</v>
      </c>
      <c r="AT478">
        <v>0</v>
      </c>
      <c r="AU478">
        <v>0</v>
      </c>
      <c r="AV478">
        <v>0</v>
      </c>
      <c r="AW478">
        <v>17</v>
      </c>
      <c r="AX478">
        <v>34</v>
      </c>
      <c r="AY478">
        <v>0</v>
      </c>
      <c r="AZ478" t="b">
        <v>0</v>
      </c>
      <c r="BA478">
        <v>1607</v>
      </c>
      <c r="BB478">
        <v>1677</v>
      </c>
      <c r="BC478">
        <v>2</v>
      </c>
      <c r="BD478" t="s">
        <v>5134</v>
      </c>
      <c r="BE478" s="1" t="s">
        <v>5123</v>
      </c>
      <c r="BF478">
        <v>0</v>
      </c>
      <c r="BG478">
        <v>69</v>
      </c>
      <c r="BH478">
        <v>0</v>
      </c>
      <c r="BI478">
        <v>5</v>
      </c>
      <c r="BJ478">
        <v>9.8000000000000007</v>
      </c>
      <c r="BK478" s="1" t="s">
        <v>169</v>
      </c>
      <c r="BL478">
        <v>4.8</v>
      </c>
      <c r="BM478" s="1" t="s">
        <v>159</v>
      </c>
      <c r="BN478" s="1" t="s">
        <v>587</v>
      </c>
      <c r="BO478" s="1" t="s">
        <v>126</v>
      </c>
      <c r="BP478" s="1" t="s">
        <v>304</v>
      </c>
      <c r="BQ478">
        <v>0</v>
      </c>
      <c r="BR478">
        <v>0</v>
      </c>
      <c r="BS478">
        <v>0</v>
      </c>
      <c r="BT478" s="1" t="s">
        <v>130</v>
      </c>
      <c r="BU478" s="1" t="s">
        <v>129</v>
      </c>
      <c r="BV478" s="1" t="s">
        <v>238</v>
      </c>
      <c r="BW478">
        <v>0</v>
      </c>
      <c r="BX478">
        <v>0.2</v>
      </c>
      <c r="BY478">
        <v>0</v>
      </c>
      <c r="BZ478">
        <v>6.6666666666666596E-2</v>
      </c>
      <c r="CA478" s="1" t="s">
        <v>1174</v>
      </c>
      <c r="CB478" s="1" t="s">
        <v>5135</v>
      </c>
      <c r="CC478" s="1" t="s">
        <v>5136</v>
      </c>
      <c r="CD478">
        <v>0.09</v>
      </c>
      <c r="CE478" s="1" t="s">
        <v>1174</v>
      </c>
      <c r="CF478">
        <v>7.6666666666666605E-2</v>
      </c>
      <c r="CG478" s="1" t="s">
        <v>161</v>
      </c>
      <c r="CH478" s="1" t="s">
        <v>436</v>
      </c>
      <c r="CI478" s="1" t="s">
        <v>129</v>
      </c>
      <c r="CJ478" s="1" t="s">
        <v>130</v>
      </c>
      <c r="CK478" s="1" t="s">
        <v>126</v>
      </c>
      <c r="CL478" s="1" t="s">
        <v>170</v>
      </c>
      <c r="CM478">
        <v>60</v>
      </c>
      <c r="CN478" s="1" t="s">
        <v>2511</v>
      </c>
      <c r="CO478" s="1" t="s">
        <v>807</v>
      </c>
      <c r="CP478" s="1" t="s">
        <v>4178</v>
      </c>
      <c r="CQ478" s="1" t="s">
        <v>3416</v>
      </c>
      <c r="CR478">
        <v>209</v>
      </c>
      <c r="CS478" s="1" t="s">
        <v>4723</v>
      </c>
      <c r="CT478" s="1" t="s">
        <v>5137</v>
      </c>
      <c r="CU478" s="1" t="s">
        <v>5138</v>
      </c>
      <c r="CV478">
        <v>1675.6</v>
      </c>
      <c r="CW478">
        <v>63.05</v>
      </c>
      <c r="CX478">
        <v>47.9</v>
      </c>
      <c r="CY478">
        <v>33.200000000000003</v>
      </c>
      <c r="CZ478" s="1" t="s">
        <v>4076</v>
      </c>
      <c r="DA478">
        <v>1</v>
      </c>
      <c r="DB478" t="s">
        <v>226</v>
      </c>
      <c r="DC478">
        <v>1</v>
      </c>
      <c r="DD478" s="1" t="s">
        <v>5139</v>
      </c>
      <c r="DE478">
        <v>-80.312643377321194</v>
      </c>
      <c r="DF478" t="e">
        <f>_xlfn.XLOOKUP(Table1[[#This Row],[Player ID]],Table2[feed_id],Table2[trade_status])</f>
        <v>#N/A</v>
      </c>
      <c r="DG478">
        <f>_xlfn.NUMBERVALUE(Table1[[#This Row],[predicted]])</f>
        <v>81.312643377321194</v>
      </c>
    </row>
    <row r="479" spans="1:111" hidden="1" x14ac:dyDescent="0.25">
      <c r="A479">
        <v>121845</v>
      </c>
      <c r="B479">
        <v>8812</v>
      </c>
      <c r="C479" t="s">
        <v>5140</v>
      </c>
      <c r="D479" t="s">
        <v>1893</v>
      </c>
      <c r="E479">
        <v>2024</v>
      </c>
      <c r="F479">
        <v>992472</v>
      </c>
      <c r="G479" t="s">
        <v>5141</v>
      </c>
      <c r="H479" t="s">
        <v>5142</v>
      </c>
      <c r="I479" t="s">
        <v>178</v>
      </c>
      <c r="J479">
        <v>3</v>
      </c>
      <c r="K479">
        <v>38</v>
      </c>
      <c r="L479">
        <v>27</v>
      </c>
      <c r="M479">
        <v>51</v>
      </c>
      <c r="N479">
        <v>30</v>
      </c>
      <c r="O479">
        <v>42</v>
      </c>
      <c r="P479">
        <v>8</v>
      </c>
      <c r="Q479">
        <v>2</v>
      </c>
      <c r="R479">
        <v>3</v>
      </c>
      <c r="S479">
        <v>1</v>
      </c>
      <c r="T479">
        <v>0</v>
      </c>
      <c r="U479">
        <v>0</v>
      </c>
      <c r="V479">
        <v>1</v>
      </c>
      <c r="W479">
        <v>0</v>
      </c>
      <c r="X479">
        <v>0</v>
      </c>
      <c r="Y479" t="s">
        <v>113</v>
      </c>
      <c r="Z479" t="s">
        <v>114</v>
      </c>
      <c r="AA479" t="s">
        <v>5143</v>
      </c>
      <c r="AB479" t="s">
        <v>179</v>
      </c>
      <c r="AC479" t="s">
        <v>5144</v>
      </c>
      <c r="AD479">
        <v>195400</v>
      </c>
      <c r="AE479">
        <v>0</v>
      </c>
      <c r="AF479">
        <v>123900</v>
      </c>
      <c r="AH479" t="s">
        <v>181</v>
      </c>
      <c r="AI479">
        <v>21</v>
      </c>
      <c r="AJ479">
        <v>21</v>
      </c>
      <c r="AK479">
        <v>42.52</v>
      </c>
      <c r="AL479">
        <v>0</v>
      </c>
      <c r="AM479">
        <v>0</v>
      </c>
      <c r="AN479">
        <v>1.34</v>
      </c>
      <c r="AO479">
        <v>0.18</v>
      </c>
      <c r="AP479">
        <v>313000</v>
      </c>
      <c r="AS479">
        <v>1</v>
      </c>
      <c r="AT479">
        <v>0</v>
      </c>
      <c r="AU479">
        <v>4</v>
      </c>
      <c r="AV479">
        <v>50</v>
      </c>
      <c r="AW479">
        <v>58</v>
      </c>
      <c r="AX479">
        <v>197</v>
      </c>
      <c r="AY479">
        <v>1</v>
      </c>
      <c r="AZ479" t="b">
        <v>1</v>
      </c>
      <c r="BA479">
        <v>1505</v>
      </c>
      <c r="BB479">
        <v>1753</v>
      </c>
      <c r="BC479">
        <v>2</v>
      </c>
      <c r="BD479" t="s">
        <v>5145</v>
      </c>
      <c r="BE479" s="1" t="s">
        <v>5123</v>
      </c>
      <c r="BF479">
        <v>0</v>
      </c>
      <c r="BG479">
        <v>69</v>
      </c>
      <c r="BH479">
        <v>0</v>
      </c>
      <c r="BI479" s="1" t="s">
        <v>137</v>
      </c>
      <c r="BJ479" s="1" t="s">
        <v>139</v>
      </c>
      <c r="BK479" s="1" t="s">
        <v>169</v>
      </c>
      <c r="BL479" s="1" t="s">
        <v>528</v>
      </c>
      <c r="BM479" s="1" t="s">
        <v>211</v>
      </c>
      <c r="BN479">
        <v>2.6</v>
      </c>
      <c r="BO479" s="1" t="s">
        <v>129</v>
      </c>
      <c r="BP479" s="1" t="s">
        <v>162</v>
      </c>
      <c r="BQ479">
        <v>0</v>
      </c>
      <c r="BR479">
        <v>0.2</v>
      </c>
      <c r="BS479">
        <v>1</v>
      </c>
      <c r="BT479" s="1" t="s">
        <v>238</v>
      </c>
      <c r="BU479" s="1" t="s">
        <v>129</v>
      </c>
      <c r="BV479">
        <v>0.8</v>
      </c>
      <c r="BW479">
        <v>0</v>
      </c>
      <c r="BX479">
        <v>0.2</v>
      </c>
      <c r="BY479">
        <v>0</v>
      </c>
      <c r="BZ479">
        <v>6.6666666666666596E-2</v>
      </c>
      <c r="CA479">
        <v>0</v>
      </c>
      <c r="CB479">
        <v>0</v>
      </c>
      <c r="CC479" s="1" t="s">
        <v>5146</v>
      </c>
      <c r="CD479">
        <v>8.9333333333333306E-2</v>
      </c>
      <c r="CE479">
        <v>0.06</v>
      </c>
      <c r="CF479">
        <v>1.2E-2</v>
      </c>
      <c r="CG479" s="1" t="s">
        <v>125</v>
      </c>
      <c r="CH479" s="1" t="s">
        <v>431</v>
      </c>
      <c r="CI479">
        <v>0</v>
      </c>
      <c r="CJ479">
        <v>6.6666666666666596E-2</v>
      </c>
      <c r="CK479" s="1" t="s">
        <v>169</v>
      </c>
      <c r="CL479">
        <v>2.2000000000000002</v>
      </c>
      <c r="CM479">
        <v>63</v>
      </c>
      <c r="CN479" s="1" t="s">
        <v>5147</v>
      </c>
      <c r="CO479">
        <v>68</v>
      </c>
      <c r="CP479" s="1" t="s">
        <v>1406</v>
      </c>
      <c r="CQ479" s="1" t="s">
        <v>3232</v>
      </c>
      <c r="CS479" s="1" t="s">
        <v>3395</v>
      </c>
      <c r="CT479">
        <v>1637</v>
      </c>
      <c r="CU479">
        <v>1494</v>
      </c>
      <c r="CV479" s="1" t="s">
        <v>5148</v>
      </c>
      <c r="CW479">
        <v>49.15</v>
      </c>
      <c r="CX479">
        <v>35.4</v>
      </c>
      <c r="CY479">
        <v>27.6</v>
      </c>
      <c r="CZ479">
        <v>46</v>
      </c>
      <c r="DA479">
        <v>1</v>
      </c>
      <c r="DB479" t="s">
        <v>114</v>
      </c>
      <c r="DC479">
        <v>27</v>
      </c>
      <c r="DD479" s="1" t="s">
        <v>5149</v>
      </c>
      <c r="DE479">
        <v>-11.9209390503497</v>
      </c>
      <c r="DF479" t="str">
        <f>_xlfn.XLOOKUP(Table1[[#This Row],[Player ID]],Table2[feed_id],Table2[trade_status])</f>
        <v>free_agent</v>
      </c>
      <c r="DG479">
        <f>_xlfn.NUMBERVALUE(Table1[[#This Row],[predicted]])</f>
        <v>38.920939050349702</v>
      </c>
    </row>
    <row r="480" spans="1:111" hidden="1" x14ac:dyDescent="0.25">
      <c r="A480">
        <v>122134</v>
      </c>
      <c r="B480">
        <v>8818</v>
      </c>
      <c r="C480" t="s">
        <v>5150</v>
      </c>
      <c r="D480" t="s">
        <v>422</v>
      </c>
      <c r="E480">
        <v>2024</v>
      </c>
      <c r="F480">
        <v>281124</v>
      </c>
      <c r="G480" t="s">
        <v>3590</v>
      </c>
      <c r="H480" t="s">
        <v>5151</v>
      </c>
      <c r="I480" t="s">
        <v>524</v>
      </c>
      <c r="J480">
        <v>8</v>
      </c>
      <c r="K480">
        <v>49</v>
      </c>
      <c r="L480">
        <v>68</v>
      </c>
      <c r="M480">
        <v>46</v>
      </c>
      <c r="N480">
        <v>42</v>
      </c>
      <c r="O480">
        <v>53</v>
      </c>
      <c r="P480">
        <v>3</v>
      </c>
      <c r="Q480">
        <v>5</v>
      </c>
      <c r="R480">
        <v>0</v>
      </c>
      <c r="S480">
        <v>3</v>
      </c>
      <c r="T480">
        <v>19</v>
      </c>
      <c r="U480">
        <v>1</v>
      </c>
      <c r="V480">
        <v>1</v>
      </c>
      <c r="W480">
        <v>0</v>
      </c>
      <c r="X480">
        <v>1</v>
      </c>
      <c r="Y480" t="s">
        <v>113</v>
      </c>
      <c r="Z480" t="s">
        <v>5152</v>
      </c>
      <c r="AA480" t="s">
        <v>5153</v>
      </c>
      <c r="AD480">
        <v>324600</v>
      </c>
      <c r="AE480">
        <v>0</v>
      </c>
      <c r="AH480" t="s">
        <v>155</v>
      </c>
      <c r="AI480">
        <v>30</v>
      </c>
      <c r="AJ480">
        <v>10</v>
      </c>
      <c r="AK480">
        <v>52.8</v>
      </c>
      <c r="AL480">
        <v>0</v>
      </c>
      <c r="AM480">
        <v>0</v>
      </c>
      <c r="AN480">
        <v>0.06</v>
      </c>
      <c r="AO480">
        <v>0.09</v>
      </c>
      <c r="AS480">
        <v>8</v>
      </c>
      <c r="AT480">
        <v>1</v>
      </c>
      <c r="AU480">
        <v>3</v>
      </c>
      <c r="AV480">
        <v>25</v>
      </c>
      <c r="AW480">
        <v>82</v>
      </c>
      <c r="AX480">
        <v>13</v>
      </c>
      <c r="AY480">
        <v>0</v>
      </c>
      <c r="AZ480" t="b">
        <v>0</v>
      </c>
      <c r="BA480">
        <v>1830</v>
      </c>
      <c r="BB480">
        <v>1435</v>
      </c>
      <c r="BC480">
        <v>3</v>
      </c>
      <c r="BD480" t="s">
        <v>5154</v>
      </c>
      <c r="BE480">
        <v>99</v>
      </c>
      <c r="BF480">
        <v>0</v>
      </c>
      <c r="BG480">
        <v>70.5</v>
      </c>
      <c r="BH480">
        <v>0</v>
      </c>
      <c r="BI480">
        <v>5</v>
      </c>
      <c r="BJ480">
        <v>6.6</v>
      </c>
      <c r="BK480">
        <v>4</v>
      </c>
      <c r="BL480">
        <v>2.8</v>
      </c>
      <c r="BM480">
        <v>2</v>
      </c>
      <c r="BN480" s="1" t="s">
        <v>160</v>
      </c>
      <c r="BO480">
        <v>2</v>
      </c>
      <c r="BP480" s="1" t="s">
        <v>275</v>
      </c>
      <c r="BQ480" s="1" t="s">
        <v>183</v>
      </c>
      <c r="BR480" s="1" t="s">
        <v>124</v>
      </c>
      <c r="BS480">
        <v>1</v>
      </c>
      <c r="BT480">
        <v>0.6</v>
      </c>
      <c r="BU480">
        <v>1</v>
      </c>
      <c r="BV480">
        <v>1.2</v>
      </c>
      <c r="BW480">
        <v>0</v>
      </c>
      <c r="BX480">
        <v>1.2</v>
      </c>
      <c r="BY480" s="1" t="s">
        <v>129</v>
      </c>
      <c r="BZ480">
        <v>0.6</v>
      </c>
      <c r="CA480" s="1" t="s">
        <v>4693</v>
      </c>
      <c r="CB480">
        <v>8.6666666666666593E-3</v>
      </c>
      <c r="CC480">
        <v>0.06</v>
      </c>
      <c r="CD480">
        <v>0.35599999999999998</v>
      </c>
      <c r="CE480">
        <v>0.09</v>
      </c>
      <c r="CF480">
        <v>0.30599999999999999</v>
      </c>
      <c r="CG480" s="1" t="s">
        <v>449</v>
      </c>
      <c r="CH480" s="1" t="s">
        <v>565</v>
      </c>
      <c r="CI480" s="1" t="s">
        <v>128</v>
      </c>
      <c r="CJ480">
        <v>0.8</v>
      </c>
      <c r="CK480" s="1" t="s">
        <v>159</v>
      </c>
      <c r="CL480" s="1" t="s">
        <v>528</v>
      </c>
      <c r="CM480">
        <v>50</v>
      </c>
      <c r="CN480" s="1" t="s">
        <v>171</v>
      </c>
      <c r="CO480" s="1" t="s">
        <v>1110</v>
      </c>
      <c r="CP480" s="1" t="s">
        <v>5155</v>
      </c>
      <c r="CQ480" s="1" t="s">
        <v>5156</v>
      </c>
      <c r="CR480">
        <v>165.4</v>
      </c>
      <c r="CS480" s="1" t="s">
        <v>5157</v>
      </c>
      <c r="CT480">
        <v>1601.8</v>
      </c>
      <c r="CU480">
        <v>1601</v>
      </c>
      <c r="CV480">
        <v>1683.2</v>
      </c>
      <c r="CW480">
        <v>55.35</v>
      </c>
      <c r="CX480">
        <v>52.5</v>
      </c>
      <c r="CY480">
        <v>42.6</v>
      </c>
      <c r="CZ480" s="1" t="s">
        <v>2742</v>
      </c>
      <c r="DA480">
        <v>1</v>
      </c>
      <c r="DB480" t="s">
        <v>5152</v>
      </c>
      <c r="DC480">
        <v>68</v>
      </c>
      <c r="DD480" s="1" t="s">
        <v>5158</v>
      </c>
      <c r="DE480" s="1" t="s">
        <v>5159</v>
      </c>
      <c r="DF480" t="e">
        <f>_xlfn.XLOOKUP(Table1[[#This Row],[Player ID]],Table2[feed_id],Table2[trade_status])</f>
        <v>#N/A</v>
      </c>
      <c r="DG480">
        <f>_xlfn.NUMBERVALUE(Table1[[#This Row],[predicted]])</f>
        <v>66.005640181164296</v>
      </c>
    </row>
    <row r="481" spans="1:111" hidden="1" x14ac:dyDescent="0.25">
      <c r="A481">
        <v>122140</v>
      </c>
      <c r="B481">
        <v>8818</v>
      </c>
      <c r="C481" t="s">
        <v>5150</v>
      </c>
      <c r="D481" t="s">
        <v>422</v>
      </c>
      <c r="E481">
        <v>2024</v>
      </c>
      <c r="F481">
        <v>293713</v>
      </c>
      <c r="G481" t="s">
        <v>3213</v>
      </c>
      <c r="H481" t="s">
        <v>581</v>
      </c>
      <c r="I481" t="s">
        <v>524</v>
      </c>
      <c r="J481">
        <v>1</v>
      </c>
      <c r="K481">
        <v>26</v>
      </c>
      <c r="L481">
        <v>35</v>
      </c>
      <c r="M481">
        <v>12</v>
      </c>
      <c r="N481">
        <v>21</v>
      </c>
      <c r="O481">
        <v>28</v>
      </c>
      <c r="P481">
        <v>5</v>
      </c>
      <c r="Q481">
        <v>3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 t="s">
        <v>113</v>
      </c>
      <c r="Z481" t="s">
        <v>525</v>
      </c>
      <c r="AA481" t="s">
        <v>5160</v>
      </c>
      <c r="AD481">
        <v>482800</v>
      </c>
      <c r="AE481">
        <v>0</v>
      </c>
      <c r="AH481" t="s">
        <v>181</v>
      </c>
      <c r="AI481">
        <v>4</v>
      </c>
      <c r="AJ481">
        <v>17</v>
      </c>
      <c r="AK481">
        <v>74.349999999999994</v>
      </c>
      <c r="AL481">
        <v>0</v>
      </c>
      <c r="AM481">
        <v>0</v>
      </c>
      <c r="AN481">
        <v>0.05</v>
      </c>
      <c r="AO481">
        <v>0.11</v>
      </c>
      <c r="AS481">
        <v>4</v>
      </c>
      <c r="AT481">
        <v>0</v>
      </c>
      <c r="AU481">
        <v>0</v>
      </c>
      <c r="AV481">
        <v>50</v>
      </c>
      <c r="AW481">
        <v>84</v>
      </c>
      <c r="AX481">
        <v>69</v>
      </c>
      <c r="AY481">
        <v>0</v>
      </c>
      <c r="AZ481" t="b">
        <v>0</v>
      </c>
      <c r="BA481">
        <v>1830</v>
      </c>
      <c r="BB481">
        <v>1435</v>
      </c>
      <c r="BC481">
        <v>3</v>
      </c>
      <c r="BD481" t="s">
        <v>5154</v>
      </c>
      <c r="BE481">
        <v>99</v>
      </c>
      <c r="BF481">
        <v>0</v>
      </c>
      <c r="BG481">
        <v>70.5</v>
      </c>
      <c r="BH481">
        <v>0</v>
      </c>
      <c r="BI481">
        <v>8</v>
      </c>
      <c r="BJ481" s="1" t="s">
        <v>357</v>
      </c>
      <c r="BK481" s="1" t="s">
        <v>125</v>
      </c>
      <c r="BL481" s="1" t="s">
        <v>205</v>
      </c>
      <c r="BM481" s="1" t="s">
        <v>169</v>
      </c>
      <c r="BN481" s="1" t="s">
        <v>160</v>
      </c>
      <c r="BO481" s="1" t="s">
        <v>161</v>
      </c>
      <c r="BP481">
        <v>2.4</v>
      </c>
      <c r="BQ481">
        <v>0</v>
      </c>
      <c r="BR481">
        <v>0</v>
      </c>
      <c r="BS481" s="1" t="s">
        <v>129</v>
      </c>
      <c r="BT481">
        <v>0.2</v>
      </c>
      <c r="BU481" s="1" t="s">
        <v>129</v>
      </c>
      <c r="BV481">
        <v>0.4</v>
      </c>
      <c r="BW481">
        <v>0</v>
      </c>
      <c r="BX481" s="1" t="s">
        <v>129</v>
      </c>
      <c r="BY481" s="1" t="s">
        <v>128</v>
      </c>
      <c r="BZ481" s="1" t="s">
        <v>238</v>
      </c>
      <c r="CA481" s="1" t="s">
        <v>5161</v>
      </c>
      <c r="CB481">
        <v>2.6666666666666601E-3</v>
      </c>
      <c r="CC481">
        <v>0.05</v>
      </c>
      <c r="CD481">
        <v>0.40200000000000002</v>
      </c>
      <c r="CE481">
        <v>0.11</v>
      </c>
      <c r="CF481" s="1" t="s">
        <v>5162</v>
      </c>
      <c r="CG481" s="1" t="s">
        <v>211</v>
      </c>
      <c r="CH481" s="1" t="s">
        <v>416</v>
      </c>
      <c r="CI481" s="1" t="s">
        <v>129</v>
      </c>
      <c r="CJ481" s="1" t="s">
        <v>327</v>
      </c>
      <c r="CK481" s="1" t="s">
        <v>159</v>
      </c>
      <c r="CL481">
        <v>2</v>
      </c>
      <c r="CM481">
        <v>51</v>
      </c>
      <c r="CN481" s="1" t="s">
        <v>3557</v>
      </c>
      <c r="CO481">
        <v>76</v>
      </c>
      <c r="CP481" s="1" t="s">
        <v>3392</v>
      </c>
      <c r="CQ481" s="1" t="s">
        <v>5163</v>
      </c>
      <c r="CR481" s="1" t="s">
        <v>5164</v>
      </c>
      <c r="CS481" s="1" t="s">
        <v>5157</v>
      </c>
      <c r="CT481">
        <v>1607</v>
      </c>
      <c r="CU481">
        <v>1601</v>
      </c>
      <c r="CV481" s="1" t="s">
        <v>5165</v>
      </c>
      <c r="CW481">
        <v>75.400000000000006</v>
      </c>
      <c r="CX481">
        <v>76.8</v>
      </c>
      <c r="CY481">
        <v>60.2</v>
      </c>
      <c r="CZ481" s="1" t="s">
        <v>944</v>
      </c>
      <c r="DA481">
        <v>1</v>
      </c>
      <c r="DB481" t="s">
        <v>525</v>
      </c>
      <c r="DC481">
        <v>35</v>
      </c>
      <c r="DD481" s="1" t="s">
        <v>5166</v>
      </c>
      <c r="DE481">
        <v>-33.139459345521502</v>
      </c>
      <c r="DF481" t="e">
        <f>_xlfn.XLOOKUP(Table1[[#This Row],[Player ID]],Table2[feed_id],Table2[trade_status])</f>
        <v>#N/A</v>
      </c>
      <c r="DG481">
        <f>_xlfn.NUMBERVALUE(Table1[[#This Row],[predicted]])</f>
        <v>68.139459345521502</v>
      </c>
    </row>
    <row r="482" spans="1:111" hidden="1" x14ac:dyDescent="0.25">
      <c r="A482">
        <v>122251</v>
      </c>
      <c r="B482">
        <v>8821</v>
      </c>
      <c r="C482" t="s">
        <v>5167</v>
      </c>
      <c r="D482" t="s">
        <v>1155</v>
      </c>
      <c r="E482">
        <v>2024</v>
      </c>
      <c r="F482">
        <v>1009385</v>
      </c>
      <c r="G482" t="s">
        <v>5168</v>
      </c>
      <c r="H482" t="s">
        <v>3074</v>
      </c>
      <c r="I482" t="s">
        <v>201</v>
      </c>
      <c r="J482">
        <v>3</v>
      </c>
      <c r="K482">
        <v>28</v>
      </c>
      <c r="L482">
        <v>26</v>
      </c>
      <c r="M482">
        <v>35</v>
      </c>
      <c r="N482">
        <v>23</v>
      </c>
      <c r="O482">
        <v>36</v>
      </c>
      <c r="P482">
        <v>3</v>
      </c>
      <c r="Q482">
        <v>7</v>
      </c>
      <c r="R482">
        <v>0</v>
      </c>
      <c r="S482">
        <v>2</v>
      </c>
      <c r="T482">
        <v>0</v>
      </c>
      <c r="U482">
        <v>0</v>
      </c>
      <c r="V482">
        <v>1</v>
      </c>
      <c r="W482">
        <v>0</v>
      </c>
      <c r="X482">
        <v>0</v>
      </c>
      <c r="Y482" t="s">
        <v>113</v>
      </c>
      <c r="Z482" t="s">
        <v>525</v>
      </c>
      <c r="AA482" t="s">
        <v>5169</v>
      </c>
      <c r="AB482" t="s">
        <v>116</v>
      </c>
      <c r="AC482" t="s">
        <v>4411</v>
      </c>
      <c r="AH482" t="s">
        <v>118</v>
      </c>
      <c r="AI482">
        <v>2</v>
      </c>
      <c r="AJ482">
        <v>0</v>
      </c>
      <c r="AK482">
        <v>0</v>
      </c>
      <c r="AL482">
        <v>0</v>
      </c>
      <c r="AM482">
        <v>1.64</v>
      </c>
      <c r="AN482">
        <v>1.1599999999999999</v>
      </c>
      <c r="AO482">
        <v>4.59</v>
      </c>
      <c r="AS482">
        <v>6</v>
      </c>
      <c r="AT482">
        <v>1</v>
      </c>
      <c r="AU482">
        <v>6</v>
      </c>
      <c r="AV482">
        <v>60</v>
      </c>
      <c r="AW482">
        <v>61</v>
      </c>
      <c r="AX482">
        <v>54</v>
      </c>
      <c r="AY482">
        <v>1</v>
      </c>
      <c r="AZ482" t="b">
        <v>1</v>
      </c>
      <c r="BA482">
        <v>1659</v>
      </c>
      <c r="BB482">
        <v>1615</v>
      </c>
      <c r="BC482">
        <v>4</v>
      </c>
      <c r="BD482" t="s">
        <v>5170</v>
      </c>
      <c r="BE482">
        <v>97</v>
      </c>
      <c r="BF482">
        <v>0</v>
      </c>
      <c r="BG482">
        <v>72</v>
      </c>
      <c r="BH482">
        <v>0</v>
      </c>
      <c r="BI482">
        <v>4</v>
      </c>
      <c r="BJ482" s="1" t="s">
        <v>499</v>
      </c>
      <c r="BK482" s="1" t="s">
        <v>124</v>
      </c>
      <c r="BL482" s="1" t="s">
        <v>752</v>
      </c>
      <c r="BM482" s="1" t="s">
        <v>126</v>
      </c>
      <c r="BN482" s="1" t="s">
        <v>214</v>
      </c>
      <c r="BO482" s="1" t="s">
        <v>126</v>
      </c>
      <c r="BP482" s="1" t="s">
        <v>169</v>
      </c>
      <c r="BQ482">
        <v>0</v>
      </c>
      <c r="BR482">
        <v>0</v>
      </c>
      <c r="BS482">
        <v>0</v>
      </c>
      <c r="BT482">
        <v>0.6</v>
      </c>
      <c r="BU482" s="1" t="s">
        <v>129</v>
      </c>
      <c r="BV482">
        <v>0.8</v>
      </c>
      <c r="BW482" s="1" t="s">
        <v>129</v>
      </c>
      <c r="BX482">
        <v>0.2</v>
      </c>
      <c r="BY482">
        <v>0</v>
      </c>
      <c r="BZ482" s="1" t="s">
        <v>213</v>
      </c>
      <c r="CA482" s="1" t="s">
        <v>5171</v>
      </c>
      <c r="CB482" s="1" t="s">
        <v>5172</v>
      </c>
      <c r="CC482" s="1" t="s">
        <v>5173</v>
      </c>
      <c r="CD482" s="1" t="s">
        <v>5174</v>
      </c>
      <c r="CE482" s="1" t="s">
        <v>5175</v>
      </c>
      <c r="CF482" s="1" t="s">
        <v>5176</v>
      </c>
      <c r="CG482" s="1" t="s">
        <v>125</v>
      </c>
      <c r="CH482">
        <v>4.8</v>
      </c>
      <c r="CI482">
        <v>1</v>
      </c>
      <c r="CJ482">
        <v>1.6</v>
      </c>
      <c r="CK482" s="1" t="s">
        <v>159</v>
      </c>
      <c r="CL482" s="1" t="s">
        <v>214</v>
      </c>
      <c r="CM482">
        <v>70</v>
      </c>
      <c r="CN482" s="1" t="s">
        <v>4438</v>
      </c>
      <c r="CO482" s="1" t="s">
        <v>1615</v>
      </c>
      <c r="CP482" s="1" t="s">
        <v>1692</v>
      </c>
      <c r="CQ482">
        <v>90</v>
      </c>
      <c r="CR482" s="1" t="s">
        <v>5177</v>
      </c>
      <c r="CS482" s="1" t="s">
        <v>1953</v>
      </c>
      <c r="CT482" s="1" t="s">
        <v>5178</v>
      </c>
      <c r="CU482" s="1" t="s">
        <v>472</v>
      </c>
      <c r="CV482" s="1" t="s">
        <v>4610</v>
      </c>
      <c r="CW482">
        <v>48.95</v>
      </c>
      <c r="CX482">
        <v>49.3</v>
      </c>
      <c r="CY482">
        <v>35.6</v>
      </c>
      <c r="CZ482">
        <v>36</v>
      </c>
      <c r="DA482">
        <v>1</v>
      </c>
      <c r="DB482" t="s">
        <v>525</v>
      </c>
      <c r="DC482">
        <v>26</v>
      </c>
      <c r="DD482" s="1" t="s">
        <v>5179</v>
      </c>
      <c r="DE482">
        <v>-26.758933414241501</v>
      </c>
      <c r="DF482" t="str">
        <f>_xlfn.XLOOKUP(Table1[[#This Row],[Player ID]],Table2[feed_id],Table2[trade_status])</f>
        <v>free_agent</v>
      </c>
      <c r="DG482">
        <f>_xlfn.NUMBERVALUE(Table1[[#This Row],[predicted]])</f>
        <v>52.758933414241497</v>
      </c>
    </row>
    <row r="483" spans="1:111" hidden="1" x14ac:dyDescent="0.25">
      <c r="A483">
        <v>122299</v>
      </c>
      <c r="B483">
        <v>8822</v>
      </c>
      <c r="C483" t="s">
        <v>5180</v>
      </c>
      <c r="D483" t="s">
        <v>1155</v>
      </c>
      <c r="E483">
        <v>2024</v>
      </c>
      <c r="F483">
        <v>1000061</v>
      </c>
      <c r="G483" t="s">
        <v>3661</v>
      </c>
      <c r="H483" t="s">
        <v>5181</v>
      </c>
      <c r="I483" t="s">
        <v>813</v>
      </c>
      <c r="J483">
        <v>0</v>
      </c>
      <c r="K483">
        <v>12</v>
      </c>
      <c r="L483">
        <v>14</v>
      </c>
      <c r="M483">
        <v>13</v>
      </c>
      <c r="N483">
        <v>12</v>
      </c>
      <c r="O483">
        <v>14</v>
      </c>
      <c r="P483">
        <v>0</v>
      </c>
      <c r="Q483">
        <v>3</v>
      </c>
      <c r="R483">
        <v>1</v>
      </c>
      <c r="S483">
        <v>0</v>
      </c>
      <c r="T483">
        <v>2</v>
      </c>
      <c r="U483">
        <v>1</v>
      </c>
      <c r="V483">
        <v>0</v>
      </c>
      <c r="W483">
        <v>0</v>
      </c>
      <c r="X483">
        <v>0</v>
      </c>
      <c r="Y483" t="s">
        <v>113</v>
      </c>
      <c r="Z483" t="s">
        <v>1920</v>
      </c>
      <c r="AA483" t="s">
        <v>5182</v>
      </c>
      <c r="AB483" t="s">
        <v>116</v>
      </c>
      <c r="AC483" t="s">
        <v>5183</v>
      </c>
      <c r="AD483">
        <v>147500</v>
      </c>
      <c r="AE483">
        <v>0</v>
      </c>
      <c r="AH483" t="s">
        <v>274</v>
      </c>
      <c r="AI483">
        <v>21</v>
      </c>
      <c r="AJ483">
        <v>0</v>
      </c>
      <c r="AK483">
        <v>0</v>
      </c>
      <c r="AL483">
        <v>0</v>
      </c>
      <c r="AM483">
        <v>0</v>
      </c>
      <c r="AN483">
        <v>0.12</v>
      </c>
      <c r="AO483">
        <v>7.0000000000000007E-2</v>
      </c>
      <c r="AS483">
        <v>2</v>
      </c>
      <c r="AT483">
        <v>0</v>
      </c>
      <c r="AU483">
        <v>0</v>
      </c>
      <c r="AV483">
        <v>66</v>
      </c>
      <c r="AW483">
        <v>25</v>
      </c>
      <c r="AX483">
        <v>-8</v>
      </c>
      <c r="AY483">
        <v>1</v>
      </c>
      <c r="AZ483" t="b">
        <v>1</v>
      </c>
      <c r="BA483">
        <v>1889</v>
      </c>
      <c r="BB483">
        <v>1388</v>
      </c>
      <c r="BC483">
        <v>4</v>
      </c>
      <c r="BD483" t="s">
        <v>5184</v>
      </c>
      <c r="BE483">
        <v>97</v>
      </c>
      <c r="BF483">
        <v>0</v>
      </c>
      <c r="BG483">
        <v>72</v>
      </c>
      <c r="BH483">
        <v>0</v>
      </c>
      <c r="BI483">
        <v>2</v>
      </c>
      <c r="BJ483">
        <v>4.4000000000000004</v>
      </c>
      <c r="BK483">
        <v>4</v>
      </c>
      <c r="BL483" s="1" t="s">
        <v>160</v>
      </c>
      <c r="BM483" s="1" t="s">
        <v>159</v>
      </c>
      <c r="BN483">
        <v>2.8</v>
      </c>
      <c r="BO483" s="1" t="s">
        <v>129</v>
      </c>
      <c r="BP483" s="1" t="s">
        <v>566</v>
      </c>
      <c r="BQ483" s="1" t="s">
        <v>125</v>
      </c>
      <c r="BR483">
        <v>6.8</v>
      </c>
      <c r="BS483">
        <v>1</v>
      </c>
      <c r="BT483">
        <v>0.8</v>
      </c>
      <c r="BU483" s="1" t="s">
        <v>129</v>
      </c>
      <c r="BV483" s="1" t="s">
        <v>162</v>
      </c>
      <c r="BW483">
        <v>0</v>
      </c>
      <c r="BX483" s="1" t="s">
        <v>231</v>
      </c>
      <c r="BY483">
        <v>0</v>
      </c>
      <c r="BZ483" s="1" t="s">
        <v>184</v>
      </c>
      <c r="CA483">
        <v>0</v>
      </c>
      <c r="CB483">
        <v>0</v>
      </c>
      <c r="CC483">
        <v>0.12</v>
      </c>
      <c r="CD483" s="1" t="s">
        <v>4683</v>
      </c>
      <c r="CE483">
        <v>7.0000000000000007E-2</v>
      </c>
      <c r="CF483">
        <v>0.30199999999999999</v>
      </c>
      <c r="CG483" s="1" t="s">
        <v>138</v>
      </c>
      <c r="CH483">
        <v>4.5999999999999996</v>
      </c>
      <c r="CI483">
        <v>0</v>
      </c>
      <c r="CJ483" s="1" t="s">
        <v>127</v>
      </c>
      <c r="CK483" s="1" t="s">
        <v>128</v>
      </c>
      <c r="CL483" s="1" t="s">
        <v>237</v>
      </c>
      <c r="CM483">
        <v>81</v>
      </c>
      <c r="CN483" s="1" t="s">
        <v>5185</v>
      </c>
      <c r="CO483" s="1" t="s">
        <v>1100</v>
      </c>
      <c r="CP483" s="1" t="s">
        <v>2674</v>
      </c>
      <c r="CQ483" s="1" t="s">
        <v>1715</v>
      </c>
      <c r="CR483" s="1" t="s">
        <v>5186</v>
      </c>
      <c r="CS483" s="1" t="s">
        <v>4589</v>
      </c>
      <c r="CT483">
        <v>1516</v>
      </c>
      <c r="CU483" s="1" t="s">
        <v>5187</v>
      </c>
      <c r="CV483">
        <v>1772</v>
      </c>
      <c r="CW483">
        <v>48.4</v>
      </c>
      <c r="CX483">
        <v>39.1</v>
      </c>
      <c r="CY483">
        <v>29.6</v>
      </c>
      <c r="CZ483">
        <v>34</v>
      </c>
      <c r="DA483">
        <v>1</v>
      </c>
      <c r="DB483" t="s">
        <v>1920</v>
      </c>
      <c r="DC483">
        <v>14</v>
      </c>
      <c r="DD483" s="1" t="s">
        <v>5188</v>
      </c>
      <c r="DE483">
        <v>-30.646252475951901</v>
      </c>
      <c r="DF483" t="str">
        <f>_xlfn.XLOOKUP(Table1[[#This Row],[Player ID]],Table2[feed_id],Table2[trade_status])</f>
        <v>free_agent</v>
      </c>
      <c r="DG483">
        <f>_xlfn.NUMBERVALUE(Table1[[#This Row],[predicted]])</f>
        <v>44.646252475951897</v>
      </c>
    </row>
    <row r="484" spans="1:111" hidden="1" x14ac:dyDescent="0.25">
      <c r="A484">
        <v>122366</v>
      </c>
      <c r="B484">
        <v>8823</v>
      </c>
      <c r="C484" t="s">
        <v>5189</v>
      </c>
      <c r="D484" t="s">
        <v>1155</v>
      </c>
      <c r="E484">
        <v>2024</v>
      </c>
      <c r="F484">
        <v>1012218</v>
      </c>
      <c r="G484" t="s">
        <v>176</v>
      </c>
      <c r="H484" t="s">
        <v>5190</v>
      </c>
      <c r="I484" t="s">
        <v>510</v>
      </c>
      <c r="J484">
        <v>2</v>
      </c>
      <c r="K484">
        <v>19</v>
      </c>
      <c r="L484">
        <v>10</v>
      </c>
      <c r="M484">
        <v>16</v>
      </c>
      <c r="N484">
        <v>16</v>
      </c>
      <c r="O484">
        <v>24</v>
      </c>
      <c r="P484">
        <v>3</v>
      </c>
      <c r="Q484">
        <v>1</v>
      </c>
      <c r="R484">
        <v>2</v>
      </c>
      <c r="S484">
        <v>2</v>
      </c>
      <c r="T484">
        <v>0</v>
      </c>
      <c r="U484">
        <v>0</v>
      </c>
      <c r="V484">
        <v>2</v>
      </c>
      <c r="W484">
        <v>0</v>
      </c>
      <c r="X484">
        <v>0</v>
      </c>
      <c r="Y484" t="s">
        <v>113</v>
      </c>
      <c r="Z484" t="s">
        <v>525</v>
      </c>
      <c r="AA484" t="s">
        <v>5191</v>
      </c>
      <c r="AB484" t="s">
        <v>116</v>
      </c>
      <c r="AC484" t="s">
        <v>4411</v>
      </c>
      <c r="AH484" t="s">
        <v>155</v>
      </c>
      <c r="AI484">
        <v>10</v>
      </c>
      <c r="AJ484">
        <v>0</v>
      </c>
      <c r="AK484">
        <v>0</v>
      </c>
      <c r="AL484">
        <v>0</v>
      </c>
      <c r="AM484">
        <v>1.55</v>
      </c>
      <c r="AN484">
        <v>0.95</v>
      </c>
      <c r="AO484">
        <v>0.9</v>
      </c>
      <c r="AS484">
        <v>1</v>
      </c>
      <c r="AT484">
        <v>1</v>
      </c>
      <c r="AU484">
        <v>2</v>
      </c>
      <c r="AV484">
        <v>50</v>
      </c>
      <c r="AW484">
        <v>40</v>
      </c>
      <c r="AX484">
        <v>47</v>
      </c>
      <c r="AY484">
        <v>1</v>
      </c>
      <c r="AZ484" t="b">
        <v>1</v>
      </c>
      <c r="BA484">
        <v>1779</v>
      </c>
      <c r="BB484">
        <v>1507</v>
      </c>
      <c r="BC484">
        <v>4</v>
      </c>
      <c r="BD484" t="s">
        <v>5192</v>
      </c>
      <c r="BE484">
        <v>97</v>
      </c>
      <c r="BF484">
        <v>0</v>
      </c>
      <c r="BG484">
        <v>72</v>
      </c>
      <c r="BH484">
        <v>0</v>
      </c>
      <c r="BI484" s="1" t="s">
        <v>397</v>
      </c>
      <c r="BJ484" s="1" t="s">
        <v>183</v>
      </c>
      <c r="BK484">
        <v>1</v>
      </c>
      <c r="BL484" s="1" t="s">
        <v>237</v>
      </c>
      <c r="BM484">
        <v>2</v>
      </c>
      <c r="BN484">
        <v>2.4</v>
      </c>
      <c r="BO484">
        <v>1</v>
      </c>
      <c r="BP484" s="1" t="s">
        <v>169</v>
      </c>
      <c r="BQ484">
        <v>0</v>
      </c>
      <c r="BR484">
        <v>0</v>
      </c>
      <c r="BS484">
        <v>0</v>
      </c>
      <c r="BT484" s="1" t="s">
        <v>298</v>
      </c>
      <c r="BU484" s="1" t="s">
        <v>126</v>
      </c>
      <c r="BV484" s="1" t="s">
        <v>257</v>
      </c>
      <c r="BW484">
        <v>0</v>
      </c>
      <c r="BX484" s="1" t="s">
        <v>399</v>
      </c>
      <c r="BY484" s="1" t="s">
        <v>128</v>
      </c>
      <c r="BZ484" s="1" t="s">
        <v>130</v>
      </c>
      <c r="CA484">
        <v>1.55</v>
      </c>
      <c r="CB484">
        <v>18.757999999999999</v>
      </c>
      <c r="CC484">
        <v>0.95</v>
      </c>
      <c r="CD484" s="1" t="s">
        <v>5193</v>
      </c>
      <c r="CE484">
        <v>0.9</v>
      </c>
      <c r="CF484">
        <v>14.148</v>
      </c>
      <c r="CG484">
        <v>4</v>
      </c>
      <c r="CH484" s="1" t="s">
        <v>374</v>
      </c>
      <c r="CI484" s="1" t="s">
        <v>126</v>
      </c>
      <c r="CJ484" s="1" t="s">
        <v>161</v>
      </c>
      <c r="CK484">
        <v>2</v>
      </c>
      <c r="CL484">
        <v>3</v>
      </c>
      <c r="CM484" s="1" t="s">
        <v>2742</v>
      </c>
      <c r="CN484" s="1" t="s">
        <v>4315</v>
      </c>
      <c r="CO484" s="1" t="s">
        <v>1459</v>
      </c>
      <c r="CP484" s="1" t="s">
        <v>572</v>
      </c>
      <c r="CQ484" s="1" t="s">
        <v>5194</v>
      </c>
      <c r="CR484">
        <v>216.8</v>
      </c>
      <c r="CS484">
        <v>1577</v>
      </c>
      <c r="CT484" s="1" t="s">
        <v>5195</v>
      </c>
      <c r="CU484" s="1" t="s">
        <v>2831</v>
      </c>
      <c r="CV484" s="1" t="s">
        <v>5196</v>
      </c>
      <c r="CW484">
        <v>50.5</v>
      </c>
      <c r="CX484">
        <v>42.5</v>
      </c>
      <c r="CY484">
        <v>39</v>
      </c>
      <c r="CZ484">
        <v>30</v>
      </c>
      <c r="DA484">
        <v>1</v>
      </c>
      <c r="DB484" t="s">
        <v>525</v>
      </c>
      <c r="DC484">
        <v>10</v>
      </c>
      <c r="DD484" s="1" t="s">
        <v>5197</v>
      </c>
      <c r="DE484">
        <v>-43.182843020387402</v>
      </c>
      <c r="DF484" t="str">
        <f>_xlfn.XLOOKUP(Table1[[#This Row],[Player ID]],Table2[feed_id],Table2[trade_status])</f>
        <v>free_agent</v>
      </c>
      <c r="DG484">
        <f>_xlfn.NUMBERVALUE(Table1[[#This Row],[predicted]])</f>
        <v>53.182843020387402</v>
      </c>
    </row>
    <row r="485" spans="1:111" hidden="1" x14ac:dyDescent="0.25">
      <c r="A485">
        <v>123555</v>
      </c>
      <c r="B485">
        <v>8850</v>
      </c>
      <c r="C485" t="s">
        <v>5198</v>
      </c>
      <c r="D485" t="s">
        <v>443</v>
      </c>
      <c r="E485">
        <v>2024</v>
      </c>
      <c r="F485">
        <v>293716</v>
      </c>
      <c r="G485" t="s">
        <v>2017</v>
      </c>
      <c r="H485" t="s">
        <v>5199</v>
      </c>
      <c r="I485" t="s">
        <v>201</v>
      </c>
      <c r="J485">
        <v>3</v>
      </c>
      <c r="K485">
        <v>40</v>
      </c>
      <c r="L485">
        <v>41</v>
      </c>
      <c r="M485">
        <v>52</v>
      </c>
      <c r="N485">
        <v>31</v>
      </c>
      <c r="O485">
        <v>45</v>
      </c>
      <c r="P485">
        <v>5</v>
      </c>
      <c r="Q485">
        <v>6</v>
      </c>
      <c r="R485">
        <v>1</v>
      </c>
      <c r="S485">
        <v>3</v>
      </c>
      <c r="T485">
        <v>0</v>
      </c>
      <c r="U485">
        <v>1</v>
      </c>
      <c r="V485">
        <v>1</v>
      </c>
      <c r="W485">
        <v>0</v>
      </c>
      <c r="X485">
        <v>0</v>
      </c>
      <c r="Y485" t="s">
        <v>113</v>
      </c>
      <c r="Z485" t="s">
        <v>525</v>
      </c>
      <c r="AA485" t="s">
        <v>5200</v>
      </c>
      <c r="AB485" t="s">
        <v>3571</v>
      </c>
      <c r="AC485" t="s">
        <v>4081</v>
      </c>
      <c r="AE485">
        <v>0</v>
      </c>
      <c r="AH485" t="s">
        <v>118</v>
      </c>
      <c r="AI485">
        <v>17</v>
      </c>
      <c r="AJ485">
        <v>18</v>
      </c>
      <c r="AK485">
        <v>94.89</v>
      </c>
      <c r="AL485">
        <v>0</v>
      </c>
      <c r="AM485">
        <v>0</v>
      </c>
      <c r="AN485">
        <v>0.66</v>
      </c>
      <c r="AO485">
        <v>0.04</v>
      </c>
      <c r="AS485">
        <v>6</v>
      </c>
      <c r="AT485">
        <v>1</v>
      </c>
      <c r="AU485">
        <v>1</v>
      </c>
      <c r="AV485">
        <v>54</v>
      </c>
      <c r="AW485">
        <v>43</v>
      </c>
      <c r="AX485">
        <v>139</v>
      </c>
      <c r="AY485">
        <v>0</v>
      </c>
      <c r="AZ485" t="b">
        <v>0</v>
      </c>
      <c r="BA485">
        <v>1609</v>
      </c>
      <c r="BB485">
        <v>1678</v>
      </c>
      <c r="BC485">
        <v>7</v>
      </c>
      <c r="BD485" t="s">
        <v>5201</v>
      </c>
      <c r="BE485">
        <v>98</v>
      </c>
      <c r="BF485">
        <v>0</v>
      </c>
      <c r="BG485">
        <v>70</v>
      </c>
      <c r="BH485">
        <v>0</v>
      </c>
      <c r="BI485" s="1" t="s">
        <v>977</v>
      </c>
      <c r="BJ485">
        <v>8.4</v>
      </c>
      <c r="BK485" s="1" t="s">
        <v>137</v>
      </c>
      <c r="BL485">
        <v>6.2</v>
      </c>
      <c r="BM485">
        <v>4</v>
      </c>
      <c r="BN485">
        <v>3</v>
      </c>
      <c r="BO485">
        <v>5</v>
      </c>
      <c r="BP485" s="1" t="s">
        <v>990</v>
      </c>
      <c r="BQ485">
        <v>0</v>
      </c>
      <c r="BR485">
        <v>0</v>
      </c>
      <c r="BS485">
        <v>1</v>
      </c>
      <c r="BT485" s="1" t="s">
        <v>399</v>
      </c>
      <c r="BU485" s="1" t="s">
        <v>161</v>
      </c>
      <c r="BV485" s="1" t="s">
        <v>238</v>
      </c>
      <c r="BW485">
        <v>0</v>
      </c>
      <c r="BX485" s="1" t="s">
        <v>213</v>
      </c>
      <c r="BY485">
        <v>0</v>
      </c>
      <c r="BZ485">
        <v>0.2</v>
      </c>
      <c r="CA485" s="1" t="s">
        <v>5202</v>
      </c>
      <c r="CB485">
        <v>3.8666666666666599E-2</v>
      </c>
      <c r="CC485">
        <v>0.66</v>
      </c>
      <c r="CD485" s="1" t="s">
        <v>700</v>
      </c>
      <c r="CE485">
        <v>0.04</v>
      </c>
      <c r="CF485" s="1" t="s">
        <v>5203</v>
      </c>
      <c r="CG485" s="1" t="s">
        <v>204</v>
      </c>
      <c r="CH485" s="1" t="s">
        <v>397</v>
      </c>
      <c r="CI485">
        <v>2</v>
      </c>
      <c r="CJ485" s="1" t="s">
        <v>322</v>
      </c>
      <c r="CK485" s="1" t="s">
        <v>159</v>
      </c>
      <c r="CL485" s="1" t="s">
        <v>206</v>
      </c>
      <c r="CM485" s="1" t="s">
        <v>417</v>
      </c>
      <c r="CN485" s="1" t="s">
        <v>3346</v>
      </c>
      <c r="CO485">
        <v>61</v>
      </c>
      <c r="CP485" s="1" t="s">
        <v>5204</v>
      </c>
      <c r="CQ485" s="1" t="s">
        <v>5205</v>
      </c>
      <c r="CR485">
        <v>192.8</v>
      </c>
      <c r="CS485">
        <v>1592</v>
      </c>
      <c r="CT485">
        <v>1665.2</v>
      </c>
      <c r="CU485" s="1" t="s">
        <v>3948</v>
      </c>
      <c r="CV485" s="1" t="s">
        <v>5206</v>
      </c>
      <c r="CW485">
        <v>65.349999999999994</v>
      </c>
      <c r="CX485">
        <v>56.9</v>
      </c>
      <c r="CY485">
        <v>48.2</v>
      </c>
      <c r="CZ485">
        <v>76</v>
      </c>
      <c r="DA485">
        <v>1</v>
      </c>
      <c r="DB485" t="s">
        <v>525</v>
      </c>
      <c r="DC485">
        <v>41</v>
      </c>
      <c r="DD485" s="1" t="s">
        <v>5207</v>
      </c>
      <c r="DE485">
        <v>-27.362054736326499</v>
      </c>
      <c r="DF485" t="e">
        <f>_xlfn.XLOOKUP(Table1[[#This Row],[Player ID]],Table2[feed_id],Table2[trade_status])</f>
        <v>#N/A</v>
      </c>
      <c r="DG485">
        <f>_xlfn.NUMBERVALUE(Table1[[#This Row],[predicted]])</f>
        <v>68.362054736326499</v>
      </c>
    </row>
    <row r="486" spans="1:111" hidden="1" x14ac:dyDescent="0.25">
      <c r="A486">
        <v>123616</v>
      </c>
      <c r="B486">
        <v>8851</v>
      </c>
      <c r="C486" t="s">
        <v>5208</v>
      </c>
      <c r="D486" t="s">
        <v>443</v>
      </c>
      <c r="E486">
        <v>2024</v>
      </c>
      <c r="F486">
        <v>996580</v>
      </c>
      <c r="G486" t="s">
        <v>5209</v>
      </c>
      <c r="H486" t="s">
        <v>5210</v>
      </c>
      <c r="I486" t="s">
        <v>178</v>
      </c>
      <c r="J486">
        <v>9</v>
      </c>
      <c r="K486">
        <v>60</v>
      </c>
      <c r="L486">
        <v>49</v>
      </c>
      <c r="M486">
        <v>43</v>
      </c>
      <c r="N486">
        <v>49</v>
      </c>
      <c r="O486">
        <v>66</v>
      </c>
      <c r="P486">
        <v>9</v>
      </c>
      <c r="Q486">
        <v>5</v>
      </c>
      <c r="R486">
        <v>6</v>
      </c>
      <c r="S486">
        <v>2</v>
      </c>
      <c r="T486">
        <v>0</v>
      </c>
      <c r="U486">
        <v>0</v>
      </c>
      <c r="V486">
        <v>1</v>
      </c>
      <c r="W486">
        <v>0</v>
      </c>
      <c r="X486">
        <v>0</v>
      </c>
      <c r="Y486" t="s">
        <v>113</v>
      </c>
      <c r="Z486" t="s">
        <v>226</v>
      </c>
      <c r="AA486" t="s">
        <v>5211</v>
      </c>
      <c r="AE486">
        <v>0</v>
      </c>
      <c r="AH486" t="s">
        <v>181</v>
      </c>
      <c r="AI486">
        <v>15</v>
      </c>
      <c r="AJ486">
        <v>4</v>
      </c>
      <c r="AK486">
        <v>48.5</v>
      </c>
      <c r="AL486">
        <v>0</v>
      </c>
      <c r="AM486">
        <v>0</v>
      </c>
      <c r="AN486">
        <v>0.04</v>
      </c>
      <c r="AO486">
        <v>7.0000000000000007E-2</v>
      </c>
      <c r="AS486">
        <v>1</v>
      </c>
      <c r="AT486">
        <v>0</v>
      </c>
      <c r="AU486">
        <v>1</v>
      </c>
      <c r="AV486">
        <v>92</v>
      </c>
      <c r="AW486">
        <v>84</v>
      </c>
      <c r="AX486">
        <v>120</v>
      </c>
      <c r="AY486">
        <v>0</v>
      </c>
      <c r="AZ486" t="b">
        <v>0</v>
      </c>
      <c r="BA486">
        <v>1753</v>
      </c>
      <c r="BB486">
        <v>1548</v>
      </c>
      <c r="BC486">
        <v>7</v>
      </c>
      <c r="BD486" t="s">
        <v>5212</v>
      </c>
      <c r="BE486">
        <v>98</v>
      </c>
      <c r="BF486">
        <v>0</v>
      </c>
      <c r="BG486">
        <v>70</v>
      </c>
      <c r="BH486">
        <v>0</v>
      </c>
      <c r="BI486">
        <v>7</v>
      </c>
      <c r="BJ486" s="1" t="s">
        <v>498</v>
      </c>
      <c r="BK486" s="1" t="s">
        <v>124</v>
      </c>
      <c r="BL486">
        <v>4.5999999999999996</v>
      </c>
      <c r="BM486" s="1" t="s">
        <v>211</v>
      </c>
      <c r="BN486" s="1" t="s">
        <v>565</v>
      </c>
      <c r="BO486">
        <v>1</v>
      </c>
      <c r="BP486" s="1" t="s">
        <v>275</v>
      </c>
      <c r="BQ486">
        <v>0</v>
      </c>
      <c r="BR486">
        <v>0</v>
      </c>
      <c r="BS486" s="1" t="s">
        <v>128</v>
      </c>
      <c r="BT486" s="1" t="s">
        <v>231</v>
      </c>
      <c r="BU486" s="1" t="s">
        <v>126</v>
      </c>
      <c r="BV486" s="1" t="s">
        <v>128</v>
      </c>
      <c r="BW486">
        <v>0</v>
      </c>
      <c r="BX486">
        <v>0</v>
      </c>
      <c r="BY486">
        <v>0</v>
      </c>
      <c r="BZ486">
        <v>6.6666666666666596E-2</v>
      </c>
      <c r="CA486">
        <v>0</v>
      </c>
      <c r="CB486">
        <v>0</v>
      </c>
      <c r="CC486">
        <v>0.04</v>
      </c>
      <c r="CD486" s="1" t="s">
        <v>5213</v>
      </c>
      <c r="CE486">
        <v>7.0000000000000007E-2</v>
      </c>
      <c r="CF486">
        <v>0.26200000000000001</v>
      </c>
      <c r="CG486" s="1" t="s">
        <v>159</v>
      </c>
      <c r="CH486" s="1" t="s">
        <v>431</v>
      </c>
      <c r="CI486" s="1" t="s">
        <v>129</v>
      </c>
      <c r="CJ486" s="1" t="s">
        <v>213</v>
      </c>
      <c r="CK486" s="1" t="s">
        <v>161</v>
      </c>
      <c r="CL486" s="1" t="s">
        <v>161</v>
      </c>
      <c r="CM486" s="1" t="s">
        <v>554</v>
      </c>
      <c r="CN486">
        <v>83.8</v>
      </c>
      <c r="CO486">
        <v>76</v>
      </c>
      <c r="CP486" s="1" t="s">
        <v>1840</v>
      </c>
      <c r="CQ486" s="1" t="s">
        <v>3835</v>
      </c>
      <c r="CR486">
        <v>174.8</v>
      </c>
      <c r="CS486" s="1" t="s">
        <v>5214</v>
      </c>
      <c r="CT486">
        <v>1628</v>
      </c>
      <c r="CU486" s="1" t="s">
        <v>5215</v>
      </c>
      <c r="CV486" s="1" t="s">
        <v>3826</v>
      </c>
      <c r="CW486">
        <v>56.75</v>
      </c>
      <c r="CX486">
        <v>53.1</v>
      </c>
      <c r="CY486">
        <v>52.8</v>
      </c>
      <c r="CZ486" s="1" t="s">
        <v>385</v>
      </c>
      <c r="DA486">
        <v>1</v>
      </c>
      <c r="DB486" t="s">
        <v>226</v>
      </c>
      <c r="DC486">
        <v>49</v>
      </c>
      <c r="DD486" s="1" t="s">
        <v>5216</v>
      </c>
      <c r="DE486">
        <v>-33.798353103817398</v>
      </c>
      <c r="DF486" t="e">
        <f>_xlfn.XLOOKUP(Table1[[#This Row],[Player ID]],Table2[feed_id],Table2[trade_status])</f>
        <v>#N/A</v>
      </c>
      <c r="DG486">
        <f>_xlfn.NUMBERVALUE(Table1[[#This Row],[predicted]])</f>
        <v>82.798353103817405</v>
      </c>
    </row>
    <row r="487" spans="1:111" hidden="1" x14ac:dyDescent="0.25">
      <c r="A487">
        <v>123798</v>
      </c>
      <c r="B487">
        <v>8855</v>
      </c>
      <c r="C487" t="s">
        <v>5217</v>
      </c>
      <c r="D487" t="s">
        <v>2016</v>
      </c>
      <c r="E487">
        <v>2024</v>
      </c>
      <c r="F487">
        <v>291856</v>
      </c>
      <c r="G487" t="s">
        <v>776</v>
      </c>
      <c r="H487" t="s">
        <v>1812</v>
      </c>
      <c r="I487" t="s">
        <v>112</v>
      </c>
      <c r="J487">
        <v>7</v>
      </c>
      <c r="K487">
        <v>58</v>
      </c>
      <c r="L487">
        <v>49</v>
      </c>
      <c r="M487">
        <v>50</v>
      </c>
      <c r="N487">
        <v>47</v>
      </c>
      <c r="O487">
        <v>69</v>
      </c>
      <c r="P487">
        <v>5</v>
      </c>
      <c r="Q487">
        <v>14</v>
      </c>
      <c r="R487">
        <v>1</v>
      </c>
      <c r="S487">
        <v>3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113</v>
      </c>
      <c r="Z487" t="s">
        <v>877</v>
      </c>
      <c r="AA487" t="s">
        <v>5218</v>
      </c>
      <c r="AB487" t="s">
        <v>116</v>
      </c>
      <c r="AC487" t="s">
        <v>5219</v>
      </c>
      <c r="AE487">
        <v>0</v>
      </c>
      <c r="AH487" t="s">
        <v>118</v>
      </c>
      <c r="AI487">
        <v>6</v>
      </c>
      <c r="AJ487">
        <v>21</v>
      </c>
      <c r="AK487">
        <v>130.52000000000001</v>
      </c>
      <c r="AL487">
        <v>0</v>
      </c>
      <c r="AM487">
        <v>0</v>
      </c>
      <c r="AN487">
        <v>0.31</v>
      </c>
      <c r="AO487">
        <v>0.49</v>
      </c>
      <c r="AS487">
        <v>5</v>
      </c>
      <c r="AT487">
        <v>2</v>
      </c>
      <c r="AU487">
        <v>0</v>
      </c>
      <c r="AV487">
        <v>57</v>
      </c>
      <c r="AW487">
        <v>56</v>
      </c>
      <c r="AX487">
        <v>110</v>
      </c>
      <c r="AY487">
        <v>1</v>
      </c>
      <c r="AZ487" t="b">
        <v>1</v>
      </c>
      <c r="BA487">
        <v>1775</v>
      </c>
      <c r="BB487">
        <v>1478</v>
      </c>
      <c r="BC487">
        <v>8</v>
      </c>
      <c r="BD487" t="s">
        <v>5220</v>
      </c>
      <c r="BE487">
        <v>98</v>
      </c>
      <c r="BF487">
        <v>0</v>
      </c>
      <c r="BG487">
        <v>70</v>
      </c>
      <c r="BH487">
        <v>0</v>
      </c>
      <c r="BI487" s="1" t="s">
        <v>124</v>
      </c>
      <c r="BJ487" s="1" t="s">
        <v>624</v>
      </c>
      <c r="BK487" s="1" t="s">
        <v>5221</v>
      </c>
      <c r="BL487" s="1" t="s">
        <v>5124</v>
      </c>
      <c r="BM487">
        <v>2</v>
      </c>
      <c r="BN487" s="1" t="s">
        <v>159</v>
      </c>
      <c r="BO487" s="1" t="s">
        <v>183</v>
      </c>
      <c r="BP487" s="1" t="s">
        <v>343</v>
      </c>
      <c r="BQ487">
        <v>0</v>
      </c>
      <c r="BR487">
        <v>0</v>
      </c>
      <c r="BS487" s="1" t="s">
        <v>161</v>
      </c>
      <c r="BT487">
        <v>1.4</v>
      </c>
      <c r="BU487" s="1" t="s">
        <v>161</v>
      </c>
      <c r="BV487" s="1" t="s">
        <v>127</v>
      </c>
      <c r="BW487">
        <v>0</v>
      </c>
      <c r="BX487" s="1" t="s">
        <v>213</v>
      </c>
      <c r="BY487" s="1" t="s">
        <v>129</v>
      </c>
      <c r="BZ487">
        <v>6.6666666666666596E-2</v>
      </c>
      <c r="CA487">
        <v>0</v>
      </c>
      <c r="CB487" s="1" t="s">
        <v>5222</v>
      </c>
      <c r="CC487">
        <v>0.31</v>
      </c>
      <c r="CD487">
        <v>16.149999999999999</v>
      </c>
      <c r="CE487">
        <v>0.49</v>
      </c>
      <c r="CF487" s="1" t="s">
        <v>5223</v>
      </c>
      <c r="CG487" s="1" t="s">
        <v>1829</v>
      </c>
      <c r="CH487" s="1" t="s">
        <v>962</v>
      </c>
      <c r="CI487" s="1" t="s">
        <v>449</v>
      </c>
      <c r="CJ487">
        <v>4.2</v>
      </c>
      <c r="CK487">
        <v>4</v>
      </c>
      <c r="CL487" s="1" t="s">
        <v>640</v>
      </c>
      <c r="CM487" s="1" t="s">
        <v>759</v>
      </c>
      <c r="CN487" s="1" t="s">
        <v>788</v>
      </c>
      <c r="CO487">
        <v>68</v>
      </c>
      <c r="CP487" s="1" t="s">
        <v>4144</v>
      </c>
      <c r="CQ487" s="1" t="s">
        <v>5224</v>
      </c>
      <c r="CR487" s="1" t="s">
        <v>5225</v>
      </c>
      <c r="CS487" s="1" t="s">
        <v>2136</v>
      </c>
      <c r="CT487" s="1" t="s">
        <v>5226</v>
      </c>
      <c r="CU487">
        <v>1616</v>
      </c>
      <c r="CV487" s="1" t="s">
        <v>4537</v>
      </c>
      <c r="CW487">
        <v>88.25</v>
      </c>
      <c r="CX487">
        <v>94.9</v>
      </c>
      <c r="CY487">
        <v>86</v>
      </c>
      <c r="CZ487">
        <v>87</v>
      </c>
      <c r="DA487">
        <v>1</v>
      </c>
      <c r="DB487" t="s">
        <v>877</v>
      </c>
      <c r="DC487">
        <v>49</v>
      </c>
      <c r="DD487" s="1" t="s">
        <v>5227</v>
      </c>
      <c r="DE487">
        <v>-22.5115315213537</v>
      </c>
      <c r="DF487" t="str">
        <f>_xlfn.XLOOKUP(Table1[[#This Row],[Player ID]],Table2[feed_id],Table2[trade_status])</f>
        <v>free_agent</v>
      </c>
      <c r="DG487">
        <f>_xlfn.NUMBERVALUE(Table1[[#This Row],[predicted]])</f>
        <v>71.511531521353703</v>
      </c>
    </row>
    <row r="488" spans="1:111" hidden="1" x14ac:dyDescent="0.25">
      <c r="A488">
        <v>124411</v>
      </c>
      <c r="B488">
        <v>8869</v>
      </c>
      <c r="C488" t="s">
        <v>5228</v>
      </c>
      <c r="D488" t="s">
        <v>460</v>
      </c>
      <c r="E488">
        <v>2024</v>
      </c>
      <c r="F488">
        <v>280819</v>
      </c>
      <c r="G488" t="s">
        <v>1986</v>
      </c>
      <c r="H488" t="s">
        <v>5229</v>
      </c>
      <c r="I488" t="s">
        <v>317</v>
      </c>
      <c r="J488">
        <v>3</v>
      </c>
      <c r="K488">
        <v>32</v>
      </c>
      <c r="L488">
        <v>44</v>
      </c>
      <c r="M488">
        <v>42</v>
      </c>
      <c r="N488">
        <v>29</v>
      </c>
      <c r="O488">
        <v>42</v>
      </c>
      <c r="P488">
        <v>5</v>
      </c>
      <c r="Q488">
        <v>5</v>
      </c>
      <c r="R488">
        <v>3</v>
      </c>
      <c r="S488">
        <v>1</v>
      </c>
      <c r="T488">
        <v>0</v>
      </c>
      <c r="U488">
        <v>0</v>
      </c>
      <c r="V488">
        <v>2</v>
      </c>
      <c r="W488">
        <v>0</v>
      </c>
      <c r="X488">
        <v>0</v>
      </c>
      <c r="Y488" t="s">
        <v>113</v>
      </c>
      <c r="Z488" t="s">
        <v>179</v>
      </c>
      <c r="AA488" t="s">
        <v>5230</v>
      </c>
      <c r="AH488" t="s">
        <v>181</v>
      </c>
      <c r="AI488">
        <v>2</v>
      </c>
      <c r="AJ488">
        <v>0</v>
      </c>
      <c r="AK488">
        <v>0</v>
      </c>
      <c r="AL488">
        <v>0</v>
      </c>
      <c r="AM488">
        <v>0.27</v>
      </c>
      <c r="AN488">
        <v>0.54</v>
      </c>
      <c r="AO488">
        <v>0.75</v>
      </c>
      <c r="AS488">
        <v>2</v>
      </c>
      <c r="AT488">
        <v>0</v>
      </c>
      <c r="AU488">
        <v>3</v>
      </c>
      <c r="AV488">
        <v>100</v>
      </c>
      <c r="AW488">
        <v>75</v>
      </c>
      <c r="AX488">
        <v>32</v>
      </c>
      <c r="AY488">
        <v>0</v>
      </c>
      <c r="AZ488" t="b">
        <v>0</v>
      </c>
      <c r="BA488">
        <v>1846</v>
      </c>
      <c r="BB488">
        <v>1436</v>
      </c>
      <c r="BC488">
        <v>9</v>
      </c>
      <c r="BD488" t="s">
        <v>5231</v>
      </c>
      <c r="BE488">
        <v>98</v>
      </c>
      <c r="BF488">
        <v>0</v>
      </c>
      <c r="BG488">
        <v>71</v>
      </c>
      <c r="BH488">
        <v>0</v>
      </c>
      <c r="BI488" s="1" t="s">
        <v>160</v>
      </c>
      <c r="BJ488">
        <v>4.4000000000000004</v>
      </c>
      <c r="BK488" s="1" t="s">
        <v>160</v>
      </c>
      <c r="BL488">
        <v>4</v>
      </c>
      <c r="BM488">
        <v>4</v>
      </c>
      <c r="BN488" s="1" t="s">
        <v>322</v>
      </c>
      <c r="BO488" s="1" t="s">
        <v>129</v>
      </c>
      <c r="BP488" s="1" t="s">
        <v>327</v>
      </c>
      <c r="BQ488">
        <v>0</v>
      </c>
      <c r="BR488">
        <v>0</v>
      </c>
      <c r="BS488">
        <v>0</v>
      </c>
      <c r="BT488" s="1" t="s">
        <v>231</v>
      </c>
      <c r="BU488" s="1" t="s">
        <v>161</v>
      </c>
      <c r="BV488">
        <v>1.4</v>
      </c>
      <c r="BW488">
        <v>0</v>
      </c>
      <c r="BX488">
        <v>0</v>
      </c>
      <c r="BY488" s="1" t="s">
        <v>129</v>
      </c>
      <c r="BZ488">
        <v>6.6666666666666596E-2</v>
      </c>
      <c r="CA488">
        <v>0.27</v>
      </c>
      <c r="CB488" s="1" t="s">
        <v>1737</v>
      </c>
      <c r="CC488">
        <v>0.54</v>
      </c>
      <c r="CD488" s="1" t="s">
        <v>2090</v>
      </c>
      <c r="CE488">
        <v>0.75</v>
      </c>
      <c r="CF488" s="1" t="s">
        <v>1370</v>
      </c>
      <c r="CG488" s="1" t="s">
        <v>138</v>
      </c>
      <c r="CH488" s="1" t="s">
        <v>189</v>
      </c>
      <c r="CI488">
        <v>0</v>
      </c>
      <c r="CJ488" s="1" t="s">
        <v>213</v>
      </c>
      <c r="CK488" s="1" t="s">
        <v>169</v>
      </c>
      <c r="CL488">
        <v>2.6</v>
      </c>
      <c r="CM488">
        <v>84</v>
      </c>
      <c r="CN488" s="1" t="s">
        <v>4609</v>
      </c>
      <c r="CO488" s="1" t="s">
        <v>610</v>
      </c>
      <c r="CP488">
        <v>79.599999999999994</v>
      </c>
      <c r="CQ488" s="1" t="s">
        <v>787</v>
      </c>
      <c r="CR488">
        <v>88.6</v>
      </c>
      <c r="CS488" s="1" t="s">
        <v>5232</v>
      </c>
      <c r="CT488" s="1" t="s">
        <v>5233</v>
      </c>
      <c r="CU488" s="1" t="s">
        <v>5234</v>
      </c>
      <c r="CV488" s="1" t="s">
        <v>5235</v>
      </c>
      <c r="CW488">
        <v>45.5</v>
      </c>
      <c r="CX488">
        <v>39.9</v>
      </c>
      <c r="CY488">
        <v>40.799999999999997</v>
      </c>
      <c r="CZ488">
        <v>46</v>
      </c>
      <c r="DA488">
        <v>1</v>
      </c>
      <c r="DB488" t="s">
        <v>179</v>
      </c>
      <c r="DC488">
        <v>44</v>
      </c>
      <c r="DD488" s="1" t="s">
        <v>5236</v>
      </c>
      <c r="DE488" s="1" t="s">
        <v>5237</v>
      </c>
      <c r="DF488" t="e">
        <f>_xlfn.XLOOKUP(Table1[[#This Row],[Player ID]],Table2[feed_id],Table2[trade_status])</f>
        <v>#N/A</v>
      </c>
      <c r="DG488">
        <f>_xlfn.NUMBERVALUE(Table1[[#This Row],[predicted]])</f>
        <v>42.214774220598301</v>
      </c>
    </row>
    <row r="489" spans="1:111" hidden="1" x14ac:dyDescent="0.25">
      <c r="A489">
        <v>124412</v>
      </c>
      <c r="B489">
        <v>8869</v>
      </c>
      <c r="C489" t="s">
        <v>5228</v>
      </c>
      <c r="D489" t="s">
        <v>460</v>
      </c>
      <c r="E489">
        <v>2024</v>
      </c>
      <c r="F489">
        <v>298144</v>
      </c>
      <c r="G489" t="s">
        <v>958</v>
      </c>
      <c r="H489" t="s">
        <v>5238</v>
      </c>
      <c r="I489" t="s">
        <v>317</v>
      </c>
      <c r="J489">
        <v>2</v>
      </c>
      <c r="K489">
        <v>30</v>
      </c>
      <c r="L489">
        <v>45</v>
      </c>
      <c r="M489">
        <v>36</v>
      </c>
      <c r="N489">
        <v>27</v>
      </c>
      <c r="O489">
        <v>34</v>
      </c>
      <c r="P489">
        <v>1</v>
      </c>
      <c r="Q489">
        <v>5</v>
      </c>
      <c r="R489">
        <v>3</v>
      </c>
      <c r="S489">
        <v>1</v>
      </c>
      <c r="T489">
        <v>4</v>
      </c>
      <c r="U489">
        <v>0</v>
      </c>
      <c r="V489">
        <v>0</v>
      </c>
      <c r="W489">
        <v>0</v>
      </c>
      <c r="X489">
        <v>0</v>
      </c>
      <c r="Y489" t="s">
        <v>113</v>
      </c>
      <c r="Z489" t="s">
        <v>5152</v>
      </c>
      <c r="AA489" t="s">
        <v>5239</v>
      </c>
      <c r="AB489" t="s">
        <v>116</v>
      </c>
      <c r="AC489" t="s">
        <v>5240</v>
      </c>
      <c r="AH489" t="s">
        <v>274</v>
      </c>
      <c r="AI489">
        <v>24</v>
      </c>
      <c r="AJ489">
        <v>0</v>
      </c>
      <c r="AK489">
        <v>0</v>
      </c>
      <c r="AL489">
        <v>0</v>
      </c>
      <c r="AM489">
        <v>7.75</v>
      </c>
      <c r="AN489">
        <v>11.69</v>
      </c>
      <c r="AO489">
        <v>0.23</v>
      </c>
      <c r="AS489">
        <v>2</v>
      </c>
      <c r="AT489">
        <v>1</v>
      </c>
      <c r="AU489">
        <v>0</v>
      </c>
      <c r="AV489">
        <v>100</v>
      </c>
      <c r="AW489">
        <v>45</v>
      </c>
      <c r="AX489">
        <v>0</v>
      </c>
      <c r="AY489">
        <v>1</v>
      </c>
      <c r="AZ489" t="b">
        <v>1</v>
      </c>
      <c r="BA489">
        <v>1846</v>
      </c>
      <c r="BB489">
        <v>1436</v>
      </c>
      <c r="BC489">
        <v>9</v>
      </c>
      <c r="BD489" t="s">
        <v>5231</v>
      </c>
      <c r="BE489">
        <v>98</v>
      </c>
      <c r="BF489">
        <v>0</v>
      </c>
      <c r="BG489">
        <v>71</v>
      </c>
      <c r="BH489">
        <v>0</v>
      </c>
      <c r="BI489">
        <v>3</v>
      </c>
      <c r="BJ489" s="1" t="s">
        <v>990</v>
      </c>
      <c r="BK489" s="1" t="s">
        <v>124</v>
      </c>
      <c r="BL489">
        <v>5</v>
      </c>
      <c r="BM489" s="1" t="s">
        <v>169</v>
      </c>
      <c r="BN489">
        <v>1.8</v>
      </c>
      <c r="BO489">
        <v>2</v>
      </c>
      <c r="BP489" s="1" t="s">
        <v>169</v>
      </c>
      <c r="BQ489" s="1" t="s">
        <v>395</v>
      </c>
      <c r="BR489">
        <v>25.4</v>
      </c>
      <c r="BS489" s="1" t="s">
        <v>161</v>
      </c>
      <c r="BT489" s="1" t="s">
        <v>127</v>
      </c>
      <c r="BU489">
        <v>1</v>
      </c>
      <c r="BV489">
        <v>1.2</v>
      </c>
      <c r="BW489">
        <v>0</v>
      </c>
      <c r="BX489">
        <v>0</v>
      </c>
      <c r="BY489">
        <v>0</v>
      </c>
      <c r="BZ489" s="1" t="s">
        <v>213</v>
      </c>
      <c r="CA489">
        <v>7.75</v>
      </c>
      <c r="CB489" s="1" t="s">
        <v>5241</v>
      </c>
      <c r="CC489">
        <v>11.69</v>
      </c>
      <c r="CD489">
        <v>2.68</v>
      </c>
      <c r="CE489">
        <v>0.23</v>
      </c>
      <c r="CF489" s="1" t="s">
        <v>2295</v>
      </c>
      <c r="CG489" s="1" t="s">
        <v>124</v>
      </c>
      <c r="CH489" s="1" t="s">
        <v>205</v>
      </c>
      <c r="CI489" s="1" t="s">
        <v>138</v>
      </c>
      <c r="CJ489" s="1" t="s">
        <v>159</v>
      </c>
      <c r="CK489" s="1" t="s">
        <v>161</v>
      </c>
      <c r="CL489" s="1" t="s">
        <v>275</v>
      </c>
      <c r="CM489">
        <v>69</v>
      </c>
      <c r="CN489">
        <v>66.400000000000006</v>
      </c>
      <c r="CO489" s="1" t="s">
        <v>1838</v>
      </c>
      <c r="CP489" s="1" t="s">
        <v>753</v>
      </c>
      <c r="CQ489" s="1" t="s">
        <v>1979</v>
      </c>
      <c r="CS489" s="1" t="s">
        <v>5242</v>
      </c>
      <c r="CT489" s="1" t="s">
        <v>4187</v>
      </c>
      <c r="CU489">
        <v>1825</v>
      </c>
      <c r="CV489" s="1" t="s">
        <v>5243</v>
      </c>
      <c r="CW489">
        <v>70.2</v>
      </c>
      <c r="CX489">
        <v>70.8</v>
      </c>
      <c r="CY489">
        <v>76.400000000000006</v>
      </c>
      <c r="CZ489" s="1" t="s">
        <v>681</v>
      </c>
      <c r="DA489">
        <v>1</v>
      </c>
      <c r="DB489" t="s">
        <v>5152</v>
      </c>
      <c r="DC489">
        <v>45</v>
      </c>
      <c r="DD489" s="1" t="s">
        <v>5244</v>
      </c>
      <c r="DE489">
        <v>-31.222606807477501</v>
      </c>
      <c r="DF489" t="e">
        <f>_xlfn.XLOOKUP(Table1[[#This Row],[Player ID]],Table2[feed_id],Table2[trade_status])</f>
        <v>#N/A</v>
      </c>
      <c r="DG489">
        <f>_xlfn.NUMBERVALUE(Table1[[#This Row],[predicted]])</f>
        <v>76.222606807477504</v>
      </c>
    </row>
    <row r="490" spans="1:111" hidden="1" x14ac:dyDescent="0.25">
      <c r="A490">
        <v>124502</v>
      </c>
      <c r="B490">
        <v>8871</v>
      </c>
      <c r="C490" t="s">
        <v>5245</v>
      </c>
      <c r="D490" t="s">
        <v>460</v>
      </c>
      <c r="E490">
        <v>2024</v>
      </c>
      <c r="F490">
        <v>296269</v>
      </c>
      <c r="G490" t="s">
        <v>3105</v>
      </c>
      <c r="H490" t="s">
        <v>5246</v>
      </c>
      <c r="I490" t="s">
        <v>201</v>
      </c>
      <c r="J490">
        <v>7</v>
      </c>
      <c r="K490">
        <v>22</v>
      </c>
      <c r="L490">
        <v>43</v>
      </c>
      <c r="M490">
        <v>25</v>
      </c>
      <c r="N490">
        <v>19</v>
      </c>
      <c r="O490">
        <v>21</v>
      </c>
      <c r="P490">
        <v>3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2</v>
      </c>
      <c r="X490">
        <v>0</v>
      </c>
      <c r="Y490" t="s">
        <v>113</v>
      </c>
      <c r="Z490" t="s">
        <v>1920</v>
      </c>
      <c r="AA490" t="s">
        <v>5247</v>
      </c>
      <c r="AB490" t="s">
        <v>656</v>
      </c>
      <c r="AC490" t="s">
        <v>5248</v>
      </c>
      <c r="AE490">
        <v>0</v>
      </c>
      <c r="AH490" t="s">
        <v>181</v>
      </c>
      <c r="AI490">
        <v>27</v>
      </c>
      <c r="AJ490">
        <v>20</v>
      </c>
      <c r="AK490">
        <v>59.85</v>
      </c>
      <c r="AL490">
        <v>0</v>
      </c>
      <c r="AM490">
        <v>0</v>
      </c>
      <c r="AN490">
        <v>0.39</v>
      </c>
      <c r="AO490">
        <v>0.22</v>
      </c>
      <c r="AS490">
        <v>2</v>
      </c>
      <c r="AT490">
        <v>0</v>
      </c>
      <c r="AU490">
        <v>0</v>
      </c>
      <c r="AV490">
        <v>66</v>
      </c>
      <c r="AW490">
        <v>29</v>
      </c>
      <c r="AX490">
        <v>53</v>
      </c>
      <c r="AY490">
        <v>1</v>
      </c>
      <c r="AZ490" t="b">
        <v>1</v>
      </c>
      <c r="BA490">
        <v>1361</v>
      </c>
      <c r="BB490">
        <v>1904</v>
      </c>
      <c r="BC490">
        <v>9</v>
      </c>
      <c r="BD490" t="s">
        <v>5249</v>
      </c>
      <c r="BE490">
        <v>98</v>
      </c>
      <c r="BF490">
        <v>0</v>
      </c>
      <c r="BG490">
        <v>71</v>
      </c>
      <c r="BH490">
        <v>0</v>
      </c>
      <c r="BI490" s="1" t="s">
        <v>211</v>
      </c>
      <c r="BJ490">
        <v>6.6</v>
      </c>
      <c r="BK490" s="1" t="s">
        <v>161</v>
      </c>
      <c r="BL490" s="1" t="s">
        <v>431</v>
      </c>
      <c r="BM490" s="1" t="s">
        <v>126</v>
      </c>
      <c r="BN490" s="1" t="s">
        <v>587</v>
      </c>
      <c r="BO490" s="1" t="s">
        <v>159</v>
      </c>
      <c r="BP490" s="1" t="s">
        <v>214</v>
      </c>
      <c r="BQ490">
        <v>0</v>
      </c>
      <c r="BR490">
        <v>0</v>
      </c>
      <c r="BS490">
        <v>1</v>
      </c>
      <c r="BT490">
        <v>1</v>
      </c>
      <c r="BU490" s="1" t="s">
        <v>129</v>
      </c>
      <c r="BV490" s="1" t="s">
        <v>128</v>
      </c>
      <c r="BW490" s="1" t="s">
        <v>128</v>
      </c>
      <c r="BX490">
        <v>0.2</v>
      </c>
      <c r="BY490" s="1" t="s">
        <v>129</v>
      </c>
      <c r="BZ490" s="1" t="s">
        <v>213</v>
      </c>
      <c r="CA490">
        <v>0</v>
      </c>
      <c r="CB490">
        <v>8.66666666666672E-3</v>
      </c>
      <c r="CC490">
        <v>0.39</v>
      </c>
      <c r="CD490" s="1" t="s">
        <v>5250</v>
      </c>
      <c r="CE490">
        <v>0.22</v>
      </c>
      <c r="CF490" s="1" t="s">
        <v>5251</v>
      </c>
      <c r="CG490" s="1" t="s">
        <v>169</v>
      </c>
      <c r="CH490" s="1" t="s">
        <v>211</v>
      </c>
      <c r="CI490">
        <v>0</v>
      </c>
      <c r="CJ490">
        <v>0.4</v>
      </c>
      <c r="CK490" s="1" t="s">
        <v>129</v>
      </c>
      <c r="CL490" s="1" t="s">
        <v>206</v>
      </c>
      <c r="CM490" s="1" t="s">
        <v>1979</v>
      </c>
      <c r="CN490" s="1" t="s">
        <v>483</v>
      </c>
      <c r="CO490">
        <v>63</v>
      </c>
      <c r="CP490" s="1" t="s">
        <v>5252</v>
      </c>
      <c r="CQ490" s="1" t="s">
        <v>4202</v>
      </c>
      <c r="CR490" s="1" t="s">
        <v>5253</v>
      </c>
      <c r="CS490" s="1" t="s">
        <v>4220</v>
      </c>
      <c r="CT490" s="1" t="s">
        <v>144</v>
      </c>
      <c r="CU490" s="1" t="s">
        <v>2698</v>
      </c>
      <c r="CV490" s="1" t="s">
        <v>5254</v>
      </c>
      <c r="CW490">
        <v>57.65</v>
      </c>
      <c r="CX490">
        <v>53.6</v>
      </c>
      <c r="CY490">
        <v>50.2</v>
      </c>
      <c r="CZ490" s="1" t="s">
        <v>1524</v>
      </c>
      <c r="DA490">
        <v>1</v>
      </c>
      <c r="DB490" t="s">
        <v>1920</v>
      </c>
      <c r="DC490">
        <v>43</v>
      </c>
      <c r="DD490" s="1" t="s">
        <v>5255</v>
      </c>
      <c r="DE490">
        <v>-4.7259341431258504</v>
      </c>
      <c r="DF490" t="str">
        <f>_xlfn.XLOOKUP(Table1[[#This Row],[Player ID]],Table2[feed_id],Table2[trade_status])</f>
        <v>free_agent</v>
      </c>
      <c r="DG490">
        <f>_xlfn.NUMBERVALUE(Table1[[#This Row],[predicted]])</f>
        <v>47.725934143125798</v>
      </c>
    </row>
    <row r="491" spans="1:111" hidden="1" x14ac:dyDescent="0.25">
      <c r="A491">
        <v>124504</v>
      </c>
      <c r="B491">
        <v>8871</v>
      </c>
      <c r="C491" t="s">
        <v>5245</v>
      </c>
      <c r="D491" t="s">
        <v>460</v>
      </c>
      <c r="E491">
        <v>2024</v>
      </c>
      <c r="F491">
        <v>293581</v>
      </c>
      <c r="G491" t="s">
        <v>5256</v>
      </c>
      <c r="H491" t="s">
        <v>3088</v>
      </c>
      <c r="I491" t="s">
        <v>201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113</v>
      </c>
      <c r="Z491" t="s">
        <v>114</v>
      </c>
      <c r="AA491" t="s">
        <v>5257</v>
      </c>
      <c r="AB491" t="s">
        <v>116</v>
      </c>
      <c r="AC491" t="s">
        <v>5258</v>
      </c>
      <c r="AE491">
        <v>0</v>
      </c>
      <c r="AH491" t="s">
        <v>155</v>
      </c>
      <c r="AI491">
        <v>11</v>
      </c>
      <c r="AJ491">
        <v>2</v>
      </c>
      <c r="AK491">
        <v>49</v>
      </c>
      <c r="AL491">
        <v>0</v>
      </c>
      <c r="AM491">
        <v>0</v>
      </c>
      <c r="AN491">
        <v>0.24</v>
      </c>
      <c r="AO491">
        <v>0.17</v>
      </c>
      <c r="AS491">
        <v>0</v>
      </c>
      <c r="AT491">
        <v>0</v>
      </c>
      <c r="AU491">
        <v>0</v>
      </c>
      <c r="AV491">
        <v>0</v>
      </c>
      <c r="AW491">
        <v>5</v>
      </c>
      <c r="AX491">
        <v>0</v>
      </c>
      <c r="AY491">
        <v>1</v>
      </c>
      <c r="AZ491" t="b">
        <v>1</v>
      </c>
      <c r="BA491">
        <v>1361</v>
      </c>
      <c r="BB491">
        <v>1904</v>
      </c>
      <c r="BC491">
        <v>9</v>
      </c>
      <c r="BD491" t="s">
        <v>5249</v>
      </c>
      <c r="BE491">
        <v>98</v>
      </c>
      <c r="BF491">
        <v>0</v>
      </c>
      <c r="BG491">
        <v>71</v>
      </c>
      <c r="BH491">
        <v>0</v>
      </c>
      <c r="BI491" s="1" t="s">
        <v>204</v>
      </c>
      <c r="BJ491" s="1" t="s">
        <v>137</v>
      </c>
      <c r="BK491">
        <v>2</v>
      </c>
      <c r="BL491" s="1" t="s">
        <v>321</v>
      </c>
      <c r="BM491" s="1" t="s">
        <v>126</v>
      </c>
      <c r="BN491" s="1" t="s">
        <v>766</v>
      </c>
      <c r="BO491" s="1" t="s">
        <v>169</v>
      </c>
      <c r="BP491" s="1" t="s">
        <v>237</v>
      </c>
      <c r="BQ491">
        <v>0</v>
      </c>
      <c r="BR491">
        <v>0</v>
      </c>
      <c r="BS491" s="1" t="s">
        <v>128</v>
      </c>
      <c r="BT491">
        <v>0.8</v>
      </c>
      <c r="BU491">
        <v>0</v>
      </c>
      <c r="BV491" s="1" t="s">
        <v>162</v>
      </c>
      <c r="BW491" s="1" t="s">
        <v>128</v>
      </c>
      <c r="BX491">
        <v>1.2</v>
      </c>
      <c r="BY491">
        <v>1</v>
      </c>
      <c r="BZ491" s="1" t="s">
        <v>399</v>
      </c>
      <c r="CA491">
        <v>0</v>
      </c>
      <c r="CB491" s="1" t="s">
        <v>2682</v>
      </c>
      <c r="CC491">
        <v>0.24</v>
      </c>
      <c r="CD491" s="1" t="s">
        <v>5259</v>
      </c>
      <c r="CE491">
        <v>0.17</v>
      </c>
      <c r="CF491" s="1" t="s">
        <v>5260</v>
      </c>
      <c r="CG491">
        <v>5</v>
      </c>
      <c r="CH491" s="1" t="s">
        <v>374</v>
      </c>
      <c r="CI491">
        <v>1</v>
      </c>
      <c r="CJ491">
        <v>0.8</v>
      </c>
      <c r="CK491">
        <v>1</v>
      </c>
      <c r="CL491" s="1" t="s">
        <v>322</v>
      </c>
      <c r="CM491" s="1" t="s">
        <v>576</v>
      </c>
      <c r="CN491">
        <v>57.4</v>
      </c>
      <c r="CO491" s="1" t="s">
        <v>2464</v>
      </c>
      <c r="CP491" s="1" t="s">
        <v>1616</v>
      </c>
      <c r="CQ491" s="1" t="s">
        <v>5261</v>
      </c>
      <c r="CR491" s="1" t="s">
        <v>5262</v>
      </c>
      <c r="CS491" s="1" t="s">
        <v>4220</v>
      </c>
      <c r="CT491" s="1" t="s">
        <v>5263</v>
      </c>
      <c r="CU491" s="1" t="s">
        <v>2698</v>
      </c>
      <c r="CV491" s="1" t="s">
        <v>4146</v>
      </c>
      <c r="CW491">
        <v>66.650000000000006</v>
      </c>
      <c r="CX491">
        <v>67</v>
      </c>
      <c r="CY491">
        <v>61.6</v>
      </c>
      <c r="CZ491" s="1" t="s">
        <v>2742</v>
      </c>
      <c r="DA491">
        <v>1</v>
      </c>
      <c r="DB491" t="s">
        <v>114</v>
      </c>
      <c r="DC491">
        <v>0</v>
      </c>
      <c r="DD491" s="1" t="s">
        <v>5264</v>
      </c>
      <c r="DE491">
        <v>-47.109721795194297</v>
      </c>
      <c r="DF491" t="str">
        <f>_xlfn.XLOOKUP(Table1[[#This Row],[Player ID]],Table2[feed_id],Table2[trade_status])</f>
        <v>free_agent</v>
      </c>
      <c r="DG491">
        <f>_xlfn.NUMBERVALUE(Table1[[#This Row],[predicted]])</f>
        <v>47.109721795194297</v>
      </c>
    </row>
    <row r="492" spans="1:111" hidden="1" x14ac:dyDescent="0.25">
      <c r="A492">
        <v>124510</v>
      </c>
      <c r="B492">
        <v>8871</v>
      </c>
      <c r="C492" t="s">
        <v>5245</v>
      </c>
      <c r="D492" t="s">
        <v>460</v>
      </c>
      <c r="E492">
        <v>2024</v>
      </c>
      <c r="F492">
        <v>294472</v>
      </c>
      <c r="G492" t="s">
        <v>4099</v>
      </c>
      <c r="H492" t="s">
        <v>5265</v>
      </c>
      <c r="I492" t="s">
        <v>524</v>
      </c>
      <c r="J492">
        <v>8</v>
      </c>
      <c r="K492">
        <v>67</v>
      </c>
      <c r="L492">
        <v>68</v>
      </c>
      <c r="M492">
        <v>33</v>
      </c>
      <c r="N492">
        <v>52</v>
      </c>
      <c r="O492">
        <v>73</v>
      </c>
      <c r="P492">
        <v>13</v>
      </c>
      <c r="Q492">
        <v>7</v>
      </c>
      <c r="R492">
        <v>3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1</v>
      </c>
      <c r="Y492" t="s">
        <v>113</v>
      </c>
      <c r="Z492" t="s">
        <v>226</v>
      </c>
      <c r="AA492" t="s">
        <v>5266</v>
      </c>
      <c r="AE492">
        <v>0</v>
      </c>
      <c r="AH492" t="s">
        <v>181</v>
      </c>
      <c r="AI492">
        <v>2</v>
      </c>
      <c r="AJ492">
        <v>19</v>
      </c>
      <c r="AK492">
        <v>77.47</v>
      </c>
      <c r="AL492">
        <v>0</v>
      </c>
      <c r="AM492">
        <v>0</v>
      </c>
      <c r="AN492">
        <v>0.08</v>
      </c>
      <c r="AO492">
        <v>0.21</v>
      </c>
      <c r="AS492">
        <v>3</v>
      </c>
      <c r="AT492">
        <v>0</v>
      </c>
      <c r="AU492">
        <v>1</v>
      </c>
      <c r="AV492">
        <v>85</v>
      </c>
      <c r="AW492">
        <v>79</v>
      </c>
      <c r="AX492">
        <v>533</v>
      </c>
      <c r="AY492">
        <v>0</v>
      </c>
      <c r="AZ492" t="b">
        <v>0</v>
      </c>
      <c r="BA492">
        <v>1904</v>
      </c>
      <c r="BB492">
        <v>1361</v>
      </c>
      <c r="BC492">
        <v>9</v>
      </c>
      <c r="BD492" t="s">
        <v>5267</v>
      </c>
      <c r="BE492">
        <v>98</v>
      </c>
      <c r="BF492">
        <v>0</v>
      </c>
      <c r="BG492">
        <v>71</v>
      </c>
      <c r="BH492">
        <v>0</v>
      </c>
      <c r="BI492" s="1" t="s">
        <v>183</v>
      </c>
      <c r="BJ492">
        <v>13</v>
      </c>
      <c r="BK492" s="1" t="s">
        <v>160</v>
      </c>
      <c r="BL492">
        <v>6.4</v>
      </c>
      <c r="BM492">
        <v>3</v>
      </c>
      <c r="BN492" s="1" t="s">
        <v>212</v>
      </c>
      <c r="BO492" s="1" t="s">
        <v>129</v>
      </c>
      <c r="BP492" s="1" t="s">
        <v>399</v>
      </c>
      <c r="BQ492">
        <v>0</v>
      </c>
      <c r="BR492">
        <v>0</v>
      </c>
      <c r="BS492">
        <v>0</v>
      </c>
      <c r="BT492" s="1" t="s">
        <v>231</v>
      </c>
      <c r="BU492" s="1" t="s">
        <v>129</v>
      </c>
      <c r="BV492" s="1" t="s">
        <v>238</v>
      </c>
      <c r="BW492">
        <v>0</v>
      </c>
      <c r="BX492">
        <v>0.2</v>
      </c>
      <c r="BY492" s="1" t="s">
        <v>129</v>
      </c>
      <c r="BZ492">
        <v>0.2</v>
      </c>
      <c r="CA492">
        <v>0</v>
      </c>
      <c r="CB492">
        <v>0</v>
      </c>
      <c r="CC492">
        <v>0.08</v>
      </c>
      <c r="CD492">
        <v>1.1679999999999999</v>
      </c>
      <c r="CE492">
        <v>0.21</v>
      </c>
      <c r="CF492" s="1" t="s">
        <v>5268</v>
      </c>
      <c r="CG492" s="1" t="s">
        <v>126</v>
      </c>
      <c r="CH492" s="1" t="s">
        <v>766</v>
      </c>
      <c r="CI492">
        <v>0</v>
      </c>
      <c r="CJ492" s="1" t="s">
        <v>127</v>
      </c>
      <c r="CK492">
        <v>1</v>
      </c>
      <c r="CL492" s="1" t="s">
        <v>161</v>
      </c>
      <c r="CM492" s="1" t="s">
        <v>755</v>
      </c>
      <c r="CN492" s="1" t="s">
        <v>3911</v>
      </c>
      <c r="CO492" s="1" t="s">
        <v>333</v>
      </c>
      <c r="CP492">
        <v>68</v>
      </c>
      <c r="CQ492" s="1" t="s">
        <v>5269</v>
      </c>
      <c r="CR492">
        <v>459.8</v>
      </c>
      <c r="CS492" s="1" t="s">
        <v>736</v>
      </c>
      <c r="CT492" s="1" t="s">
        <v>5270</v>
      </c>
      <c r="CU492" s="1" t="s">
        <v>5271</v>
      </c>
      <c r="CV492" s="1" t="s">
        <v>266</v>
      </c>
      <c r="CW492">
        <v>67.150000000000006</v>
      </c>
      <c r="CX492">
        <v>70.099999999999994</v>
      </c>
      <c r="CY492">
        <v>44.4</v>
      </c>
      <c r="CZ492">
        <v>38</v>
      </c>
      <c r="DA492">
        <v>1</v>
      </c>
      <c r="DB492" t="s">
        <v>226</v>
      </c>
      <c r="DC492">
        <v>68</v>
      </c>
      <c r="DD492" s="1" t="s">
        <v>5272</v>
      </c>
      <c r="DE492">
        <v>-17.730233341593799</v>
      </c>
      <c r="DF492" t="str">
        <f>_xlfn.XLOOKUP(Table1[[#This Row],[Player ID]],Table2[feed_id],Table2[trade_status])</f>
        <v>free_agent</v>
      </c>
      <c r="DG492">
        <f>_xlfn.NUMBERVALUE(Table1[[#This Row],[predicted]])</f>
        <v>85.730233341593802</v>
      </c>
    </row>
    <row r="493" spans="1:111" hidden="1" x14ac:dyDescent="0.25">
      <c r="A493">
        <v>124837</v>
      </c>
      <c r="B493">
        <v>8878</v>
      </c>
      <c r="C493" t="s">
        <v>5273</v>
      </c>
      <c r="D493" t="s">
        <v>475</v>
      </c>
      <c r="E493">
        <v>2024</v>
      </c>
      <c r="F493">
        <v>281091</v>
      </c>
      <c r="G493" t="s">
        <v>5274</v>
      </c>
      <c r="H493" t="s">
        <v>3591</v>
      </c>
      <c r="I493" t="s">
        <v>813</v>
      </c>
      <c r="J493">
        <v>9</v>
      </c>
      <c r="K493">
        <v>51</v>
      </c>
      <c r="L493">
        <v>58</v>
      </c>
      <c r="M493">
        <v>59</v>
      </c>
      <c r="N493">
        <v>40</v>
      </c>
      <c r="O493">
        <v>56</v>
      </c>
      <c r="P493">
        <v>1</v>
      </c>
      <c r="Q493">
        <v>10</v>
      </c>
      <c r="R493">
        <v>1</v>
      </c>
      <c r="S493">
        <v>5</v>
      </c>
      <c r="T493">
        <v>5</v>
      </c>
      <c r="U493">
        <v>0</v>
      </c>
      <c r="V493">
        <v>0</v>
      </c>
      <c r="W493">
        <v>0</v>
      </c>
      <c r="X493">
        <v>0</v>
      </c>
      <c r="Y493" t="s">
        <v>113</v>
      </c>
      <c r="Z493" t="s">
        <v>5152</v>
      </c>
      <c r="AA493" t="s">
        <v>5275</v>
      </c>
      <c r="AE493">
        <v>0</v>
      </c>
      <c r="AH493" t="s">
        <v>118</v>
      </c>
      <c r="AI493">
        <v>1</v>
      </c>
      <c r="AJ493">
        <v>21</v>
      </c>
      <c r="AK493">
        <v>82.14</v>
      </c>
      <c r="AL493">
        <v>0</v>
      </c>
      <c r="AM493">
        <v>0</v>
      </c>
      <c r="AN493">
        <v>0.13</v>
      </c>
      <c r="AO493">
        <v>0.18</v>
      </c>
      <c r="AS493">
        <v>7</v>
      </c>
      <c r="AT493">
        <v>0</v>
      </c>
      <c r="AU493">
        <v>1</v>
      </c>
      <c r="AV493">
        <v>72</v>
      </c>
      <c r="AW493">
        <v>72</v>
      </c>
      <c r="AX493">
        <v>22</v>
      </c>
      <c r="AY493">
        <v>0</v>
      </c>
      <c r="AZ493" t="b">
        <v>0</v>
      </c>
      <c r="BA493">
        <v>1717</v>
      </c>
      <c r="BB493">
        <v>1562</v>
      </c>
      <c r="BC493">
        <v>10</v>
      </c>
      <c r="BD493" t="s">
        <v>5276</v>
      </c>
      <c r="BE493" s="1" t="s">
        <v>3594</v>
      </c>
      <c r="BF493">
        <v>0</v>
      </c>
      <c r="BG493">
        <v>71</v>
      </c>
      <c r="BH493">
        <v>0</v>
      </c>
      <c r="BI493">
        <v>3</v>
      </c>
      <c r="BJ493">
        <v>4.4000000000000004</v>
      </c>
      <c r="BK493" s="1" t="s">
        <v>397</v>
      </c>
      <c r="BL493">
        <v>9.4</v>
      </c>
      <c r="BM493">
        <v>1</v>
      </c>
      <c r="BN493" s="1" t="s">
        <v>275</v>
      </c>
      <c r="BO493" s="1" t="s">
        <v>397</v>
      </c>
      <c r="BP493" s="1" t="s">
        <v>374</v>
      </c>
      <c r="BQ493" s="1" t="s">
        <v>125</v>
      </c>
      <c r="BR493" s="1" t="s">
        <v>399</v>
      </c>
      <c r="BS493" s="1" t="s">
        <v>129</v>
      </c>
      <c r="BT493" s="1" t="s">
        <v>231</v>
      </c>
      <c r="BU493" s="1" t="s">
        <v>129</v>
      </c>
      <c r="BV493">
        <v>1</v>
      </c>
      <c r="BW493" s="1" t="s">
        <v>129</v>
      </c>
      <c r="BX493" s="1" t="s">
        <v>184</v>
      </c>
      <c r="BY493" s="1" t="s">
        <v>129</v>
      </c>
      <c r="BZ493" s="1" t="s">
        <v>184</v>
      </c>
      <c r="CA493">
        <v>0</v>
      </c>
      <c r="CB493">
        <v>0</v>
      </c>
      <c r="CC493">
        <v>0.13</v>
      </c>
      <c r="CD493" s="1" t="s">
        <v>5277</v>
      </c>
      <c r="CE493">
        <v>0.18</v>
      </c>
      <c r="CF493">
        <v>0.18</v>
      </c>
      <c r="CG493" s="1" t="s">
        <v>204</v>
      </c>
      <c r="CH493" s="1" t="s">
        <v>294</v>
      </c>
      <c r="CI493">
        <v>2</v>
      </c>
      <c r="CJ493" s="1" t="s">
        <v>431</v>
      </c>
      <c r="CK493" s="1" t="s">
        <v>128</v>
      </c>
      <c r="CL493" s="1" t="s">
        <v>322</v>
      </c>
      <c r="CM493" s="1" t="s">
        <v>333</v>
      </c>
      <c r="CN493" s="1" t="s">
        <v>417</v>
      </c>
      <c r="CO493" s="1" t="s">
        <v>930</v>
      </c>
      <c r="CP493">
        <v>69.400000000000006</v>
      </c>
      <c r="CQ493" s="1" t="s">
        <v>2112</v>
      </c>
      <c r="CR493" s="1" t="s">
        <v>4609</v>
      </c>
      <c r="CS493" s="1" t="s">
        <v>5278</v>
      </c>
      <c r="CT493" s="1" t="s">
        <v>2339</v>
      </c>
      <c r="CU493">
        <v>1754</v>
      </c>
      <c r="CV493" s="1" t="s">
        <v>5279</v>
      </c>
      <c r="CW493">
        <v>66.599999999999994</v>
      </c>
      <c r="CX493">
        <v>70.7</v>
      </c>
      <c r="CY493">
        <v>62.2</v>
      </c>
      <c r="CZ493">
        <v>58</v>
      </c>
      <c r="DA493">
        <v>1</v>
      </c>
      <c r="DB493" t="s">
        <v>5152</v>
      </c>
      <c r="DC493">
        <v>58</v>
      </c>
      <c r="DD493" s="1" t="s">
        <v>5280</v>
      </c>
      <c r="DE493">
        <v>-13.632824668672001</v>
      </c>
      <c r="DF493" t="e">
        <f>_xlfn.XLOOKUP(Table1[[#This Row],[Player ID]],Table2[feed_id],Table2[trade_status])</f>
        <v>#N/A</v>
      </c>
      <c r="DG493">
        <f>_xlfn.NUMBERVALUE(Table1[[#This Row],[predicted]])</f>
        <v>71.632824668672001</v>
      </c>
    </row>
    <row r="494" spans="1:111" hidden="1" x14ac:dyDescent="0.25">
      <c r="A494">
        <v>124975</v>
      </c>
      <c r="B494">
        <v>8881</v>
      </c>
      <c r="C494" t="s">
        <v>5281</v>
      </c>
      <c r="D494" t="s">
        <v>491</v>
      </c>
      <c r="E494">
        <v>2024</v>
      </c>
      <c r="F494">
        <v>290550</v>
      </c>
      <c r="G494" t="s">
        <v>271</v>
      </c>
      <c r="H494" t="s">
        <v>5282</v>
      </c>
      <c r="I494" t="s">
        <v>1061</v>
      </c>
      <c r="J494">
        <v>3</v>
      </c>
      <c r="K494">
        <v>39</v>
      </c>
      <c r="L494">
        <v>41</v>
      </c>
      <c r="M494">
        <v>38</v>
      </c>
      <c r="N494">
        <v>30</v>
      </c>
      <c r="O494">
        <v>42</v>
      </c>
      <c r="P494">
        <v>3</v>
      </c>
      <c r="Q494">
        <v>6</v>
      </c>
      <c r="R494">
        <v>2</v>
      </c>
      <c r="S494">
        <v>3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113</v>
      </c>
      <c r="Z494" t="s">
        <v>877</v>
      </c>
      <c r="AA494" t="s">
        <v>5283</v>
      </c>
      <c r="AB494" t="s">
        <v>116</v>
      </c>
      <c r="AC494" t="s">
        <v>5284</v>
      </c>
      <c r="AE494">
        <v>0</v>
      </c>
      <c r="AH494" t="s">
        <v>118</v>
      </c>
      <c r="AI494">
        <v>29</v>
      </c>
      <c r="AJ494">
        <v>11</v>
      </c>
      <c r="AK494">
        <v>59.18</v>
      </c>
      <c r="AL494">
        <v>0</v>
      </c>
      <c r="AM494">
        <v>0</v>
      </c>
      <c r="AN494">
        <v>8.2899999999999991</v>
      </c>
      <c r="AO494">
        <v>3.93</v>
      </c>
      <c r="AS494">
        <v>3</v>
      </c>
      <c r="AT494">
        <v>2</v>
      </c>
      <c r="AU494">
        <v>0</v>
      </c>
      <c r="AV494">
        <v>77</v>
      </c>
      <c r="AW494">
        <v>38</v>
      </c>
      <c r="AX494">
        <v>104</v>
      </c>
      <c r="AY494">
        <v>1</v>
      </c>
      <c r="AZ494" t="b">
        <v>1</v>
      </c>
      <c r="BA494">
        <v>1944</v>
      </c>
      <c r="BB494">
        <v>1313</v>
      </c>
      <c r="BC494">
        <v>11</v>
      </c>
      <c r="BD494" t="s">
        <v>5285</v>
      </c>
      <c r="BE494">
        <v>100</v>
      </c>
      <c r="BF494">
        <v>0</v>
      </c>
      <c r="BG494">
        <v>67</v>
      </c>
      <c r="BH494">
        <v>0</v>
      </c>
      <c r="BI494" s="1" t="s">
        <v>204</v>
      </c>
      <c r="BJ494" s="1" t="s">
        <v>276</v>
      </c>
      <c r="BK494" s="1" t="s">
        <v>204</v>
      </c>
      <c r="BL494" s="1" t="s">
        <v>545</v>
      </c>
      <c r="BM494">
        <v>2</v>
      </c>
      <c r="BN494">
        <v>3.6</v>
      </c>
      <c r="BO494">
        <v>3</v>
      </c>
      <c r="BP494" s="1" t="s">
        <v>587</v>
      </c>
      <c r="BQ494">
        <v>0</v>
      </c>
      <c r="BR494">
        <v>0</v>
      </c>
      <c r="BS494" s="1" t="s">
        <v>129</v>
      </c>
      <c r="BT494" s="1" t="s">
        <v>130</v>
      </c>
      <c r="BU494" s="1" t="s">
        <v>128</v>
      </c>
      <c r="BV494" s="1" t="s">
        <v>399</v>
      </c>
      <c r="BW494">
        <v>0</v>
      </c>
      <c r="BX494" s="1" t="s">
        <v>184</v>
      </c>
      <c r="BY494">
        <v>0</v>
      </c>
      <c r="BZ494" s="1" t="s">
        <v>213</v>
      </c>
      <c r="CA494">
        <v>0</v>
      </c>
      <c r="CB494">
        <v>7.2666666666667601E-2</v>
      </c>
      <c r="CC494">
        <v>8.2899999999999991</v>
      </c>
      <c r="CD494" s="1" t="s">
        <v>5286</v>
      </c>
      <c r="CE494">
        <v>3.93</v>
      </c>
      <c r="CF494">
        <v>1.284</v>
      </c>
      <c r="CG494">
        <v>7</v>
      </c>
      <c r="CH494" s="1" t="s">
        <v>729</v>
      </c>
      <c r="CI494" s="1" t="s">
        <v>138</v>
      </c>
      <c r="CJ494" s="1" t="s">
        <v>528</v>
      </c>
      <c r="CK494" s="1" t="s">
        <v>161</v>
      </c>
      <c r="CL494" s="1" t="s">
        <v>321</v>
      </c>
      <c r="CM494" s="1" t="s">
        <v>772</v>
      </c>
      <c r="CN494" s="1" t="s">
        <v>787</v>
      </c>
      <c r="CO494">
        <v>52</v>
      </c>
      <c r="CP494">
        <v>64</v>
      </c>
      <c r="CQ494">
        <v>191</v>
      </c>
      <c r="CR494">
        <v>238.6</v>
      </c>
      <c r="CS494">
        <v>1479</v>
      </c>
      <c r="CT494">
        <v>1688.8</v>
      </c>
      <c r="CU494" s="1" t="s">
        <v>5287</v>
      </c>
      <c r="CV494">
        <v>1592.6</v>
      </c>
      <c r="CW494">
        <v>83.35</v>
      </c>
      <c r="CX494">
        <v>76</v>
      </c>
      <c r="CY494">
        <v>71.2</v>
      </c>
      <c r="CZ494" s="1" t="s">
        <v>1459</v>
      </c>
      <c r="DA494">
        <v>1</v>
      </c>
      <c r="DB494" t="s">
        <v>877</v>
      </c>
      <c r="DC494">
        <v>41</v>
      </c>
      <c r="DD494" s="1" t="s">
        <v>5288</v>
      </c>
      <c r="DE494">
        <v>-21.9711287849507</v>
      </c>
      <c r="DF494" t="str">
        <f>_xlfn.XLOOKUP(Table1[[#This Row],[Player ID]],Table2[feed_id],Table2[trade_status])</f>
        <v>free_agent</v>
      </c>
      <c r="DG494">
        <f>_xlfn.NUMBERVALUE(Table1[[#This Row],[predicted]])</f>
        <v>62.9711287849507</v>
      </c>
    </row>
    <row r="495" spans="1:111" hidden="1" x14ac:dyDescent="0.25">
      <c r="A495">
        <v>125191</v>
      </c>
      <c r="B495">
        <v>8886</v>
      </c>
      <c r="C495" t="s">
        <v>5289</v>
      </c>
      <c r="D495" t="s">
        <v>491</v>
      </c>
      <c r="E495">
        <v>2024</v>
      </c>
      <c r="F495">
        <v>1018433</v>
      </c>
      <c r="G495" t="s">
        <v>5290</v>
      </c>
      <c r="H495" t="s">
        <v>3007</v>
      </c>
      <c r="I495" t="s">
        <v>317</v>
      </c>
      <c r="J495">
        <v>8</v>
      </c>
      <c r="K495">
        <v>50</v>
      </c>
      <c r="L495">
        <v>30</v>
      </c>
      <c r="M495">
        <v>32</v>
      </c>
      <c r="N495">
        <v>43</v>
      </c>
      <c r="O495">
        <v>57</v>
      </c>
      <c r="P495">
        <v>9</v>
      </c>
      <c r="Q495">
        <v>2</v>
      </c>
      <c r="R495">
        <v>7</v>
      </c>
      <c r="S495">
        <v>1</v>
      </c>
      <c r="T495">
        <v>0</v>
      </c>
      <c r="U495">
        <v>0</v>
      </c>
      <c r="V495">
        <v>2</v>
      </c>
      <c r="W495">
        <v>0</v>
      </c>
      <c r="X495">
        <v>0</v>
      </c>
      <c r="Y495" t="s">
        <v>113</v>
      </c>
      <c r="Z495" t="s">
        <v>179</v>
      </c>
      <c r="AA495" t="s">
        <v>5291</v>
      </c>
      <c r="AH495" t="s">
        <v>181</v>
      </c>
      <c r="AI495">
        <v>45</v>
      </c>
      <c r="AJ495">
        <v>0</v>
      </c>
      <c r="AK495">
        <v>0</v>
      </c>
      <c r="AL495">
        <v>0</v>
      </c>
      <c r="AM495">
        <v>0.04</v>
      </c>
      <c r="AN495">
        <v>0.11</v>
      </c>
      <c r="AO495">
        <v>0.17</v>
      </c>
      <c r="AS495">
        <v>1</v>
      </c>
      <c r="AT495">
        <v>0</v>
      </c>
      <c r="AU495">
        <v>5</v>
      </c>
      <c r="AV495">
        <v>63</v>
      </c>
      <c r="AW495">
        <v>90</v>
      </c>
      <c r="AX495">
        <v>345</v>
      </c>
      <c r="AY495">
        <v>1</v>
      </c>
      <c r="AZ495" t="b">
        <v>0</v>
      </c>
      <c r="BA495">
        <v>2053</v>
      </c>
      <c r="BB495">
        <v>1235</v>
      </c>
      <c r="BC495">
        <v>11</v>
      </c>
      <c r="BD495" t="s">
        <v>5292</v>
      </c>
      <c r="BE495">
        <v>100</v>
      </c>
      <c r="BF495">
        <v>0</v>
      </c>
      <c r="BG495">
        <v>67</v>
      </c>
      <c r="BH495">
        <v>0</v>
      </c>
      <c r="BI495" s="1" t="s">
        <v>183</v>
      </c>
      <c r="BJ495" s="1" t="s">
        <v>183</v>
      </c>
      <c r="BK495" s="1" t="s">
        <v>211</v>
      </c>
      <c r="BL495" s="1" t="s">
        <v>255</v>
      </c>
      <c r="BM495">
        <v>6</v>
      </c>
      <c r="BN495">
        <v>4.4000000000000004</v>
      </c>
      <c r="BO495" s="1" t="s">
        <v>128</v>
      </c>
      <c r="BP495">
        <v>1</v>
      </c>
      <c r="BQ495">
        <v>0</v>
      </c>
      <c r="BR495">
        <v>0</v>
      </c>
      <c r="BS495" s="1" t="s">
        <v>129</v>
      </c>
      <c r="BT495">
        <v>0.4</v>
      </c>
      <c r="BU495">
        <v>1</v>
      </c>
      <c r="BV495">
        <v>1</v>
      </c>
      <c r="BW495">
        <v>0</v>
      </c>
      <c r="BX495">
        <v>0</v>
      </c>
      <c r="BY495">
        <v>0</v>
      </c>
      <c r="BZ495">
        <v>0</v>
      </c>
      <c r="CA495">
        <v>0.04</v>
      </c>
      <c r="CB495">
        <v>0.34799999999999998</v>
      </c>
      <c r="CC495">
        <v>0.11</v>
      </c>
      <c r="CD495" s="1" t="s">
        <v>5293</v>
      </c>
      <c r="CE495">
        <v>0.17</v>
      </c>
      <c r="CF495" s="1" t="s">
        <v>1108</v>
      </c>
      <c r="CG495">
        <v>3</v>
      </c>
      <c r="CH495" s="1" t="s">
        <v>640</v>
      </c>
      <c r="CI495">
        <v>0</v>
      </c>
      <c r="CJ495">
        <v>6.6666666666666596E-2</v>
      </c>
      <c r="CK495" s="1" t="s">
        <v>169</v>
      </c>
      <c r="CL495" s="1" t="s">
        <v>255</v>
      </c>
      <c r="CM495" s="1" t="s">
        <v>350</v>
      </c>
      <c r="CN495">
        <v>73.400000000000006</v>
      </c>
      <c r="CO495" s="1" t="s">
        <v>941</v>
      </c>
      <c r="CP495" s="1" t="s">
        <v>1014</v>
      </c>
      <c r="CQ495" s="1" t="s">
        <v>5294</v>
      </c>
      <c r="CR495">
        <v>232.4</v>
      </c>
      <c r="CS495" s="1" t="s">
        <v>3595</v>
      </c>
      <c r="CT495" s="1" t="s">
        <v>5295</v>
      </c>
      <c r="CU495">
        <v>1945</v>
      </c>
      <c r="CV495">
        <v>1765.2</v>
      </c>
      <c r="CW495">
        <v>51.2</v>
      </c>
      <c r="CX495">
        <v>50.1</v>
      </c>
      <c r="CY495">
        <v>54.2</v>
      </c>
      <c r="CZ495" s="1" t="s">
        <v>2953</v>
      </c>
      <c r="DA495">
        <v>1</v>
      </c>
      <c r="DB495" t="s">
        <v>179</v>
      </c>
      <c r="DC495">
        <v>30</v>
      </c>
      <c r="DD495" s="1" t="s">
        <v>5296</v>
      </c>
      <c r="DE495">
        <v>-18.0477402639114</v>
      </c>
      <c r="DF495" t="str">
        <f>_xlfn.XLOOKUP(Table1[[#This Row],[Player ID]],Table2[feed_id],Table2[trade_status])</f>
        <v>free_agent</v>
      </c>
      <c r="DG495">
        <f>_xlfn.NUMBERVALUE(Table1[[#This Row],[predicted]])</f>
        <v>48.0477402639114</v>
      </c>
    </row>
    <row r="496" spans="1:111" hidden="1" x14ac:dyDescent="0.25">
      <c r="A496">
        <v>125336</v>
      </c>
      <c r="B496">
        <v>8889</v>
      </c>
      <c r="C496" t="s">
        <v>5297</v>
      </c>
      <c r="D496" t="s">
        <v>491</v>
      </c>
      <c r="E496">
        <v>2024</v>
      </c>
      <c r="F496">
        <v>291867</v>
      </c>
      <c r="G496" t="s">
        <v>670</v>
      </c>
      <c r="H496" t="s">
        <v>2955</v>
      </c>
      <c r="I496" t="s">
        <v>291</v>
      </c>
      <c r="J496">
        <v>6</v>
      </c>
      <c r="K496">
        <v>20</v>
      </c>
      <c r="L496">
        <v>28</v>
      </c>
      <c r="M496">
        <v>16</v>
      </c>
      <c r="N496">
        <v>16</v>
      </c>
      <c r="O496">
        <v>20</v>
      </c>
      <c r="P496">
        <v>2</v>
      </c>
      <c r="Q496">
        <v>1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1</v>
      </c>
      <c r="X496">
        <v>1</v>
      </c>
      <c r="Y496" t="s">
        <v>113</v>
      </c>
      <c r="Z496" t="s">
        <v>656</v>
      </c>
      <c r="AA496" t="s">
        <v>5298</v>
      </c>
      <c r="AE496">
        <v>0</v>
      </c>
      <c r="AH496" t="s">
        <v>155</v>
      </c>
      <c r="AI496">
        <v>50</v>
      </c>
      <c r="AJ496">
        <v>21</v>
      </c>
      <c r="AK496">
        <v>68.19</v>
      </c>
      <c r="AL496">
        <v>0</v>
      </c>
      <c r="AM496">
        <v>0</v>
      </c>
      <c r="AN496">
        <v>0.08</v>
      </c>
      <c r="AO496">
        <v>0.08</v>
      </c>
      <c r="AS496">
        <v>1</v>
      </c>
      <c r="AT496">
        <v>0</v>
      </c>
      <c r="AU496">
        <v>0</v>
      </c>
      <c r="AV496">
        <v>66</v>
      </c>
      <c r="AW496">
        <v>80</v>
      </c>
      <c r="AX496">
        <v>53</v>
      </c>
      <c r="AY496">
        <v>1</v>
      </c>
      <c r="AZ496" t="b">
        <v>0</v>
      </c>
      <c r="BA496">
        <v>1813</v>
      </c>
      <c r="BB496">
        <v>1481</v>
      </c>
      <c r="BC496">
        <v>11</v>
      </c>
      <c r="BD496" t="s">
        <v>5299</v>
      </c>
      <c r="BE496">
        <v>100</v>
      </c>
      <c r="BF496">
        <v>0</v>
      </c>
      <c r="BG496">
        <v>67</v>
      </c>
      <c r="BH496">
        <v>0</v>
      </c>
      <c r="BI496" s="1" t="s">
        <v>169</v>
      </c>
      <c r="BJ496">
        <v>5.4</v>
      </c>
      <c r="BK496" s="1" t="s">
        <v>126</v>
      </c>
      <c r="BL496">
        <v>2.6</v>
      </c>
      <c r="BM496" s="1" t="s">
        <v>126</v>
      </c>
      <c r="BN496" s="1" t="s">
        <v>321</v>
      </c>
      <c r="BO496" s="1" t="s">
        <v>128</v>
      </c>
      <c r="BP496" s="1" t="s">
        <v>130</v>
      </c>
      <c r="BQ496" s="1" t="s">
        <v>129</v>
      </c>
      <c r="BR496">
        <v>0.8</v>
      </c>
      <c r="BS496">
        <v>0</v>
      </c>
      <c r="BT496" s="1" t="s">
        <v>130</v>
      </c>
      <c r="BU496">
        <v>0</v>
      </c>
      <c r="BV496" s="1" t="s">
        <v>184</v>
      </c>
      <c r="BW496" s="1" t="s">
        <v>128</v>
      </c>
      <c r="BX496" s="1" t="s">
        <v>257</v>
      </c>
      <c r="BY496" s="1" t="s">
        <v>129</v>
      </c>
      <c r="BZ496" s="1" t="s">
        <v>238</v>
      </c>
      <c r="CA496">
        <v>0</v>
      </c>
      <c r="CB496">
        <v>8.0000000000000002E-3</v>
      </c>
      <c r="CC496">
        <v>0.08</v>
      </c>
      <c r="CD496" s="1" t="s">
        <v>465</v>
      </c>
      <c r="CE496">
        <v>0.08</v>
      </c>
      <c r="CF496" s="1" t="s">
        <v>5300</v>
      </c>
      <c r="CG496" s="1" t="s">
        <v>126</v>
      </c>
      <c r="CH496" s="1" t="s">
        <v>189</v>
      </c>
      <c r="CI496">
        <v>0</v>
      </c>
      <c r="CJ496">
        <v>0</v>
      </c>
      <c r="CK496" s="1" t="s">
        <v>128</v>
      </c>
      <c r="CL496">
        <v>1</v>
      </c>
      <c r="CM496" s="1" t="s">
        <v>241</v>
      </c>
      <c r="CN496" s="1" t="s">
        <v>5301</v>
      </c>
      <c r="CO496" s="1" t="s">
        <v>483</v>
      </c>
      <c r="CP496" s="1" t="s">
        <v>517</v>
      </c>
      <c r="CQ496" s="1" t="s">
        <v>350</v>
      </c>
      <c r="CR496">
        <v>131.19999999999999</v>
      </c>
      <c r="CS496" s="1" t="s">
        <v>5302</v>
      </c>
      <c r="CT496" s="1" t="s">
        <v>5303</v>
      </c>
      <c r="CU496">
        <v>1787</v>
      </c>
      <c r="CV496" s="1" t="s">
        <v>4555</v>
      </c>
      <c r="CW496">
        <v>57.1</v>
      </c>
      <c r="CX496">
        <v>42.9</v>
      </c>
      <c r="CY496">
        <v>33.799999999999997</v>
      </c>
      <c r="CZ496" s="1" t="s">
        <v>4271</v>
      </c>
      <c r="DA496">
        <v>1</v>
      </c>
      <c r="DB496" t="s">
        <v>656</v>
      </c>
      <c r="DC496">
        <v>28</v>
      </c>
      <c r="DD496" s="1" t="s">
        <v>5304</v>
      </c>
      <c r="DE496">
        <v>-28.8461374137623</v>
      </c>
      <c r="DF496" t="e">
        <f>_xlfn.XLOOKUP(Table1[[#This Row],[Player ID]],Table2[feed_id],Table2[trade_status])</f>
        <v>#N/A</v>
      </c>
      <c r="DG496">
        <f>_xlfn.NUMBERVALUE(Table1[[#This Row],[predicted]])</f>
        <v>56.8461374137623</v>
      </c>
    </row>
    <row r="497" spans="1:111" hidden="1" x14ac:dyDescent="0.25">
      <c r="A497">
        <v>125447</v>
      </c>
      <c r="B497">
        <v>8892</v>
      </c>
      <c r="C497" t="s">
        <v>5305</v>
      </c>
      <c r="D497" t="s">
        <v>539</v>
      </c>
      <c r="E497">
        <v>2024</v>
      </c>
      <c r="F497">
        <v>1012852</v>
      </c>
      <c r="G497" t="s">
        <v>5306</v>
      </c>
      <c r="H497" t="s">
        <v>5307</v>
      </c>
      <c r="I497" t="s">
        <v>813</v>
      </c>
      <c r="J497">
        <v>1</v>
      </c>
      <c r="K497">
        <v>22</v>
      </c>
      <c r="L497">
        <v>4</v>
      </c>
      <c r="M497">
        <v>28</v>
      </c>
      <c r="N497">
        <v>17</v>
      </c>
      <c r="O497">
        <v>24</v>
      </c>
      <c r="P497">
        <v>3</v>
      </c>
      <c r="Q497">
        <v>3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113</v>
      </c>
      <c r="Z497" t="s">
        <v>525</v>
      </c>
      <c r="AA497" t="s">
        <v>5308</v>
      </c>
      <c r="AB497" t="s">
        <v>3571</v>
      </c>
      <c r="AC497" t="s">
        <v>4081</v>
      </c>
      <c r="AH497" t="s">
        <v>155</v>
      </c>
      <c r="AI497">
        <v>35</v>
      </c>
      <c r="AJ497">
        <v>0</v>
      </c>
      <c r="AK497">
        <v>0</v>
      </c>
      <c r="AL497">
        <v>0</v>
      </c>
      <c r="AM497">
        <v>0.84</v>
      </c>
      <c r="AN497">
        <v>1.32</v>
      </c>
      <c r="AO497">
        <v>1.79</v>
      </c>
      <c r="AS497">
        <v>0</v>
      </c>
      <c r="AT497">
        <v>0</v>
      </c>
      <c r="AU497">
        <v>2</v>
      </c>
      <c r="AV497">
        <v>50</v>
      </c>
      <c r="AW497">
        <v>35</v>
      </c>
      <c r="AX497">
        <v>50</v>
      </c>
      <c r="AY497">
        <v>0</v>
      </c>
      <c r="AZ497" t="b">
        <v>0</v>
      </c>
      <c r="BA497">
        <v>1719</v>
      </c>
      <c r="BB497">
        <v>1580</v>
      </c>
      <c r="BC497">
        <v>12</v>
      </c>
      <c r="BD497" t="s">
        <v>5309</v>
      </c>
      <c r="BE497">
        <v>98</v>
      </c>
      <c r="BF497">
        <v>0</v>
      </c>
      <c r="BG497">
        <v>72</v>
      </c>
      <c r="BH497">
        <v>0</v>
      </c>
      <c r="BI497">
        <v>3</v>
      </c>
      <c r="BJ497">
        <v>3.8</v>
      </c>
      <c r="BK497" s="1" t="s">
        <v>138</v>
      </c>
      <c r="BL497" s="1" t="s">
        <v>397</v>
      </c>
      <c r="BM497" s="1" t="s">
        <v>128</v>
      </c>
      <c r="BN497" s="1" t="s">
        <v>327</v>
      </c>
      <c r="BO497" s="1" t="s">
        <v>161</v>
      </c>
      <c r="BP497" s="1" t="s">
        <v>322</v>
      </c>
      <c r="BQ497">
        <v>0</v>
      </c>
      <c r="BR497">
        <v>0</v>
      </c>
      <c r="BS497">
        <v>0</v>
      </c>
      <c r="BT497" s="1" t="s">
        <v>184</v>
      </c>
      <c r="BU497">
        <v>0</v>
      </c>
      <c r="BV497">
        <v>0.4</v>
      </c>
      <c r="BW497">
        <v>0</v>
      </c>
      <c r="BX497" s="1" t="s">
        <v>213</v>
      </c>
      <c r="BY497">
        <v>0</v>
      </c>
      <c r="BZ497">
        <v>0</v>
      </c>
      <c r="CA497">
        <v>0.84</v>
      </c>
      <c r="CB497">
        <v>0.56799999999999995</v>
      </c>
      <c r="CC497">
        <v>1.32</v>
      </c>
      <c r="CD497" s="1" t="s">
        <v>5310</v>
      </c>
      <c r="CE497">
        <v>1.79</v>
      </c>
      <c r="CF497">
        <v>1.0820000000000001</v>
      </c>
      <c r="CG497" s="1" t="s">
        <v>126</v>
      </c>
      <c r="CH497" s="1" t="s">
        <v>189</v>
      </c>
      <c r="CI497" s="1" t="s">
        <v>129</v>
      </c>
      <c r="CJ497" s="1" t="s">
        <v>127</v>
      </c>
      <c r="CK497" s="1" t="s">
        <v>161</v>
      </c>
      <c r="CL497" s="1" t="s">
        <v>257</v>
      </c>
      <c r="CM497" s="1" t="s">
        <v>2147</v>
      </c>
      <c r="CN497" s="1" t="s">
        <v>1243</v>
      </c>
      <c r="CO497" s="1" t="s">
        <v>3641</v>
      </c>
      <c r="CP497" s="1" t="s">
        <v>4315</v>
      </c>
      <c r="CQ497" s="1" t="s">
        <v>1012</v>
      </c>
      <c r="CR497">
        <v>81</v>
      </c>
      <c r="CS497" s="1" t="s">
        <v>2300</v>
      </c>
      <c r="CT497">
        <v>1528.4</v>
      </c>
      <c r="CU497" s="1" t="s">
        <v>5311</v>
      </c>
      <c r="CV497" s="1" t="s">
        <v>5312</v>
      </c>
      <c r="CW497">
        <v>36.15</v>
      </c>
      <c r="CX497">
        <v>43.4</v>
      </c>
      <c r="CY497">
        <v>24.8</v>
      </c>
      <c r="CZ497" s="1" t="s">
        <v>1609</v>
      </c>
      <c r="DA497">
        <v>1</v>
      </c>
      <c r="DB497" t="s">
        <v>525</v>
      </c>
      <c r="DC497">
        <v>4</v>
      </c>
      <c r="DD497" s="1" t="s">
        <v>5313</v>
      </c>
      <c r="DE497">
        <v>-36.4281604820019</v>
      </c>
      <c r="DF497" t="e">
        <f>_xlfn.XLOOKUP(Table1[[#This Row],[Player ID]],Table2[feed_id],Table2[trade_status])</f>
        <v>#N/A</v>
      </c>
      <c r="DG497">
        <f>_xlfn.NUMBERVALUE(Table1[[#This Row],[predicted]])</f>
        <v>40.4281604820019</v>
      </c>
    </row>
    <row r="498" spans="1:111" hidden="1" x14ac:dyDescent="0.25">
      <c r="A498">
        <v>125808</v>
      </c>
      <c r="B498">
        <v>8900</v>
      </c>
      <c r="C498" t="s">
        <v>5314</v>
      </c>
      <c r="D498" t="s">
        <v>579</v>
      </c>
      <c r="E498">
        <v>2024</v>
      </c>
      <c r="F498">
        <v>997974</v>
      </c>
      <c r="G498" t="s">
        <v>5315</v>
      </c>
      <c r="H498" t="s">
        <v>1881</v>
      </c>
      <c r="I498" t="s">
        <v>112</v>
      </c>
      <c r="J498">
        <v>2</v>
      </c>
      <c r="K498">
        <v>26</v>
      </c>
      <c r="L498">
        <v>27</v>
      </c>
      <c r="M498">
        <v>38</v>
      </c>
      <c r="N498">
        <v>21</v>
      </c>
      <c r="O498">
        <v>30</v>
      </c>
      <c r="P498">
        <v>3</v>
      </c>
      <c r="Q498">
        <v>1</v>
      </c>
      <c r="R498">
        <v>3</v>
      </c>
      <c r="S498">
        <v>3</v>
      </c>
      <c r="T498">
        <v>0</v>
      </c>
      <c r="U498">
        <v>0</v>
      </c>
      <c r="V498">
        <v>2</v>
      </c>
      <c r="W498">
        <v>0</v>
      </c>
      <c r="X498">
        <v>0</v>
      </c>
      <c r="Y498" t="s">
        <v>113</v>
      </c>
      <c r="Z498" t="s">
        <v>5316</v>
      </c>
      <c r="AA498" t="s">
        <v>5317</v>
      </c>
      <c r="AH498" t="s">
        <v>155</v>
      </c>
      <c r="AI498">
        <v>40</v>
      </c>
      <c r="AJ498">
        <v>0</v>
      </c>
      <c r="AK498">
        <v>0</v>
      </c>
      <c r="AL498">
        <v>0</v>
      </c>
      <c r="AM498">
        <v>0.44</v>
      </c>
      <c r="AN498">
        <v>0.39</v>
      </c>
      <c r="AO498">
        <v>0.31</v>
      </c>
      <c r="AS498">
        <v>3</v>
      </c>
      <c r="AT498">
        <v>0</v>
      </c>
      <c r="AU498">
        <v>3</v>
      </c>
      <c r="AV498">
        <v>75</v>
      </c>
      <c r="AW498">
        <v>63</v>
      </c>
      <c r="AX498">
        <v>63</v>
      </c>
      <c r="AY498">
        <v>1</v>
      </c>
      <c r="AZ498" t="b">
        <v>0</v>
      </c>
      <c r="BA498">
        <v>1724</v>
      </c>
      <c r="BB498">
        <v>1572</v>
      </c>
      <c r="BC498">
        <v>13</v>
      </c>
      <c r="BD498" t="s">
        <v>5318</v>
      </c>
      <c r="BE498">
        <v>99</v>
      </c>
      <c r="BF498">
        <v>0</v>
      </c>
      <c r="BG498">
        <v>73</v>
      </c>
      <c r="BH498">
        <v>0</v>
      </c>
      <c r="BI498" s="1" t="s">
        <v>125</v>
      </c>
      <c r="BJ498">
        <v>5.2</v>
      </c>
      <c r="BK498" s="1" t="s">
        <v>128</v>
      </c>
      <c r="BL498" s="1" t="s">
        <v>214</v>
      </c>
      <c r="BM498" s="1" t="s">
        <v>159</v>
      </c>
      <c r="BN498" s="1" t="s">
        <v>766</v>
      </c>
      <c r="BO498" s="1" t="s">
        <v>161</v>
      </c>
      <c r="BP498" s="1" t="s">
        <v>161</v>
      </c>
      <c r="BQ498">
        <v>0</v>
      </c>
      <c r="BR498">
        <v>0.8</v>
      </c>
      <c r="BS498" s="1" t="s">
        <v>129</v>
      </c>
      <c r="BT498" s="1" t="s">
        <v>128</v>
      </c>
      <c r="BU498" s="1" t="s">
        <v>128</v>
      </c>
      <c r="BV498" s="1" t="s">
        <v>127</v>
      </c>
      <c r="BW498">
        <v>0</v>
      </c>
      <c r="BX498" s="1" t="s">
        <v>126</v>
      </c>
      <c r="BY498" s="1" t="s">
        <v>128</v>
      </c>
      <c r="BZ498" s="1" t="s">
        <v>238</v>
      </c>
      <c r="CA498" s="1" t="s">
        <v>5319</v>
      </c>
      <c r="CB498" s="1" t="s">
        <v>5320</v>
      </c>
      <c r="CC498" s="1" t="s">
        <v>2571</v>
      </c>
      <c r="CD498">
        <v>0.312</v>
      </c>
      <c r="CE498" s="1" t="s">
        <v>2571</v>
      </c>
      <c r="CF498" s="1" t="s">
        <v>5321</v>
      </c>
      <c r="CG498">
        <v>3</v>
      </c>
      <c r="CH498">
        <v>4</v>
      </c>
      <c r="CI498">
        <v>0</v>
      </c>
      <c r="CJ498" s="1" t="s">
        <v>213</v>
      </c>
      <c r="CK498" s="1" t="s">
        <v>159</v>
      </c>
      <c r="CL498">
        <v>2</v>
      </c>
      <c r="CM498" s="1" t="s">
        <v>1969</v>
      </c>
      <c r="CN498" s="1" t="s">
        <v>1386</v>
      </c>
      <c r="CO498" s="1" t="s">
        <v>971</v>
      </c>
      <c r="CP498">
        <v>70.599999999999994</v>
      </c>
      <c r="CQ498">
        <v>66</v>
      </c>
      <c r="CR498">
        <v>108.2</v>
      </c>
      <c r="CS498" s="1" t="s">
        <v>5322</v>
      </c>
      <c r="CT498" s="1" t="s">
        <v>5323</v>
      </c>
      <c r="CU498">
        <v>1780</v>
      </c>
      <c r="CV498" s="1" t="s">
        <v>5324</v>
      </c>
      <c r="CW498">
        <v>48.15</v>
      </c>
      <c r="CX498">
        <v>44.6</v>
      </c>
      <c r="CY498">
        <v>38.6</v>
      </c>
      <c r="CZ498">
        <v>22</v>
      </c>
      <c r="DA498">
        <v>1</v>
      </c>
      <c r="DB498" t="s">
        <v>5316</v>
      </c>
      <c r="DC498">
        <v>27</v>
      </c>
      <c r="DD498" s="1" t="s">
        <v>5325</v>
      </c>
      <c r="DE498">
        <v>-34.862582337810203</v>
      </c>
      <c r="DF498" t="str">
        <f>_xlfn.XLOOKUP(Table1[[#This Row],[Player ID]],Table2[feed_id],Table2[trade_status])</f>
        <v>free_agent</v>
      </c>
      <c r="DG498">
        <f>_xlfn.NUMBERVALUE(Table1[[#This Row],[predicted]])</f>
        <v>61.862582337810203</v>
      </c>
    </row>
    <row r="499" spans="1:111" hidden="1" x14ac:dyDescent="0.25">
      <c r="A499">
        <v>125983</v>
      </c>
      <c r="B499">
        <v>8904</v>
      </c>
      <c r="C499" t="s">
        <v>5326</v>
      </c>
      <c r="D499" t="s">
        <v>579</v>
      </c>
      <c r="E499">
        <v>2024</v>
      </c>
      <c r="F499">
        <v>298470</v>
      </c>
      <c r="G499" t="s">
        <v>2181</v>
      </c>
      <c r="H499" t="s">
        <v>5327</v>
      </c>
      <c r="I499" t="s">
        <v>291</v>
      </c>
      <c r="J499">
        <v>4</v>
      </c>
      <c r="K499">
        <v>43</v>
      </c>
      <c r="L499">
        <v>43</v>
      </c>
      <c r="M499">
        <v>54</v>
      </c>
      <c r="N499">
        <v>36</v>
      </c>
      <c r="O499">
        <v>48</v>
      </c>
      <c r="P499">
        <v>5</v>
      </c>
      <c r="Q499">
        <v>6</v>
      </c>
      <c r="R499">
        <v>4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113</v>
      </c>
      <c r="Z499" t="s">
        <v>778</v>
      </c>
      <c r="AA499" t="s">
        <v>5328</v>
      </c>
      <c r="AB499" t="s">
        <v>525</v>
      </c>
      <c r="AC499" t="s">
        <v>2670</v>
      </c>
      <c r="AH499" t="s">
        <v>155</v>
      </c>
      <c r="AI499">
        <v>23</v>
      </c>
      <c r="AJ499">
        <v>0</v>
      </c>
      <c r="AK499">
        <v>0</v>
      </c>
      <c r="AL499">
        <v>0</v>
      </c>
      <c r="AM499">
        <v>0.18</v>
      </c>
      <c r="AN499">
        <v>0.14000000000000001</v>
      </c>
      <c r="AO499">
        <v>0.18</v>
      </c>
      <c r="AS499">
        <v>2</v>
      </c>
      <c r="AT499">
        <v>1</v>
      </c>
      <c r="AU499">
        <v>1</v>
      </c>
      <c r="AV499">
        <v>63</v>
      </c>
      <c r="AW499">
        <v>68</v>
      </c>
      <c r="AX499">
        <v>158</v>
      </c>
      <c r="AY499">
        <v>0</v>
      </c>
      <c r="AZ499" t="b">
        <v>1</v>
      </c>
      <c r="BA499">
        <v>1914</v>
      </c>
      <c r="BB499">
        <v>1367</v>
      </c>
      <c r="BC499">
        <v>13</v>
      </c>
      <c r="BD499" t="s">
        <v>5329</v>
      </c>
      <c r="BE499">
        <v>99</v>
      </c>
      <c r="BF499">
        <v>0</v>
      </c>
      <c r="BG499">
        <v>73</v>
      </c>
      <c r="BH499">
        <v>0</v>
      </c>
      <c r="BI499">
        <v>4</v>
      </c>
      <c r="BJ499">
        <v>5.6</v>
      </c>
      <c r="BK499" s="1" t="s">
        <v>160</v>
      </c>
      <c r="BL499">
        <v>4.5999999999999996</v>
      </c>
      <c r="BM499" s="1" t="s">
        <v>138</v>
      </c>
      <c r="BN499">
        <v>4.2</v>
      </c>
      <c r="BO499">
        <v>3</v>
      </c>
      <c r="BP499" s="1" t="s">
        <v>528</v>
      </c>
      <c r="BQ499">
        <v>0</v>
      </c>
      <c r="BR499">
        <v>0</v>
      </c>
      <c r="BS499" s="1" t="s">
        <v>129</v>
      </c>
      <c r="BT499" s="1" t="s">
        <v>128</v>
      </c>
      <c r="BU499" s="1" t="s">
        <v>128</v>
      </c>
      <c r="BV499" s="1" t="s">
        <v>127</v>
      </c>
      <c r="BW499" s="1" t="s">
        <v>129</v>
      </c>
      <c r="BX499" s="1" t="s">
        <v>126</v>
      </c>
      <c r="BY499" s="1" t="s">
        <v>128</v>
      </c>
      <c r="BZ499" s="1" t="s">
        <v>128</v>
      </c>
      <c r="CA499">
        <v>0.18</v>
      </c>
      <c r="CB499">
        <v>0.218</v>
      </c>
      <c r="CC499">
        <v>0.14000000000000001</v>
      </c>
      <c r="CD499">
        <v>8.4000000000000005E-2</v>
      </c>
      <c r="CE499">
        <v>0.18</v>
      </c>
      <c r="CF499">
        <v>7.8E-2</v>
      </c>
      <c r="CG499" s="1" t="s">
        <v>159</v>
      </c>
      <c r="CH499" s="1" t="s">
        <v>189</v>
      </c>
      <c r="CI499" s="1" t="s">
        <v>128</v>
      </c>
      <c r="CJ499" s="1" t="s">
        <v>184</v>
      </c>
      <c r="CK499" s="1" t="s">
        <v>126</v>
      </c>
      <c r="CL499" s="1" t="s">
        <v>275</v>
      </c>
      <c r="CM499" s="1" t="s">
        <v>1459</v>
      </c>
      <c r="CN499" s="1" t="s">
        <v>5330</v>
      </c>
      <c r="CO499" s="1" t="s">
        <v>263</v>
      </c>
      <c r="CP499" s="1" t="s">
        <v>1417</v>
      </c>
      <c r="CQ499" s="1" t="s">
        <v>995</v>
      </c>
      <c r="CR499" s="1" t="s">
        <v>5331</v>
      </c>
      <c r="CS499" s="1" t="s">
        <v>912</v>
      </c>
      <c r="CT499" s="1" t="s">
        <v>5332</v>
      </c>
      <c r="CU499">
        <v>1733</v>
      </c>
      <c r="CV499" s="1" t="s">
        <v>5333</v>
      </c>
      <c r="CW499">
        <v>63.15</v>
      </c>
      <c r="CX499">
        <v>59.6</v>
      </c>
      <c r="CY499">
        <v>55.6</v>
      </c>
      <c r="CZ499">
        <v>42</v>
      </c>
      <c r="DA499">
        <v>1</v>
      </c>
      <c r="DB499" t="s">
        <v>778</v>
      </c>
      <c r="DC499">
        <v>43</v>
      </c>
      <c r="DD499" s="1" t="s">
        <v>5334</v>
      </c>
      <c r="DE499">
        <v>-29.3202140530991</v>
      </c>
      <c r="DF499" t="str">
        <f>_xlfn.XLOOKUP(Table1[[#This Row],[Player ID]],Table2[feed_id],Table2[trade_status])</f>
        <v>free_agent</v>
      </c>
      <c r="DG499">
        <f>_xlfn.NUMBERVALUE(Table1[[#This Row],[predicted]])</f>
        <v>72.320214053099093</v>
      </c>
    </row>
    <row r="500" spans="1:111" hidden="1" x14ac:dyDescent="0.25">
      <c r="A500">
        <v>125988</v>
      </c>
      <c r="B500">
        <v>8904</v>
      </c>
      <c r="C500" t="s">
        <v>5326</v>
      </c>
      <c r="D500" t="s">
        <v>579</v>
      </c>
      <c r="E500">
        <v>2024</v>
      </c>
      <c r="F500">
        <v>294557</v>
      </c>
      <c r="G500" t="s">
        <v>4008</v>
      </c>
      <c r="H500" t="s">
        <v>5335</v>
      </c>
      <c r="I500" t="s">
        <v>291</v>
      </c>
      <c r="J500">
        <v>1</v>
      </c>
      <c r="K500">
        <v>18</v>
      </c>
      <c r="L500">
        <v>16</v>
      </c>
      <c r="M500">
        <v>22</v>
      </c>
      <c r="N500">
        <v>14</v>
      </c>
      <c r="O500">
        <v>21</v>
      </c>
      <c r="P500">
        <v>4</v>
      </c>
      <c r="Q500">
        <v>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113</v>
      </c>
      <c r="Z500" t="s">
        <v>114</v>
      </c>
      <c r="AA500" t="s">
        <v>5336</v>
      </c>
      <c r="AB500" t="s">
        <v>116</v>
      </c>
      <c r="AC500" t="s">
        <v>2095</v>
      </c>
      <c r="AH500" t="s">
        <v>118</v>
      </c>
      <c r="AI500">
        <v>12</v>
      </c>
      <c r="AJ500">
        <v>0</v>
      </c>
      <c r="AK500">
        <v>0</v>
      </c>
      <c r="AL500">
        <v>0</v>
      </c>
      <c r="AM500">
        <v>0.13</v>
      </c>
      <c r="AN500">
        <v>0.09</v>
      </c>
      <c r="AO500">
        <v>7.0000000000000007E-2</v>
      </c>
      <c r="AS500">
        <v>2</v>
      </c>
      <c r="AT500">
        <v>0</v>
      </c>
      <c r="AU500">
        <v>2</v>
      </c>
      <c r="AV500">
        <v>42</v>
      </c>
      <c r="AW500">
        <v>36</v>
      </c>
      <c r="AX500">
        <v>129</v>
      </c>
      <c r="AY500">
        <v>1</v>
      </c>
      <c r="AZ500" t="b">
        <v>1</v>
      </c>
      <c r="BA500">
        <v>1914</v>
      </c>
      <c r="BB500">
        <v>1367</v>
      </c>
      <c r="BC500">
        <v>13</v>
      </c>
      <c r="BD500" t="s">
        <v>5329</v>
      </c>
      <c r="BE500">
        <v>99</v>
      </c>
      <c r="BF500">
        <v>0</v>
      </c>
      <c r="BG500">
        <v>73</v>
      </c>
      <c r="BH500">
        <v>0</v>
      </c>
      <c r="BI500">
        <v>10</v>
      </c>
      <c r="BJ500" s="1" t="s">
        <v>5337</v>
      </c>
      <c r="BK500" s="1" t="s">
        <v>253</v>
      </c>
      <c r="BL500" s="1" t="s">
        <v>1159</v>
      </c>
      <c r="BM500" s="1" t="s">
        <v>138</v>
      </c>
      <c r="BN500">
        <v>4.2</v>
      </c>
      <c r="BO500" s="1" t="s">
        <v>128</v>
      </c>
      <c r="BP500">
        <v>1.6</v>
      </c>
      <c r="BQ500">
        <v>0</v>
      </c>
      <c r="BR500">
        <v>0</v>
      </c>
      <c r="BS500">
        <v>0</v>
      </c>
      <c r="BT500" s="1" t="s">
        <v>128</v>
      </c>
      <c r="BU500">
        <v>0</v>
      </c>
      <c r="BV500" s="1" t="s">
        <v>129</v>
      </c>
      <c r="BW500" s="1" t="s">
        <v>129</v>
      </c>
      <c r="BX500">
        <v>0.2</v>
      </c>
      <c r="BY500">
        <v>0</v>
      </c>
      <c r="BZ500">
        <v>0.2</v>
      </c>
      <c r="CA500" s="1" t="s">
        <v>2571</v>
      </c>
      <c r="CB500">
        <v>0.72799999999999998</v>
      </c>
      <c r="CC500" s="1" t="s">
        <v>2783</v>
      </c>
      <c r="CD500" s="1" t="s">
        <v>5338</v>
      </c>
      <c r="CE500" s="1" t="s">
        <v>5339</v>
      </c>
      <c r="CF500" s="1" t="s">
        <v>5340</v>
      </c>
      <c r="CG500">
        <v>4</v>
      </c>
      <c r="CH500" s="1" t="s">
        <v>430</v>
      </c>
      <c r="CI500">
        <v>1</v>
      </c>
      <c r="CJ500">
        <v>2</v>
      </c>
      <c r="CK500">
        <v>2</v>
      </c>
      <c r="CL500" s="1" t="s">
        <v>237</v>
      </c>
      <c r="CM500" s="1" t="s">
        <v>1459</v>
      </c>
      <c r="CN500" s="1" t="s">
        <v>282</v>
      </c>
      <c r="CO500">
        <v>71</v>
      </c>
      <c r="CP500">
        <v>87.6</v>
      </c>
      <c r="CQ500">
        <v>257</v>
      </c>
      <c r="CR500" s="1" t="s">
        <v>5341</v>
      </c>
      <c r="CS500" s="1" t="s">
        <v>4610</v>
      </c>
      <c r="CT500">
        <v>1650.4</v>
      </c>
      <c r="CU500" s="1" t="s">
        <v>5342</v>
      </c>
      <c r="CV500">
        <v>1633.6</v>
      </c>
      <c r="CW500">
        <v>74.45</v>
      </c>
      <c r="CX500">
        <v>66.8</v>
      </c>
      <c r="CY500">
        <v>61</v>
      </c>
      <c r="CZ500" s="1" t="s">
        <v>418</v>
      </c>
      <c r="DA500">
        <v>1</v>
      </c>
      <c r="DB500" t="s">
        <v>114</v>
      </c>
      <c r="DC500">
        <v>16</v>
      </c>
      <c r="DD500" s="1" t="s">
        <v>5343</v>
      </c>
      <c r="DE500">
        <v>-39.219114560806602</v>
      </c>
      <c r="DF500" t="e">
        <f>_xlfn.XLOOKUP(Table1[[#This Row],[Player ID]],Table2[feed_id],Table2[trade_status])</f>
        <v>#N/A</v>
      </c>
      <c r="DG500">
        <f>_xlfn.NUMBERVALUE(Table1[[#This Row],[predicted]])</f>
        <v>55.219114560806602</v>
      </c>
    </row>
    <row r="501" spans="1:111" hidden="1" x14ac:dyDescent="0.25">
      <c r="A501">
        <v>126078</v>
      </c>
      <c r="B501">
        <v>8906</v>
      </c>
      <c r="C501" t="s">
        <v>5344</v>
      </c>
      <c r="D501" t="s">
        <v>1360</v>
      </c>
      <c r="E501">
        <v>2024</v>
      </c>
      <c r="F501">
        <v>1000068</v>
      </c>
      <c r="G501" t="s">
        <v>315</v>
      </c>
      <c r="H501" t="s">
        <v>5345</v>
      </c>
      <c r="I501" t="s">
        <v>510</v>
      </c>
      <c r="J501">
        <v>2</v>
      </c>
      <c r="K501">
        <v>31</v>
      </c>
      <c r="L501">
        <v>34</v>
      </c>
      <c r="M501">
        <v>39</v>
      </c>
      <c r="N501">
        <v>24</v>
      </c>
      <c r="O501">
        <v>29</v>
      </c>
      <c r="P501">
        <v>3</v>
      </c>
      <c r="Q501">
        <v>1</v>
      </c>
      <c r="R501">
        <v>1</v>
      </c>
      <c r="S501">
        <v>2</v>
      </c>
      <c r="T501">
        <v>8</v>
      </c>
      <c r="U501">
        <v>1</v>
      </c>
      <c r="V501">
        <v>0</v>
      </c>
      <c r="W501">
        <v>0</v>
      </c>
      <c r="X501">
        <v>0</v>
      </c>
      <c r="Y501" t="s">
        <v>113</v>
      </c>
      <c r="Z501" t="s">
        <v>987</v>
      </c>
      <c r="AA501" t="s">
        <v>5346</v>
      </c>
      <c r="AH501" t="s">
        <v>181</v>
      </c>
      <c r="AI501">
        <v>21</v>
      </c>
      <c r="AJ501">
        <v>0</v>
      </c>
      <c r="AK501">
        <v>0</v>
      </c>
      <c r="AL501">
        <v>0</v>
      </c>
      <c r="AM501">
        <v>8.99</v>
      </c>
      <c r="AN501">
        <v>4.4800000000000004</v>
      </c>
      <c r="AO501">
        <v>18.22</v>
      </c>
      <c r="AS501">
        <v>1</v>
      </c>
      <c r="AT501">
        <v>0</v>
      </c>
      <c r="AU501">
        <v>1</v>
      </c>
      <c r="AV501">
        <v>50</v>
      </c>
      <c r="AW501">
        <v>77</v>
      </c>
      <c r="AX501">
        <v>71</v>
      </c>
      <c r="AY501">
        <v>1</v>
      </c>
      <c r="AZ501" t="b">
        <v>0</v>
      </c>
      <c r="BA501">
        <v>1601</v>
      </c>
      <c r="BB501">
        <v>1667</v>
      </c>
      <c r="BC501">
        <v>14</v>
      </c>
      <c r="BD501" t="s">
        <v>5347</v>
      </c>
      <c r="BE501">
        <v>98</v>
      </c>
      <c r="BF501">
        <v>0</v>
      </c>
      <c r="BG501">
        <v>70</v>
      </c>
      <c r="BH501">
        <v>0</v>
      </c>
      <c r="BI501" s="1" t="s">
        <v>449</v>
      </c>
      <c r="BJ501" s="1" t="s">
        <v>212</v>
      </c>
      <c r="BK501">
        <v>2</v>
      </c>
      <c r="BL501" s="1" t="s">
        <v>528</v>
      </c>
      <c r="BM501" s="1" t="s">
        <v>125</v>
      </c>
      <c r="BN501" s="1" t="s">
        <v>169</v>
      </c>
      <c r="BO501" s="1" t="s">
        <v>161</v>
      </c>
      <c r="BP501" s="1" t="s">
        <v>304</v>
      </c>
      <c r="BQ501" s="1" t="s">
        <v>124</v>
      </c>
      <c r="BR501" s="1" t="s">
        <v>160</v>
      </c>
      <c r="BS501">
        <v>1</v>
      </c>
      <c r="BT501" s="1" t="s">
        <v>231</v>
      </c>
      <c r="BU501" s="1" t="s">
        <v>128</v>
      </c>
      <c r="BV501" s="1" t="s">
        <v>129</v>
      </c>
      <c r="BW501" s="1" t="s">
        <v>126</v>
      </c>
      <c r="BX501" s="1" t="s">
        <v>238</v>
      </c>
      <c r="BY501" s="1" t="s">
        <v>128</v>
      </c>
      <c r="BZ501" s="1" t="s">
        <v>128</v>
      </c>
      <c r="CA501">
        <v>8.99</v>
      </c>
      <c r="CB501">
        <v>4.2939999999999996</v>
      </c>
      <c r="CC501">
        <v>4.4800000000000004</v>
      </c>
      <c r="CD501" s="1" t="s">
        <v>5348</v>
      </c>
      <c r="CE501">
        <v>18.22</v>
      </c>
      <c r="CF501" s="1" t="s">
        <v>5349</v>
      </c>
      <c r="CG501" s="1" t="s">
        <v>138</v>
      </c>
      <c r="CH501" s="1" t="s">
        <v>189</v>
      </c>
      <c r="CI501" s="1" t="s">
        <v>128</v>
      </c>
      <c r="CJ501">
        <v>0.6</v>
      </c>
      <c r="CK501" s="1" t="s">
        <v>126</v>
      </c>
      <c r="CL501" s="1" t="s">
        <v>127</v>
      </c>
      <c r="CM501">
        <v>68</v>
      </c>
      <c r="CN501" s="1" t="s">
        <v>2863</v>
      </c>
      <c r="CO501" s="1" t="s">
        <v>930</v>
      </c>
      <c r="CP501" s="1" t="s">
        <v>5350</v>
      </c>
      <c r="CQ501" s="1" t="s">
        <v>4483</v>
      </c>
      <c r="CR501">
        <v>108.2</v>
      </c>
      <c r="CS501">
        <v>1763</v>
      </c>
      <c r="CT501" s="1" t="s">
        <v>2367</v>
      </c>
      <c r="CU501">
        <v>1516</v>
      </c>
      <c r="CV501">
        <v>1699.2</v>
      </c>
      <c r="CW501">
        <v>54.7</v>
      </c>
      <c r="CX501">
        <v>44.8</v>
      </c>
      <c r="CY501">
        <v>51</v>
      </c>
      <c r="CZ501">
        <v>56</v>
      </c>
      <c r="DA501">
        <v>1</v>
      </c>
      <c r="DB501" t="s">
        <v>987</v>
      </c>
      <c r="DC501">
        <v>34</v>
      </c>
      <c r="DD501" s="1" t="s">
        <v>5351</v>
      </c>
      <c r="DE501">
        <v>-37.2556363918982</v>
      </c>
      <c r="DF501" t="str">
        <f>_xlfn.XLOOKUP(Table1[[#This Row],[Player ID]],Table2[feed_id],Table2[trade_status])</f>
        <v>free_agent</v>
      </c>
      <c r="DG501">
        <f>_xlfn.NUMBERVALUE(Table1[[#This Row],[predicted]])</f>
        <v>71.255636391898193</v>
      </c>
    </row>
    <row r="502" spans="1:111" hidden="1" x14ac:dyDescent="0.25">
      <c r="A502">
        <v>126079</v>
      </c>
      <c r="B502">
        <v>8906</v>
      </c>
      <c r="C502" t="s">
        <v>5344</v>
      </c>
      <c r="D502" t="s">
        <v>1360</v>
      </c>
      <c r="E502">
        <v>2024</v>
      </c>
      <c r="F502">
        <v>1008185</v>
      </c>
      <c r="G502" t="s">
        <v>5352</v>
      </c>
      <c r="H502" t="s">
        <v>5353</v>
      </c>
      <c r="I502" t="s">
        <v>510</v>
      </c>
      <c r="J502">
        <v>1</v>
      </c>
      <c r="K502">
        <v>16</v>
      </c>
      <c r="L502">
        <v>23</v>
      </c>
      <c r="M502">
        <v>18</v>
      </c>
      <c r="N502">
        <v>16</v>
      </c>
      <c r="O502">
        <v>24</v>
      </c>
      <c r="P502">
        <v>2</v>
      </c>
      <c r="Q502">
        <v>6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 t="s">
        <v>113</v>
      </c>
      <c r="Z502" t="s">
        <v>525</v>
      </c>
      <c r="AA502" t="s">
        <v>5354</v>
      </c>
      <c r="AB502" t="s">
        <v>3571</v>
      </c>
      <c r="AC502" t="s">
        <v>4081</v>
      </c>
      <c r="AH502" t="s">
        <v>155</v>
      </c>
      <c r="AI502">
        <v>25</v>
      </c>
      <c r="AJ502">
        <v>0</v>
      </c>
      <c r="AK502">
        <v>0</v>
      </c>
      <c r="AL502">
        <v>0</v>
      </c>
      <c r="AM502">
        <v>0</v>
      </c>
      <c r="AN502">
        <v>0.15</v>
      </c>
      <c r="AO502">
        <v>0.09</v>
      </c>
      <c r="AS502">
        <v>4</v>
      </c>
      <c r="AT502">
        <v>1</v>
      </c>
      <c r="AU502">
        <v>2</v>
      </c>
      <c r="AV502">
        <v>87</v>
      </c>
      <c r="AW502">
        <v>26</v>
      </c>
      <c r="AX502">
        <v>147</v>
      </c>
      <c r="AY502">
        <v>0</v>
      </c>
      <c r="AZ502" t="b">
        <v>0</v>
      </c>
      <c r="BA502">
        <v>1601</v>
      </c>
      <c r="BB502">
        <v>1667</v>
      </c>
      <c r="BC502">
        <v>14</v>
      </c>
      <c r="BD502" t="s">
        <v>5347</v>
      </c>
      <c r="BE502">
        <v>98</v>
      </c>
      <c r="BF502">
        <v>0</v>
      </c>
      <c r="BG502">
        <v>70</v>
      </c>
      <c r="BH502">
        <v>0</v>
      </c>
      <c r="BI502" s="1" t="s">
        <v>449</v>
      </c>
      <c r="BJ502">
        <v>6.8</v>
      </c>
      <c r="BK502" s="1" t="s">
        <v>449</v>
      </c>
      <c r="BL502">
        <v>4.4000000000000004</v>
      </c>
      <c r="BM502" s="1" t="s">
        <v>169</v>
      </c>
      <c r="BN502" s="1" t="s">
        <v>125</v>
      </c>
      <c r="BO502">
        <v>1</v>
      </c>
      <c r="BP502" s="1" t="s">
        <v>275</v>
      </c>
      <c r="BQ502">
        <v>0</v>
      </c>
      <c r="BR502">
        <v>0</v>
      </c>
      <c r="BS502" s="1" t="s">
        <v>129</v>
      </c>
      <c r="BT502" s="1" t="s">
        <v>128</v>
      </c>
      <c r="BU502" s="1" t="s">
        <v>126</v>
      </c>
      <c r="BV502" s="1" t="s">
        <v>162</v>
      </c>
      <c r="BW502" s="1" t="s">
        <v>129</v>
      </c>
      <c r="BX502" s="1" t="s">
        <v>129</v>
      </c>
      <c r="BY502" s="1" t="s">
        <v>129</v>
      </c>
      <c r="BZ502" s="1" t="s">
        <v>213</v>
      </c>
      <c r="CA502">
        <v>0</v>
      </c>
      <c r="CB502" s="1" t="s">
        <v>2204</v>
      </c>
      <c r="CC502">
        <v>0.15</v>
      </c>
      <c r="CD502" s="1" t="s">
        <v>5355</v>
      </c>
      <c r="CE502">
        <v>0.09</v>
      </c>
      <c r="CF502">
        <v>8.2000000000000003E-2</v>
      </c>
      <c r="CG502" s="1" t="s">
        <v>125</v>
      </c>
      <c r="CH502" s="1" t="s">
        <v>125</v>
      </c>
      <c r="CI502" s="1" t="s">
        <v>128</v>
      </c>
      <c r="CJ502" s="1" t="s">
        <v>231</v>
      </c>
      <c r="CK502">
        <v>2</v>
      </c>
      <c r="CL502">
        <v>2.2000000000000002</v>
      </c>
      <c r="CM502" s="1" t="s">
        <v>437</v>
      </c>
      <c r="CN502" s="1" t="s">
        <v>1641</v>
      </c>
      <c r="CO502" s="1" t="s">
        <v>1969</v>
      </c>
      <c r="CP502" s="1" t="s">
        <v>5356</v>
      </c>
      <c r="CQ502" s="1" t="s">
        <v>5090</v>
      </c>
      <c r="CR502" s="1" t="s">
        <v>5357</v>
      </c>
      <c r="CS502" s="1" t="s">
        <v>5358</v>
      </c>
      <c r="CT502" s="1" t="s">
        <v>5359</v>
      </c>
      <c r="CU502" s="1" t="s">
        <v>504</v>
      </c>
      <c r="CV502" s="1" t="s">
        <v>5360</v>
      </c>
      <c r="CW502">
        <v>44.3</v>
      </c>
      <c r="CX502">
        <v>40.700000000000003</v>
      </c>
      <c r="CY502">
        <v>42.2</v>
      </c>
      <c r="CZ502" s="1" t="s">
        <v>1245</v>
      </c>
      <c r="DA502">
        <v>1</v>
      </c>
      <c r="DB502" t="s">
        <v>525</v>
      </c>
      <c r="DC502">
        <v>23</v>
      </c>
      <c r="DD502" s="1" t="s">
        <v>5361</v>
      </c>
      <c r="DE502">
        <v>-25.516257183803301</v>
      </c>
      <c r="DF502" t="e">
        <f>_xlfn.XLOOKUP(Table1[[#This Row],[Player ID]],Table2[feed_id],Table2[trade_status])</f>
        <v>#N/A</v>
      </c>
      <c r="DG502">
        <f>_xlfn.NUMBERVALUE(Table1[[#This Row],[predicted]])</f>
        <v>48.516257183803297</v>
      </c>
    </row>
    <row r="503" spans="1:111" hidden="1" x14ac:dyDescent="0.25">
      <c r="A503">
        <v>126117</v>
      </c>
      <c r="B503">
        <v>8907</v>
      </c>
      <c r="C503" t="s">
        <v>5362</v>
      </c>
      <c r="D503" t="s">
        <v>1360</v>
      </c>
      <c r="E503">
        <v>2024</v>
      </c>
      <c r="F503">
        <v>290797</v>
      </c>
      <c r="G503" t="s">
        <v>1450</v>
      </c>
      <c r="H503" t="s">
        <v>5363</v>
      </c>
      <c r="I503" t="s">
        <v>712</v>
      </c>
      <c r="J503">
        <v>5</v>
      </c>
      <c r="K503">
        <v>46</v>
      </c>
      <c r="L503">
        <v>63</v>
      </c>
      <c r="M503">
        <v>57</v>
      </c>
      <c r="N503">
        <v>39</v>
      </c>
      <c r="O503">
        <v>51</v>
      </c>
      <c r="P503">
        <v>3</v>
      </c>
      <c r="Q503">
        <v>8</v>
      </c>
      <c r="R503">
        <v>4</v>
      </c>
      <c r="S503">
        <v>2</v>
      </c>
      <c r="T503">
        <v>0</v>
      </c>
      <c r="U503">
        <v>1</v>
      </c>
      <c r="V503">
        <v>0</v>
      </c>
      <c r="W503">
        <v>0</v>
      </c>
      <c r="X503">
        <v>0</v>
      </c>
      <c r="Y503" t="s">
        <v>113</v>
      </c>
      <c r="Z503" t="s">
        <v>494</v>
      </c>
      <c r="AA503" t="s">
        <v>5364</v>
      </c>
      <c r="AB503" t="s">
        <v>179</v>
      </c>
      <c r="AC503" t="s">
        <v>5144</v>
      </c>
      <c r="AE503">
        <v>0</v>
      </c>
      <c r="AH503" t="s">
        <v>181</v>
      </c>
      <c r="AI503">
        <v>42</v>
      </c>
      <c r="AJ503">
        <v>5</v>
      </c>
      <c r="AK503">
        <v>50.8</v>
      </c>
      <c r="AL503">
        <v>0</v>
      </c>
      <c r="AM503">
        <v>0</v>
      </c>
      <c r="AN503">
        <v>0.08</v>
      </c>
      <c r="AO503">
        <v>0.09</v>
      </c>
      <c r="AS503">
        <v>5</v>
      </c>
      <c r="AT503">
        <v>0</v>
      </c>
      <c r="AU503">
        <v>0</v>
      </c>
      <c r="AV503">
        <v>72</v>
      </c>
      <c r="AW503">
        <v>78</v>
      </c>
      <c r="AX503">
        <v>113</v>
      </c>
      <c r="AY503">
        <v>1</v>
      </c>
      <c r="AZ503" t="b">
        <v>1</v>
      </c>
      <c r="BA503">
        <v>1792</v>
      </c>
      <c r="BB503">
        <v>1499</v>
      </c>
      <c r="BC503">
        <v>14</v>
      </c>
      <c r="BD503" t="s">
        <v>5365</v>
      </c>
      <c r="BE503">
        <v>98</v>
      </c>
      <c r="BF503">
        <v>0</v>
      </c>
      <c r="BG503">
        <v>70</v>
      </c>
      <c r="BH503">
        <v>0</v>
      </c>
      <c r="BI503" s="1" t="s">
        <v>124</v>
      </c>
      <c r="BJ503">
        <v>6.8</v>
      </c>
      <c r="BK503">
        <v>7</v>
      </c>
      <c r="BL503">
        <v>5</v>
      </c>
      <c r="BM503">
        <v>5</v>
      </c>
      <c r="BN503">
        <v>5.2</v>
      </c>
      <c r="BO503">
        <v>1</v>
      </c>
      <c r="BP503">
        <v>1.4</v>
      </c>
      <c r="BQ503">
        <v>0</v>
      </c>
      <c r="BR503">
        <v>0</v>
      </c>
      <c r="BS503" s="1" t="s">
        <v>161</v>
      </c>
      <c r="BT503">
        <v>0.8</v>
      </c>
      <c r="BU503" s="1" t="s">
        <v>129</v>
      </c>
      <c r="BV503">
        <v>0.6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0.08</v>
      </c>
      <c r="CD503">
        <v>0.1</v>
      </c>
      <c r="CE503">
        <v>0.09</v>
      </c>
      <c r="CF503">
        <v>7.6666666666666605E-2</v>
      </c>
      <c r="CG503">
        <v>5</v>
      </c>
      <c r="CH503" s="1" t="s">
        <v>587</v>
      </c>
      <c r="CI503">
        <v>0</v>
      </c>
      <c r="CJ503">
        <v>0</v>
      </c>
      <c r="CK503" s="1" t="s">
        <v>129</v>
      </c>
      <c r="CL503">
        <v>1.6</v>
      </c>
      <c r="CM503" s="1" t="s">
        <v>941</v>
      </c>
      <c r="CN503">
        <v>84.4</v>
      </c>
      <c r="CO503" s="1" t="s">
        <v>1665</v>
      </c>
      <c r="CP503" s="1" t="s">
        <v>552</v>
      </c>
      <c r="CQ503" s="1" t="s">
        <v>1012</v>
      </c>
      <c r="CR503">
        <v>152.19999999999999</v>
      </c>
      <c r="CS503" s="1" t="s">
        <v>2926</v>
      </c>
      <c r="CT503">
        <v>1647</v>
      </c>
      <c r="CU503" s="1" t="s">
        <v>2675</v>
      </c>
      <c r="CV503">
        <v>1638.2</v>
      </c>
      <c r="CW503">
        <v>57.3</v>
      </c>
      <c r="CX503">
        <v>53.4</v>
      </c>
      <c r="CY503">
        <v>56.2</v>
      </c>
      <c r="CZ503" s="1" t="s">
        <v>1242</v>
      </c>
      <c r="DA503">
        <v>1</v>
      </c>
      <c r="DB503" t="s">
        <v>494</v>
      </c>
      <c r="DC503">
        <v>63</v>
      </c>
      <c r="DD503" s="1" t="s">
        <v>5366</v>
      </c>
      <c r="DE503">
        <v>-7.9046130046662402</v>
      </c>
      <c r="DF503" t="e">
        <f>_xlfn.XLOOKUP(Table1[[#This Row],[Player ID]],Table2[feed_id],Table2[trade_status])</f>
        <v>#N/A</v>
      </c>
      <c r="DG503">
        <f>_xlfn.NUMBERVALUE(Table1[[#This Row],[predicted]])</f>
        <v>70.904613004666203</v>
      </c>
    </row>
    <row r="504" spans="1:111" hidden="1" x14ac:dyDescent="0.25">
      <c r="A504">
        <v>126168</v>
      </c>
      <c r="B504">
        <v>8908</v>
      </c>
      <c r="C504" t="s">
        <v>5367</v>
      </c>
      <c r="D504" t="s">
        <v>1360</v>
      </c>
      <c r="E504">
        <v>2024</v>
      </c>
      <c r="F504">
        <v>1001024</v>
      </c>
      <c r="G504" t="s">
        <v>5352</v>
      </c>
      <c r="H504" t="s">
        <v>5368</v>
      </c>
      <c r="I504" t="s">
        <v>391</v>
      </c>
      <c r="J504">
        <v>8</v>
      </c>
      <c r="K504">
        <v>28</v>
      </c>
      <c r="L504">
        <v>35</v>
      </c>
      <c r="M504">
        <v>31</v>
      </c>
      <c r="N504">
        <v>31</v>
      </c>
      <c r="O504">
        <v>38</v>
      </c>
      <c r="P504">
        <v>1</v>
      </c>
      <c r="Q504">
        <v>4</v>
      </c>
      <c r="R504">
        <v>2</v>
      </c>
      <c r="S504">
        <v>0</v>
      </c>
      <c r="T504">
        <v>17</v>
      </c>
      <c r="U504">
        <v>0</v>
      </c>
      <c r="V504">
        <v>2</v>
      </c>
      <c r="W504">
        <v>0</v>
      </c>
      <c r="X504">
        <v>0</v>
      </c>
      <c r="Y504" t="s">
        <v>113</v>
      </c>
      <c r="Z504" t="s">
        <v>114</v>
      </c>
      <c r="AA504" t="s">
        <v>5369</v>
      </c>
      <c r="AB504" t="s">
        <v>116</v>
      </c>
      <c r="AC504" t="s">
        <v>5370</v>
      </c>
      <c r="AH504" t="s">
        <v>274</v>
      </c>
      <c r="AI504">
        <v>7</v>
      </c>
      <c r="AJ504">
        <v>0</v>
      </c>
      <c r="AK504">
        <v>0</v>
      </c>
      <c r="AL504">
        <v>0</v>
      </c>
      <c r="AM504">
        <v>0.57999999999999996</v>
      </c>
      <c r="AN504">
        <v>0.73</v>
      </c>
      <c r="AO504">
        <v>0.59</v>
      </c>
      <c r="AS504">
        <v>3</v>
      </c>
      <c r="AT504">
        <v>1</v>
      </c>
      <c r="AU504">
        <v>3</v>
      </c>
      <c r="AV504">
        <v>80</v>
      </c>
      <c r="AW504">
        <v>38</v>
      </c>
      <c r="AX504">
        <v>-2</v>
      </c>
      <c r="AY504">
        <v>0</v>
      </c>
      <c r="AZ504" t="b">
        <v>1</v>
      </c>
      <c r="BA504">
        <v>1640</v>
      </c>
      <c r="BB504">
        <v>1656</v>
      </c>
      <c r="BC504">
        <v>14</v>
      </c>
      <c r="BD504" t="s">
        <v>5371</v>
      </c>
      <c r="BE504">
        <v>98</v>
      </c>
      <c r="BF504">
        <v>0</v>
      </c>
      <c r="BG504">
        <v>70</v>
      </c>
      <c r="BH504">
        <v>0</v>
      </c>
      <c r="BI504" s="1" t="s">
        <v>169</v>
      </c>
      <c r="BJ504" s="1" t="s">
        <v>321</v>
      </c>
      <c r="BK504" s="1" t="s">
        <v>124</v>
      </c>
      <c r="BL504">
        <v>5.2</v>
      </c>
      <c r="BM504">
        <v>2</v>
      </c>
      <c r="BN504" s="1" t="s">
        <v>327</v>
      </c>
      <c r="BO504" s="1" t="s">
        <v>159</v>
      </c>
      <c r="BP504" s="1" t="s">
        <v>528</v>
      </c>
      <c r="BQ504">
        <v>21</v>
      </c>
      <c r="BR504" s="1" t="s">
        <v>376</v>
      </c>
      <c r="BS504">
        <v>1</v>
      </c>
      <c r="BT504">
        <v>0.8</v>
      </c>
      <c r="BU504">
        <v>2</v>
      </c>
      <c r="BV504" s="1" t="s">
        <v>327</v>
      </c>
      <c r="BW504" s="1" t="s">
        <v>129</v>
      </c>
      <c r="BX504" s="1" t="s">
        <v>213</v>
      </c>
      <c r="BY504">
        <v>0</v>
      </c>
      <c r="BZ504">
        <v>6.6666666666666596E-2</v>
      </c>
      <c r="CA504">
        <v>0.57999999999999996</v>
      </c>
      <c r="CB504" s="1" t="s">
        <v>5372</v>
      </c>
      <c r="CC504">
        <v>0.73</v>
      </c>
      <c r="CD504" s="1" t="s">
        <v>5373</v>
      </c>
      <c r="CE504">
        <v>0.59</v>
      </c>
      <c r="CF504">
        <v>0.61199999999999999</v>
      </c>
      <c r="CG504" s="1" t="s">
        <v>449</v>
      </c>
      <c r="CH504" s="1" t="s">
        <v>963</v>
      </c>
      <c r="CI504" s="1" t="s">
        <v>159</v>
      </c>
      <c r="CJ504">
        <v>2.8</v>
      </c>
      <c r="CK504" s="1" t="s">
        <v>169</v>
      </c>
      <c r="CL504">
        <v>3.2</v>
      </c>
      <c r="CM504" s="1" t="s">
        <v>683</v>
      </c>
      <c r="CN504">
        <v>65</v>
      </c>
      <c r="CO504">
        <v>63</v>
      </c>
      <c r="CP504" s="1" t="s">
        <v>1532</v>
      </c>
      <c r="CQ504" s="1" t="s">
        <v>1829</v>
      </c>
      <c r="CR504" s="1" t="s">
        <v>5374</v>
      </c>
      <c r="CS504" s="1" t="s">
        <v>518</v>
      </c>
      <c r="CT504" s="1" t="s">
        <v>1545</v>
      </c>
      <c r="CU504" s="1" t="s">
        <v>901</v>
      </c>
      <c r="CV504">
        <v>1659.2</v>
      </c>
      <c r="CW504">
        <v>67.8</v>
      </c>
      <c r="CX504">
        <v>65.099999999999994</v>
      </c>
      <c r="CY504">
        <v>58.6</v>
      </c>
      <c r="CZ504" s="1" t="s">
        <v>1857</v>
      </c>
      <c r="DA504">
        <v>1</v>
      </c>
      <c r="DB504" t="s">
        <v>114</v>
      </c>
      <c r="DC504">
        <v>35</v>
      </c>
      <c r="DD504" s="1" t="s">
        <v>5375</v>
      </c>
      <c r="DE504">
        <v>-14.3940165919043</v>
      </c>
      <c r="DF504" t="str">
        <f>_xlfn.XLOOKUP(Table1[[#This Row],[Player ID]],Table2[feed_id],Table2[trade_status])</f>
        <v>free_agent</v>
      </c>
      <c r="DG504">
        <f>_xlfn.NUMBERVALUE(Table1[[#This Row],[predicted]])</f>
        <v>49.394016591904297</v>
      </c>
    </row>
    <row r="505" spans="1:111" hidden="1" x14ac:dyDescent="0.25">
      <c r="A505">
        <v>126203</v>
      </c>
      <c r="B505">
        <v>8909</v>
      </c>
      <c r="C505" t="s">
        <v>5376</v>
      </c>
      <c r="D505" t="s">
        <v>1360</v>
      </c>
      <c r="E505">
        <v>2024</v>
      </c>
      <c r="F505">
        <v>296296</v>
      </c>
      <c r="G505" t="s">
        <v>3581</v>
      </c>
      <c r="H505" t="s">
        <v>5377</v>
      </c>
      <c r="I505" t="s">
        <v>582</v>
      </c>
      <c r="J505">
        <v>7</v>
      </c>
      <c r="K505">
        <v>51</v>
      </c>
      <c r="L505">
        <v>45</v>
      </c>
      <c r="M505">
        <v>66</v>
      </c>
      <c r="N505">
        <v>41</v>
      </c>
      <c r="O505">
        <v>58</v>
      </c>
      <c r="P505">
        <v>10</v>
      </c>
      <c r="Q505">
        <v>6</v>
      </c>
      <c r="R505">
        <v>1</v>
      </c>
      <c r="S505">
        <v>2</v>
      </c>
      <c r="T505">
        <v>0</v>
      </c>
      <c r="U505">
        <v>3</v>
      </c>
      <c r="V505">
        <v>2</v>
      </c>
      <c r="W505">
        <v>0</v>
      </c>
      <c r="X505">
        <v>1</v>
      </c>
      <c r="Y505" t="s">
        <v>113</v>
      </c>
      <c r="Z505" t="s">
        <v>877</v>
      </c>
      <c r="AA505" t="s">
        <v>5378</v>
      </c>
      <c r="AH505" t="s">
        <v>118</v>
      </c>
      <c r="AI505">
        <v>4</v>
      </c>
      <c r="AJ505">
        <v>0</v>
      </c>
      <c r="AK505">
        <v>0</v>
      </c>
      <c r="AL505">
        <v>0</v>
      </c>
      <c r="AM505">
        <v>0.18</v>
      </c>
      <c r="AN505">
        <v>0.06</v>
      </c>
      <c r="AO505">
        <v>0.11</v>
      </c>
      <c r="AS505">
        <v>9</v>
      </c>
      <c r="AT505">
        <v>6</v>
      </c>
      <c r="AU505">
        <v>6</v>
      </c>
      <c r="AV505">
        <v>56</v>
      </c>
      <c r="AW505">
        <v>75</v>
      </c>
      <c r="AX505">
        <v>232</v>
      </c>
      <c r="AY505">
        <v>1</v>
      </c>
      <c r="AZ505" t="b">
        <v>0</v>
      </c>
      <c r="BA505">
        <v>1790</v>
      </c>
      <c r="BB505">
        <v>1510</v>
      </c>
      <c r="BC505">
        <v>14</v>
      </c>
      <c r="BD505" t="s">
        <v>5379</v>
      </c>
      <c r="BE505">
        <v>98</v>
      </c>
      <c r="BF505">
        <v>0</v>
      </c>
      <c r="BG505">
        <v>70</v>
      </c>
      <c r="BH505">
        <v>0</v>
      </c>
      <c r="BI505" s="1" t="s">
        <v>545</v>
      </c>
      <c r="BJ505" s="1" t="s">
        <v>158</v>
      </c>
      <c r="BK505" s="1" t="s">
        <v>124</v>
      </c>
      <c r="BL505" s="1" t="s">
        <v>1442</v>
      </c>
      <c r="BM505">
        <v>1</v>
      </c>
      <c r="BN505">
        <v>3.6</v>
      </c>
      <c r="BO505">
        <v>3</v>
      </c>
      <c r="BP505" s="1" t="s">
        <v>237</v>
      </c>
      <c r="BQ505">
        <v>0</v>
      </c>
      <c r="BR505">
        <v>0</v>
      </c>
      <c r="BS505" s="1" t="s">
        <v>161</v>
      </c>
      <c r="BT505" s="1" t="s">
        <v>130</v>
      </c>
      <c r="BU505" s="1" t="s">
        <v>128</v>
      </c>
      <c r="BV505" s="1" t="s">
        <v>127</v>
      </c>
      <c r="BW505">
        <v>0</v>
      </c>
      <c r="BX505">
        <v>6.6666666666666596E-2</v>
      </c>
      <c r="BY505" s="1" t="s">
        <v>129</v>
      </c>
      <c r="BZ505" s="1" t="s">
        <v>213</v>
      </c>
      <c r="CA505">
        <v>0.18</v>
      </c>
      <c r="CB505">
        <v>10.26</v>
      </c>
      <c r="CC505">
        <v>0.06</v>
      </c>
      <c r="CD505" s="1" t="s">
        <v>5380</v>
      </c>
      <c r="CE505">
        <v>0.11</v>
      </c>
      <c r="CF505" s="1" t="s">
        <v>5381</v>
      </c>
      <c r="CG505">
        <v>8</v>
      </c>
      <c r="CH505">
        <v>6.2</v>
      </c>
      <c r="CI505">
        <v>4</v>
      </c>
      <c r="CJ505" s="1" t="s">
        <v>169</v>
      </c>
      <c r="CK505" s="1" t="s">
        <v>169</v>
      </c>
      <c r="CL505" s="1" t="s">
        <v>321</v>
      </c>
      <c r="CM505" s="1" t="s">
        <v>681</v>
      </c>
      <c r="CN505" s="1" t="s">
        <v>883</v>
      </c>
      <c r="CO505" s="1" t="s">
        <v>241</v>
      </c>
      <c r="CP505" s="1" t="s">
        <v>1928</v>
      </c>
      <c r="CQ505">
        <v>181</v>
      </c>
      <c r="CR505">
        <v>205</v>
      </c>
      <c r="CS505" s="1" t="s">
        <v>5382</v>
      </c>
      <c r="CT505" s="1" t="s">
        <v>5383</v>
      </c>
      <c r="CU505" s="1" t="s">
        <v>5384</v>
      </c>
      <c r="CV505" s="1" t="s">
        <v>5385</v>
      </c>
      <c r="CW505">
        <v>67.75</v>
      </c>
      <c r="CX505">
        <v>50.9</v>
      </c>
      <c r="CY505">
        <v>56.6</v>
      </c>
      <c r="CZ505" s="1" t="s">
        <v>1969</v>
      </c>
      <c r="DA505">
        <v>1</v>
      </c>
      <c r="DB505" t="s">
        <v>877</v>
      </c>
      <c r="DC505">
        <v>45</v>
      </c>
      <c r="DD505" s="1" t="s">
        <v>5386</v>
      </c>
      <c r="DE505">
        <v>-9.7286383671020609</v>
      </c>
      <c r="DF505" t="str">
        <f>_xlfn.XLOOKUP(Table1[[#This Row],[Player ID]],Table2[feed_id],Table2[trade_status])</f>
        <v>free_agent</v>
      </c>
      <c r="DG505">
        <f>_xlfn.NUMBERVALUE(Table1[[#This Row],[predicted]])</f>
        <v>54.728638367102</v>
      </c>
    </row>
    <row r="506" spans="1:111" hidden="1" x14ac:dyDescent="0.25">
      <c r="A506">
        <v>126313</v>
      </c>
      <c r="B506">
        <v>8911</v>
      </c>
      <c r="C506" t="s">
        <v>5387</v>
      </c>
      <c r="D506" t="s">
        <v>1360</v>
      </c>
      <c r="E506">
        <v>2024</v>
      </c>
      <c r="F506">
        <v>261510</v>
      </c>
      <c r="G506" t="s">
        <v>776</v>
      </c>
      <c r="H506" t="s">
        <v>5388</v>
      </c>
      <c r="I506" t="s">
        <v>1061</v>
      </c>
      <c r="J506">
        <v>12</v>
      </c>
      <c r="K506">
        <v>67</v>
      </c>
      <c r="L506">
        <v>53</v>
      </c>
      <c r="M506">
        <v>57</v>
      </c>
      <c r="N506">
        <v>54</v>
      </c>
      <c r="O506">
        <v>67</v>
      </c>
      <c r="P506">
        <v>7</v>
      </c>
      <c r="Q506">
        <v>3</v>
      </c>
      <c r="R506">
        <v>5</v>
      </c>
      <c r="S506">
        <v>3</v>
      </c>
      <c r="T506">
        <v>5</v>
      </c>
      <c r="U506">
        <v>0</v>
      </c>
      <c r="V506">
        <v>0</v>
      </c>
      <c r="W506">
        <v>1</v>
      </c>
      <c r="X506">
        <v>2</v>
      </c>
      <c r="Y506" t="s">
        <v>113</v>
      </c>
      <c r="Z506" t="s">
        <v>656</v>
      </c>
      <c r="AA506" t="s">
        <v>5389</v>
      </c>
      <c r="AE506">
        <v>0</v>
      </c>
      <c r="AH506" t="s">
        <v>155</v>
      </c>
      <c r="AI506">
        <v>26</v>
      </c>
      <c r="AJ506">
        <v>19</v>
      </c>
      <c r="AK506">
        <v>86.74</v>
      </c>
      <c r="AL506">
        <v>0</v>
      </c>
      <c r="AM506">
        <v>0</v>
      </c>
      <c r="AN506">
        <v>0.21</v>
      </c>
      <c r="AO506">
        <v>0.31</v>
      </c>
      <c r="AS506">
        <v>6</v>
      </c>
      <c r="AT506">
        <v>0</v>
      </c>
      <c r="AU506">
        <v>4</v>
      </c>
      <c r="AV506">
        <v>50</v>
      </c>
      <c r="AW506">
        <v>93</v>
      </c>
      <c r="AX506">
        <v>189</v>
      </c>
      <c r="AY506">
        <v>0</v>
      </c>
      <c r="AZ506" t="b">
        <v>0</v>
      </c>
      <c r="BA506">
        <v>1836</v>
      </c>
      <c r="BB506">
        <v>1456</v>
      </c>
      <c r="BC506">
        <v>14</v>
      </c>
      <c r="BD506" t="s">
        <v>5390</v>
      </c>
      <c r="BE506">
        <v>98</v>
      </c>
      <c r="BF506">
        <v>0</v>
      </c>
      <c r="BG506">
        <v>70</v>
      </c>
      <c r="BH506">
        <v>0</v>
      </c>
      <c r="BI506" s="1" t="s">
        <v>253</v>
      </c>
      <c r="BJ506">
        <v>6</v>
      </c>
      <c r="BK506">
        <v>4</v>
      </c>
      <c r="BL506" s="1" t="s">
        <v>138</v>
      </c>
      <c r="BM506" s="1" t="s">
        <v>211</v>
      </c>
      <c r="BN506" s="1" t="s">
        <v>321</v>
      </c>
      <c r="BO506" s="1" t="s">
        <v>161</v>
      </c>
      <c r="BP506" s="1" t="s">
        <v>206</v>
      </c>
      <c r="BQ506">
        <v>4</v>
      </c>
      <c r="BR506" s="1" t="s">
        <v>565</v>
      </c>
      <c r="BS506">
        <v>0</v>
      </c>
      <c r="BT506" s="1" t="s">
        <v>184</v>
      </c>
      <c r="BU506">
        <v>0</v>
      </c>
      <c r="BV506" s="1" t="s">
        <v>184</v>
      </c>
      <c r="BW506" s="1" t="s">
        <v>161</v>
      </c>
      <c r="BX506">
        <v>1.6</v>
      </c>
      <c r="BY506">
        <v>1</v>
      </c>
      <c r="BZ506">
        <v>1</v>
      </c>
      <c r="CA506">
        <v>0</v>
      </c>
      <c r="CB506">
        <v>0</v>
      </c>
      <c r="CC506">
        <v>0.21</v>
      </c>
      <c r="CD506" s="1" t="s">
        <v>3122</v>
      </c>
      <c r="CE506">
        <v>0.31</v>
      </c>
      <c r="CF506" s="1" t="s">
        <v>3011</v>
      </c>
      <c r="CG506" s="1" t="s">
        <v>449</v>
      </c>
      <c r="CH506" s="1" t="s">
        <v>229</v>
      </c>
      <c r="CI506" s="1" t="s">
        <v>129</v>
      </c>
      <c r="CJ506" s="1" t="s">
        <v>130</v>
      </c>
      <c r="CK506" s="1" t="s">
        <v>169</v>
      </c>
      <c r="CL506" s="1" t="s">
        <v>159</v>
      </c>
      <c r="CM506" s="1" t="s">
        <v>1316</v>
      </c>
      <c r="CN506">
        <v>60</v>
      </c>
      <c r="CO506" s="1" t="s">
        <v>1665</v>
      </c>
      <c r="CP506" s="1" t="s">
        <v>1054</v>
      </c>
      <c r="CQ506">
        <v>169</v>
      </c>
      <c r="CR506">
        <v>139.6</v>
      </c>
      <c r="CS506" s="1" t="s">
        <v>3472</v>
      </c>
      <c r="CT506" s="1" t="s">
        <v>2158</v>
      </c>
      <c r="CU506" s="1" t="s">
        <v>518</v>
      </c>
      <c r="CV506">
        <v>1660</v>
      </c>
      <c r="CW506">
        <v>63.75</v>
      </c>
      <c r="CX506">
        <v>62</v>
      </c>
      <c r="CY506">
        <v>61.4</v>
      </c>
      <c r="CZ506" s="1" t="s">
        <v>593</v>
      </c>
      <c r="DA506">
        <v>1</v>
      </c>
      <c r="DB506" t="s">
        <v>656</v>
      </c>
      <c r="DC506">
        <v>53</v>
      </c>
      <c r="DD506">
        <v>66.928797502976394</v>
      </c>
      <c r="DE506">
        <v>-13.9287975029763</v>
      </c>
      <c r="DF506" t="e">
        <f>_xlfn.XLOOKUP(Table1[[#This Row],[Player ID]],Table2[feed_id],Table2[trade_status])</f>
        <v>#N/A</v>
      </c>
      <c r="DG506">
        <f>_xlfn.NUMBERVALUE(Table1[[#This Row],[predicted]])</f>
        <v>66.928797502976394</v>
      </c>
    </row>
    <row r="507" spans="1:111" hidden="1" x14ac:dyDescent="0.25">
      <c r="A507">
        <v>126455</v>
      </c>
      <c r="B507">
        <v>8914</v>
      </c>
      <c r="C507" t="s">
        <v>5391</v>
      </c>
      <c r="D507" t="s">
        <v>1377</v>
      </c>
      <c r="E507">
        <v>2024</v>
      </c>
      <c r="F507">
        <v>293846</v>
      </c>
      <c r="G507" t="s">
        <v>5392</v>
      </c>
      <c r="H507" t="s">
        <v>5393</v>
      </c>
      <c r="I507" t="s">
        <v>152</v>
      </c>
      <c r="J507">
        <v>4</v>
      </c>
      <c r="K507">
        <v>47</v>
      </c>
      <c r="L507">
        <v>52</v>
      </c>
      <c r="M507">
        <v>38</v>
      </c>
      <c r="N507">
        <v>35</v>
      </c>
      <c r="O507">
        <v>48</v>
      </c>
      <c r="P507">
        <v>6</v>
      </c>
      <c r="Q507">
        <v>4</v>
      </c>
      <c r="R507">
        <v>3</v>
      </c>
      <c r="S507">
        <v>3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113</v>
      </c>
      <c r="Z507" t="s">
        <v>987</v>
      </c>
      <c r="AA507" t="s">
        <v>5394</v>
      </c>
      <c r="AH507" t="s">
        <v>118</v>
      </c>
      <c r="AI507">
        <v>6</v>
      </c>
      <c r="AJ507">
        <v>0</v>
      </c>
      <c r="AK507">
        <v>0</v>
      </c>
      <c r="AL507">
        <v>0</v>
      </c>
      <c r="AM507">
        <v>0.09</v>
      </c>
      <c r="AN507">
        <v>7.0000000000000007E-2</v>
      </c>
      <c r="AO507">
        <v>0.1</v>
      </c>
      <c r="AS507">
        <v>5</v>
      </c>
      <c r="AT507">
        <v>1</v>
      </c>
      <c r="AU507">
        <v>1</v>
      </c>
      <c r="AV507">
        <v>60</v>
      </c>
      <c r="AW507">
        <v>80</v>
      </c>
      <c r="AX507">
        <v>131</v>
      </c>
      <c r="AY507">
        <v>1</v>
      </c>
      <c r="AZ507" t="b">
        <v>0</v>
      </c>
      <c r="BA507">
        <v>1809</v>
      </c>
      <c r="BB507">
        <v>1481</v>
      </c>
      <c r="BC507">
        <v>15</v>
      </c>
      <c r="BD507" t="s">
        <v>5395</v>
      </c>
      <c r="BE507">
        <v>97</v>
      </c>
      <c r="BF507">
        <v>0</v>
      </c>
      <c r="BG507">
        <v>69.5</v>
      </c>
      <c r="BH507">
        <v>0</v>
      </c>
      <c r="BI507" s="1" t="s">
        <v>124</v>
      </c>
      <c r="BJ507">
        <v>9.4</v>
      </c>
      <c r="BK507" s="1" t="s">
        <v>159</v>
      </c>
      <c r="BL507">
        <v>7</v>
      </c>
      <c r="BM507" s="1" t="s">
        <v>169</v>
      </c>
      <c r="BN507">
        <v>2.6</v>
      </c>
      <c r="BO507" s="1" t="s">
        <v>169</v>
      </c>
      <c r="BP507">
        <v>3.8</v>
      </c>
      <c r="BQ507">
        <v>0</v>
      </c>
      <c r="BR507">
        <v>0</v>
      </c>
      <c r="BS507" s="1" t="s">
        <v>129</v>
      </c>
      <c r="BT507">
        <v>0.4</v>
      </c>
      <c r="BU507">
        <v>0</v>
      </c>
      <c r="BV507" s="1" t="s">
        <v>238</v>
      </c>
      <c r="BW507" s="1" t="s">
        <v>129</v>
      </c>
      <c r="BX507">
        <v>0.2</v>
      </c>
      <c r="BY507">
        <v>0</v>
      </c>
      <c r="BZ507" s="1" t="s">
        <v>184</v>
      </c>
      <c r="CA507">
        <v>0.09</v>
      </c>
      <c r="CB507">
        <v>9.4E-2</v>
      </c>
      <c r="CC507">
        <v>7.0000000000000007E-2</v>
      </c>
      <c r="CD507">
        <v>7.0000000000000007E-2</v>
      </c>
      <c r="CE507">
        <v>0.1</v>
      </c>
      <c r="CF507" s="1" t="s">
        <v>5396</v>
      </c>
      <c r="CG507">
        <v>3</v>
      </c>
      <c r="CH507" s="1" t="s">
        <v>898</v>
      </c>
      <c r="CI507" s="1" t="s">
        <v>129</v>
      </c>
      <c r="CJ507" s="1" t="s">
        <v>322</v>
      </c>
      <c r="CK507" s="1" t="s">
        <v>129</v>
      </c>
      <c r="CL507">
        <v>1.8</v>
      </c>
      <c r="CM507" s="1" t="s">
        <v>2013</v>
      </c>
      <c r="CN507" s="1" t="s">
        <v>1176</v>
      </c>
      <c r="CO507" s="1" t="s">
        <v>261</v>
      </c>
      <c r="CP507">
        <v>68.2</v>
      </c>
      <c r="CQ507">
        <v>108</v>
      </c>
      <c r="CR507">
        <v>242.2</v>
      </c>
      <c r="CS507" s="1" t="s">
        <v>504</v>
      </c>
      <c r="CT507" s="1" t="s">
        <v>5397</v>
      </c>
      <c r="CU507" s="1" t="s">
        <v>955</v>
      </c>
      <c r="CV507" s="1" t="s">
        <v>5398</v>
      </c>
      <c r="CW507">
        <v>66.45</v>
      </c>
      <c r="CX507">
        <v>65.099999999999994</v>
      </c>
      <c r="CY507">
        <v>44.4</v>
      </c>
      <c r="CZ507">
        <v>42</v>
      </c>
      <c r="DA507">
        <v>1</v>
      </c>
      <c r="DB507" t="s">
        <v>987</v>
      </c>
      <c r="DC507">
        <v>52</v>
      </c>
      <c r="DD507" s="1" t="s">
        <v>5399</v>
      </c>
      <c r="DE507">
        <v>-25.147069759147701</v>
      </c>
      <c r="DF507" t="e">
        <f>_xlfn.XLOOKUP(Table1[[#This Row],[Player ID]],Table2[feed_id],Table2[trade_status])</f>
        <v>#N/A</v>
      </c>
      <c r="DG507">
        <f>_xlfn.NUMBERVALUE(Table1[[#This Row],[predicted]])</f>
        <v>77.147069759147698</v>
      </c>
    </row>
    <row r="508" spans="1:111" hidden="1" x14ac:dyDescent="0.25">
      <c r="A508">
        <v>126478</v>
      </c>
      <c r="B508">
        <v>8915</v>
      </c>
      <c r="C508" t="s">
        <v>5400</v>
      </c>
      <c r="D508" t="s">
        <v>1377</v>
      </c>
      <c r="E508">
        <v>2024</v>
      </c>
      <c r="F508">
        <v>992048</v>
      </c>
      <c r="G508" t="s">
        <v>2813</v>
      </c>
      <c r="H508" t="s">
        <v>1394</v>
      </c>
      <c r="I508" t="s">
        <v>712</v>
      </c>
      <c r="J508">
        <v>8</v>
      </c>
      <c r="K508">
        <v>50</v>
      </c>
      <c r="L508">
        <v>53</v>
      </c>
      <c r="M508">
        <v>65</v>
      </c>
      <c r="N508">
        <v>41</v>
      </c>
      <c r="O508">
        <v>52</v>
      </c>
      <c r="P508">
        <v>7</v>
      </c>
      <c r="Q508">
        <v>3</v>
      </c>
      <c r="R508">
        <v>6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1</v>
      </c>
      <c r="Y508" t="s">
        <v>113</v>
      </c>
      <c r="Z508" t="s">
        <v>525</v>
      </c>
      <c r="AA508" t="s">
        <v>5401</v>
      </c>
      <c r="AB508" t="s">
        <v>116</v>
      </c>
      <c r="AC508" t="s">
        <v>4411</v>
      </c>
      <c r="AH508" t="s">
        <v>118</v>
      </c>
      <c r="AI508">
        <v>28</v>
      </c>
      <c r="AJ508">
        <v>0</v>
      </c>
      <c r="AK508">
        <v>0</v>
      </c>
      <c r="AL508">
        <v>0</v>
      </c>
      <c r="AM508">
        <v>0.84</v>
      </c>
      <c r="AN508">
        <v>0.73</v>
      </c>
      <c r="AO508">
        <v>0.26</v>
      </c>
      <c r="AS508">
        <v>4</v>
      </c>
      <c r="AT508">
        <v>2</v>
      </c>
      <c r="AU508">
        <v>0</v>
      </c>
      <c r="AV508">
        <v>60</v>
      </c>
      <c r="AW508">
        <v>53</v>
      </c>
      <c r="AX508">
        <v>175</v>
      </c>
      <c r="AY508">
        <v>1</v>
      </c>
      <c r="AZ508" t="b">
        <v>1</v>
      </c>
      <c r="BA508">
        <v>1371</v>
      </c>
      <c r="BB508">
        <v>1907</v>
      </c>
      <c r="BC508">
        <v>15</v>
      </c>
      <c r="BD508" t="s">
        <v>5402</v>
      </c>
      <c r="BE508">
        <v>97</v>
      </c>
      <c r="BF508">
        <v>0</v>
      </c>
      <c r="BG508">
        <v>69.5</v>
      </c>
      <c r="BH508">
        <v>0</v>
      </c>
      <c r="BI508" s="1" t="s">
        <v>211</v>
      </c>
      <c r="BJ508" s="1" t="s">
        <v>963</v>
      </c>
      <c r="BK508" s="1" t="s">
        <v>138</v>
      </c>
      <c r="BL508" s="1" t="s">
        <v>256</v>
      </c>
      <c r="BM508">
        <v>3</v>
      </c>
      <c r="BN508">
        <v>2.2000000000000002</v>
      </c>
      <c r="BO508" s="1" t="s">
        <v>128</v>
      </c>
      <c r="BP508">
        <v>2.4</v>
      </c>
      <c r="BQ508">
        <v>0</v>
      </c>
      <c r="BR508">
        <v>0</v>
      </c>
      <c r="BS508" s="1" t="s">
        <v>129</v>
      </c>
      <c r="BT508" s="1" t="s">
        <v>238</v>
      </c>
      <c r="BU508">
        <v>0</v>
      </c>
      <c r="BV508" s="1" t="s">
        <v>213</v>
      </c>
      <c r="BW508">
        <v>0</v>
      </c>
      <c r="BX508">
        <v>0.4</v>
      </c>
      <c r="BY508" s="1" t="s">
        <v>129</v>
      </c>
      <c r="BZ508" s="1" t="s">
        <v>184</v>
      </c>
      <c r="CA508" s="1" t="s">
        <v>5403</v>
      </c>
      <c r="CB508" s="1" t="s">
        <v>5404</v>
      </c>
      <c r="CC508">
        <v>0.51</v>
      </c>
      <c r="CD508">
        <v>0.158</v>
      </c>
      <c r="CE508" s="1" t="s">
        <v>5405</v>
      </c>
      <c r="CF508">
        <v>9.5333333333333298E-2</v>
      </c>
      <c r="CG508" s="1" t="s">
        <v>138</v>
      </c>
      <c r="CH508" s="1" t="s">
        <v>766</v>
      </c>
      <c r="CI508" s="1" t="s">
        <v>128</v>
      </c>
      <c r="CJ508" s="1" t="s">
        <v>162</v>
      </c>
      <c r="CK508">
        <v>0</v>
      </c>
      <c r="CL508" s="1" t="s">
        <v>399</v>
      </c>
      <c r="CM508">
        <v>48</v>
      </c>
      <c r="CN508" s="1" t="s">
        <v>263</v>
      </c>
      <c r="CO508" s="1" t="s">
        <v>2765</v>
      </c>
      <c r="CP508">
        <v>65.599999999999994</v>
      </c>
      <c r="CQ508">
        <v>125</v>
      </c>
      <c r="CR508">
        <v>171.6</v>
      </c>
      <c r="CS508" s="1" t="s">
        <v>3102</v>
      </c>
      <c r="CT508" s="1" t="s">
        <v>5406</v>
      </c>
      <c r="CU508" s="1" t="s">
        <v>4577</v>
      </c>
      <c r="CV508" s="1" t="s">
        <v>5407</v>
      </c>
      <c r="CW508">
        <v>47.05</v>
      </c>
      <c r="CX508">
        <v>41.3</v>
      </c>
      <c r="CY508">
        <v>35.4</v>
      </c>
      <c r="CZ508" s="1" t="s">
        <v>807</v>
      </c>
      <c r="DA508">
        <v>1</v>
      </c>
      <c r="DB508" t="s">
        <v>525</v>
      </c>
      <c r="DC508">
        <v>53</v>
      </c>
      <c r="DD508" s="1" t="s">
        <v>5408</v>
      </c>
      <c r="DE508" s="1" t="s">
        <v>5409</v>
      </c>
      <c r="DF508" t="str">
        <f>_xlfn.XLOOKUP(Table1[[#This Row],[Player ID]],Table2[feed_id],Table2[trade_status])</f>
        <v>free_agent</v>
      </c>
      <c r="DG508">
        <f>_xlfn.NUMBERVALUE(Table1[[#This Row],[predicted]])</f>
        <v>48.183919208350801</v>
      </c>
    </row>
    <row r="509" spans="1:111" hidden="1" x14ac:dyDescent="0.25">
      <c r="A509">
        <v>126572</v>
      </c>
      <c r="B509">
        <v>8917</v>
      </c>
      <c r="C509" t="s">
        <v>5410</v>
      </c>
      <c r="D509" t="s">
        <v>1377</v>
      </c>
      <c r="E509">
        <v>2024</v>
      </c>
      <c r="F509">
        <v>1008543</v>
      </c>
      <c r="G509" t="s">
        <v>2192</v>
      </c>
      <c r="H509" t="s">
        <v>5411</v>
      </c>
      <c r="I509" t="s">
        <v>510</v>
      </c>
      <c r="J509">
        <v>2</v>
      </c>
      <c r="K509">
        <v>29</v>
      </c>
      <c r="L509">
        <v>38</v>
      </c>
      <c r="M509">
        <v>36</v>
      </c>
      <c r="N509">
        <v>22</v>
      </c>
      <c r="O509">
        <v>33</v>
      </c>
      <c r="P509">
        <v>3</v>
      </c>
      <c r="Q509">
        <v>6</v>
      </c>
      <c r="R509">
        <v>0</v>
      </c>
      <c r="S509">
        <v>2</v>
      </c>
      <c r="T509">
        <v>0</v>
      </c>
      <c r="U509">
        <v>0</v>
      </c>
      <c r="V509">
        <v>0</v>
      </c>
      <c r="W509">
        <v>0</v>
      </c>
      <c r="X509">
        <v>0</v>
      </c>
      <c r="Y509" t="s">
        <v>113</v>
      </c>
      <c r="Z509" t="s">
        <v>525</v>
      </c>
      <c r="AA509" t="s">
        <v>5412</v>
      </c>
      <c r="AB509" t="s">
        <v>116</v>
      </c>
      <c r="AC509" t="s">
        <v>3840</v>
      </c>
      <c r="AH509" t="s">
        <v>118</v>
      </c>
      <c r="AI509">
        <v>26</v>
      </c>
      <c r="AJ509">
        <v>0</v>
      </c>
      <c r="AK509">
        <v>0</v>
      </c>
      <c r="AL509">
        <v>0</v>
      </c>
      <c r="AM509">
        <v>0.04</v>
      </c>
      <c r="AN509">
        <v>0.25</v>
      </c>
      <c r="AO509">
        <v>0.25</v>
      </c>
      <c r="AS509">
        <v>5</v>
      </c>
      <c r="AT509">
        <v>0</v>
      </c>
      <c r="AU509">
        <v>1</v>
      </c>
      <c r="AV509">
        <v>55</v>
      </c>
      <c r="AW509">
        <v>45</v>
      </c>
      <c r="AX509">
        <v>123</v>
      </c>
      <c r="AY509">
        <v>1</v>
      </c>
      <c r="AZ509" t="b">
        <v>1</v>
      </c>
      <c r="BA509">
        <v>1705</v>
      </c>
      <c r="BB509">
        <v>1587</v>
      </c>
      <c r="BC509">
        <v>15</v>
      </c>
      <c r="BD509" t="s">
        <v>5413</v>
      </c>
      <c r="BE509">
        <v>97</v>
      </c>
      <c r="BF509">
        <v>0</v>
      </c>
      <c r="BG509">
        <v>69.5</v>
      </c>
      <c r="BH509">
        <v>0</v>
      </c>
      <c r="BI509" s="1" t="s">
        <v>125</v>
      </c>
      <c r="BJ509">
        <v>6.2</v>
      </c>
      <c r="BK509" s="1" t="s">
        <v>124</v>
      </c>
      <c r="BL509">
        <v>6.6</v>
      </c>
      <c r="BM509" s="1" t="s">
        <v>128</v>
      </c>
      <c r="BN509" s="1" t="s">
        <v>255</v>
      </c>
      <c r="BO509" s="1" t="s">
        <v>126</v>
      </c>
      <c r="BP509" s="1" t="s">
        <v>214</v>
      </c>
      <c r="BQ509">
        <v>0</v>
      </c>
      <c r="BR509">
        <v>0</v>
      </c>
      <c r="BS509" s="1" t="s">
        <v>128</v>
      </c>
      <c r="BT509" s="1" t="s">
        <v>238</v>
      </c>
      <c r="BU509">
        <v>0</v>
      </c>
      <c r="BV509">
        <v>0.8</v>
      </c>
      <c r="BW509" s="1" t="s">
        <v>128</v>
      </c>
      <c r="BX509" s="1" t="s">
        <v>129</v>
      </c>
      <c r="BY509">
        <v>0</v>
      </c>
      <c r="BZ509" s="1" t="s">
        <v>184</v>
      </c>
      <c r="CA509">
        <v>0.04</v>
      </c>
      <c r="CB509" s="1" t="s">
        <v>5414</v>
      </c>
      <c r="CC509">
        <v>0.25</v>
      </c>
      <c r="CD509" s="1" t="s">
        <v>568</v>
      </c>
      <c r="CE509">
        <v>0.25</v>
      </c>
      <c r="CF509" s="1" t="s">
        <v>5415</v>
      </c>
      <c r="CG509" s="1" t="s">
        <v>211</v>
      </c>
      <c r="CH509" s="1" t="s">
        <v>499</v>
      </c>
      <c r="CI509" s="1" t="s">
        <v>128</v>
      </c>
      <c r="CJ509">
        <v>2</v>
      </c>
      <c r="CK509">
        <v>1</v>
      </c>
      <c r="CL509" s="1" t="s">
        <v>566</v>
      </c>
      <c r="CM509" s="1" t="s">
        <v>1615</v>
      </c>
      <c r="CN509" s="1" t="s">
        <v>788</v>
      </c>
      <c r="CO509">
        <v>61</v>
      </c>
      <c r="CP509" s="1" t="s">
        <v>5416</v>
      </c>
      <c r="CQ509" s="1" t="s">
        <v>3692</v>
      </c>
      <c r="CR509" s="1" t="s">
        <v>5417</v>
      </c>
      <c r="CS509">
        <v>1606</v>
      </c>
      <c r="CT509" s="1" t="s">
        <v>5418</v>
      </c>
      <c r="CU509" s="1" t="s">
        <v>5419</v>
      </c>
      <c r="CV509" s="1" t="s">
        <v>5420</v>
      </c>
      <c r="CW509">
        <v>54.05</v>
      </c>
      <c r="CX509">
        <v>60.8</v>
      </c>
      <c r="CY509">
        <v>45.2</v>
      </c>
      <c r="CZ509">
        <v>39</v>
      </c>
      <c r="DA509">
        <v>1</v>
      </c>
      <c r="DB509" t="s">
        <v>525</v>
      </c>
      <c r="DC509">
        <v>38</v>
      </c>
      <c r="DD509" s="1" t="s">
        <v>5421</v>
      </c>
      <c r="DE509">
        <v>-15.9584412169262</v>
      </c>
      <c r="DF509" t="str">
        <f>_xlfn.XLOOKUP(Table1[[#This Row],[Player ID]],Table2[feed_id],Table2[trade_status])</f>
        <v>free_agent</v>
      </c>
      <c r="DG509">
        <f>_xlfn.NUMBERVALUE(Table1[[#This Row],[predicted]])</f>
        <v>53.958441216926197</v>
      </c>
    </row>
    <row r="510" spans="1:111" hidden="1" x14ac:dyDescent="0.25">
      <c r="A510">
        <v>127154</v>
      </c>
      <c r="B510">
        <v>8930</v>
      </c>
      <c r="C510" t="s">
        <v>5422</v>
      </c>
      <c r="D510" t="s">
        <v>616</v>
      </c>
      <c r="E510">
        <v>2024</v>
      </c>
      <c r="F510">
        <v>1008159</v>
      </c>
      <c r="G510" t="s">
        <v>2115</v>
      </c>
      <c r="H510" t="s">
        <v>5423</v>
      </c>
      <c r="I510" t="s">
        <v>510</v>
      </c>
      <c r="J510">
        <v>4</v>
      </c>
      <c r="K510">
        <v>46</v>
      </c>
      <c r="L510">
        <v>60</v>
      </c>
      <c r="M510">
        <v>60</v>
      </c>
      <c r="N510">
        <v>37</v>
      </c>
      <c r="O510">
        <v>51</v>
      </c>
      <c r="P510">
        <v>7</v>
      </c>
      <c r="Q510">
        <v>5</v>
      </c>
      <c r="R510">
        <v>3</v>
      </c>
      <c r="S510">
        <v>2</v>
      </c>
      <c r="T510">
        <v>0</v>
      </c>
      <c r="U510">
        <v>1</v>
      </c>
      <c r="V510">
        <v>1</v>
      </c>
      <c r="W510">
        <v>0</v>
      </c>
      <c r="X510">
        <v>0</v>
      </c>
      <c r="Y510" t="s">
        <v>113</v>
      </c>
      <c r="Z510" t="s">
        <v>226</v>
      </c>
      <c r="AA510" t="s">
        <v>5424</v>
      </c>
      <c r="AH510" t="s">
        <v>181</v>
      </c>
      <c r="AI510">
        <v>17</v>
      </c>
      <c r="AJ510">
        <v>0</v>
      </c>
      <c r="AK510">
        <v>0</v>
      </c>
      <c r="AL510">
        <v>0</v>
      </c>
      <c r="AM510">
        <v>0.4</v>
      </c>
      <c r="AN510">
        <v>0.33</v>
      </c>
      <c r="AO510">
        <v>0.45</v>
      </c>
      <c r="AS510">
        <v>7</v>
      </c>
      <c r="AT510">
        <v>1</v>
      </c>
      <c r="AU510">
        <v>1</v>
      </c>
      <c r="AV510">
        <v>83</v>
      </c>
      <c r="AW510">
        <v>83</v>
      </c>
      <c r="AX510">
        <v>221</v>
      </c>
      <c r="AY510">
        <v>0</v>
      </c>
      <c r="AZ510" t="b">
        <v>0</v>
      </c>
      <c r="BA510">
        <v>1604</v>
      </c>
      <c r="BB510">
        <v>1685</v>
      </c>
      <c r="BC510">
        <v>17</v>
      </c>
      <c r="BD510" t="s">
        <v>5425</v>
      </c>
      <c r="BE510" s="1" t="s">
        <v>4325</v>
      </c>
      <c r="BF510">
        <v>0</v>
      </c>
      <c r="BG510">
        <v>71</v>
      </c>
      <c r="BH510">
        <v>0</v>
      </c>
      <c r="BI510">
        <v>9</v>
      </c>
      <c r="BJ510" s="1" t="s">
        <v>429</v>
      </c>
      <c r="BK510" s="1" t="s">
        <v>160</v>
      </c>
      <c r="BL510" s="1" t="s">
        <v>565</v>
      </c>
      <c r="BM510">
        <v>4</v>
      </c>
      <c r="BN510">
        <v>2.2000000000000002</v>
      </c>
      <c r="BO510" s="1" t="s">
        <v>169</v>
      </c>
      <c r="BP510" s="1" t="s">
        <v>159</v>
      </c>
      <c r="BQ510">
        <v>0</v>
      </c>
      <c r="BR510">
        <v>0</v>
      </c>
      <c r="BS510" s="1" t="s">
        <v>126</v>
      </c>
      <c r="BT510" s="1" t="s">
        <v>399</v>
      </c>
      <c r="BU510" s="1" t="s">
        <v>128</v>
      </c>
      <c r="BV510">
        <v>0.6</v>
      </c>
      <c r="BW510">
        <v>0</v>
      </c>
      <c r="BX510">
        <v>6.6666666666666596E-2</v>
      </c>
      <c r="BY510">
        <v>0</v>
      </c>
      <c r="BZ510">
        <v>0</v>
      </c>
      <c r="CA510">
        <v>0.4</v>
      </c>
      <c r="CB510" s="1" t="s">
        <v>2772</v>
      </c>
      <c r="CC510">
        <v>0.33</v>
      </c>
      <c r="CD510">
        <v>0.154</v>
      </c>
      <c r="CE510">
        <v>0.45</v>
      </c>
      <c r="CF510">
        <v>0.21</v>
      </c>
      <c r="CG510" s="1" t="s">
        <v>211</v>
      </c>
      <c r="CH510" s="1" t="s">
        <v>211</v>
      </c>
      <c r="CI510">
        <v>1</v>
      </c>
      <c r="CJ510">
        <v>0.4</v>
      </c>
      <c r="CK510" s="1" t="s">
        <v>126</v>
      </c>
      <c r="CL510" s="1" t="s">
        <v>206</v>
      </c>
      <c r="CM510" s="1" t="s">
        <v>406</v>
      </c>
      <c r="CN510" s="1" t="s">
        <v>1867</v>
      </c>
      <c r="CO510">
        <v>84</v>
      </c>
      <c r="CP510" s="1" t="s">
        <v>803</v>
      </c>
      <c r="CQ510" s="1" t="s">
        <v>5426</v>
      </c>
      <c r="CR510" s="1" t="s">
        <v>5427</v>
      </c>
      <c r="CS510" s="1" t="s">
        <v>3260</v>
      </c>
      <c r="CT510" s="1" t="s">
        <v>5428</v>
      </c>
      <c r="CU510" s="1" t="s">
        <v>1913</v>
      </c>
      <c r="CV510">
        <v>1644.4</v>
      </c>
      <c r="CW510">
        <v>53.35</v>
      </c>
      <c r="CX510">
        <v>54.3</v>
      </c>
      <c r="CY510">
        <v>59.8</v>
      </c>
      <c r="CZ510">
        <v>65</v>
      </c>
      <c r="DA510">
        <v>1</v>
      </c>
      <c r="DB510" t="s">
        <v>226</v>
      </c>
      <c r="DC510">
        <v>60</v>
      </c>
      <c r="DD510" s="1" t="s">
        <v>5429</v>
      </c>
      <c r="DE510">
        <v>-22.331542159311901</v>
      </c>
      <c r="DF510" t="e">
        <f>_xlfn.XLOOKUP(Table1[[#This Row],[Player ID]],Table2[feed_id],Table2[trade_status])</f>
        <v>#N/A</v>
      </c>
      <c r="DG510">
        <f>_xlfn.NUMBERVALUE(Table1[[#This Row],[predicted]])</f>
        <v>82.331542159311894</v>
      </c>
    </row>
    <row r="511" spans="1:111" hidden="1" x14ac:dyDescent="0.25">
      <c r="A511">
        <v>127245</v>
      </c>
      <c r="B511">
        <v>8932</v>
      </c>
      <c r="C511" t="s">
        <v>5430</v>
      </c>
      <c r="D511" t="s">
        <v>616</v>
      </c>
      <c r="E511">
        <v>2024</v>
      </c>
      <c r="F511">
        <v>290246</v>
      </c>
      <c r="G511" t="s">
        <v>776</v>
      </c>
      <c r="H511" t="s">
        <v>5431</v>
      </c>
      <c r="I511" t="s">
        <v>152</v>
      </c>
      <c r="J511">
        <v>3</v>
      </c>
      <c r="K511">
        <v>36</v>
      </c>
      <c r="L511">
        <v>26</v>
      </c>
      <c r="M511">
        <v>44</v>
      </c>
      <c r="N511">
        <v>31</v>
      </c>
      <c r="O511">
        <v>38</v>
      </c>
      <c r="P511">
        <v>3</v>
      </c>
      <c r="Q511">
        <v>3</v>
      </c>
      <c r="R511">
        <v>3</v>
      </c>
      <c r="S511">
        <v>1</v>
      </c>
      <c r="T511">
        <v>8</v>
      </c>
      <c r="U511">
        <v>0</v>
      </c>
      <c r="V511">
        <v>0</v>
      </c>
      <c r="W511">
        <v>0</v>
      </c>
      <c r="X511">
        <v>0</v>
      </c>
      <c r="Y511" t="s">
        <v>113</v>
      </c>
      <c r="Z511" t="s">
        <v>542</v>
      </c>
      <c r="AA511" t="s">
        <v>5432</v>
      </c>
      <c r="AB511" t="s">
        <v>116</v>
      </c>
      <c r="AC511" t="s">
        <v>3176</v>
      </c>
      <c r="AH511" t="s">
        <v>274</v>
      </c>
      <c r="AI511">
        <v>38</v>
      </c>
      <c r="AJ511">
        <v>0</v>
      </c>
      <c r="AK511">
        <v>0</v>
      </c>
      <c r="AL511">
        <v>0</v>
      </c>
      <c r="AM511">
        <v>0.27</v>
      </c>
      <c r="AN511">
        <v>0.31</v>
      </c>
      <c r="AO511">
        <v>0.1</v>
      </c>
      <c r="AS511">
        <v>2</v>
      </c>
      <c r="AT511">
        <v>0</v>
      </c>
      <c r="AU511">
        <v>1</v>
      </c>
      <c r="AV511">
        <v>50</v>
      </c>
      <c r="AW511">
        <v>40</v>
      </c>
      <c r="AX511">
        <v>94</v>
      </c>
      <c r="AY511">
        <v>1</v>
      </c>
      <c r="AZ511" t="b">
        <v>1</v>
      </c>
      <c r="BA511">
        <v>1645</v>
      </c>
      <c r="BB511">
        <v>1621</v>
      </c>
      <c r="BC511">
        <v>17</v>
      </c>
      <c r="BD511" t="s">
        <v>5433</v>
      </c>
      <c r="BE511" s="1" t="s">
        <v>4325</v>
      </c>
      <c r="BF511">
        <v>0</v>
      </c>
      <c r="BG511">
        <v>71</v>
      </c>
      <c r="BH511">
        <v>0</v>
      </c>
      <c r="BI511" s="1" t="s">
        <v>160</v>
      </c>
      <c r="BJ511" s="1" t="s">
        <v>752</v>
      </c>
      <c r="BK511" s="1" t="s">
        <v>211</v>
      </c>
      <c r="BL511" s="1" t="s">
        <v>229</v>
      </c>
      <c r="BM511">
        <v>3</v>
      </c>
      <c r="BN511" s="1" t="s">
        <v>640</v>
      </c>
      <c r="BO511" s="1" t="s">
        <v>169</v>
      </c>
      <c r="BP511" s="1" t="s">
        <v>161</v>
      </c>
      <c r="BQ511" s="1" t="s">
        <v>1829</v>
      </c>
      <c r="BR511">
        <v>10.4</v>
      </c>
      <c r="BS511">
        <v>2</v>
      </c>
      <c r="BT511">
        <v>1</v>
      </c>
      <c r="BU511" s="1" t="s">
        <v>129</v>
      </c>
      <c r="BV511">
        <v>1.2</v>
      </c>
      <c r="BW511">
        <v>0</v>
      </c>
      <c r="BX511">
        <v>0.4</v>
      </c>
      <c r="BY511">
        <v>0</v>
      </c>
      <c r="BZ511">
        <v>0.2</v>
      </c>
      <c r="CA511" s="1" t="s">
        <v>1978</v>
      </c>
      <c r="CB511" s="1" t="s">
        <v>4682</v>
      </c>
      <c r="CC511" s="1" t="s">
        <v>5434</v>
      </c>
      <c r="CD511">
        <v>4.1333333333333298E-2</v>
      </c>
      <c r="CE511">
        <v>6.6666666666666596E-2</v>
      </c>
      <c r="CF511" s="1" t="s">
        <v>4596</v>
      </c>
      <c r="CG511" s="1" t="s">
        <v>397</v>
      </c>
      <c r="CH511" s="1" t="s">
        <v>397</v>
      </c>
      <c r="CI511" s="1" t="s">
        <v>159</v>
      </c>
      <c r="CJ511" s="1" t="s">
        <v>275</v>
      </c>
      <c r="CK511" s="1" t="s">
        <v>126</v>
      </c>
      <c r="CL511">
        <v>3</v>
      </c>
      <c r="CM511">
        <v>60</v>
      </c>
      <c r="CN511">
        <v>63.4</v>
      </c>
      <c r="CO511" s="1" t="s">
        <v>1857</v>
      </c>
      <c r="CP511" s="1" t="s">
        <v>822</v>
      </c>
      <c r="CQ511" s="1" t="s">
        <v>5435</v>
      </c>
      <c r="CS511" s="1" t="s">
        <v>2903</v>
      </c>
      <c r="CT511" s="1" t="s">
        <v>5436</v>
      </c>
      <c r="CU511" s="1" t="s">
        <v>5437</v>
      </c>
      <c r="CV511" s="1" t="s">
        <v>2741</v>
      </c>
      <c r="CW511">
        <v>61.45</v>
      </c>
      <c r="CX511">
        <v>65.3</v>
      </c>
      <c r="CY511">
        <v>55.4</v>
      </c>
      <c r="CZ511" s="1" t="s">
        <v>681</v>
      </c>
      <c r="DA511">
        <v>1</v>
      </c>
      <c r="DB511" t="s">
        <v>542</v>
      </c>
      <c r="DC511">
        <v>26</v>
      </c>
      <c r="DD511" s="1" t="s">
        <v>5438</v>
      </c>
      <c r="DE511">
        <v>-27.5755259785116</v>
      </c>
      <c r="DF511" t="str">
        <f>_xlfn.XLOOKUP(Table1[[#This Row],[Player ID]],Table2[feed_id],Table2[trade_status])</f>
        <v>free_agent</v>
      </c>
      <c r="DG511">
        <f>_xlfn.NUMBERVALUE(Table1[[#This Row],[predicted]])</f>
        <v>53.5755259785116</v>
      </c>
    </row>
    <row r="512" spans="1:111" hidden="1" x14ac:dyDescent="0.25">
      <c r="A512">
        <v>127246</v>
      </c>
      <c r="B512">
        <v>8932</v>
      </c>
      <c r="C512" t="s">
        <v>5430</v>
      </c>
      <c r="D512" t="s">
        <v>616</v>
      </c>
      <c r="E512">
        <v>2024</v>
      </c>
      <c r="F512">
        <v>1006143</v>
      </c>
      <c r="G512" t="s">
        <v>5439</v>
      </c>
      <c r="H512" t="s">
        <v>5440</v>
      </c>
      <c r="I512" t="s">
        <v>152</v>
      </c>
      <c r="J512">
        <v>3</v>
      </c>
      <c r="K512">
        <v>30</v>
      </c>
      <c r="L512">
        <v>33</v>
      </c>
      <c r="M512">
        <v>37</v>
      </c>
      <c r="N512">
        <v>30</v>
      </c>
      <c r="O512">
        <v>41</v>
      </c>
      <c r="P512">
        <v>4</v>
      </c>
      <c r="Q512">
        <v>6</v>
      </c>
      <c r="R512">
        <v>3</v>
      </c>
      <c r="S512">
        <v>0</v>
      </c>
      <c r="T512">
        <v>0</v>
      </c>
      <c r="U512">
        <v>1</v>
      </c>
      <c r="V512">
        <v>2</v>
      </c>
      <c r="W512">
        <v>0</v>
      </c>
      <c r="X512">
        <v>2</v>
      </c>
      <c r="Y512" t="s">
        <v>113</v>
      </c>
      <c r="Z512" t="s">
        <v>656</v>
      </c>
      <c r="AA512" t="s">
        <v>5441</v>
      </c>
      <c r="AH512" t="s">
        <v>155</v>
      </c>
      <c r="AI512">
        <v>12</v>
      </c>
      <c r="AJ512">
        <v>0</v>
      </c>
      <c r="AK512">
        <v>0</v>
      </c>
      <c r="AL512">
        <v>0</v>
      </c>
      <c r="AM512">
        <v>0.53</v>
      </c>
      <c r="AN512">
        <v>0.62</v>
      </c>
      <c r="AO512">
        <v>0.54</v>
      </c>
      <c r="AS512">
        <v>4</v>
      </c>
      <c r="AT512">
        <v>0</v>
      </c>
      <c r="AU512">
        <v>4</v>
      </c>
      <c r="AV512">
        <v>80</v>
      </c>
      <c r="AW512">
        <v>89</v>
      </c>
      <c r="AX512">
        <v>84</v>
      </c>
      <c r="AY512">
        <v>0</v>
      </c>
      <c r="AZ512" t="b">
        <v>0</v>
      </c>
      <c r="BA512">
        <v>1645</v>
      </c>
      <c r="BB512">
        <v>1621</v>
      </c>
      <c r="BC512">
        <v>17</v>
      </c>
      <c r="BD512" t="s">
        <v>5433</v>
      </c>
      <c r="BE512" s="1" t="s">
        <v>4325</v>
      </c>
      <c r="BF512">
        <v>0</v>
      </c>
      <c r="BG512">
        <v>71</v>
      </c>
      <c r="BH512">
        <v>0</v>
      </c>
      <c r="BI512" s="1" t="s">
        <v>204</v>
      </c>
      <c r="BJ512" s="1" t="s">
        <v>624</v>
      </c>
      <c r="BK512" s="1" t="s">
        <v>169</v>
      </c>
      <c r="BL512">
        <v>3.4</v>
      </c>
      <c r="BM512" s="1" t="s">
        <v>211</v>
      </c>
      <c r="BN512" s="1" t="s">
        <v>211</v>
      </c>
      <c r="BO512" s="1" t="s">
        <v>128</v>
      </c>
      <c r="BP512" s="1" t="s">
        <v>128</v>
      </c>
      <c r="BQ512">
        <v>0</v>
      </c>
      <c r="BR512">
        <v>0</v>
      </c>
      <c r="BS512">
        <v>1</v>
      </c>
      <c r="BT512" s="1" t="s">
        <v>161</v>
      </c>
      <c r="BU512">
        <v>2</v>
      </c>
      <c r="BV512" s="1" t="s">
        <v>257</v>
      </c>
      <c r="BW512" s="1" t="s">
        <v>161</v>
      </c>
      <c r="BX512" s="1" t="s">
        <v>375</v>
      </c>
      <c r="BY512">
        <v>1</v>
      </c>
      <c r="BZ512" s="1" t="s">
        <v>298</v>
      </c>
      <c r="CA512">
        <v>0.53</v>
      </c>
      <c r="CB512" s="1" t="s">
        <v>1664</v>
      </c>
      <c r="CC512">
        <v>0.62</v>
      </c>
      <c r="CD512" s="1" t="s">
        <v>5442</v>
      </c>
      <c r="CE512">
        <v>0.54</v>
      </c>
      <c r="CF512" s="1" t="s">
        <v>5443</v>
      </c>
      <c r="CG512" s="1" t="s">
        <v>138</v>
      </c>
      <c r="CH512" s="1" t="s">
        <v>752</v>
      </c>
      <c r="CI512">
        <v>0</v>
      </c>
      <c r="CJ512">
        <v>6.6666666666666596E-2</v>
      </c>
      <c r="CK512">
        <v>3</v>
      </c>
      <c r="CL512" s="1" t="s">
        <v>169</v>
      </c>
      <c r="CM512" s="1" t="s">
        <v>1406</v>
      </c>
      <c r="CN512" s="1" t="s">
        <v>2216</v>
      </c>
      <c r="CO512" s="1" t="s">
        <v>1491</v>
      </c>
      <c r="CP512" s="1" t="s">
        <v>5444</v>
      </c>
      <c r="CQ512">
        <v>185</v>
      </c>
      <c r="CR512" s="1" t="s">
        <v>5445</v>
      </c>
      <c r="CS512">
        <v>1562</v>
      </c>
      <c r="CT512">
        <v>1659.6</v>
      </c>
      <c r="CU512">
        <v>1718</v>
      </c>
      <c r="CV512" s="1" t="s">
        <v>2905</v>
      </c>
      <c r="CW512">
        <v>55.85</v>
      </c>
      <c r="CX512">
        <v>44.4</v>
      </c>
      <c r="CY512">
        <v>52.8</v>
      </c>
      <c r="CZ512">
        <v>47</v>
      </c>
      <c r="DA512">
        <v>1</v>
      </c>
      <c r="DB512" t="s">
        <v>656</v>
      </c>
      <c r="DC512">
        <v>33</v>
      </c>
      <c r="DD512" s="1" t="s">
        <v>5446</v>
      </c>
      <c r="DE512">
        <v>-27.411285088886</v>
      </c>
      <c r="DF512" t="str">
        <f>_xlfn.XLOOKUP(Table1[[#This Row],[Player ID]],Table2[feed_id],Table2[trade_status])</f>
        <v>free_agent</v>
      </c>
      <c r="DG512">
        <f>_xlfn.NUMBERVALUE(Table1[[#This Row],[predicted]])</f>
        <v>60.411285088885997</v>
      </c>
    </row>
    <row r="513" spans="1:111" hidden="1" x14ac:dyDescent="0.25">
      <c r="A513">
        <v>127534</v>
      </c>
      <c r="B513">
        <v>8938</v>
      </c>
      <c r="C513" t="s">
        <v>5447</v>
      </c>
      <c r="D513" t="s">
        <v>653</v>
      </c>
      <c r="E513">
        <v>2024</v>
      </c>
      <c r="F513">
        <v>1018016</v>
      </c>
      <c r="G513" t="s">
        <v>5448</v>
      </c>
      <c r="H513" t="s">
        <v>1812</v>
      </c>
      <c r="I513" t="s">
        <v>391</v>
      </c>
      <c r="J513">
        <v>5</v>
      </c>
      <c r="K513">
        <v>48</v>
      </c>
      <c r="L513">
        <v>39</v>
      </c>
      <c r="M513">
        <v>35</v>
      </c>
      <c r="N513">
        <v>39</v>
      </c>
      <c r="O513">
        <v>54</v>
      </c>
      <c r="P513">
        <v>7</v>
      </c>
      <c r="Q513">
        <v>5</v>
      </c>
      <c r="R513">
        <v>4</v>
      </c>
      <c r="S513">
        <v>2</v>
      </c>
      <c r="T513">
        <v>0</v>
      </c>
      <c r="U513">
        <v>0</v>
      </c>
      <c r="V513">
        <v>1</v>
      </c>
      <c r="W513">
        <v>0</v>
      </c>
      <c r="X513">
        <v>0</v>
      </c>
      <c r="Y513" t="s">
        <v>113</v>
      </c>
      <c r="Z513" t="s">
        <v>226</v>
      </c>
      <c r="AA513" t="s">
        <v>5449</v>
      </c>
      <c r="AH513" t="s">
        <v>181</v>
      </c>
      <c r="AI513">
        <v>40</v>
      </c>
      <c r="AJ513">
        <v>0</v>
      </c>
      <c r="AK513">
        <v>0</v>
      </c>
      <c r="AL513">
        <v>0</v>
      </c>
      <c r="AM513">
        <v>0.13</v>
      </c>
      <c r="AN513">
        <v>0.1</v>
      </c>
      <c r="AO513">
        <v>0.2</v>
      </c>
      <c r="AS513">
        <v>5</v>
      </c>
      <c r="AT513">
        <v>0</v>
      </c>
      <c r="AU513">
        <v>6</v>
      </c>
      <c r="AV513">
        <v>50</v>
      </c>
      <c r="AW513">
        <v>77</v>
      </c>
      <c r="AX513">
        <v>148</v>
      </c>
      <c r="AY513">
        <v>0</v>
      </c>
      <c r="AZ513" t="b">
        <v>0</v>
      </c>
      <c r="BA513">
        <v>1854</v>
      </c>
      <c r="BB513">
        <v>1437</v>
      </c>
      <c r="BC513">
        <v>18</v>
      </c>
      <c r="BD513" t="s">
        <v>5450</v>
      </c>
      <c r="BE513">
        <v>96</v>
      </c>
      <c r="BF513">
        <v>0</v>
      </c>
      <c r="BG513">
        <v>70</v>
      </c>
      <c r="BH513">
        <v>0</v>
      </c>
      <c r="BI513" s="1" t="s">
        <v>124</v>
      </c>
      <c r="BJ513" s="1" t="s">
        <v>1092</v>
      </c>
      <c r="BK513">
        <v>4</v>
      </c>
      <c r="BL513" s="1" t="s">
        <v>211</v>
      </c>
      <c r="BM513">
        <v>4</v>
      </c>
      <c r="BN513" s="1" t="s">
        <v>237</v>
      </c>
      <c r="BO513" s="1" t="s">
        <v>161</v>
      </c>
      <c r="BP513">
        <v>1.6</v>
      </c>
      <c r="BQ513">
        <v>0</v>
      </c>
      <c r="BR513">
        <v>0</v>
      </c>
      <c r="BS513">
        <v>0</v>
      </c>
      <c r="BT513" s="1" t="s">
        <v>213</v>
      </c>
      <c r="BU513" s="1" t="s">
        <v>126</v>
      </c>
      <c r="BV513" s="1" t="s">
        <v>128</v>
      </c>
      <c r="BW513">
        <v>0</v>
      </c>
      <c r="BX513">
        <v>0</v>
      </c>
      <c r="BY513">
        <v>0</v>
      </c>
      <c r="BZ513">
        <v>0</v>
      </c>
      <c r="CA513">
        <v>0.13</v>
      </c>
      <c r="CB513">
        <v>0.19</v>
      </c>
      <c r="CC513">
        <v>0.1</v>
      </c>
      <c r="CD513" s="1" t="s">
        <v>5451</v>
      </c>
      <c r="CE513">
        <v>0.2</v>
      </c>
      <c r="CF513" s="1" t="s">
        <v>784</v>
      </c>
      <c r="CG513" s="1" t="s">
        <v>161</v>
      </c>
      <c r="CH513" s="1" t="s">
        <v>169</v>
      </c>
      <c r="CI513">
        <v>0</v>
      </c>
      <c r="CJ513" s="1" t="s">
        <v>213</v>
      </c>
      <c r="CK513" s="1" t="s">
        <v>125</v>
      </c>
      <c r="CL513" s="1" t="s">
        <v>159</v>
      </c>
      <c r="CM513" s="1" t="s">
        <v>263</v>
      </c>
      <c r="CN513">
        <v>75.2</v>
      </c>
      <c r="CO513">
        <v>75</v>
      </c>
      <c r="CP513" s="1" t="s">
        <v>1288</v>
      </c>
      <c r="CQ513" s="1" t="s">
        <v>3539</v>
      </c>
      <c r="CR513">
        <v>150</v>
      </c>
      <c r="CS513" s="1" t="s">
        <v>5452</v>
      </c>
      <c r="CT513" s="1" t="s">
        <v>5453</v>
      </c>
      <c r="CU513">
        <v>1686</v>
      </c>
      <c r="CV513" s="1" t="s">
        <v>5454</v>
      </c>
      <c r="CW513">
        <v>50.3</v>
      </c>
      <c r="CX513">
        <v>37.5</v>
      </c>
      <c r="CY513">
        <v>30.6</v>
      </c>
      <c r="CZ513">
        <v>31</v>
      </c>
      <c r="DA513">
        <v>1</v>
      </c>
      <c r="DB513" t="s">
        <v>226</v>
      </c>
      <c r="DC513">
        <v>39</v>
      </c>
      <c r="DD513">
        <v>77.518302117599603</v>
      </c>
      <c r="DE513">
        <v>-38.518302117599603</v>
      </c>
      <c r="DF513" t="str">
        <f>_xlfn.XLOOKUP(Table1[[#This Row],[Player ID]],Table2[feed_id],Table2[trade_status])</f>
        <v>free_agent</v>
      </c>
      <c r="DG513">
        <f>_xlfn.NUMBERVALUE(Table1[[#This Row],[predicted]])</f>
        <v>77.518302117599603</v>
      </c>
    </row>
    <row r="514" spans="1:111" hidden="1" x14ac:dyDescent="0.25">
      <c r="A514">
        <v>127537</v>
      </c>
      <c r="B514">
        <v>8938</v>
      </c>
      <c r="C514" t="s">
        <v>5447</v>
      </c>
      <c r="D514" t="s">
        <v>653</v>
      </c>
      <c r="E514">
        <v>2024</v>
      </c>
      <c r="F514">
        <v>1000887</v>
      </c>
      <c r="G514" t="s">
        <v>1718</v>
      </c>
      <c r="H514" t="s">
        <v>2975</v>
      </c>
      <c r="I514" t="s">
        <v>391</v>
      </c>
      <c r="J514">
        <v>10</v>
      </c>
      <c r="K514">
        <v>43</v>
      </c>
      <c r="L514">
        <v>53</v>
      </c>
      <c r="M514">
        <v>37</v>
      </c>
      <c r="N514">
        <v>39</v>
      </c>
      <c r="O514">
        <v>48</v>
      </c>
      <c r="P514">
        <v>4</v>
      </c>
      <c r="Q514">
        <v>3</v>
      </c>
      <c r="R514">
        <v>4</v>
      </c>
      <c r="S514">
        <v>1</v>
      </c>
      <c r="T514">
        <v>0</v>
      </c>
      <c r="U514">
        <v>0</v>
      </c>
      <c r="V514">
        <v>1</v>
      </c>
      <c r="W514">
        <v>2</v>
      </c>
      <c r="X514">
        <v>0</v>
      </c>
      <c r="Y514" t="s">
        <v>113</v>
      </c>
      <c r="Z514" t="s">
        <v>114</v>
      </c>
      <c r="AA514" t="s">
        <v>5455</v>
      </c>
      <c r="AB514" t="s">
        <v>656</v>
      </c>
      <c r="AC514" t="s">
        <v>5456</v>
      </c>
      <c r="AE514">
        <v>0</v>
      </c>
      <c r="AH514" t="s">
        <v>155</v>
      </c>
      <c r="AI514">
        <v>2</v>
      </c>
      <c r="AJ514">
        <v>2</v>
      </c>
      <c r="AK514">
        <v>25.5</v>
      </c>
      <c r="AL514">
        <v>0</v>
      </c>
      <c r="AM514">
        <v>0</v>
      </c>
      <c r="AN514">
        <v>0.43</v>
      </c>
      <c r="AO514">
        <v>0.44</v>
      </c>
      <c r="AS514">
        <v>5</v>
      </c>
      <c r="AT514">
        <v>1</v>
      </c>
      <c r="AU514">
        <v>2</v>
      </c>
      <c r="AV514">
        <v>57</v>
      </c>
      <c r="AW514">
        <v>70</v>
      </c>
      <c r="AX514">
        <v>68</v>
      </c>
      <c r="AY514">
        <v>1</v>
      </c>
      <c r="AZ514" t="b">
        <v>1</v>
      </c>
      <c r="BA514">
        <v>1854</v>
      </c>
      <c r="BB514">
        <v>1437</v>
      </c>
      <c r="BC514">
        <v>18</v>
      </c>
      <c r="BD514" t="s">
        <v>5450</v>
      </c>
      <c r="BE514">
        <v>96</v>
      </c>
      <c r="BF514">
        <v>0</v>
      </c>
      <c r="BG514">
        <v>70</v>
      </c>
      <c r="BH514">
        <v>0</v>
      </c>
      <c r="BI514" s="1" t="s">
        <v>160</v>
      </c>
      <c r="BJ514" s="1" t="s">
        <v>729</v>
      </c>
      <c r="BK514" s="1" t="s">
        <v>169</v>
      </c>
      <c r="BL514" s="1" t="s">
        <v>990</v>
      </c>
      <c r="BM514" s="1" t="s">
        <v>138</v>
      </c>
      <c r="BN514">
        <v>5</v>
      </c>
      <c r="BO514">
        <v>1</v>
      </c>
      <c r="BP514" s="1" t="s">
        <v>206</v>
      </c>
      <c r="BQ514">
        <v>0</v>
      </c>
      <c r="BR514">
        <v>0.4</v>
      </c>
      <c r="BS514">
        <v>0</v>
      </c>
      <c r="BT514">
        <v>0.4</v>
      </c>
      <c r="BU514" s="1" t="s">
        <v>128</v>
      </c>
      <c r="BV514">
        <v>0.8</v>
      </c>
      <c r="BW514" s="1" t="s">
        <v>126</v>
      </c>
      <c r="BX514" s="1" t="s">
        <v>375</v>
      </c>
      <c r="BY514">
        <v>0</v>
      </c>
      <c r="BZ514">
        <v>1</v>
      </c>
      <c r="CA514">
        <v>0</v>
      </c>
      <c r="CB514">
        <v>0</v>
      </c>
      <c r="CC514">
        <v>0.43</v>
      </c>
      <c r="CD514" s="1" t="s">
        <v>300</v>
      </c>
      <c r="CE514">
        <v>0.44</v>
      </c>
      <c r="CF514">
        <v>0.39600000000000002</v>
      </c>
      <c r="CG514" s="1" t="s">
        <v>138</v>
      </c>
      <c r="CH514" s="1" t="s">
        <v>256</v>
      </c>
      <c r="CI514" s="1" t="s">
        <v>129</v>
      </c>
      <c r="CJ514" s="1" t="s">
        <v>213</v>
      </c>
      <c r="CK514" s="1" t="s">
        <v>126</v>
      </c>
      <c r="CL514" s="1" t="s">
        <v>159</v>
      </c>
      <c r="CM514" s="1" t="s">
        <v>759</v>
      </c>
      <c r="CN514">
        <v>69</v>
      </c>
      <c r="CO514" s="1" t="s">
        <v>683</v>
      </c>
      <c r="CP514" s="1" t="s">
        <v>5457</v>
      </c>
      <c r="CQ514" s="1" t="s">
        <v>3951</v>
      </c>
      <c r="CR514" s="1" t="s">
        <v>5458</v>
      </c>
      <c r="CS514" s="1" t="s">
        <v>4577</v>
      </c>
      <c r="CT514" s="1" t="s">
        <v>5459</v>
      </c>
      <c r="CU514">
        <v>1739</v>
      </c>
      <c r="CV514">
        <v>1668.8</v>
      </c>
      <c r="CW514">
        <v>63.25</v>
      </c>
      <c r="CX514">
        <v>56.8</v>
      </c>
      <c r="CY514">
        <v>43</v>
      </c>
      <c r="CZ514" s="1" t="s">
        <v>2765</v>
      </c>
      <c r="DA514">
        <v>1</v>
      </c>
      <c r="DB514" t="s">
        <v>114</v>
      </c>
      <c r="DC514">
        <v>53</v>
      </c>
      <c r="DD514" s="1" t="s">
        <v>5460</v>
      </c>
      <c r="DE514">
        <v>7.7606202666645601</v>
      </c>
      <c r="DF514" t="str">
        <f>_xlfn.XLOOKUP(Table1[[#This Row],[Player ID]],Table2[feed_id],Table2[trade_status])</f>
        <v>free_agent</v>
      </c>
      <c r="DG514">
        <f>_xlfn.NUMBERVALUE(Table1[[#This Row],[predicted]])</f>
        <v>45.239379733335397</v>
      </c>
    </row>
    <row r="515" spans="1:111" hidden="1" x14ac:dyDescent="0.25">
      <c r="A515">
        <v>127631</v>
      </c>
      <c r="B515">
        <v>8940</v>
      </c>
      <c r="C515" t="s">
        <v>5461</v>
      </c>
      <c r="D515" t="s">
        <v>653</v>
      </c>
      <c r="E515">
        <v>2024</v>
      </c>
      <c r="F515">
        <v>1009308</v>
      </c>
      <c r="G515" t="s">
        <v>5462</v>
      </c>
      <c r="H515" t="s">
        <v>5463</v>
      </c>
      <c r="I515" t="s">
        <v>317</v>
      </c>
      <c r="J515">
        <v>2</v>
      </c>
      <c r="K515">
        <v>19</v>
      </c>
      <c r="L515">
        <v>23</v>
      </c>
      <c r="M515">
        <v>17</v>
      </c>
      <c r="N515">
        <v>16</v>
      </c>
      <c r="O515">
        <v>27</v>
      </c>
      <c r="P515">
        <v>3</v>
      </c>
      <c r="Q515">
        <v>2</v>
      </c>
      <c r="R515">
        <v>1</v>
      </c>
      <c r="S515">
        <v>3</v>
      </c>
      <c r="T515">
        <v>0</v>
      </c>
      <c r="U515">
        <v>0</v>
      </c>
      <c r="V515">
        <v>3</v>
      </c>
      <c r="W515">
        <v>0</v>
      </c>
      <c r="X515">
        <v>0</v>
      </c>
      <c r="Y515" t="s">
        <v>113</v>
      </c>
      <c r="Z515" t="s">
        <v>525</v>
      </c>
      <c r="AA515" t="s">
        <v>5464</v>
      </c>
      <c r="AH515" t="s">
        <v>155</v>
      </c>
      <c r="AI515">
        <v>38</v>
      </c>
      <c r="AJ515">
        <v>0</v>
      </c>
      <c r="AK515">
        <v>0</v>
      </c>
      <c r="AL515">
        <v>0</v>
      </c>
      <c r="AM515">
        <v>0.09</v>
      </c>
      <c r="AN515">
        <v>0.31</v>
      </c>
      <c r="AO515">
        <v>7.0000000000000007E-2</v>
      </c>
      <c r="AS515">
        <v>2</v>
      </c>
      <c r="AT515">
        <v>0</v>
      </c>
      <c r="AU515">
        <v>4</v>
      </c>
      <c r="AV515">
        <v>60</v>
      </c>
      <c r="AW515">
        <v>76</v>
      </c>
      <c r="AX515">
        <v>124</v>
      </c>
      <c r="AY515">
        <v>0</v>
      </c>
      <c r="AZ515" t="b">
        <v>0</v>
      </c>
      <c r="BA515">
        <v>1751</v>
      </c>
      <c r="BB515">
        <v>1532</v>
      </c>
      <c r="BC515">
        <v>18</v>
      </c>
      <c r="BD515" t="s">
        <v>5465</v>
      </c>
      <c r="BE515">
        <v>96</v>
      </c>
      <c r="BF515">
        <v>0</v>
      </c>
      <c r="BG515">
        <v>70</v>
      </c>
      <c r="BH515">
        <v>0</v>
      </c>
      <c r="BI515" s="1" t="s">
        <v>138</v>
      </c>
      <c r="BJ515" s="1" t="s">
        <v>781</v>
      </c>
      <c r="BK515" s="1" t="s">
        <v>126</v>
      </c>
      <c r="BL515" s="1" t="s">
        <v>528</v>
      </c>
      <c r="BM515">
        <v>1</v>
      </c>
      <c r="BN515" s="1" t="s">
        <v>159</v>
      </c>
      <c r="BO515" s="1" t="s">
        <v>161</v>
      </c>
      <c r="BP515">
        <v>2.4</v>
      </c>
      <c r="BQ515">
        <v>0</v>
      </c>
      <c r="BR515">
        <v>0</v>
      </c>
      <c r="BS515" s="1" t="s">
        <v>128</v>
      </c>
      <c r="BT515" s="1" t="s">
        <v>399</v>
      </c>
      <c r="BU515" s="1" t="s">
        <v>161</v>
      </c>
      <c r="BV515" s="1" t="s">
        <v>126</v>
      </c>
      <c r="BW515">
        <v>1</v>
      </c>
      <c r="BX515" s="1" t="s">
        <v>162</v>
      </c>
      <c r="BY515">
        <v>0</v>
      </c>
      <c r="BZ515">
        <v>0.6</v>
      </c>
      <c r="CA515">
        <v>0.09</v>
      </c>
      <c r="CB515" s="1" t="s">
        <v>5466</v>
      </c>
      <c r="CC515">
        <v>0.31</v>
      </c>
      <c r="CD515">
        <v>0.42199999999999999</v>
      </c>
      <c r="CE515">
        <v>7.0000000000000007E-2</v>
      </c>
      <c r="CF515">
        <v>0.32600000000000001</v>
      </c>
      <c r="CG515" s="1" t="s">
        <v>169</v>
      </c>
      <c r="CH515" s="1" t="s">
        <v>990</v>
      </c>
      <c r="CI515" s="1" t="s">
        <v>129</v>
      </c>
      <c r="CJ515" s="1" t="s">
        <v>231</v>
      </c>
      <c r="CK515" s="1" t="s">
        <v>169</v>
      </c>
      <c r="CL515">
        <v>3.6</v>
      </c>
      <c r="CM515" s="1" t="s">
        <v>558</v>
      </c>
      <c r="CN515">
        <v>62</v>
      </c>
      <c r="CO515" s="1" t="s">
        <v>572</v>
      </c>
      <c r="CP515">
        <v>68.8</v>
      </c>
      <c r="CQ515" s="1" t="s">
        <v>1665</v>
      </c>
      <c r="CR515" s="1" t="s">
        <v>5009</v>
      </c>
      <c r="CS515">
        <v>1570</v>
      </c>
      <c r="CT515" s="1" t="s">
        <v>2950</v>
      </c>
      <c r="CU515" s="1" t="s">
        <v>4723</v>
      </c>
      <c r="CV515">
        <v>1783.6</v>
      </c>
      <c r="CW515">
        <v>42.25</v>
      </c>
      <c r="CX515">
        <v>28.3</v>
      </c>
      <c r="CY515">
        <v>32</v>
      </c>
      <c r="CZ515">
        <v>26</v>
      </c>
      <c r="DA515">
        <v>1</v>
      </c>
      <c r="DB515" t="s">
        <v>525</v>
      </c>
      <c r="DC515">
        <v>23</v>
      </c>
      <c r="DD515" s="1" t="s">
        <v>5467</v>
      </c>
      <c r="DE515">
        <v>-23.122931868385301</v>
      </c>
      <c r="DF515" t="e">
        <f>_xlfn.XLOOKUP(Table1[[#This Row],[Player ID]],Table2[feed_id],Table2[trade_status])</f>
        <v>#N/A</v>
      </c>
      <c r="DG515">
        <f>_xlfn.NUMBERVALUE(Table1[[#This Row],[predicted]])</f>
        <v>46.122931868385301</v>
      </c>
    </row>
    <row r="516" spans="1:111" hidden="1" x14ac:dyDescent="0.25">
      <c r="A516">
        <v>127901</v>
      </c>
      <c r="B516">
        <v>8946</v>
      </c>
      <c r="C516" t="s">
        <v>5468</v>
      </c>
      <c r="D516" t="s">
        <v>690</v>
      </c>
      <c r="E516">
        <v>2024</v>
      </c>
      <c r="F516">
        <v>1006137</v>
      </c>
      <c r="G516" t="s">
        <v>5469</v>
      </c>
      <c r="H516" t="s">
        <v>1422</v>
      </c>
      <c r="I516" t="s">
        <v>813</v>
      </c>
      <c r="J516">
        <v>1</v>
      </c>
      <c r="K516">
        <v>17</v>
      </c>
      <c r="L516">
        <v>10</v>
      </c>
      <c r="M516">
        <v>13</v>
      </c>
      <c r="N516">
        <v>15</v>
      </c>
      <c r="O516">
        <v>18</v>
      </c>
      <c r="P516">
        <v>2</v>
      </c>
      <c r="Q516">
        <v>2</v>
      </c>
      <c r="R516">
        <v>2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 t="s">
        <v>113</v>
      </c>
      <c r="Z516" t="s">
        <v>525</v>
      </c>
      <c r="AA516" t="s">
        <v>5470</v>
      </c>
      <c r="AB516" t="s">
        <v>3571</v>
      </c>
      <c r="AC516" t="s">
        <v>4081</v>
      </c>
      <c r="AH516" t="s">
        <v>118</v>
      </c>
      <c r="AI516">
        <v>5</v>
      </c>
      <c r="AJ516">
        <v>0</v>
      </c>
      <c r="AK516">
        <v>0</v>
      </c>
      <c r="AL516">
        <v>0</v>
      </c>
      <c r="AM516">
        <v>1.02</v>
      </c>
      <c r="AN516">
        <v>0.2</v>
      </c>
      <c r="AO516">
        <v>0.21</v>
      </c>
      <c r="AS516">
        <v>2</v>
      </c>
      <c r="AT516">
        <v>1</v>
      </c>
      <c r="AU516">
        <v>1</v>
      </c>
      <c r="AV516">
        <v>100</v>
      </c>
      <c r="AW516">
        <v>32</v>
      </c>
      <c r="AX516">
        <v>105</v>
      </c>
      <c r="AY516">
        <v>0</v>
      </c>
      <c r="AZ516" t="b">
        <v>0</v>
      </c>
      <c r="BA516">
        <v>1859</v>
      </c>
      <c r="BB516">
        <v>1432</v>
      </c>
      <c r="BC516">
        <v>19</v>
      </c>
      <c r="BD516" t="s">
        <v>5471</v>
      </c>
      <c r="BE516" s="1" t="s">
        <v>3618</v>
      </c>
      <c r="BF516">
        <v>0</v>
      </c>
      <c r="BG516">
        <v>72</v>
      </c>
      <c r="BH516">
        <v>0</v>
      </c>
      <c r="BI516" s="1" t="s">
        <v>125</v>
      </c>
      <c r="BJ516" s="1" t="s">
        <v>1079</v>
      </c>
      <c r="BK516" s="1" t="s">
        <v>159</v>
      </c>
      <c r="BL516">
        <v>4.5999999999999996</v>
      </c>
      <c r="BM516" s="1" t="s">
        <v>159</v>
      </c>
      <c r="BN516" s="1" t="s">
        <v>189</v>
      </c>
      <c r="BO516" s="1" t="s">
        <v>129</v>
      </c>
      <c r="BP516">
        <v>2.2000000000000002</v>
      </c>
      <c r="BQ516">
        <v>0</v>
      </c>
      <c r="BR516">
        <v>0</v>
      </c>
      <c r="BS516" s="1" t="s">
        <v>128</v>
      </c>
      <c r="BT516">
        <v>0.6</v>
      </c>
      <c r="BU516" s="1" t="s">
        <v>128</v>
      </c>
      <c r="BV516" s="1" t="s">
        <v>129</v>
      </c>
      <c r="BW516" s="1" t="s">
        <v>129</v>
      </c>
      <c r="BX516">
        <v>0.4</v>
      </c>
      <c r="BY516">
        <v>0</v>
      </c>
      <c r="BZ516">
        <v>6.6666666666666596E-2</v>
      </c>
      <c r="CA516">
        <v>1.02</v>
      </c>
      <c r="CB516" s="1" t="s">
        <v>5472</v>
      </c>
      <c r="CC516">
        <v>0.2</v>
      </c>
      <c r="CD516">
        <v>0.25600000000000001</v>
      </c>
      <c r="CE516">
        <v>0.21</v>
      </c>
      <c r="CF516">
        <v>0.21</v>
      </c>
      <c r="CG516" s="1" t="s">
        <v>126</v>
      </c>
      <c r="CH516" s="1" t="s">
        <v>189</v>
      </c>
      <c r="CI516" s="1" t="s">
        <v>129</v>
      </c>
      <c r="CJ516" s="1" t="s">
        <v>231</v>
      </c>
      <c r="CK516" s="1" t="s">
        <v>126</v>
      </c>
      <c r="CL516" s="1" t="s">
        <v>275</v>
      </c>
      <c r="CM516" s="1" t="s">
        <v>3487</v>
      </c>
      <c r="CN516" s="1" t="s">
        <v>610</v>
      </c>
      <c r="CO516" s="1" t="s">
        <v>3641</v>
      </c>
      <c r="CP516" s="1" t="s">
        <v>1520</v>
      </c>
      <c r="CQ516" s="1" t="s">
        <v>5473</v>
      </c>
      <c r="CR516" s="1" t="s">
        <v>5474</v>
      </c>
      <c r="CS516" s="1" t="s">
        <v>4610</v>
      </c>
      <c r="CT516">
        <v>1612</v>
      </c>
      <c r="CU516" s="1" t="s">
        <v>4639</v>
      </c>
      <c r="CV516">
        <v>1668.2</v>
      </c>
      <c r="CW516">
        <v>55.6</v>
      </c>
      <c r="CX516">
        <v>53.4</v>
      </c>
      <c r="CY516">
        <v>47.6</v>
      </c>
      <c r="CZ516">
        <v>25</v>
      </c>
      <c r="DA516">
        <v>1</v>
      </c>
      <c r="DB516" t="s">
        <v>525</v>
      </c>
      <c r="DC516">
        <v>10</v>
      </c>
      <c r="DD516" s="1" t="s">
        <v>5475</v>
      </c>
      <c r="DE516">
        <v>-42.116332058603597</v>
      </c>
      <c r="DF516" t="e">
        <f>_xlfn.XLOOKUP(Table1[[#This Row],[Player ID]],Table2[feed_id],Table2[trade_status])</f>
        <v>#N/A</v>
      </c>
      <c r="DG516">
        <f>_xlfn.NUMBERVALUE(Table1[[#This Row],[predicted]])</f>
        <v>52.116332058603597</v>
      </c>
    </row>
    <row r="517" spans="1:111" hidden="1" x14ac:dyDescent="0.25">
      <c r="A517">
        <v>127946</v>
      </c>
      <c r="B517">
        <v>8947</v>
      </c>
      <c r="C517" t="s">
        <v>5476</v>
      </c>
      <c r="D517" t="s">
        <v>690</v>
      </c>
      <c r="E517">
        <v>2024</v>
      </c>
      <c r="F517">
        <v>298302</v>
      </c>
      <c r="G517" t="s">
        <v>4451</v>
      </c>
      <c r="H517" t="s">
        <v>5477</v>
      </c>
      <c r="I517" t="s">
        <v>249</v>
      </c>
      <c r="J517">
        <v>2</v>
      </c>
      <c r="K517">
        <v>30</v>
      </c>
      <c r="L517">
        <v>41</v>
      </c>
      <c r="M517">
        <v>17</v>
      </c>
      <c r="N517">
        <v>25</v>
      </c>
      <c r="O517">
        <v>33</v>
      </c>
      <c r="P517">
        <v>5</v>
      </c>
      <c r="Q517">
        <v>4</v>
      </c>
      <c r="R517">
        <v>2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 t="s">
        <v>113</v>
      </c>
      <c r="Z517" t="s">
        <v>226</v>
      </c>
      <c r="AA517" t="s">
        <v>5478</v>
      </c>
      <c r="AE517">
        <v>0</v>
      </c>
      <c r="AH517" t="s">
        <v>181</v>
      </c>
      <c r="AI517">
        <v>22</v>
      </c>
      <c r="AJ517">
        <v>11</v>
      </c>
      <c r="AK517">
        <v>55.45</v>
      </c>
      <c r="AL517">
        <v>0</v>
      </c>
      <c r="AM517">
        <v>0</v>
      </c>
      <c r="AN517">
        <v>0.31</v>
      </c>
      <c r="AO517">
        <v>0.3</v>
      </c>
      <c r="AS517">
        <v>4</v>
      </c>
      <c r="AT517">
        <v>1</v>
      </c>
      <c r="AU517">
        <v>2</v>
      </c>
      <c r="AV517">
        <v>77</v>
      </c>
      <c r="AW517">
        <v>84</v>
      </c>
      <c r="AX517">
        <v>129</v>
      </c>
      <c r="AY517">
        <v>0</v>
      </c>
      <c r="AZ517" t="b">
        <v>0</v>
      </c>
      <c r="BA517">
        <v>1594</v>
      </c>
      <c r="BB517">
        <v>1698</v>
      </c>
      <c r="BC517">
        <v>19</v>
      </c>
      <c r="BD517" t="s">
        <v>5479</v>
      </c>
      <c r="BE517" s="1" t="s">
        <v>3618</v>
      </c>
      <c r="BF517">
        <v>0</v>
      </c>
      <c r="BG517">
        <v>72</v>
      </c>
      <c r="BH517">
        <v>0</v>
      </c>
      <c r="BI517" s="1" t="s">
        <v>183</v>
      </c>
      <c r="BJ517">
        <v>7.6</v>
      </c>
      <c r="BK517" s="1" t="s">
        <v>124</v>
      </c>
      <c r="BL517" s="1" t="s">
        <v>230</v>
      </c>
      <c r="BM517" s="1" t="s">
        <v>138</v>
      </c>
      <c r="BN517" s="1" t="s">
        <v>211</v>
      </c>
      <c r="BO517" s="1" t="s">
        <v>128</v>
      </c>
      <c r="BP517" s="1" t="s">
        <v>304</v>
      </c>
      <c r="BQ517">
        <v>0</v>
      </c>
      <c r="BR517">
        <v>0</v>
      </c>
      <c r="BS517">
        <v>1</v>
      </c>
      <c r="BT517">
        <v>1</v>
      </c>
      <c r="BU517" s="1" t="s">
        <v>129</v>
      </c>
      <c r="BV517" s="1" t="s">
        <v>399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 s="1" t="s">
        <v>5480</v>
      </c>
      <c r="CD517">
        <v>0.75600000000000001</v>
      </c>
      <c r="CE517" s="1" t="s">
        <v>5481</v>
      </c>
      <c r="CF517" s="1" t="s">
        <v>1599</v>
      </c>
      <c r="CG517" s="1" t="s">
        <v>124</v>
      </c>
      <c r="CH517" s="1" t="s">
        <v>212</v>
      </c>
      <c r="CI517" s="1" t="s">
        <v>129</v>
      </c>
      <c r="CJ517">
        <v>6.6666666666666596E-2</v>
      </c>
      <c r="CK517">
        <v>2</v>
      </c>
      <c r="CL517" s="1" t="s">
        <v>255</v>
      </c>
      <c r="CM517" s="1" t="s">
        <v>610</v>
      </c>
      <c r="CN517">
        <v>73.2</v>
      </c>
      <c r="CO517" s="1" t="s">
        <v>941</v>
      </c>
      <c r="CP517" s="1" t="s">
        <v>1110</v>
      </c>
      <c r="CQ517" s="1" t="s">
        <v>5042</v>
      </c>
      <c r="CS517">
        <v>1584</v>
      </c>
      <c r="CT517">
        <v>1645</v>
      </c>
      <c r="CU517">
        <v>1704</v>
      </c>
      <c r="CV517">
        <v>1642.4</v>
      </c>
      <c r="CW517">
        <v>59.95</v>
      </c>
      <c r="CX517">
        <v>57.6</v>
      </c>
      <c r="CY517">
        <v>63.6</v>
      </c>
      <c r="CZ517" s="1" t="s">
        <v>681</v>
      </c>
      <c r="DA517">
        <v>1</v>
      </c>
      <c r="DB517" t="s">
        <v>226</v>
      </c>
      <c r="DC517">
        <v>41</v>
      </c>
      <c r="DD517" s="1" t="s">
        <v>5482</v>
      </c>
      <c r="DE517">
        <v>-45.472038917668399</v>
      </c>
      <c r="DF517" t="e">
        <f>_xlfn.XLOOKUP(Table1[[#This Row],[Player ID]],Table2[feed_id],Table2[trade_status])</f>
        <v>#N/A</v>
      </c>
      <c r="DG517">
        <f>_xlfn.NUMBERVALUE(Table1[[#This Row],[predicted]])</f>
        <v>86.472038917668399</v>
      </c>
    </row>
    <row r="518" spans="1:111" hidden="1" x14ac:dyDescent="0.25">
      <c r="A518">
        <v>128036</v>
      </c>
      <c r="B518">
        <v>8949</v>
      </c>
      <c r="C518" t="s">
        <v>5483</v>
      </c>
      <c r="D518" t="s">
        <v>690</v>
      </c>
      <c r="E518">
        <v>2024</v>
      </c>
      <c r="F518">
        <v>297452</v>
      </c>
      <c r="G518" t="s">
        <v>740</v>
      </c>
      <c r="H518" t="s">
        <v>5484</v>
      </c>
      <c r="I518" t="s">
        <v>619</v>
      </c>
      <c r="J518">
        <v>1</v>
      </c>
      <c r="K518">
        <v>29</v>
      </c>
      <c r="L518">
        <v>19</v>
      </c>
      <c r="M518">
        <v>14</v>
      </c>
      <c r="N518">
        <v>21</v>
      </c>
      <c r="O518">
        <v>30</v>
      </c>
      <c r="P518">
        <v>6</v>
      </c>
      <c r="Q518">
        <v>2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113</v>
      </c>
      <c r="Z518" t="s">
        <v>226</v>
      </c>
      <c r="AA518" t="s">
        <v>5485</v>
      </c>
      <c r="AB518" t="s">
        <v>3571</v>
      </c>
      <c r="AC518" t="s">
        <v>4081</v>
      </c>
      <c r="AH518" t="s">
        <v>181</v>
      </c>
      <c r="AI518">
        <v>19</v>
      </c>
      <c r="AJ518">
        <v>0</v>
      </c>
      <c r="AK518">
        <v>0</v>
      </c>
      <c r="AL518">
        <v>0</v>
      </c>
      <c r="AM518">
        <v>0.04</v>
      </c>
      <c r="AN518">
        <v>0.23</v>
      </c>
      <c r="AO518">
        <v>0.13</v>
      </c>
      <c r="AS518">
        <v>1</v>
      </c>
      <c r="AT518">
        <v>0</v>
      </c>
      <c r="AU518">
        <v>1</v>
      </c>
      <c r="AV518">
        <v>75</v>
      </c>
      <c r="AW518">
        <v>27</v>
      </c>
      <c r="AX518">
        <v>66</v>
      </c>
      <c r="AY518">
        <v>0</v>
      </c>
      <c r="AZ518" t="b">
        <v>0</v>
      </c>
      <c r="BA518">
        <v>1638</v>
      </c>
      <c r="BB518">
        <v>1616</v>
      </c>
      <c r="BC518">
        <v>19</v>
      </c>
      <c r="BD518" t="s">
        <v>5486</v>
      </c>
      <c r="BE518" s="1" t="s">
        <v>3618</v>
      </c>
      <c r="BF518">
        <v>0</v>
      </c>
      <c r="BG518">
        <v>72</v>
      </c>
      <c r="BH518">
        <v>0</v>
      </c>
      <c r="BI518" s="1" t="s">
        <v>183</v>
      </c>
      <c r="BJ518">
        <v>9.4</v>
      </c>
      <c r="BK518" s="1" t="s">
        <v>169</v>
      </c>
      <c r="BL518" s="1" t="s">
        <v>138</v>
      </c>
      <c r="BM518" s="1" t="s">
        <v>128</v>
      </c>
      <c r="BN518">
        <v>3</v>
      </c>
      <c r="BO518" s="1" t="s">
        <v>159</v>
      </c>
      <c r="BP518" s="1" t="s">
        <v>566</v>
      </c>
      <c r="BQ518">
        <v>0</v>
      </c>
      <c r="BR518">
        <v>0</v>
      </c>
      <c r="BS518" s="1" t="s">
        <v>129</v>
      </c>
      <c r="BT518">
        <v>0.6</v>
      </c>
      <c r="BU518" s="1" t="s">
        <v>129</v>
      </c>
      <c r="BV518" s="1" t="s">
        <v>231</v>
      </c>
      <c r="BW518" s="1" t="s">
        <v>128</v>
      </c>
      <c r="BX518">
        <v>0.4</v>
      </c>
      <c r="BY518">
        <v>0</v>
      </c>
      <c r="BZ518" s="1" t="s">
        <v>184</v>
      </c>
      <c r="CA518">
        <v>0.04</v>
      </c>
      <c r="CB518">
        <v>0.05</v>
      </c>
      <c r="CC518">
        <v>0.23</v>
      </c>
      <c r="CD518" s="1" t="s">
        <v>2361</v>
      </c>
      <c r="CE518">
        <v>0.13</v>
      </c>
      <c r="CF518" s="1" t="s">
        <v>2325</v>
      </c>
      <c r="CG518">
        <v>4</v>
      </c>
      <c r="CH518" s="1" t="s">
        <v>990</v>
      </c>
      <c r="CI518" s="1" t="s">
        <v>126</v>
      </c>
      <c r="CJ518" s="1" t="s">
        <v>128</v>
      </c>
      <c r="CK518" s="1" t="s">
        <v>159</v>
      </c>
      <c r="CL518">
        <v>1.8</v>
      </c>
      <c r="CM518" s="1" t="s">
        <v>1615</v>
      </c>
      <c r="CN518">
        <v>62.2</v>
      </c>
      <c r="CO518" s="1" t="s">
        <v>2490</v>
      </c>
      <c r="CP518" s="1" t="s">
        <v>5487</v>
      </c>
      <c r="CQ518" s="1" t="s">
        <v>5488</v>
      </c>
      <c r="CR518" s="1" t="s">
        <v>5489</v>
      </c>
      <c r="CS518" s="1" t="s">
        <v>1913</v>
      </c>
      <c r="CT518" s="1" t="s">
        <v>5490</v>
      </c>
      <c r="CU518" s="1" t="s">
        <v>3418</v>
      </c>
      <c r="CV518" s="1" t="s">
        <v>2698</v>
      </c>
      <c r="CW518">
        <v>64.2</v>
      </c>
      <c r="CX518">
        <v>67</v>
      </c>
      <c r="CY518">
        <v>56.2</v>
      </c>
      <c r="CZ518" s="1" t="s">
        <v>2259</v>
      </c>
      <c r="DA518">
        <v>1</v>
      </c>
      <c r="DB518" t="s">
        <v>226</v>
      </c>
      <c r="DC518">
        <v>19</v>
      </c>
      <c r="DD518" s="1" t="s">
        <v>5491</v>
      </c>
      <c r="DE518">
        <v>-66.824354310140905</v>
      </c>
      <c r="DF518" t="e">
        <f>_xlfn.XLOOKUP(Table1[[#This Row],[Player ID]],Table2[feed_id],Table2[trade_status])</f>
        <v>#N/A</v>
      </c>
      <c r="DG518">
        <f>_xlfn.NUMBERVALUE(Table1[[#This Row],[predicted]])</f>
        <v>85.824354310140905</v>
      </c>
    </row>
    <row r="519" spans="1:111" hidden="1" x14ac:dyDescent="0.25">
      <c r="A519">
        <v>128191</v>
      </c>
      <c r="B519">
        <v>8953</v>
      </c>
      <c r="C519" t="s">
        <v>5492</v>
      </c>
      <c r="D519" t="s">
        <v>709</v>
      </c>
      <c r="E519">
        <v>2024</v>
      </c>
      <c r="F519">
        <v>271129</v>
      </c>
      <c r="G519" t="s">
        <v>5493</v>
      </c>
      <c r="H519" t="s">
        <v>5494</v>
      </c>
      <c r="I519" t="s">
        <v>619</v>
      </c>
      <c r="J519">
        <v>8</v>
      </c>
      <c r="K519">
        <v>39</v>
      </c>
      <c r="L519">
        <v>39</v>
      </c>
      <c r="M519">
        <v>45</v>
      </c>
      <c r="N519">
        <v>35</v>
      </c>
      <c r="O519">
        <v>43</v>
      </c>
      <c r="P519">
        <v>0</v>
      </c>
      <c r="Q519">
        <v>5</v>
      </c>
      <c r="R519">
        <v>0</v>
      </c>
      <c r="S519">
        <v>3</v>
      </c>
      <c r="T519">
        <v>19</v>
      </c>
      <c r="U519">
        <v>1</v>
      </c>
      <c r="V519">
        <v>1</v>
      </c>
      <c r="W519">
        <v>0</v>
      </c>
      <c r="X519">
        <v>0</v>
      </c>
      <c r="Y519" t="s">
        <v>113</v>
      </c>
      <c r="Z519" t="s">
        <v>602</v>
      </c>
      <c r="AA519" t="s">
        <v>3889</v>
      </c>
      <c r="AE519">
        <v>0</v>
      </c>
      <c r="AH519" t="s">
        <v>274</v>
      </c>
      <c r="AI519">
        <v>17</v>
      </c>
      <c r="AJ519">
        <v>21</v>
      </c>
      <c r="AK519">
        <v>92.19</v>
      </c>
      <c r="AL519">
        <v>0</v>
      </c>
      <c r="AM519">
        <v>0</v>
      </c>
      <c r="AN519">
        <v>0.43</v>
      </c>
      <c r="AO519">
        <v>0.51</v>
      </c>
      <c r="AS519">
        <v>4</v>
      </c>
      <c r="AT519">
        <v>3</v>
      </c>
      <c r="AU519">
        <v>1</v>
      </c>
      <c r="AV519">
        <v>100</v>
      </c>
      <c r="AW519">
        <v>59</v>
      </c>
      <c r="AX519">
        <v>-12</v>
      </c>
      <c r="AY519">
        <v>1</v>
      </c>
      <c r="AZ519" t="b">
        <v>0</v>
      </c>
      <c r="BA519">
        <v>1555</v>
      </c>
      <c r="BB519">
        <v>1745</v>
      </c>
      <c r="BC519">
        <v>20</v>
      </c>
      <c r="BD519" t="s">
        <v>5495</v>
      </c>
      <c r="BE519">
        <v>99</v>
      </c>
      <c r="BF519">
        <v>0</v>
      </c>
      <c r="BG519">
        <v>70</v>
      </c>
      <c r="BH519">
        <v>0</v>
      </c>
      <c r="BI519" s="1" t="s">
        <v>125</v>
      </c>
      <c r="BJ519" s="1" t="s">
        <v>640</v>
      </c>
      <c r="BK519" s="1" t="s">
        <v>137</v>
      </c>
      <c r="BL519">
        <v>6.8</v>
      </c>
      <c r="BM519" s="1" t="s">
        <v>129</v>
      </c>
      <c r="BN519">
        <v>1.8</v>
      </c>
      <c r="BO519" s="1" t="s">
        <v>159</v>
      </c>
      <c r="BP519" s="1" t="s">
        <v>304</v>
      </c>
      <c r="BQ519">
        <v>29</v>
      </c>
      <c r="BR519" s="1" t="s">
        <v>5496</v>
      </c>
      <c r="BS519" s="1" t="s">
        <v>169</v>
      </c>
      <c r="BT519">
        <v>1.8</v>
      </c>
      <c r="BU519" s="1" t="s">
        <v>126</v>
      </c>
      <c r="BV519">
        <v>1.2</v>
      </c>
      <c r="BW519">
        <v>0</v>
      </c>
      <c r="BX519" s="1" t="s">
        <v>213</v>
      </c>
      <c r="BY519">
        <v>0</v>
      </c>
      <c r="BZ519">
        <v>6.6666666666666596E-2</v>
      </c>
      <c r="CA519">
        <v>0</v>
      </c>
      <c r="CB519">
        <v>0</v>
      </c>
      <c r="CC519">
        <v>0.43</v>
      </c>
      <c r="CD519" s="1" t="s">
        <v>5497</v>
      </c>
      <c r="CE519">
        <v>0.51</v>
      </c>
      <c r="CF519" s="1" t="s">
        <v>5498</v>
      </c>
      <c r="CG519">
        <v>8</v>
      </c>
      <c r="CH519" s="1" t="s">
        <v>124</v>
      </c>
      <c r="CI519" s="1" t="s">
        <v>124</v>
      </c>
      <c r="CJ519" s="1" t="s">
        <v>140</v>
      </c>
      <c r="CK519">
        <v>2</v>
      </c>
      <c r="CL519">
        <v>2</v>
      </c>
      <c r="CM519">
        <v>79</v>
      </c>
      <c r="CN519">
        <v>80.400000000000006</v>
      </c>
      <c r="CO519" s="1" t="s">
        <v>787</v>
      </c>
      <c r="CP519" s="1" t="s">
        <v>3439</v>
      </c>
      <c r="CQ519" s="1" t="s">
        <v>4119</v>
      </c>
      <c r="CR519">
        <v>104</v>
      </c>
      <c r="CS519">
        <v>1637</v>
      </c>
      <c r="CT519" s="1" t="s">
        <v>5499</v>
      </c>
      <c r="CU519">
        <v>1654</v>
      </c>
      <c r="CV519">
        <v>1582.4</v>
      </c>
      <c r="CW519">
        <v>71.75</v>
      </c>
      <c r="CX519">
        <v>77.2</v>
      </c>
      <c r="CY519">
        <v>77.599999999999994</v>
      </c>
      <c r="CZ519" s="1" t="s">
        <v>755</v>
      </c>
      <c r="DA519">
        <v>1</v>
      </c>
      <c r="DB519" t="s">
        <v>602</v>
      </c>
      <c r="DC519">
        <v>39</v>
      </c>
      <c r="DD519" s="1" t="s">
        <v>5500</v>
      </c>
      <c r="DE519">
        <v>-43.544577412753299</v>
      </c>
      <c r="DF519" t="str">
        <f>_xlfn.XLOOKUP(Table1[[#This Row],[Player ID]],Table2[feed_id],Table2[trade_status])</f>
        <v>free_agent</v>
      </c>
      <c r="DG519">
        <f>_xlfn.NUMBERVALUE(Table1[[#This Row],[predicted]])</f>
        <v>82.544577412753299</v>
      </c>
    </row>
    <row r="520" spans="1:111" hidden="1" x14ac:dyDescent="0.25">
      <c r="A520">
        <v>128193</v>
      </c>
      <c r="B520">
        <v>8953</v>
      </c>
      <c r="C520" t="s">
        <v>5492</v>
      </c>
      <c r="D520" t="s">
        <v>709</v>
      </c>
      <c r="E520">
        <v>2024</v>
      </c>
      <c r="F520">
        <v>996232</v>
      </c>
      <c r="G520" t="s">
        <v>889</v>
      </c>
      <c r="H520" t="s">
        <v>5501</v>
      </c>
      <c r="I520" t="s">
        <v>619</v>
      </c>
      <c r="J520">
        <v>2</v>
      </c>
      <c r="K520">
        <v>30</v>
      </c>
      <c r="L520">
        <v>32</v>
      </c>
      <c r="M520">
        <v>39</v>
      </c>
      <c r="N520">
        <v>22</v>
      </c>
      <c r="O520">
        <v>30</v>
      </c>
      <c r="P520">
        <v>2</v>
      </c>
      <c r="Q520">
        <v>4</v>
      </c>
      <c r="R520">
        <v>1</v>
      </c>
      <c r="S520">
        <v>3</v>
      </c>
      <c r="T520">
        <v>0</v>
      </c>
      <c r="U520">
        <v>1</v>
      </c>
      <c r="V520">
        <v>0</v>
      </c>
      <c r="W520">
        <v>0</v>
      </c>
      <c r="X520">
        <v>0</v>
      </c>
      <c r="Y520" t="s">
        <v>113</v>
      </c>
      <c r="Z520" t="s">
        <v>861</v>
      </c>
      <c r="AA520" t="s">
        <v>5502</v>
      </c>
      <c r="AE520">
        <v>0</v>
      </c>
      <c r="AH520" t="s">
        <v>155</v>
      </c>
      <c r="AI520">
        <v>35</v>
      </c>
      <c r="AJ520">
        <v>14</v>
      </c>
      <c r="AK520">
        <v>64.36</v>
      </c>
      <c r="AL520">
        <v>0</v>
      </c>
      <c r="AM520">
        <v>0</v>
      </c>
      <c r="AN520">
        <v>0.03</v>
      </c>
      <c r="AO520">
        <v>0.06</v>
      </c>
      <c r="AS520">
        <v>3</v>
      </c>
      <c r="AT520">
        <v>0</v>
      </c>
      <c r="AU520">
        <v>0</v>
      </c>
      <c r="AV520">
        <v>83</v>
      </c>
      <c r="AW520">
        <v>59</v>
      </c>
      <c r="AX520">
        <v>32</v>
      </c>
      <c r="AY520">
        <v>1</v>
      </c>
      <c r="AZ520" t="b">
        <v>0</v>
      </c>
      <c r="BA520">
        <v>1555</v>
      </c>
      <c r="BB520">
        <v>1745</v>
      </c>
      <c r="BC520">
        <v>20</v>
      </c>
      <c r="BD520" t="s">
        <v>5495</v>
      </c>
      <c r="BE520">
        <v>99</v>
      </c>
      <c r="BF520">
        <v>0</v>
      </c>
      <c r="BG520">
        <v>70</v>
      </c>
      <c r="BH520">
        <v>0</v>
      </c>
      <c r="BI520" s="1" t="s">
        <v>211</v>
      </c>
      <c r="BJ520" s="1" t="s">
        <v>124</v>
      </c>
      <c r="BK520" s="1" t="s">
        <v>397</v>
      </c>
      <c r="BL520" s="1" t="s">
        <v>124</v>
      </c>
      <c r="BM520">
        <v>1</v>
      </c>
      <c r="BN520" s="1" t="s">
        <v>159</v>
      </c>
      <c r="BO520" s="1" t="s">
        <v>138</v>
      </c>
      <c r="BP520" s="1" t="s">
        <v>125</v>
      </c>
      <c r="BQ520">
        <v>0</v>
      </c>
      <c r="BR520">
        <v>0</v>
      </c>
      <c r="BS520" s="1" t="s">
        <v>129</v>
      </c>
      <c r="BT520">
        <v>1</v>
      </c>
      <c r="BU520">
        <v>1</v>
      </c>
      <c r="BV520">
        <v>0.8</v>
      </c>
      <c r="BW520" s="1" t="s">
        <v>129</v>
      </c>
      <c r="BX520" s="1" t="s">
        <v>127</v>
      </c>
      <c r="BY520" s="1" t="s">
        <v>129</v>
      </c>
      <c r="BZ520" s="1" t="s">
        <v>130</v>
      </c>
      <c r="CA520">
        <v>0</v>
      </c>
      <c r="CB520">
        <v>0</v>
      </c>
      <c r="CC520">
        <v>0.03</v>
      </c>
      <c r="CD520" s="1" t="s">
        <v>4606</v>
      </c>
      <c r="CE520">
        <v>0.06</v>
      </c>
      <c r="CF520">
        <v>7.1999999999999995E-2</v>
      </c>
      <c r="CG520" s="1" t="s">
        <v>125</v>
      </c>
      <c r="CH520">
        <v>5.2</v>
      </c>
      <c r="CI520" s="1" t="s">
        <v>128</v>
      </c>
      <c r="CJ520" s="1" t="s">
        <v>399</v>
      </c>
      <c r="CK520" s="1" t="s">
        <v>161</v>
      </c>
      <c r="CL520" s="1" t="s">
        <v>566</v>
      </c>
      <c r="CM520" s="1" t="s">
        <v>683</v>
      </c>
      <c r="CN520">
        <v>68.8</v>
      </c>
      <c r="CO520">
        <v>74</v>
      </c>
      <c r="CP520">
        <v>74.8</v>
      </c>
      <c r="CQ520" s="1" t="s">
        <v>1013</v>
      </c>
      <c r="CR520" s="1" t="s">
        <v>5503</v>
      </c>
      <c r="CS520" s="1" t="s">
        <v>4664</v>
      </c>
      <c r="CT520" s="1" t="s">
        <v>1544</v>
      </c>
      <c r="CU520" s="1" t="s">
        <v>3275</v>
      </c>
      <c r="CV520">
        <v>1593.6</v>
      </c>
      <c r="CW520">
        <v>64.95</v>
      </c>
      <c r="CX520">
        <v>78.8</v>
      </c>
      <c r="CY520">
        <v>73</v>
      </c>
      <c r="CZ520" s="1" t="s">
        <v>4123</v>
      </c>
      <c r="DA520">
        <v>1</v>
      </c>
      <c r="DB520" t="s">
        <v>861</v>
      </c>
      <c r="DC520">
        <v>32</v>
      </c>
      <c r="DD520" s="1" t="s">
        <v>5504</v>
      </c>
      <c r="DE520">
        <v>-34.285517059128303</v>
      </c>
      <c r="DF520" t="str">
        <f>_xlfn.XLOOKUP(Table1[[#This Row],[Player ID]],Table2[feed_id],Table2[trade_status])</f>
        <v>free_agent</v>
      </c>
      <c r="DG520">
        <f>_xlfn.NUMBERVALUE(Table1[[#This Row],[predicted]])</f>
        <v>66.285517059128296</v>
      </c>
    </row>
    <row r="521" spans="1:111" hidden="1" x14ac:dyDescent="0.25">
      <c r="A521">
        <v>128208</v>
      </c>
      <c r="B521">
        <v>8953</v>
      </c>
      <c r="C521" t="s">
        <v>5492</v>
      </c>
      <c r="D521" t="s">
        <v>709</v>
      </c>
      <c r="E521">
        <v>2024</v>
      </c>
      <c r="F521">
        <v>291748</v>
      </c>
      <c r="G521" t="s">
        <v>4649</v>
      </c>
      <c r="H521" t="s">
        <v>1538</v>
      </c>
      <c r="I521" t="s">
        <v>510</v>
      </c>
      <c r="J521">
        <v>8</v>
      </c>
      <c r="K521">
        <v>60</v>
      </c>
      <c r="L521">
        <v>46</v>
      </c>
      <c r="M521">
        <v>42</v>
      </c>
      <c r="N521">
        <v>45</v>
      </c>
      <c r="O521">
        <v>63</v>
      </c>
      <c r="P521">
        <v>9</v>
      </c>
      <c r="Q521">
        <v>6</v>
      </c>
      <c r="R521">
        <v>3</v>
      </c>
      <c r="S521">
        <v>3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113</v>
      </c>
      <c r="Z521" t="s">
        <v>226</v>
      </c>
      <c r="AA521" t="s">
        <v>5505</v>
      </c>
      <c r="AE521">
        <v>0</v>
      </c>
      <c r="AH521" t="s">
        <v>181</v>
      </c>
      <c r="AI521">
        <v>33</v>
      </c>
      <c r="AJ521">
        <v>2</v>
      </c>
      <c r="AK521">
        <v>77.5</v>
      </c>
      <c r="AL521">
        <v>0</v>
      </c>
      <c r="AM521">
        <v>0</v>
      </c>
      <c r="AN521">
        <v>0.35</v>
      </c>
      <c r="AO521">
        <v>0.25</v>
      </c>
      <c r="AS521">
        <v>5</v>
      </c>
      <c r="AT521">
        <v>0</v>
      </c>
      <c r="AU521">
        <v>4</v>
      </c>
      <c r="AV521">
        <v>66</v>
      </c>
      <c r="AW521">
        <v>80</v>
      </c>
      <c r="AX521">
        <v>317</v>
      </c>
      <c r="AY521">
        <v>0</v>
      </c>
      <c r="AZ521" t="b">
        <v>0</v>
      </c>
      <c r="BA521">
        <v>1745</v>
      </c>
      <c r="BB521">
        <v>1555</v>
      </c>
      <c r="BC521">
        <v>20</v>
      </c>
      <c r="BD521" t="s">
        <v>5506</v>
      </c>
      <c r="BE521">
        <v>99</v>
      </c>
      <c r="BF521">
        <v>0</v>
      </c>
      <c r="BG521">
        <v>70</v>
      </c>
      <c r="BH521">
        <v>0</v>
      </c>
      <c r="BI521" s="1" t="s">
        <v>977</v>
      </c>
      <c r="BJ521" s="1" t="s">
        <v>5507</v>
      </c>
      <c r="BK521">
        <v>7</v>
      </c>
      <c r="BL521" s="1" t="s">
        <v>680</v>
      </c>
      <c r="BM521" s="1" t="s">
        <v>169</v>
      </c>
      <c r="BN521" s="1" t="s">
        <v>766</v>
      </c>
      <c r="BO521">
        <v>3</v>
      </c>
      <c r="BP521" s="1" t="s">
        <v>375</v>
      </c>
      <c r="BQ521">
        <v>0</v>
      </c>
      <c r="BR521">
        <v>0</v>
      </c>
      <c r="BS521" s="1" t="s">
        <v>128</v>
      </c>
      <c r="BT521" s="1" t="s">
        <v>130</v>
      </c>
      <c r="BU521" s="1" t="s">
        <v>128</v>
      </c>
      <c r="BV521" s="1" t="s">
        <v>128</v>
      </c>
      <c r="BW521">
        <v>0</v>
      </c>
      <c r="BX521">
        <v>0</v>
      </c>
      <c r="BY521">
        <v>0</v>
      </c>
      <c r="BZ521" s="1" t="s">
        <v>213</v>
      </c>
      <c r="CA521">
        <v>0</v>
      </c>
      <c r="CB521">
        <v>0</v>
      </c>
      <c r="CC521">
        <v>0.35</v>
      </c>
      <c r="CD521">
        <v>0.35</v>
      </c>
      <c r="CE521">
        <v>0.25</v>
      </c>
      <c r="CF521">
        <v>0.25</v>
      </c>
      <c r="CG521" s="1" t="s">
        <v>449</v>
      </c>
      <c r="CH521" s="1" t="s">
        <v>499</v>
      </c>
      <c r="CI521" s="1" t="s">
        <v>128</v>
      </c>
      <c r="CJ521" s="1" t="s">
        <v>231</v>
      </c>
      <c r="CK521" s="1" t="s">
        <v>125</v>
      </c>
      <c r="CL521" s="1" t="s">
        <v>322</v>
      </c>
      <c r="CM521" s="1" t="s">
        <v>1012</v>
      </c>
      <c r="CN521" s="1" t="s">
        <v>1340</v>
      </c>
      <c r="CO521" s="1" t="s">
        <v>1110</v>
      </c>
      <c r="CP521" s="1" t="s">
        <v>1980</v>
      </c>
      <c r="CQ521" s="1" t="s">
        <v>5508</v>
      </c>
      <c r="CR521" s="1" t="s">
        <v>5509</v>
      </c>
      <c r="CS521" s="1" t="s">
        <v>1232</v>
      </c>
      <c r="CT521" s="1" t="s">
        <v>5510</v>
      </c>
      <c r="CU521" s="1" t="s">
        <v>737</v>
      </c>
      <c r="CV521" s="1" t="s">
        <v>145</v>
      </c>
      <c r="CW521">
        <v>67.349999999999994</v>
      </c>
      <c r="CX521">
        <v>56</v>
      </c>
      <c r="CY521">
        <v>60.6</v>
      </c>
      <c r="CZ521" s="1" t="s">
        <v>2464</v>
      </c>
      <c r="DA521">
        <v>1</v>
      </c>
      <c r="DB521" t="s">
        <v>226</v>
      </c>
      <c r="DC521">
        <v>46</v>
      </c>
      <c r="DD521" s="1" t="s">
        <v>5511</v>
      </c>
      <c r="DE521">
        <v>-45.349030988798503</v>
      </c>
      <c r="DF521" t="str">
        <f>_xlfn.XLOOKUP(Table1[[#This Row],[Player ID]],Table2[feed_id],Table2[trade_status])</f>
        <v>free_agent</v>
      </c>
      <c r="DG521">
        <f>_xlfn.NUMBERVALUE(Table1[[#This Row],[predicted]])</f>
        <v>91.349030988798503</v>
      </c>
    </row>
    <row r="522" spans="1:111" hidden="1" x14ac:dyDescent="0.25">
      <c r="A522">
        <v>128215</v>
      </c>
      <c r="B522">
        <v>8953</v>
      </c>
      <c r="C522" t="s">
        <v>5492</v>
      </c>
      <c r="D522" t="s">
        <v>709</v>
      </c>
      <c r="E522">
        <v>2024</v>
      </c>
      <c r="F522">
        <v>1004995</v>
      </c>
      <c r="G522" t="s">
        <v>5512</v>
      </c>
      <c r="H522" t="s">
        <v>5513</v>
      </c>
      <c r="I522" t="s">
        <v>510</v>
      </c>
      <c r="J522">
        <v>3</v>
      </c>
      <c r="K522">
        <v>32</v>
      </c>
      <c r="L522">
        <v>25</v>
      </c>
      <c r="M522">
        <v>25</v>
      </c>
      <c r="N522">
        <v>30</v>
      </c>
      <c r="O522">
        <v>39</v>
      </c>
      <c r="P522">
        <v>4</v>
      </c>
      <c r="Q522">
        <v>4</v>
      </c>
      <c r="R522">
        <v>5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 t="s">
        <v>113</v>
      </c>
      <c r="Z522" t="s">
        <v>114</v>
      </c>
      <c r="AA522" t="s">
        <v>5514</v>
      </c>
      <c r="AB522" t="s">
        <v>179</v>
      </c>
      <c r="AC522" t="s">
        <v>5515</v>
      </c>
      <c r="AH522" t="s">
        <v>181</v>
      </c>
      <c r="AI522">
        <v>41</v>
      </c>
      <c r="AJ522">
        <v>0</v>
      </c>
      <c r="AK522">
        <v>0</v>
      </c>
      <c r="AL522">
        <v>0</v>
      </c>
      <c r="AM522">
        <v>0.31</v>
      </c>
      <c r="AN522">
        <v>0.49</v>
      </c>
      <c r="AO522">
        <v>0.54</v>
      </c>
      <c r="AS522">
        <v>0</v>
      </c>
      <c r="AT522">
        <v>0</v>
      </c>
      <c r="AU522">
        <v>2</v>
      </c>
      <c r="AV522">
        <v>100</v>
      </c>
      <c r="AW522">
        <v>56</v>
      </c>
      <c r="AX522">
        <v>44</v>
      </c>
      <c r="AY522">
        <v>1</v>
      </c>
      <c r="AZ522" t="b">
        <v>1</v>
      </c>
      <c r="BA522">
        <v>1745</v>
      </c>
      <c r="BB522">
        <v>1555</v>
      </c>
      <c r="BC522">
        <v>20</v>
      </c>
      <c r="BD522" t="s">
        <v>5506</v>
      </c>
      <c r="BE522">
        <v>99</v>
      </c>
      <c r="BF522">
        <v>0</v>
      </c>
      <c r="BG522">
        <v>70</v>
      </c>
      <c r="BH522">
        <v>0</v>
      </c>
      <c r="BI522" s="1" t="s">
        <v>160</v>
      </c>
      <c r="BJ522" s="1" t="s">
        <v>963</v>
      </c>
      <c r="BK522" s="1" t="s">
        <v>138</v>
      </c>
      <c r="BL522" s="1" t="s">
        <v>565</v>
      </c>
      <c r="BM522" s="1" t="s">
        <v>138</v>
      </c>
      <c r="BN522" s="1" t="s">
        <v>230</v>
      </c>
      <c r="BO522">
        <v>1</v>
      </c>
      <c r="BP522">
        <v>1</v>
      </c>
      <c r="BQ522">
        <v>0</v>
      </c>
      <c r="BR522">
        <v>0</v>
      </c>
      <c r="BS522">
        <v>1</v>
      </c>
      <c r="BT522" s="1" t="s">
        <v>130</v>
      </c>
      <c r="BU522" s="1" t="s">
        <v>129</v>
      </c>
      <c r="BV522">
        <v>0.4</v>
      </c>
      <c r="BW522">
        <v>0</v>
      </c>
      <c r="BX522">
        <v>0</v>
      </c>
      <c r="BY522">
        <v>0</v>
      </c>
      <c r="BZ522">
        <v>0</v>
      </c>
      <c r="CA522">
        <v>0.31</v>
      </c>
      <c r="CB522">
        <v>0.31</v>
      </c>
      <c r="CC522">
        <v>0.49</v>
      </c>
      <c r="CD522">
        <v>0.49</v>
      </c>
      <c r="CE522">
        <v>0.54</v>
      </c>
      <c r="CF522">
        <v>0.54</v>
      </c>
      <c r="CG522">
        <v>2</v>
      </c>
      <c r="CH522" s="1" t="s">
        <v>640</v>
      </c>
      <c r="CI522">
        <v>0</v>
      </c>
      <c r="CJ522" s="1" t="s">
        <v>184</v>
      </c>
      <c r="CK522" s="1" t="s">
        <v>126</v>
      </c>
      <c r="CL522" s="1" t="s">
        <v>298</v>
      </c>
      <c r="CM522">
        <v>90</v>
      </c>
      <c r="CN522" s="1" t="s">
        <v>3094</v>
      </c>
      <c r="CO522">
        <v>78</v>
      </c>
      <c r="CP522" s="1" t="s">
        <v>2335</v>
      </c>
      <c r="CQ522">
        <v>138</v>
      </c>
      <c r="CR522" s="1" t="s">
        <v>5516</v>
      </c>
      <c r="CS522" s="1" t="s">
        <v>1232</v>
      </c>
      <c r="CT522">
        <v>1664.2</v>
      </c>
      <c r="CU522" s="1" t="s">
        <v>737</v>
      </c>
      <c r="CV522">
        <v>1621.2</v>
      </c>
      <c r="CW522">
        <v>49.1</v>
      </c>
      <c r="CX522">
        <v>53.5</v>
      </c>
      <c r="CY522">
        <v>40.6</v>
      </c>
      <c r="CZ522" s="1" t="s">
        <v>807</v>
      </c>
      <c r="DA522">
        <v>1</v>
      </c>
      <c r="DB522" t="s">
        <v>114</v>
      </c>
      <c r="DC522">
        <v>25</v>
      </c>
      <c r="DD522" s="1" t="s">
        <v>5517</v>
      </c>
      <c r="DE522">
        <v>-9.7688850157805494</v>
      </c>
      <c r="DF522" t="str">
        <f>_xlfn.XLOOKUP(Table1[[#This Row],[Player ID]],Table2[feed_id],Table2[trade_status])</f>
        <v>free_agent</v>
      </c>
      <c r="DG522">
        <f>_xlfn.NUMBERVALUE(Table1[[#This Row],[predicted]])</f>
        <v>34.768885015780498</v>
      </c>
    </row>
    <row r="523" spans="1:111" hidden="1" x14ac:dyDescent="0.25">
      <c r="A523">
        <v>128282</v>
      </c>
      <c r="B523">
        <v>8955</v>
      </c>
      <c r="C523" t="s">
        <v>5518</v>
      </c>
      <c r="D523" t="s">
        <v>709</v>
      </c>
      <c r="E523">
        <v>2024</v>
      </c>
      <c r="F523">
        <v>1005988</v>
      </c>
      <c r="G523" t="s">
        <v>1464</v>
      </c>
      <c r="H523" t="s">
        <v>1249</v>
      </c>
      <c r="I523" t="s">
        <v>152</v>
      </c>
      <c r="J523">
        <v>5</v>
      </c>
      <c r="K523">
        <v>44</v>
      </c>
      <c r="L523">
        <v>42</v>
      </c>
      <c r="M523">
        <v>57</v>
      </c>
      <c r="N523">
        <v>37</v>
      </c>
      <c r="O523">
        <v>51</v>
      </c>
      <c r="P523">
        <v>5</v>
      </c>
      <c r="Q523">
        <v>6</v>
      </c>
      <c r="R523">
        <v>4</v>
      </c>
      <c r="S523">
        <v>2</v>
      </c>
      <c r="T523">
        <v>0</v>
      </c>
      <c r="U523">
        <v>0</v>
      </c>
      <c r="V523">
        <v>1</v>
      </c>
      <c r="W523">
        <v>0</v>
      </c>
      <c r="X523">
        <v>0</v>
      </c>
      <c r="Y523" t="s">
        <v>113</v>
      </c>
      <c r="Z523" t="s">
        <v>114</v>
      </c>
      <c r="AA523" t="s">
        <v>5519</v>
      </c>
      <c r="AB523" t="s">
        <v>116</v>
      </c>
      <c r="AC523" t="s">
        <v>3533</v>
      </c>
      <c r="AH523" t="s">
        <v>118</v>
      </c>
      <c r="AI523">
        <v>23</v>
      </c>
      <c r="AJ523">
        <v>0</v>
      </c>
      <c r="AK523">
        <v>0</v>
      </c>
      <c r="AL523">
        <v>0</v>
      </c>
      <c r="AM523">
        <v>0.35</v>
      </c>
      <c r="AN523">
        <v>0.44</v>
      </c>
      <c r="AO523">
        <v>1</v>
      </c>
      <c r="AS523">
        <v>3</v>
      </c>
      <c r="AT523">
        <v>1</v>
      </c>
      <c r="AU523">
        <v>3</v>
      </c>
      <c r="AV523">
        <v>63</v>
      </c>
      <c r="AW523">
        <v>50</v>
      </c>
      <c r="AX523">
        <v>118</v>
      </c>
      <c r="AY523">
        <v>1</v>
      </c>
      <c r="AZ523" t="b">
        <v>1</v>
      </c>
      <c r="BA523">
        <v>1430</v>
      </c>
      <c r="BB523">
        <v>1854</v>
      </c>
      <c r="BC523">
        <v>20</v>
      </c>
      <c r="BD523" t="s">
        <v>5520</v>
      </c>
      <c r="BE523">
        <v>99</v>
      </c>
      <c r="BF523">
        <v>0</v>
      </c>
      <c r="BG523">
        <v>70</v>
      </c>
      <c r="BH523">
        <v>0</v>
      </c>
      <c r="BI523">
        <v>8</v>
      </c>
      <c r="BJ523" s="1" t="s">
        <v>1587</v>
      </c>
      <c r="BK523" s="1" t="s">
        <v>204</v>
      </c>
      <c r="BL523" s="1" t="s">
        <v>260</v>
      </c>
      <c r="BM523">
        <v>3</v>
      </c>
      <c r="BN523" s="1" t="s">
        <v>138</v>
      </c>
      <c r="BO523">
        <v>3</v>
      </c>
      <c r="BP523" s="1" t="s">
        <v>255</v>
      </c>
      <c r="BQ523">
        <v>0</v>
      </c>
      <c r="BR523">
        <v>0</v>
      </c>
      <c r="BS523" s="1" t="s">
        <v>128</v>
      </c>
      <c r="BT523" s="1" t="s">
        <v>128</v>
      </c>
      <c r="BU523" s="1" t="s">
        <v>128</v>
      </c>
      <c r="BV523" s="1" t="s">
        <v>128</v>
      </c>
      <c r="BW523" s="1" t="s">
        <v>129</v>
      </c>
      <c r="BX523" s="1" t="s">
        <v>231</v>
      </c>
      <c r="BY523">
        <v>0</v>
      </c>
      <c r="BZ523">
        <v>0.6</v>
      </c>
      <c r="CA523">
        <v>0.35</v>
      </c>
      <c r="CB523">
        <v>0.51200000000000001</v>
      </c>
      <c r="CC523">
        <v>0.44</v>
      </c>
      <c r="CD523">
        <v>0.56000000000000005</v>
      </c>
      <c r="CE523">
        <v>1</v>
      </c>
      <c r="CF523">
        <v>1.0780000000000001</v>
      </c>
      <c r="CG523" s="1" t="s">
        <v>253</v>
      </c>
      <c r="CH523">
        <v>5.6</v>
      </c>
      <c r="CI523">
        <v>2</v>
      </c>
      <c r="CJ523" s="1" t="s">
        <v>206</v>
      </c>
      <c r="CK523" s="1" t="s">
        <v>138</v>
      </c>
      <c r="CL523">
        <v>2.4</v>
      </c>
      <c r="CM523" s="1" t="s">
        <v>171</v>
      </c>
      <c r="CN523" s="1" t="s">
        <v>2248</v>
      </c>
      <c r="CO523" s="1" t="s">
        <v>261</v>
      </c>
      <c r="CP523" s="1" t="s">
        <v>969</v>
      </c>
      <c r="CQ523" s="1" t="s">
        <v>5224</v>
      </c>
      <c r="CR523" s="1" t="s">
        <v>5521</v>
      </c>
      <c r="CS523">
        <v>1709</v>
      </c>
      <c r="CT523" s="1" t="s">
        <v>4752</v>
      </c>
      <c r="CU523" s="1" t="s">
        <v>632</v>
      </c>
      <c r="CV523">
        <v>1627.8</v>
      </c>
      <c r="CW523">
        <v>68.25</v>
      </c>
      <c r="CX523">
        <v>59.8</v>
      </c>
      <c r="CY523">
        <v>63.6</v>
      </c>
      <c r="CZ523">
        <v>61</v>
      </c>
      <c r="DA523">
        <v>1</v>
      </c>
      <c r="DB523" t="s">
        <v>114</v>
      </c>
      <c r="DC523">
        <v>42</v>
      </c>
      <c r="DD523">
        <v>51.5876734792242</v>
      </c>
      <c r="DE523">
        <v>-9.5876734792242004</v>
      </c>
      <c r="DF523" t="str">
        <f>_xlfn.XLOOKUP(Table1[[#This Row],[Player ID]],Table2[feed_id],Table2[trade_status])</f>
        <v>free_agent</v>
      </c>
      <c r="DG523">
        <f>_xlfn.NUMBERVALUE(Table1[[#This Row],[predicted]])</f>
        <v>51.5876734792242</v>
      </c>
    </row>
    <row r="524" spans="1:111" hidden="1" x14ac:dyDescent="0.25">
      <c r="A524">
        <v>128302</v>
      </c>
      <c r="B524">
        <v>8955</v>
      </c>
      <c r="C524" t="s">
        <v>5518</v>
      </c>
      <c r="D524" t="s">
        <v>709</v>
      </c>
      <c r="E524">
        <v>2024</v>
      </c>
      <c r="F524">
        <v>998791</v>
      </c>
      <c r="G524" t="s">
        <v>5522</v>
      </c>
      <c r="H524" t="s">
        <v>890</v>
      </c>
      <c r="I524" t="s">
        <v>582</v>
      </c>
      <c r="J524">
        <v>4</v>
      </c>
      <c r="K524">
        <v>49</v>
      </c>
      <c r="L524">
        <v>36</v>
      </c>
      <c r="M524">
        <v>32</v>
      </c>
      <c r="N524">
        <v>39</v>
      </c>
      <c r="O524">
        <v>51</v>
      </c>
      <c r="P524">
        <v>8</v>
      </c>
      <c r="Q524">
        <v>3</v>
      </c>
      <c r="R524">
        <v>5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113</v>
      </c>
      <c r="Z524" t="s">
        <v>226</v>
      </c>
      <c r="AA524" t="s">
        <v>5523</v>
      </c>
      <c r="AE524">
        <v>0</v>
      </c>
      <c r="AH524" t="s">
        <v>181</v>
      </c>
      <c r="AI524">
        <v>31</v>
      </c>
      <c r="AJ524">
        <v>7</v>
      </c>
      <c r="AK524">
        <v>42.86</v>
      </c>
      <c r="AL524">
        <v>0</v>
      </c>
      <c r="AM524">
        <v>0</v>
      </c>
      <c r="AN524">
        <v>0.1</v>
      </c>
      <c r="AO524">
        <v>0.19</v>
      </c>
      <c r="AS524">
        <v>2</v>
      </c>
      <c r="AT524">
        <v>0</v>
      </c>
      <c r="AU524">
        <v>3</v>
      </c>
      <c r="AV524">
        <v>81</v>
      </c>
      <c r="AW524">
        <v>82</v>
      </c>
      <c r="AX524">
        <v>137</v>
      </c>
      <c r="AY524">
        <v>1</v>
      </c>
      <c r="AZ524" t="b">
        <v>0</v>
      </c>
      <c r="BA524">
        <v>1854</v>
      </c>
      <c r="BB524">
        <v>1430</v>
      </c>
      <c r="BC524">
        <v>20</v>
      </c>
      <c r="BD524" t="s">
        <v>5524</v>
      </c>
      <c r="BE524">
        <v>99</v>
      </c>
      <c r="BF524">
        <v>0</v>
      </c>
      <c r="BG524">
        <v>70</v>
      </c>
      <c r="BH524">
        <v>0</v>
      </c>
      <c r="BI524" s="1" t="s">
        <v>449</v>
      </c>
      <c r="BJ524" s="1" t="s">
        <v>1066</v>
      </c>
      <c r="BK524" s="1" t="s">
        <v>138</v>
      </c>
      <c r="BL524" s="1" t="s">
        <v>189</v>
      </c>
      <c r="BM524" s="1" t="s">
        <v>211</v>
      </c>
      <c r="BN524" s="1" t="s">
        <v>990</v>
      </c>
      <c r="BO524" s="1" t="s">
        <v>161</v>
      </c>
      <c r="BP524" s="1" t="s">
        <v>214</v>
      </c>
      <c r="BQ524">
        <v>0</v>
      </c>
      <c r="BR524">
        <v>0</v>
      </c>
      <c r="BS524">
        <v>0</v>
      </c>
      <c r="BT524">
        <v>0.6</v>
      </c>
      <c r="BU524" s="1" t="s">
        <v>129</v>
      </c>
      <c r="BV524">
        <v>0.8</v>
      </c>
      <c r="BW524">
        <v>0</v>
      </c>
      <c r="BX524">
        <v>0.2</v>
      </c>
      <c r="BY524" s="1" t="s">
        <v>129</v>
      </c>
      <c r="BZ524" s="1" t="s">
        <v>213</v>
      </c>
      <c r="CA524">
        <v>0</v>
      </c>
      <c r="CB524">
        <v>0</v>
      </c>
      <c r="CC524">
        <v>0.1</v>
      </c>
      <c r="CD524">
        <v>0.1</v>
      </c>
      <c r="CE524">
        <v>0.19</v>
      </c>
      <c r="CF524" s="1" t="s">
        <v>5525</v>
      </c>
      <c r="CG524">
        <v>2</v>
      </c>
      <c r="CH524" s="1" t="s">
        <v>640</v>
      </c>
      <c r="CI524">
        <v>0</v>
      </c>
      <c r="CJ524" s="1" t="s">
        <v>184</v>
      </c>
      <c r="CK524">
        <v>2</v>
      </c>
      <c r="CL524" s="1" t="s">
        <v>322</v>
      </c>
      <c r="CM524">
        <v>73</v>
      </c>
      <c r="CN524" s="1" t="s">
        <v>1289</v>
      </c>
      <c r="CO524" s="1" t="s">
        <v>1110</v>
      </c>
      <c r="CP524" s="1" t="s">
        <v>4609</v>
      </c>
      <c r="CQ524" s="1" t="s">
        <v>5526</v>
      </c>
      <c r="CR524" s="1" t="s">
        <v>5527</v>
      </c>
      <c r="CS524" s="1" t="s">
        <v>5528</v>
      </c>
      <c r="CT524" s="1" t="s">
        <v>5529</v>
      </c>
      <c r="CU524" s="1" t="s">
        <v>5530</v>
      </c>
      <c r="CV524">
        <v>1813</v>
      </c>
      <c r="CW524">
        <v>55.85</v>
      </c>
      <c r="CX524">
        <v>46.8</v>
      </c>
      <c r="CY524">
        <v>44.6</v>
      </c>
      <c r="CZ524">
        <v>33</v>
      </c>
      <c r="DA524">
        <v>1</v>
      </c>
      <c r="DB524" t="s">
        <v>226</v>
      </c>
      <c r="DC524">
        <v>36</v>
      </c>
      <c r="DD524" s="1" t="s">
        <v>5531</v>
      </c>
      <c r="DE524">
        <v>-43.620064975396502</v>
      </c>
      <c r="DF524" t="e">
        <f>_xlfn.XLOOKUP(Table1[[#This Row],[Player ID]],Table2[feed_id],Table2[trade_status])</f>
        <v>#N/A</v>
      </c>
      <c r="DG524">
        <f>_xlfn.NUMBERVALUE(Table1[[#This Row],[predicted]])</f>
        <v>79.620064975396502</v>
      </c>
    </row>
    <row r="525" spans="1:111" hidden="1" x14ac:dyDescent="0.25">
      <c r="A525">
        <v>128342</v>
      </c>
      <c r="B525">
        <v>8956</v>
      </c>
      <c r="C525" t="s">
        <v>5532</v>
      </c>
      <c r="D525" t="s">
        <v>709</v>
      </c>
      <c r="E525">
        <v>2024</v>
      </c>
      <c r="F525">
        <v>298358</v>
      </c>
      <c r="G525" t="s">
        <v>5533</v>
      </c>
      <c r="H525" t="s">
        <v>5534</v>
      </c>
      <c r="I525" t="s">
        <v>112</v>
      </c>
      <c r="J525">
        <v>14</v>
      </c>
      <c r="K525">
        <v>48</v>
      </c>
      <c r="L525">
        <v>45</v>
      </c>
      <c r="M525">
        <v>55</v>
      </c>
      <c r="N525">
        <v>33</v>
      </c>
      <c r="O525">
        <v>48</v>
      </c>
      <c r="P525">
        <v>3</v>
      </c>
      <c r="Q525">
        <v>4</v>
      </c>
      <c r="R525">
        <v>2</v>
      </c>
      <c r="S525">
        <v>7</v>
      </c>
      <c r="T525">
        <v>0</v>
      </c>
      <c r="U525">
        <v>0</v>
      </c>
      <c r="V525">
        <v>1</v>
      </c>
      <c r="W525">
        <v>0</v>
      </c>
      <c r="X525">
        <v>0</v>
      </c>
      <c r="Y525" t="s">
        <v>113</v>
      </c>
      <c r="Z525" t="s">
        <v>5535</v>
      </c>
      <c r="AA525" t="s">
        <v>5536</v>
      </c>
      <c r="AB525" t="s">
        <v>226</v>
      </c>
      <c r="AC525" t="s">
        <v>5537</v>
      </c>
      <c r="AH525" t="s">
        <v>181</v>
      </c>
      <c r="AI525">
        <v>37</v>
      </c>
      <c r="AJ525">
        <v>0</v>
      </c>
      <c r="AK525">
        <v>0</v>
      </c>
      <c r="AL525">
        <v>0</v>
      </c>
      <c r="AM525">
        <v>0.44</v>
      </c>
      <c r="AN525">
        <v>0.56000000000000005</v>
      </c>
      <c r="AO525">
        <v>0.98</v>
      </c>
      <c r="AS525">
        <v>3</v>
      </c>
      <c r="AT525">
        <v>0</v>
      </c>
      <c r="AU525">
        <v>2</v>
      </c>
      <c r="AV525">
        <v>57</v>
      </c>
      <c r="AW525">
        <v>88</v>
      </c>
      <c r="AX525">
        <v>53</v>
      </c>
      <c r="AY525">
        <v>0</v>
      </c>
      <c r="AZ525" t="b">
        <v>0</v>
      </c>
      <c r="BA525">
        <v>1936</v>
      </c>
      <c r="BB525">
        <v>1343</v>
      </c>
      <c r="BC525">
        <v>20</v>
      </c>
      <c r="BD525" t="s">
        <v>5538</v>
      </c>
      <c r="BE525">
        <v>99</v>
      </c>
      <c r="BF525">
        <v>0</v>
      </c>
      <c r="BG525">
        <v>70</v>
      </c>
      <c r="BH525">
        <v>0</v>
      </c>
      <c r="BI525">
        <v>7</v>
      </c>
      <c r="BJ525">
        <v>5.4</v>
      </c>
      <c r="BK525" s="1" t="s">
        <v>449</v>
      </c>
      <c r="BL525" s="1" t="s">
        <v>416</v>
      </c>
      <c r="BM525" s="1" t="s">
        <v>125</v>
      </c>
      <c r="BN525" s="1" t="s">
        <v>640</v>
      </c>
      <c r="BO525" s="1" t="s">
        <v>211</v>
      </c>
      <c r="BP525">
        <v>2.8</v>
      </c>
      <c r="BQ525">
        <v>0</v>
      </c>
      <c r="BR525">
        <v>0</v>
      </c>
      <c r="BS525" s="1" t="s">
        <v>128</v>
      </c>
      <c r="BT525" s="1" t="s">
        <v>184</v>
      </c>
      <c r="BU525" s="1" t="s">
        <v>128</v>
      </c>
      <c r="BV525">
        <v>0.4</v>
      </c>
      <c r="BW525">
        <v>0</v>
      </c>
      <c r="BX525">
        <v>6.6666666666666596E-2</v>
      </c>
      <c r="BY525">
        <v>0</v>
      </c>
      <c r="BZ525">
        <v>0</v>
      </c>
      <c r="CA525">
        <v>0.44</v>
      </c>
      <c r="CB525" s="1" t="s">
        <v>1285</v>
      </c>
      <c r="CC525">
        <v>0.56000000000000005</v>
      </c>
      <c r="CD525" s="1" t="s">
        <v>5539</v>
      </c>
      <c r="CE525">
        <v>0.98</v>
      </c>
      <c r="CF525">
        <v>0.78400000000000003</v>
      </c>
      <c r="CG525" s="1" t="s">
        <v>211</v>
      </c>
      <c r="CH525" s="1" t="s">
        <v>237</v>
      </c>
      <c r="CI525" s="1" t="s">
        <v>129</v>
      </c>
      <c r="CJ525">
        <v>0.4</v>
      </c>
      <c r="CK525">
        <v>2</v>
      </c>
      <c r="CL525" s="1" t="s">
        <v>275</v>
      </c>
      <c r="CM525" s="1" t="s">
        <v>261</v>
      </c>
      <c r="CN525">
        <v>80.2</v>
      </c>
      <c r="CO525" s="1" t="s">
        <v>1491</v>
      </c>
      <c r="CP525" s="1" t="s">
        <v>262</v>
      </c>
      <c r="CQ525" s="1" t="s">
        <v>3658</v>
      </c>
      <c r="CR525">
        <v>162.19999999999999</v>
      </c>
      <c r="CS525">
        <v>1428</v>
      </c>
      <c r="CT525" s="1" t="s">
        <v>5540</v>
      </c>
      <c r="CU525" s="1" t="s">
        <v>5541</v>
      </c>
      <c r="CV525" s="1" t="s">
        <v>5542</v>
      </c>
      <c r="CW525">
        <v>53.6</v>
      </c>
      <c r="CX525">
        <v>45.6</v>
      </c>
      <c r="CY525">
        <v>54</v>
      </c>
      <c r="CZ525" s="1" t="s">
        <v>609</v>
      </c>
      <c r="DA525">
        <v>1</v>
      </c>
      <c r="DB525" t="s">
        <v>5535</v>
      </c>
      <c r="DC525">
        <v>45</v>
      </c>
      <c r="DD525" s="1" t="s">
        <v>5543</v>
      </c>
      <c r="DE525">
        <v>-19.255613050112402</v>
      </c>
      <c r="DF525" t="str">
        <f>_xlfn.XLOOKUP(Table1[[#This Row],[Player ID]],Table2[feed_id],Table2[trade_status])</f>
        <v>free_agent</v>
      </c>
      <c r="DG525">
        <f>_xlfn.NUMBERVALUE(Table1[[#This Row],[predicted]])</f>
        <v>64.255613050112402</v>
      </c>
    </row>
    <row r="526" spans="1:111" hidden="1" x14ac:dyDescent="0.25">
      <c r="A526">
        <v>128374</v>
      </c>
      <c r="B526">
        <v>8957</v>
      </c>
      <c r="C526" t="s">
        <v>5544</v>
      </c>
      <c r="D526" t="s">
        <v>709</v>
      </c>
      <c r="E526">
        <v>2024</v>
      </c>
      <c r="F526">
        <v>298419</v>
      </c>
      <c r="G526" t="s">
        <v>5545</v>
      </c>
      <c r="H526" t="s">
        <v>5546</v>
      </c>
      <c r="I526" t="s">
        <v>1061</v>
      </c>
      <c r="J526">
        <v>2</v>
      </c>
      <c r="K526">
        <v>25</v>
      </c>
      <c r="L526">
        <v>35</v>
      </c>
      <c r="M526">
        <v>32</v>
      </c>
      <c r="N526">
        <v>18</v>
      </c>
      <c r="O526">
        <v>25</v>
      </c>
      <c r="P526">
        <v>3</v>
      </c>
      <c r="Q526">
        <v>3</v>
      </c>
      <c r="R526">
        <v>0</v>
      </c>
      <c r="S526">
        <v>2</v>
      </c>
      <c r="T526">
        <v>0</v>
      </c>
      <c r="U526">
        <v>1</v>
      </c>
      <c r="V526">
        <v>0</v>
      </c>
      <c r="W526">
        <v>0</v>
      </c>
      <c r="X526">
        <v>1</v>
      </c>
      <c r="Y526" t="s">
        <v>113</v>
      </c>
      <c r="Z526" t="s">
        <v>542</v>
      </c>
      <c r="AA526" t="s">
        <v>5547</v>
      </c>
      <c r="AB526" t="s">
        <v>116</v>
      </c>
      <c r="AC526" t="s">
        <v>3690</v>
      </c>
      <c r="AE526">
        <v>0</v>
      </c>
      <c r="AH526" t="s">
        <v>118</v>
      </c>
      <c r="AI526">
        <v>3</v>
      </c>
      <c r="AJ526">
        <v>17</v>
      </c>
      <c r="AK526">
        <v>75.59</v>
      </c>
      <c r="AL526">
        <v>0</v>
      </c>
      <c r="AM526">
        <v>0</v>
      </c>
      <c r="AN526">
        <v>0.2</v>
      </c>
      <c r="AO526">
        <v>0.08</v>
      </c>
      <c r="AS526">
        <v>4</v>
      </c>
      <c r="AT526">
        <v>1</v>
      </c>
      <c r="AU526">
        <v>0</v>
      </c>
      <c r="AV526">
        <v>50</v>
      </c>
      <c r="AW526">
        <v>40</v>
      </c>
      <c r="AX526">
        <v>10</v>
      </c>
      <c r="AY526">
        <v>1</v>
      </c>
      <c r="AZ526" t="b">
        <v>1</v>
      </c>
      <c r="BA526">
        <v>1872</v>
      </c>
      <c r="BB526">
        <v>1417</v>
      </c>
      <c r="BC526">
        <v>20</v>
      </c>
      <c r="BD526" t="s">
        <v>5548</v>
      </c>
      <c r="BE526">
        <v>99</v>
      </c>
      <c r="BF526">
        <v>0</v>
      </c>
      <c r="BG526">
        <v>70</v>
      </c>
      <c r="BH526">
        <v>0</v>
      </c>
      <c r="BI526" s="1" t="s">
        <v>183</v>
      </c>
      <c r="BJ526">
        <v>8.1999999999999993</v>
      </c>
      <c r="BK526" s="1" t="s">
        <v>449</v>
      </c>
      <c r="BL526" s="1" t="s">
        <v>358</v>
      </c>
      <c r="BM526">
        <v>1</v>
      </c>
      <c r="BN526">
        <v>1.2</v>
      </c>
      <c r="BO526" s="1" t="s">
        <v>449</v>
      </c>
      <c r="BP526" s="1" t="s">
        <v>397</v>
      </c>
      <c r="BQ526">
        <v>0</v>
      </c>
      <c r="BR526">
        <v>0</v>
      </c>
      <c r="BS526" s="1" t="s">
        <v>128</v>
      </c>
      <c r="BT526" s="1" t="s">
        <v>231</v>
      </c>
      <c r="BU526" s="1" t="s">
        <v>126</v>
      </c>
      <c r="BV526">
        <v>0.8</v>
      </c>
      <c r="BW526">
        <v>0</v>
      </c>
      <c r="BX526" s="1" t="s">
        <v>213</v>
      </c>
      <c r="BY526" s="1" t="s">
        <v>128</v>
      </c>
      <c r="BZ526">
        <v>0.2</v>
      </c>
      <c r="CA526">
        <v>0</v>
      </c>
      <c r="CB526">
        <v>0</v>
      </c>
      <c r="CC526">
        <v>0.2</v>
      </c>
      <c r="CD526" s="1" t="s">
        <v>4771</v>
      </c>
      <c r="CE526">
        <v>0.08</v>
      </c>
      <c r="CF526">
        <v>9.6000000000000002E-2</v>
      </c>
      <c r="CG526" s="1" t="s">
        <v>253</v>
      </c>
      <c r="CH526" s="1" t="s">
        <v>1079</v>
      </c>
      <c r="CI526">
        <v>4</v>
      </c>
      <c r="CJ526" s="1" t="s">
        <v>990</v>
      </c>
      <c r="CK526">
        <v>3</v>
      </c>
      <c r="CL526" s="1" t="s">
        <v>528</v>
      </c>
      <c r="CM526" s="1" t="s">
        <v>1316</v>
      </c>
      <c r="CN526" s="1" t="s">
        <v>5549</v>
      </c>
      <c r="CO526">
        <v>57</v>
      </c>
      <c r="CP526" s="1" t="s">
        <v>2872</v>
      </c>
      <c r="CQ526" s="1" t="s">
        <v>5550</v>
      </c>
      <c r="CR526">
        <v>229.4</v>
      </c>
      <c r="CS526" s="1" t="s">
        <v>5551</v>
      </c>
      <c r="CT526">
        <v>1561.2</v>
      </c>
      <c r="CU526">
        <v>1858</v>
      </c>
      <c r="CV526" s="1" t="s">
        <v>5552</v>
      </c>
      <c r="CW526">
        <v>61.4</v>
      </c>
      <c r="CX526">
        <v>76.2</v>
      </c>
      <c r="CY526">
        <v>56.2</v>
      </c>
      <c r="CZ526">
        <v>55</v>
      </c>
      <c r="DA526">
        <v>1</v>
      </c>
      <c r="DB526" t="s">
        <v>542</v>
      </c>
      <c r="DC526">
        <v>35</v>
      </c>
      <c r="DD526" s="1" t="s">
        <v>5553</v>
      </c>
      <c r="DE526">
        <v>-19.506699770251501</v>
      </c>
      <c r="DF526" t="e">
        <f>_xlfn.XLOOKUP(Table1[[#This Row],[Player ID]],Table2[feed_id],Table2[trade_status])</f>
        <v>#N/A</v>
      </c>
      <c r="DG526">
        <f>_xlfn.NUMBERVALUE(Table1[[#This Row],[predicted]])</f>
        <v>54.506699770251501</v>
      </c>
    </row>
    <row r="527" spans="1:111" hidden="1" x14ac:dyDescent="0.25">
      <c r="A527">
        <v>128416</v>
      </c>
      <c r="B527">
        <v>8958</v>
      </c>
      <c r="C527" t="s">
        <v>5554</v>
      </c>
      <c r="D527" t="s">
        <v>709</v>
      </c>
      <c r="E527">
        <v>2024</v>
      </c>
      <c r="F527">
        <v>1009195</v>
      </c>
      <c r="G527" t="s">
        <v>1986</v>
      </c>
      <c r="H527" t="s">
        <v>3370</v>
      </c>
      <c r="I527" t="s">
        <v>425</v>
      </c>
      <c r="J527">
        <v>4</v>
      </c>
      <c r="K527">
        <v>46</v>
      </c>
      <c r="L527">
        <v>44</v>
      </c>
      <c r="M527">
        <v>61</v>
      </c>
      <c r="N527">
        <v>38</v>
      </c>
      <c r="O527">
        <v>51</v>
      </c>
      <c r="P527">
        <v>10</v>
      </c>
      <c r="Q527">
        <v>2</v>
      </c>
      <c r="R527">
        <v>5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 t="s">
        <v>113</v>
      </c>
      <c r="Z527" t="s">
        <v>226</v>
      </c>
      <c r="AA527" t="s">
        <v>5555</v>
      </c>
      <c r="AH527" t="s">
        <v>155</v>
      </c>
      <c r="AI527">
        <v>23</v>
      </c>
      <c r="AJ527">
        <v>0</v>
      </c>
      <c r="AK527">
        <v>0</v>
      </c>
      <c r="AL527">
        <v>0</v>
      </c>
      <c r="AM527">
        <v>0.04</v>
      </c>
      <c r="AN527">
        <v>0.06</v>
      </c>
      <c r="AO527">
        <v>0.15</v>
      </c>
      <c r="AS527">
        <v>3</v>
      </c>
      <c r="AT527">
        <v>0</v>
      </c>
      <c r="AU527">
        <v>2</v>
      </c>
      <c r="AV527">
        <v>75</v>
      </c>
      <c r="AW527">
        <v>70</v>
      </c>
      <c r="AX527">
        <v>414</v>
      </c>
      <c r="AY527">
        <v>1</v>
      </c>
      <c r="AZ527" t="b">
        <v>0</v>
      </c>
      <c r="BA527">
        <v>1467</v>
      </c>
      <c r="BB527">
        <v>1828</v>
      </c>
      <c r="BC527">
        <v>20</v>
      </c>
      <c r="BD527" t="s">
        <v>5556</v>
      </c>
      <c r="BE527">
        <v>99</v>
      </c>
      <c r="BF527">
        <v>0</v>
      </c>
      <c r="BG527">
        <v>70</v>
      </c>
      <c r="BH527">
        <v>0</v>
      </c>
      <c r="BI527" s="1" t="s">
        <v>977</v>
      </c>
      <c r="BJ527" s="1" t="s">
        <v>157</v>
      </c>
      <c r="BK527" s="1" t="s">
        <v>161</v>
      </c>
      <c r="BL527" s="1" t="s">
        <v>170</v>
      </c>
      <c r="BM527" s="1" t="s">
        <v>211</v>
      </c>
      <c r="BN527" s="1" t="s">
        <v>160</v>
      </c>
      <c r="BO527" s="1" t="s">
        <v>129</v>
      </c>
      <c r="BP527">
        <v>0.6</v>
      </c>
      <c r="BQ527">
        <v>0</v>
      </c>
      <c r="BR527">
        <v>0</v>
      </c>
      <c r="BS527">
        <v>0</v>
      </c>
      <c r="BT527" s="1" t="s">
        <v>213</v>
      </c>
      <c r="BU527" s="1" t="s">
        <v>129</v>
      </c>
      <c r="BV527" s="1" t="s">
        <v>231</v>
      </c>
      <c r="BW527">
        <v>0</v>
      </c>
      <c r="BX527">
        <v>0</v>
      </c>
      <c r="BY527">
        <v>0</v>
      </c>
      <c r="BZ527">
        <v>0</v>
      </c>
      <c r="CA527">
        <v>0.04</v>
      </c>
      <c r="CB527" s="1" t="s">
        <v>4758</v>
      </c>
      <c r="CC527">
        <v>0.06</v>
      </c>
      <c r="CD527">
        <v>6.7333333333333301E-2</v>
      </c>
      <c r="CE527">
        <v>0.15</v>
      </c>
      <c r="CF527" s="1" t="s">
        <v>5557</v>
      </c>
      <c r="CG527" s="1" t="s">
        <v>159</v>
      </c>
      <c r="CH527" s="1" t="s">
        <v>431</v>
      </c>
      <c r="CI527">
        <v>0</v>
      </c>
      <c r="CJ527" s="1" t="s">
        <v>184</v>
      </c>
      <c r="CK527" s="1" t="s">
        <v>126</v>
      </c>
      <c r="CL527" s="1" t="s">
        <v>126</v>
      </c>
      <c r="CM527" s="1" t="s">
        <v>1080</v>
      </c>
      <c r="CN527">
        <v>78.400000000000006</v>
      </c>
      <c r="CO527" s="1" t="s">
        <v>572</v>
      </c>
      <c r="CP527">
        <v>65.8</v>
      </c>
      <c r="CQ527">
        <v>355</v>
      </c>
      <c r="CR527" s="1" t="s">
        <v>5558</v>
      </c>
      <c r="CS527" s="1" t="s">
        <v>2397</v>
      </c>
      <c r="CT527" s="1" t="s">
        <v>5559</v>
      </c>
      <c r="CU527" s="1" t="s">
        <v>5419</v>
      </c>
      <c r="CV527" s="1" t="s">
        <v>2837</v>
      </c>
      <c r="CW527">
        <v>62.55</v>
      </c>
      <c r="CX527">
        <v>57.3</v>
      </c>
      <c r="CY527">
        <v>48</v>
      </c>
      <c r="CZ527">
        <v>47</v>
      </c>
      <c r="DA527">
        <v>1</v>
      </c>
      <c r="DB527" t="s">
        <v>226</v>
      </c>
      <c r="DC527">
        <v>44</v>
      </c>
      <c r="DD527">
        <v>85.175858317508897</v>
      </c>
      <c r="DE527">
        <v>-41.175858317508897</v>
      </c>
      <c r="DF527" t="str">
        <f>_xlfn.XLOOKUP(Table1[[#This Row],[Player ID]],Table2[feed_id],Table2[trade_status])</f>
        <v>free_agent</v>
      </c>
      <c r="DG527">
        <f>_xlfn.NUMBERVALUE(Table1[[#This Row],[predicted]])</f>
        <v>85.175858317508897</v>
      </c>
    </row>
    <row r="528" spans="1:111" hidden="1" x14ac:dyDescent="0.25">
      <c r="A528">
        <v>128553</v>
      </c>
      <c r="B528">
        <v>8961</v>
      </c>
      <c r="C528" t="s">
        <v>5560</v>
      </c>
      <c r="D528" t="s">
        <v>709</v>
      </c>
      <c r="E528">
        <v>2024</v>
      </c>
      <c r="F528">
        <v>297767</v>
      </c>
      <c r="G528" t="s">
        <v>958</v>
      </c>
      <c r="H528" t="s">
        <v>5561</v>
      </c>
      <c r="I528" t="s">
        <v>249</v>
      </c>
      <c r="J528">
        <v>1</v>
      </c>
      <c r="K528">
        <v>15</v>
      </c>
      <c r="L528">
        <v>33</v>
      </c>
      <c r="M528">
        <v>20</v>
      </c>
      <c r="N528">
        <v>13</v>
      </c>
      <c r="O528">
        <v>18</v>
      </c>
      <c r="P528">
        <v>4</v>
      </c>
      <c r="Q528">
        <v>1</v>
      </c>
      <c r="R528">
        <v>1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 t="s">
        <v>113</v>
      </c>
      <c r="Z528" t="s">
        <v>542</v>
      </c>
      <c r="AA528" t="s">
        <v>5562</v>
      </c>
      <c r="AB528" t="s">
        <v>778</v>
      </c>
      <c r="AC528" t="s">
        <v>5563</v>
      </c>
      <c r="AE528">
        <v>0</v>
      </c>
      <c r="AH528" t="s">
        <v>181</v>
      </c>
      <c r="AI528">
        <v>38</v>
      </c>
      <c r="AJ528">
        <v>1</v>
      </c>
      <c r="AK528">
        <v>22</v>
      </c>
      <c r="AL528">
        <v>0</v>
      </c>
      <c r="AM528">
        <v>0</v>
      </c>
      <c r="AN528">
        <v>0.62</v>
      </c>
      <c r="AO528">
        <v>1.33</v>
      </c>
      <c r="AS528">
        <v>3</v>
      </c>
      <c r="AT528">
        <v>0</v>
      </c>
      <c r="AU528">
        <v>3</v>
      </c>
      <c r="AV528">
        <v>80</v>
      </c>
      <c r="AW528">
        <v>76</v>
      </c>
      <c r="AX528">
        <v>129</v>
      </c>
      <c r="AY528">
        <v>0</v>
      </c>
      <c r="AZ528" t="b">
        <v>1</v>
      </c>
      <c r="BA528">
        <v>1603</v>
      </c>
      <c r="BB528">
        <v>1675</v>
      </c>
      <c r="BC528">
        <v>20</v>
      </c>
      <c r="BD528" t="s">
        <v>5564</v>
      </c>
      <c r="BE528">
        <v>99</v>
      </c>
      <c r="BF528">
        <v>0</v>
      </c>
      <c r="BG528">
        <v>70</v>
      </c>
      <c r="BH528">
        <v>0</v>
      </c>
      <c r="BI528" s="1" t="s">
        <v>138</v>
      </c>
      <c r="BJ528" s="1" t="s">
        <v>963</v>
      </c>
      <c r="BK528" s="1" t="s">
        <v>138</v>
      </c>
      <c r="BL528" s="1" t="s">
        <v>766</v>
      </c>
      <c r="BM528">
        <v>1</v>
      </c>
      <c r="BN528">
        <v>3</v>
      </c>
      <c r="BO528">
        <v>1</v>
      </c>
      <c r="BP528" s="1" t="s">
        <v>327</v>
      </c>
      <c r="BQ528">
        <v>0</v>
      </c>
      <c r="BR528">
        <v>0</v>
      </c>
      <c r="BS528">
        <v>1</v>
      </c>
      <c r="BT528">
        <v>0.6</v>
      </c>
      <c r="BU528" s="1" t="s">
        <v>126</v>
      </c>
      <c r="BV528" s="1" t="s">
        <v>130</v>
      </c>
      <c r="BW528">
        <v>0</v>
      </c>
      <c r="BX528">
        <v>6.6666666666666596E-2</v>
      </c>
      <c r="BY528" s="1" t="s">
        <v>129</v>
      </c>
      <c r="BZ528">
        <v>6.6666666666666596E-2</v>
      </c>
      <c r="CA528">
        <v>0</v>
      </c>
      <c r="CB528">
        <v>6.4666666666666595E-2</v>
      </c>
      <c r="CC528" s="1" t="s">
        <v>731</v>
      </c>
      <c r="CD528" s="1" t="s">
        <v>5565</v>
      </c>
      <c r="CE528" s="1" t="s">
        <v>5566</v>
      </c>
      <c r="CF528" s="1" t="s">
        <v>1748</v>
      </c>
      <c r="CG528" s="1" t="s">
        <v>160</v>
      </c>
      <c r="CH528">
        <v>3.6</v>
      </c>
      <c r="CI528" s="1" t="s">
        <v>129</v>
      </c>
      <c r="CJ528" s="1" t="s">
        <v>213</v>
      </c>
      <c r="CK528">
        <v>3</v>
      </c>
      <c r="CL528" s="1" t="s">
        <v>327</v>
      </c>
      <c r="CM528" s="1" t="s">
        <v>2147</v>
      </c>
      <c r="CN528">
        <v>79.8</v>
      </c>
      <c r="CO528">
        <v>80</v>
      </c>
      <c r="CP528" s="1" t="s">
        <v>2849</v>
      </c>
      <c r="CQ528" s="1" t="s">
        <v>2492</v>
      </c>
      <c r="CS528" s="1" t="s">
        <v>853</v>
      </c>
      <c r="CT528" s="1" t="s">
        <v>5567</v>
      </c>
      <c r="CU528" s="1" t="s">
        <v>4620</v>
      </c>
      <c r="CV528" s="1" t="s">
        <v>5568</v>
      </c>
      <c r="CW528">
        <v>51.25</v>
      </c>
      <c r="CX528">
        <v>46.5</v>
      </c>
      <c r="CY528">
        <v>39.799999999999997</v>
      </c>
      <c r="CZ528" s="1" t="s">
        <v>2127</v>
      </c>
      <c r="DA528">
        <v>1</v>
      </c>
      <c r="DB528" t="s">
        <v>542</v>
      </c>
      <c r="DC528">
        <v>33</v>
      </c>
      <c r="DD528" s="1" t="s">
        <v>5569</v>
      </c>
      <c r="DE528">
        <v>-10.2347378471458</v>
      </c>
      <c r="DF528" t="e">
        <f>_xlfn.XLOOKUP(Table1[[#This Row],[Player ID]],Table2[feed_id],Table2[trade_status])</f>
        <v>#N/A</v>
      </c>
      <c r="DG528">
        <f>_xlfn.NUMBERVALUE(Table1[[#This Row],[predicted]])</f>
        <v>43.234737847145801</v>
      </c>
    </row>
    <row r="529" spans="1:111" hidden="1" x14ac:dyDescent="0.25">
      <c r="A529">
        <v>128599</v>
      </c>
      <c r="B529">
        <v>8962</v>
      </c>
      <c r="C529" t="s">
        <v>5570</v>
      </c>
      <c r="D529" t="s">
        <v>762</v>
      </c>
      <c r="E529">
        <v>2024</v>
      </c>
      <c r="F529">
        <v>993795</v>
      </c>
      <c r="G529" t="s">
        <v>409</v>
      </c>
      <c r="H529" t="s">
        <v>5571</v>
      </c>
      <c r="I529" t="s">
        <v>249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113</v>
      </c>
      <c r="Z529" t="s">
        <v>114</v>
      </c>
      <c r="AA529" t="s">
        <v>5572</v>
      </c>
      <c r="AB529" t="s">
        <v>116</v>
      </c>
      <c r="AC529" t="s">
        <v>3533</v>
      </c>
      <c r="AE529">
        <v>0</v>
      </c>
      <c r="AH529" t="s">
        <v>118</v>
      </c>
      <c r="AI529">
        <v>28</v>
      </c>
      <c r="AJ529">
        <v>5</v>
      </c>
      <c r="AK529">
        <v>42.4</v>
      </c>
      <c r="AL529">
        <v>0</v>
      </c>
      <c r="AM529">
        <v>0</v>
      </c>
      <c r="AN529">
        <v>0.15</v>
      </c>
      <c r="AO529">
        <v>0.03</v>
      </c>
      <c r="AS529">
        <v>0</v>
      </c>
      <c r="AT529">
        <v>0</v>
      </c>
      <c r="AU529">
        <v>0</v>
      </c>
      <c r="AV529">
        <v>0</v>
      </c>
      <c r="AW529">
        <v>6</v>
      </c>
      <c r="AX529">
        <v>0</v>
      </c>
      <c r="AY529">
        <v>1</v>
      </c>
      <c r="AZ529" t="b">
        <v>1</v>
      </c>
      <c r="BA529">
        <v>1721</v>
      </c>
      <c r="BB529">
        <v>1577</v>
      </c>
      <c r="BC529">
        <v>21</v>
      </c>
      <c r="BD529" t="s">
        <v>5573</v>
      </c>
      <c r="BE529">
        <v>98</v>
      </c>
      <c r="BF529">
        <v>0</v>
      </c>
      <c r="BG529">
        <v>72</v>
      </c>
      <c r="BH529">
        <v>0</v>
      </c>
      <c r="BI529" s="1" t="s">
        <v>159</v>
      </c>
      <c r="BJ529" s="1" t="s">
        <v>499</v>
      </c>
      <c r="BK529" s="1" t="s">
        <v>169</v>
      </c>
      <c r="BL529" s="1" t="s">
        <v>168</v>
      </c>
      <c r="BM529">
        <v>1</v>
      </c>
      <c r="BN529">
        <v>1.8</v>
      </c>
      <c r="BO529" s="1" t="s">
        <v>128</v>
      </c>
      <c r="BP529">
        <v>3.2</v>
      </c>
      <c r="BQ529">
        <v>0</v>
      </c>
      <c r="BR529">
        <v>0</v>
      </c>
      <c r="BS529" s="1" t="s">
        <v>129</v>
      </c>
      <c r="BT529" s="1" t="s">
        <v>231</v>
      </c>
      <c r="BU529">
        <v>1</v>
      </c>
      <c r="BV529">
        <v>0.4</v>
      </c>
      <c r="BW529">
        <v>0</v>
      </c>
      <c r="BX529" s="1" t="s">
        <v>129</v>
      </c>
      <c r="BY529">
        <v>0</v>
      </c>
      <c r="BZ529">
        <v>0.4</v>
      </c>
      <c r="CA529">
        <v>0</v>
      </c>
      <c r="CB529">
        <v>2.4E-2</v>
      </c>
      <c r="CC529">
        <v>0.15</v>
      </c>
      <c r="CD529" s="1" t="s">
        <v>5574</v>
      </c>
      <c r="CE529">
        <v>0.03</v>
      </c>
      <c r="CF529" s="1" t="s">
        <v>5575</v>
      </c>
      <c r="CG529" s="1" t="s">
        <v>159</v>
      </c>
      <c r="CH529" s="1" t="s">
        <v>211</v>
      </c>
      <c r="CI529" s="1" t="s">
        <v>129</v>
      </c>
      <c r="CJ529" s="1" t="s">
        <v>257</v>
      </c>
      <c r="CK529" s="1" t="s">
        <v>126</v>
      </c>
      <c r="CL529" s="1" t="s">
        <v>304</v>
      </c>
      <c r="CM529" s="1" t="s">
        <v>759</v>
      </c>
      <c r="CN529" s="1" t="s">
        <v>5067</v>
      </c>
      <c r="CO529" s="1" t="s">
        <v>4085</v>
      </c>
      <c r="CP529" s="1" t="s">
        <v>4343</v>
      </c>
      <c r="CQ529">
        <v>104</v>
      </c>
      <c r="CR529" s="1" t="s">
        <v>5576</v>
      </c>
      <c r="CS529">
        <v>1642</v>
      </c>
      <c r="CT529" s="1" t="s">
        <v>5577</v>
      </c>
      <c r="CU529" s="1" t="s">
        <v>5578</v>
      </c>
      <c r="CV529">
        <v>1582.6</v>
      </c>
      <c r="CW529">
        <v>57.15</v>
      </c>
      <c r="CX529">
        <v>45.1</v>
      </c>
      <c r="CY529">
        <v>39.6</v>
      </c>
      <c r="CZ529">
        <v>21</v>
      </c>
      <c r="DA529">
        <v>1</v>
      </c>
      <c r="DB529" t="s">
        <v>114</v>
      </c>
      <c r="DC529">
        <v>0</v>
      </c>
      <c r="DD529" s="1" t="s">
        <v>5579</v>
      </c>
      <c r="DE529">
        <v>-38.335654022344002</v>
      </c>
      <c r="DF529" t="e">
        <f>_xlfn.XLOOKUP(Table1[[#This Row],[Player ID]],Table2[feed_id],Table2[trade_status])</f>
        <v>#N/A</v>
      </c>
      <c r="DG529">
        <f>_xlfn.NUMBERVALUE(Table1[[#This Row],[predicted]])</f>
        <v>38.335654022344002</v>
      </c>
    </row>
    <row r="530" spans="1:111" hidden="1" x14ac:dyDescent="0.25">
      <c r="A530">
        <v>128688</v>
      </c>
      <c r="B530">
        <v>8964</v>
      </c>
      <c r="C530" t="s">
        <v>5580</v>
      </c>
      <c r="D530" t="s">
        <v>762</v>
      </c>
      <c r="E530">
        <v>2024</v>
      </c>
      <c r="F530">
        <v>1005986</v>
      </c>
      <c r="G530" t="s">
        <v>5581</v>
      </c>
      <c r="H530" t="s">
        <v>5582</v>
      </c>
      <c r="I530" t="s">
        <v>524</v>
      </c>
      <c r="J530">
        <v>8</v>
      </c>
      <c r="K530">
        <v>19</v>
      </c>
      <c r="L530">
        <v>17</v>
      </c>
      <c r="M530">
        <v>26</v>
      </c>
      <c r="N530">
        <v>20</v>
      </c>
      <c r="O530">
        <v>30</v>
      </c>
      <c r="P530">
        <v>5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4</v>
      </c>
      <c r="W530">
        <v>2</v>
      </c>
      <c r="X530">
        <v>0</v>
      </c>
      <c r="Y530" t="s">
        <v>113</v>
      </c>
      <c r="Z530" t="s">
        <v>861</v>
      </c>
      <c r="AA530" t="s">
        <v>5583</v>
      </c>
      <c r="AH530" t="s">
        <v>155</v>
      </c>
      <c r="AI530">
        <v>41</v>
      </c>
      <c r="AJ530">
        <v>0</v>
      </c>
      <c r="AK530">
        <v>0</v>
      </c>
      <c r="AL530">
        <v>0</v>
      </c>
      <c r="AM530">
        <v>0.04</v>
      </c>
      <c r="AN530">
        <v>0.05</v>
      </c>
      <c r="AO530">
        <v>7.0000000000000007E-2</v>
      </c>
      <c r="AS530">
        <v>2</v>
      </c>
      <c r="AT530">
        <v>0</v>
      </c>
      <c r="AU530">
        <v>6</v>
      </c>
      <c r="AV530">
        <v>40</v>
      </c>
      <c r="AW530">
        <v>72</v>
      </c>
      <c r="AX530">
        <v>116</v>
      </c>
      <c r="AY530">
        <v>0</v>
      </c>
      <c r="AZ530" t="b">
        <v>0</v>
      </c>
      <c r="BA530">
        <v>1838</v>
      </c>
      <c r="BB530">
        <v>1445</v>
      </c>
      <c r="BC530">
        <v>21</v>
      </c>
      <c r="BD530" t="s">
        <v>5584</v>
      </c>
      <c r="BE530">
        <v>98</v>
      </c>
      <c r="BF530">
        <v>0</v>
      </c>
      <c r="BG530">
        <v>72</v>
      </c>
      <c r="BH530">
        <v>0</v>
      </c>
      <c r="BI530" s="1" t="s">
        <v>449</v>
      </c>
      <c r="BJ530">
        <v>6.4</v>
      </c>
      <c r="BK530">
        <v>1</v>
      </c>
      <c r="BL530" s="1" t="s">
        <v>237</v>
      </c>
      <c r="BM530" s="1" t="s">
        <v>128</v>
      </c>
      <c r="BN530" s="1" t="s">
        <v>159</v>
      </c>
      <c r="BO530" s="1" t="s">
        <v>126</v>
      </c>
      <c r="BP530" s="1" t="s">
        <v>170</v>
      </c>
      <c r="BQ530">
        <v>0</v>
      </c>
      <c r="BR530">
        <v>0</v>
      </c>
      <c r="BS530" s="1" t="s">
        <v>128</v>
      </c>
      <c r="BT530">
        <v>0.6</v>
      </c>
      <c r="BU530">
        <v>2</v>
      </c>
      <c r="BV530" s="1" t="s">
        <v>399</v>
      </c>
      <c r="BW530" s="1" t="s">
        <v>161</v>
      </c>
      <c r="BX530" s="1" t="s">
        <v>327</v>
      </c>
      <c r="BY530" s="1" t="s">
        <v>128</v>
      </c>
      <c r="BZ530" s="1" t="s">
        <v>399</v>
      </c>
      <c r="CA530">
        <v>0.04</v>
      </c>
      <c r="CB530">
        <v>0.04</v>
      </c>
      <c r="CC530">
        <v>0.05</v>
      </c>
      <c r="CD530" s="1" t="s">
        <v>5585</v>
      </c>
      <c r="CE530">
        <v>7.0000000000000007E-2</v>
      </c>
      <c r="CF530">
        <v>8.2000000000000003E-2</v>
      </c>
      <c r="CG530" s="1" t="s">
        <v>169</v>
      </c>
      <c r="CH530" s="1" t="s">
        <v>212</v>
      </c>
      <c r="CI530" s="1" t="s">
        <v>128</v>
      </c>
      <c r="CJ530" s="1" t="s">
        <v>130</v>
      </c>
      <c r="CK530" s="1" t="s">
        <v>125</v>
      </c>
      <c r="CL530" s="1" t="s">
        <v>159</v>
      </c>
      <c r="CM530" s="1" t="s">
        <v>1459</v>
      </c>
      <c r="CN530" s="1" t="s">
        <v>1590</v>
      </c>
      <c r="CO530">
        <v>65</v>
      </c>
      <c r="CP530" s="1" t="s">
        <v>572</v>
      </c>
      <c r="CQ530">
        <v>128</v>
      </c>
      <c r="CR530">
        <v>181.2</v>
      </c>
      <c r="CS530" s="1" t="s">
        <v>5586</v>
      </c>
      <c r="CT530" s="1" t="s">
        <v>5587</v>
      </c>
      <c r="CU530">
        <v>1615</v>
      </c>
      <c r="CV530" s="1" t="s">
        <v>5588</v>
      </c>
      <c r="CW530">
        <v>53.85</v>
      </c>
      <c r="CX530">
        <v>56.1</v>
      </c>
      <c r="CY530">
        <v>44.6</v>
      </c>
      <c r="CZ530" s="1" t="s">
        <v>4138</v>
      </c>
      <c r="DA530">
        <v>1</v>
      </c>
      <c r="DB530" t="s">
        <v>861</v>
      </c>
      <c r="DC530">
        <v>17</v>
      </c>
      <c r="DD530" s="1" t="s">
        <v>5589</v>
      </c>
      <c r="DE530">
        <v>-39.107183547214397</v>
      </c>
      <c r="DF530" t="str">
        <f>_xlfn.XLOOKUP(Table1[[#This Row],[Player ID]],Table2[feed_id],Table2[trade_status])</f>
        <v>free_agent</v>
      </c>
      <c r="DG530">
        <f>_xlfn.NUMBERVALUE(Table1[[#This Row],[predicted]])</f>
        <v>56.107183547214397</v>
      </c>
    </row>
    <row r="531" spans="1:111" hidden="1" x14ac:dyDescent="0.25">
      <c r="A531">
        <v>128689</v>
      </c>
      <c r="B531">
        <v>8964</v>
      </c>
      <c r="C531" t="s">
        <v>5580</v>
      </c>
      <c r="D531" t="s">
        <v>762</v>
      </c>
      <c r="E531">
        <v>2024</v>
      </c>
      <c r="F531">
        <v>1006100</v>
      </c>
      <c r="G531" t="s">
        <v>2222</v>
      </c>
      <c r="H531" t="s">
        <v>5590</v>
      </c>
      <c r="I531" t="s">
        <v>524</v>
      </c>
      <c r="J531">
        <v>1</v>
      </c>
      <c r="K531">
        <v>18</v>
      </c>
      <c r="L531">
        <v>12</v>
      </c>
      <c r="M531">
        <v>22</v>
      </c>
      <c r="N531">
        <v>15</v>
      </c>
      <c r="O531">
        <v>21</v>
      </c>
      <c r="P531">
        <v>3</v>
      </c>
      <c r="Q531">
        <v>3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113</v>
      </c>
      <c r="Z531" t="s">
        <v>525</v>
      </c>
      <c r="AA531" t="s">
        <v>5591</v>
      </c>
      <c r="AB531" t="s">
        <v>3571</v>
      </c>
      <c r="AC531" t="s">
        <v>4081</v>
      </c>
      <c r="AH531" t="s">
        <v>155</v>
      </c>
      <c r="AI531">
        <v>16</v>
      </c>
      <c r="AJ531">
        <v>0</v>
      </c>
      <c r="AK531">
        <v>0</v>
      </c>
      <c r="AL531">
        <v>0</v>
      </c>
      <c r="AM531">
        <v>0.13</v>
      </c>
      <c r="AN531">
        <v>0.23</v>
      </c>
      <c r="AO531">
        <v>7.0000000000000007E-2</v>
      </c>
      <c r="AS531">
        <v>4</v>
      </c>
      <c r="AT531">
        <v>0</v>
      </c>
      <c r="AU531">
        <v>4</v>
      </c>
      <c r="AV531">
        <v>66</v>
      </c>
      <c r="AW531">
        <v>20</v>
      </c>
      <c r="AX531">
        <v>141</v>
      </c>
      <c r="AY531">
        <v>1</v>
      </c>
      <c r="AZ531" t="b">
        <v>0</v>
      </c>
      <c r="BA531">
        <v>1838</v>
      </c>
      <c r="BB531">
        <v>1445</v>
      </c>
      <c r="BC531">
        <v>21</v>
      </c>
      <c r="BD531" t="s">
        <v>5584</v>
      </c>
      <c r="BE531">
        <v>98</v>
      </c>
      <c r="BF531">
        <v>0</v>
      </c>
      <c r="BG531">
        <v>72</v>
      </c>
      <c r="BH531">
        <v>0</v>
      </c>
      <c r="BI531">
        <v>4</v>
      </c>
      <c r="BJ531" s="1" t="s">
        <v>139</v>
      </c>
      <c r="BK531" s="1" t="s">
        <v>125</v>
      </c>
      <c r="BL531" s="1" t="s">
        <v>374</v>
      </c>
      <c r="BM531" s="1" t="s">
        <v>159</v>
      </c>
      <c r="BN531" s="1" t="s">
        <v>322</v>
      </c>
      <c r="BO531">
        <v>1</v>
      </c>
      <c r="BP531" s="1" t="s">
        <v>322</v>
      </c>
      <c r="BQ531">
        <v>0</v>
      </c>
      <c r="BR531">
        <v>0</v>
      </c>
      <c r="BS531">
        <v>0</v>
      </c>
      <c r="BT531">
        <v>1</v>
      </c>
      <c r="BU531" s="1" t="s">
        <v>129</v>
      </c>
      <c r="BV531" s="1" t="s">
        <v>129</v>
      </c>
      <c r="BW531">
        <v>0</v>
      </c>
      <c r="BX531" s="1" t="s">
        <v>213</v>
      </c>
      <c r="BY531">
        <v>0</v>
      </c>
      <c r="BZ531" s="1" t="s">
        <v>184</v>
      </c>
      <c r="CA531">
        <v>0.13</v>
      </c>
      <c r="CB531">
        <v>0.13</v>
      </c>
      <c r="CC531">
        <v>0.23</v>
      </c>
      <c r="CD531">
        <v>0.23</v>
      </c>
      <c r="CE531">
        <v>7.0000000000000007E-2</v>
      </c>
      <c r="CF531">
        <v>7.0000000000000007E-2</v>
      </c>
      <c r="CG531" s="1" t="s">
        <v>125</v>
      </c>
      <c r="CH531">
        <v>4.4000000000000004</v>
      </c>
      <c r="CI531" s="1" t="s">
        <v>129</v>
      </c>
      <c r="CJ531">
        <v>0.6</v>
      </c>
      <c r="CK531">
        <v>3</v>
      </c>
      <c r="CL531">
        <v>2.8</v>
      </c>
      <c r="CM531" s="1" t="s">
        <v>772</v>
      </c>
      <c r="CN531" s="1" t="s">
        <v>1242</v>
      </c>
      <c r="CO531" s="1" t="s">
        <v>4315</v>
      </c>
      <c r="CP531" s="1" t="s">
        <v>1928</v>
      </c>
      <c r="CQ531" s="1" t="s">
        <v>5592</v>
      </c>
      <c r="CR531" s="1" t="s">
        <v>5593</v>
      </c>
      <c r="CS531" s="1" t="s">
        <v>5138</v>
      </c>
      <c r="CT531">
        <v>1628.6</v>
      </c>
      <c r="CU531" s="1" t="s">
        <v>5594</v>
      </c>
      <c r="CV531">
        <v>1650.4</v>
      </c>
      <c r="CW531">
        <v>48.2</v>
      </c>
      <c r="CX531">
        <v>43.2</v>
      </c>
      <c r="CY531">
        <v>38.799999999999997</v>
      </c>
      <c r="CZ531" s="1" t="s">
        <v>921</v>
      </c>
      <c r="DA531">
        <v>1</v>
      </c>
      <c r="DB531" t="s">
        <v>525</v>
      </c>
      <c r="DC531">
        <v>12</v>
      </c>
      <c r="DD531">
        <v>50.698762351795999</v>
      </c>
      <c r="DE531">
        <v>-38.698762351795999</v>
      </c>
      <c r="DF531" t="str">
        <f>_xlfn.XLOOKUP(Table1[[#This Row],[Player ID]],Table2[feed_id],Table2[trade_status])</f>
        <v>free_agent</v>
      </c>
      <c r="DG531">
        <f>_xlfn.NUMBERVALUE(Table1[[#This Row],[predicted]])</f>
        <v>50.698762351795999</v>
      </c>
    </row>
    <row r="532" spans="1:111" hidden="1" x14ac:dyDescent="0.25">
      <c r="A532">
        <v>128753</v>
      </c>
      <c r="B532">
        <v>8965</v>
      </c>
      <c r="C532" t="s">
        <v>5595</v>
      </c>
      <c r="D532" t="s">
        <v>762</v>
      </c>
      <c r="E532">
        <v>2024</v>
      </c>
      <c r="F532">
        <v>298289</v>
      </c>
      <c r="G532" t="s">
        <v>5596</v>
      </c>
      <c r="H532" t="s">
        <v>2161</v>
      </c>
      <c r="I532" t="s">
        <v>619</v>
      </c>
      <c r="J532">
        <v>4</v>
      </c>
      <c r="K532">
        <v>39</v>
      </c>
      <c r="L532">
        <v>42</v>
      </c>
      <c r="M532">
        <v>38</v>
      </c>
      <c r="N532">
        <v>33</v>
      </c>
      <c r="O532">
        <v>41</v>
      </c>
      <c r="P532">
        <v>2</v>
      </c>
      <c r="Q532">
        <v>5</v>
      </c>
      <c r="R532">
        <v>1</v>
      </c>
      <c r="S532">
        <v>2</v>
      </c>
      <c r="T532">
        <v>11</v>
      </c>
      <c r="U532">
        <v>1</v>
      </c>
      <c r="V532">
        <v>0</v>
      </c>
      <c r="W532">
        <v>0</v>
      </c>
      <c r="X532">
        <v>0</v>
      </c>
      <c r="Y532" t="s">
        <v>113</v>
      </c>
      <c r="Z532" t="s">
        <v>656</v>
      </c>
      <c r="AA532" t="s">
        <v>5597</v>
      </c>
      <c r="AE532">
        <v>0</v>
      </c>
      <c r="AH532" t="s">
        <v>155</v>
      </c>
      <c r="AI532">
        <v>20</v>
      </c>
      <c r="AJ532">
        <v>7</v>
      </c>
      <c r="AK532">
        <v>58.14</v>
      </c>
      <c r="AL532">
        <v>0</v>
      </c>
      <c r="AM532">
        <v>0</v>
      </c>
      <c r="AN532">
        <v>0.31</v>
      </c>
      <c r="AO532">
        <v>0.28000000000000003</v>
      </c>
      <c r="AS532">
        <v>3</v>
      </c>
      <c r="AT532">
        <v>1</v>
      </c>
      <c r="AU532">
        <v>2</v>
      </c>
      <c r="AV532">
        <v>71</v>
      </c>
      <c r="AW532">
        <v>60</v>
      </c>
      <c r="AX532">
        <v>44</v>
      </c>
      <c r="AY532">
        <v>0</v>
      </c>
      <c r="AZ532" t="b">
        <v>0</v>
      </c>
      <c r="BA532">
        <v>1856</v>
      </c>
      <c r="BB532">
        <v>1435</v>
      </c>
      <c r="BC532">
        <v>21</v>
      </c>
      <c r="BD532" t="s">
        <v>5598</v>
      </c>
      <c r="BE532">
        <v>98</v>
      </c>
      <c r="BF532">
        <v>0</v>
      </c>
      <c r="BG532">
        <v>72</v>
      </c>
      <c r="BH532">
        <v>0</v>
      </c>
      <c r="BI532">
        <v>6</v>
      </c>
      <c r="BJ532" s="1" t="s">
        <v>398</v>
      </c>
      <c r="BK532" s="1" t="s">
        <v>124</v>
      </c>
      <c r="BL532" s="1" t="s">
        <v>160</v>
      </c>
      <c r="BM532" s="1" t="s">
        <v>160</v>
      </c>
      <c r="BN532" s="1" t="s">
        <v>499</v>
      </c>
      <c r="BO532">
        <v>2</v>
      </c>
      <c r="BP532" s="1" t="s">
        <v>206</v>
      </c>
      <c r="BQ532" s="1" t="s">
        <v>183</v>
      </c>
      <c r="BR532">
        <v>7.6</v>
      </c>
      <c r="BS532" s="1" t="s">
        <v>129</v>
      </c>
      <c r="BT532">
        <v>0.8</v>
      </c>
      <c r="BU532" s="1" t="s">
        <v>128</v>
      </c>
      <c r="BV532" s="1" t="s">
        <v>129</v>
      </c>
      <c r="BW532" s="1" t="s">
        <v>126</v>
      </c>
      <c r="BX532" s="1" t="s">
        <v>206</v>
      </c>
      <c r="BY532" s="1" t="s">
        <v>129</v>
      </c>
      <c r="BZ532" s="1" t="s">
        <v>130</v>
      </c>
      <c r="CA532">
        <v>0</v>
      </c>
      <c r="CB532">
        <v>0</v>
      </c>
      <c r="CC532">
        <v>0.31</v>
      </c>
      <c r="CD532" s="1" t="s">
        <v>5599</v>
      </c>
      <c r="CE532">
        <v>0.28000000000000003</v>
      </c>
      <c r="CF532" s="1" t="s">
        <v>1975</v>
      </c>
      <c r="CG532">
        <v>6</v>
      </c>
      <c r="CH532" s="1" t="s">
        <v>752</v>
      </c>
      <c r="CI532" s="1" t="s">
        <v>129</v>
      </c>
      <c r="CJ532" s="1" t="s">
        <v>399</v>
      </c>
      <c r="CK532" s="1" t="s">
        <v>125</v>
      </c>
      <c r="CL532" s="1" t="s">
        <v>375</v>
      </c>
      <c r="CM532" s="1" t="s">
        <v>759</v>
      </c>
      <c r="CN532" s="1" t="s">
        <v>788</v>
      </c>
      <c r="CO532" s="1" t="s">
        <v>754</v>
      </c>
      <c r="CP532">
        <v>83.4</v>
      </c>
      <c r="CQ532" s="1" t="s">
        <v>3824</v>
      </c>
      <c r="CR532">
        <v>180.8</v>
      </c>
      <c r="CS532">
        <v>1591</v>
      </c>
      <c r="CT532" s="1" t="s">
        <v>5600</v>
      </c>
      <c r="CU532" s="1" t="s">
        <v>5601</v>
      </c>
      <c r="CV532" s="1" t="s">
        <v>5602</v>
      </c>
      <c r="CW532">
        <v>72.45</v>
      </c>
      <c r="CX532">
        <v>75.8</v>
      </c>
      <c r="CY532">
        <v>64</v>
      </c>
      <c r="CZ532" s="1" t="s">
        <v>772</v>
      </c>
      <c r="DA532">
        <v>1</v>
      </c>
      <c r="DB532" t="s">
        <v>656</v>
      </c>
      <c r="DC532">
        <v>42</v>
      </c>
      <c r="DD532" s="1" t="s">
        <v>5603</v>
      </c>
      <c r="DE532">
        <v>-30.2890935166646</v>
      </c>
      <c r="DF532" t="str">
        <f>_xlfn.XLOOKUP(Table1[[#This Row],[Player ID]],Table2[feed_id],Table2[trade_status])</f>
        <v>free_agent</v>
      </c>
      <c r="DG532">
        <f>_xlfn.NUMBERVALUE(Table1[[#This Row],[predicted]])</f>
        <v>72.289093516664593</v>
      </c>
    </row>
    <row r="533" spans="1:111" hidden="1" x14ac:dyDescent="0.25">
      <c r="A533">
        <v>128841</v>
      </c>
      <c r="B533">
        <v>8967</v>
      </c>
      <c r="C533" t="s">
        <v>5604</v>
      </c>
      <c r="D533" t="s">
        <v>762</v>
      </c>
      <c r="E533">
        <v>2024</v>
      </c>
      <c r="F533">
        <v>1006576</v>
      </c>
      <c r="G533" t="s">
        <v>176</v>
      </c>
      <c r="H533" t="s">
        <v>4546</v>
      </c>
      <c r="I533" t="s">
        <v>582</v>
      </c>
      <c r="J533">
        <v>3</v>
      </c>
      <c r="K533">
        <v>41</v>
      </c>
      <c r="L533">
        <v>46</v>
      </c>
      <c r="M533">
        <v>31</v>
      </c>
      <c r="N533">
        <v>32</v>
      </c>
      <c r="O533">
        <v>45</v>
      </c>
      <c r="P533">
        <v>5</v>
      </c>
      <c r="Q533">
        <v>7</v>
      </c>
      <c r="R533">
        <v>1</v>
      </c>
      <c r="S533">
        <v>2</v>
      </c>
      <c r="T533">
        <v>0</v>
      </c>
      <c r="U533">
        <v>1</v>
      </c>
      <c r="V533">
        <v>0</v>
      </c>
      <c r="W533">
        <v>0</v>
      </c>
      <c r="X533">
        <v>0</v>
      </c>
      <c r="Y533" t="s">
        <v>113</v>
      </c>
      <c r="Z533" t="s">
        <v>778</v>
      </c>
      <c r="AA533" t="s">
        <v>5605</v>
      </c>
      <c r="AB533" t="s">
        <v>525</v>
      </c>
      <c r="AC533" t="s">
        <v>1440</v>
      </c>
      <c r="AH533" t="s">
        <v>118</v>
      </c>
      <c r="AI533">
        <v>16</v>
      </c>
      <c r="AJ533">
        <v>0</v>
      </c>
      <c r="AK533">
        <v>0</v>
      </c>
      <c r="AL533">
        <v>0</v>
      </c>
      <c r="AM533">
        <v>0.09</v>
      </c>
      <c r="AN533">
        <v>0.1</v>
      </c>
      <c r="AO533">
        <v>0.08</v>
      </c>
      <c r="AS533">
        <v>4</v>
      </c>
      <c r="AT533">
        <v>1</v>
      </c>
      <c r="AU533">
        <v>3</v>
      </c>
      <c r="AV533">
        <v>83</v>
      </c>
      <c r="AW533">
        <v>68</v>
      </c>
      <c r="AX533">
        <v>125</v>
      </c>
      <c r="AY533">
        <v>1</v>
      </c>
      <c r="AZ533" t="b">
        <v>1</v>
      </c>
      <c r="BA533">
        <v>1801</v>
      </c>
      <c r="BB533">
        <v>1495</v>
      </c>
      <c r="BC533">
        <v>21</v>
      </c>
      <c r="BD533" t="s">
        <v>5606</v>
      </c>
      <c r="BE533">
        <v>98</v>
      </c>
      <c r="BF533">
        <v>0</v>
      </c>
      <c r="BG533">
        <v>72</v>
      </c>
      <c r="BH533">
        <v>0</v>
      </c>
      <c r="BI533" s="1" t="s">
        <v>137</v>
      </c>
      <c r="BJ533" s="1" t="s">
        <v>429</v>
      </c>
      <c r="BK533" s="1" t="s">
        <v>124</v>
      </c>
      <c r="BL533">
        <v>4.5999999999999996</v>
      </c>
      <c r="BM533" s="1" t="s">
        <v>160</v>
      </c>
      <c r="BN533">
        <v>3.2</v>
      </c>
      <c r="BO533" s="1" t="s">
        <v>126</v>
      </c>
      <c r="BP533" s="1" t="s">
        <v>566</v>
      </c>
      <c r="BQ533">
        <v>0</v>
      </c>
      <c r="BR533">
        <v>0</v>
      </c>
      <c r="BS533" s="1" t="s">
        <v>129</v>
      </c>
      <c r="BT533" s="1" t="s">
        <v>184</v>
      </c>
      <c r="BU533">
        <v>1</v>
      </c>
      <c r="BV533" s="1" t="s">
        <v>238</v>
      </c>
      <c r="BW533" s="1" t="s">
        <v>129</v>
      </c>
      <c r="BX533" s="1" t="s">
        <v>213</v>
      </c>
      <c r="BY533">
        <v>0</v>
      </c>
      <c r="BZ533">
        <v>6.6666666666666596E-2</v>
      </c>
      <c r="CA533">
        <v>0.09</v>
      </c>
      <c r="CB533">
        <v>9.6000000000000002E-2</v>
      </c>
      <c r="CC533">
        <v>0.1</v>
      </c>
      <c r="CD533">
        <v>0.13</v>
      </c>
      <c r="CE533">
        <v>0.08</v>
      </c>
      <c r="CF533">
        <v>9.8000000000000004E-2</v>
      </c>
      <c r="CG533" s="1" t="s">
        <v>125</v>
      </c>
      <c r="CH533">
        <v>2.6</v>
      </c>
      <c r="CI533">
        <v>1</v>
      </c>
      <c r="CJ533">
        <v>1</v>
      </c>
      <c r="CK533" s="1" t="s">
        <v>169</v>
      </c>
      <c r="CL533" s="1" t="s">
        <v>304</v>
      </c>
      <c r="CM533" s="1" t="s">
        <v>968</v>
      </c>
      <c r="CN533">
        <v>75</v>
      </c>
      <c r="CO533" s="1" t="s">
        <v>305</v>
      </c>
      <c r="CP533">
        <v>67.2</v>
      </c>
      <c r="CQ533" s="1" t="s">
        <v>4333</v>
      </c>
      <c r="CR533" s="1" t="s">
        <v>5607</v>
      </c>
      <c r="CS533" s="1" t="s">
        <v>5608</v>
      </c>
      <c r="CT533">
        <v>1517.2</v>
      </c>
      <c r="CU533">
        <v>1790</v>
      </c>
      <c r="CV533" s="1" t="s">
        <v>5609</v>
      </c>
      <c r="CW533">
        <v>40.65</v>
      </c>
      <c r="CX533">
        <v>39.9</v>
      </c>
      <c r="CY533">
        <v>45.6</v>
      </c>
      <c r="CZ533">
        <v>52</v>
      </c>
      <c r="DA533">
        <v>1</v>
      </c>
      <c r="DB533" t="s">
        <v>778</v>
      </c>
      <c r="DC533">
        <v>46</v>
      </c>
      <c r="DD533" s="1" t="s">
        <v>5610</v>
      </c>
      <c r="DE533">
        <v>-15.328398213926</v>
      </c>
      <c r="DF533" t="e">
        <f>_xlfn.XLOOKUP(Table1[[#This Row],[Player ID]],Table2[feed_id],Table2[trade_status])</f>
        <v>#N/A</v>
      </c>
      <c r="DG533">
        <f>_xlfn.NUMBERVALUE(Table1[[#This Row],[predicted]])</f>
        <v>61.328398213926</v>
      </c>
    </row>
    <row r="534" spans="1:111" hidden="1" x14ac:dyDescent="0.25">
      <c r="A534">
        <v>128845</v>
      </c>
      <c r="B534">
        <v>8967</v>
      </c>
      <c r="C534" t="s">
        <v>5604</v>
      </c>
      <c r="D534" t="s">
        <v>762</v>
      </c>
      <c r="E534">
        <v>2024</v>
      </c>
      <c r="F534">
        <v>997823</v>
      </c>
      <c r="G534" t="s">
        <v>1318</v>
      </c>
      <c r="H534" t="s">
        <v>5611</v>
      </c>
      <c r="I534" t="s">
        <v>582</v>
      </c>
      <c r="J534">
        <v>3</v>
      </c>
      <c r="K534">
        <v>33</v>
      </c>
      <c r="L534">
        <v>26</v>
      </c>
      <c r="M534">
        <v>24</v>
      </c>
      <c r="N534">
        <v>26</v>
      </c>
      <c r="O534">
        <v>33</v>
      </c>
      <c r="P534">
        <v>5</v>
      </c>
      <c r="Q534">
        <v>1</v>
      </c>
      <c r="R534">
        <v>4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113</v>
      </c>
      <c r="Z534" t="s">
        <v>5612</v>
      </c>
      <c r="AA534" t="s">
        <v>5613</v>
      </c>
      <c r="AH534" t="s">
        <v>181</v>
      </c>
      <c r="AI534">
        <v>35</v>
      </c>
      <c r="AJ534">
        <v>0</v>
      </c>
      <c r="AK534">
        <v>0</v>
      </c>
      <c r="AL534">
        <v>0</v>
      </c>
      <c r="AM534">
        <v>0</v>
      </c>
      <c r="AN534">
        <v>0.05</v>
      </c>
      <c r="AO534">
        <v>0.09</v>
      </c>
      <c r="AS534">
        <v>1</v>
      </c>
      <c r="AT534">
        <v>0</v>
      </c>
      <c r="AU534">
        <v>1</v>
      </c>
      <c r="AV534">
        <v>66</v>
      </c>
      <c r="AW534">
        <v>86</v>
      </c>
      <c r="AX534">
        <v>97</v>
      </c>
      <c r="AY534">
        <v>0</v>
      </c>
      <c r="AZ534" t="b">
        <v>0</v>
      </c>
      <c r="BA534">
        <v>1801</v>
      </c>
      <c r="BB534">
        <v>1495</v>
      </c>
      <c r="BC534">
        <v>21</v>
      </c>
      <c r="BD534" t="s">
        <v>5606</v>
      </c>
      <c r="BE534">
        <v>98</v>
      </c>
      <c r="BF534">
        <v>0</v>
      </c>
      <c r="BG534">
        <v>72</v>
      </c>
      <c r="BH534">
        <v>0</v>
      </c>
      <c r="BI534">
        <v>6</v>
      </c>
      <c r="BJ534" s="1" t="s">
        <v>448</v>
      </c>
      <c r="BK534" s="1" t="s">
        <v>161</v>
      </c>
      <c r="BL534" s="1" t="s">
        <v>161</v>
      </c>
      <c r="BM534" s="1" t="s">
        <v>138</v>
      </c>
      <c r="BN534">
        <v>5.2</v>
      </c>
      <c r="BO534" s="1" t="s">
        <v>126</v>
      </c>
      <c r="BP534">
        <v>1.2</v>
      </c>
      <c r="BQ534">
        <v>0</v>
      </c>
      <c r="BR534">
        <v>0.2</v>
      </c>
      <c r="BS534" s="1" t="s">
        <v>129</v>
      </c>
      <c r="BT534">
        <v>0.4</v>
      </c>
      <c r="BU534">
        <v>0</v>
      </c>
      <c r="BV534">
        <v>0.6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1.6E-2</v>
      </c>
      <c r="CC534">
        <v>0.05</v>
      </c>
      <c r="CD534">
        <v>0.05</v>
      </c>
      <c r="CE534">
        <v>0.09</v>
      </c>
      <c r="CF534">
        <v>8.2000000000000003E-2</v>
      </c>
      <c r="CG534" s="1" t="s">
        <v>161</v>
      </c>
      <c r="CH534">
        <v>2.2000000000000002</v>
      </c>
      <c r="CI534">
        <v>0</v>
      </c>
      <c r="CJ534">
        <v>0</v>
      </c>
      <c r="CK534" s="1" t="s">
        <v>126</v>
      </c>
      <c r="CL534">
        <v>1.8</v>
      </c>
      <c r="CM534">
        <v>71</v>
      </c>
      <c r="CN534" s="1" t="s">
        <v>531</v>
      </c>
      <c r="CO534" s="1" t="s">
        <v>552</v>
      </c>
      <c r="CP534" s="1" t="s">
        <v>437</v>
      </c>
      <c r="CQ534" s="1" t="s">
        <v>4119</v>
      </c>
      <c r="CR534" s="1" t="s">
        <v>5614</v>
      </c>
      <c r="CS534">
        <v>1414</v>
      </c>
      <c r="CT534" s="1" t="s">
        <v>5615</v>
      </c>
      <c r="CU534" s="1" t="s">
        <v>5616</v>
      </c>
      <c r="CV534" s="1" t="s">
        <v>5617</v>
      </c>
      <c r="CW534">
        <v>48.4</v>
      </c>
      <c r="CX534">
        <v>42.7</v>
      </c>
      <c r="CY534">
        <v>36.799999999999997</v>
      </c>
      <c r="CZ534">
        <v>41</v>
      </c>
      <c r="DA534">
        <v>1</v>
      </c>
      <c r="DB534" t="s">
        <v>5612</v>
      </c>
      <c r="DC534">
        <v>26</v>
      </c>
      <c r="DD534" s="1" t="s">
        <v>5618</v>
      </c>
      <c r="DE534">
        <v>-14.271527994600399</v>
      </c>
      <c r="DF534" t="e">
        <f>_xlfn.XLOOKUP(Table1[[#This Row],[Player ID]],Table2[feed_id],Table2[trade_status])</f>
        <v>#N/A</v>
      </c>
      <c r="DG534">
        <f>_xlfn.NUMBERVALUE(Table1[[#This Row],[predicted]])</f>
        <v>40.271527994600397</v>
      </c>
    </row>
    <row r="535" spans="1:111" hidden="1" x14ac:dyDescent="0.25">
      <c r="A535">
        <v>128957</v>
      </c>
      <c r="B535">
        <v>8970</v>
      </c>
      <c r="C535" t="s">
        <v>5619</v>
      </c>
      <c r="D535" t="s">
        <v>762</v>
      </c>
      <c r="E535">
        <v>2024</v>
      </c>
      <c r="F535">
        <v>1018335</v>
      </c>
      <c r="G535" t="s">
        <v>3687</v>
      </c>
      <c r="H535" t="s">
        <v>5620</v>
      </c>
      <c r="I535" t="s">
        <v>510</v>
      </c>
      <c r="J535">
        <v>2</v>
      </c>
      <c r="K535">
        <v>29</v>
      </c>
      <c r="L535">
        <v>39</v>
      </c>
      <c r="M535">
        <v>36</v>
      </c>
      <c r="N535">
        <v>24</v>
      </c>
      <c r="O535">
        <v>33</v>
      </c>
      <c r="P535">
        <v>3</v>
      </c>
      <c r="Q535">
        <v>5</v>
      </c>
      <c r="R535">
        <v>2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113</v>
      </c>
      <c r="Z535" t="s">
        <v>525</v>
      </c>
      <c r="AA535" t="s">
        <v>5621</v>
      </c>
      <c r="AH535" t="s">
        <v>118</v>
      </c>
      <c r="AI535">
        <v>15</v>
      </c>
      <c r="AJ535">
        <v>0</v>
      </c>
      <c r="AK535">
        <v>0</v>
      </c>
      <c r="AL535">
        <v>0</v>
      </c>
      <c r="AM535">
        <v>0.27</v>
      </c>
      <c r="AN535">
        <v>0.57999999999999996</v>
      </c>
      <c r="AO535">
        <v>0.32</v>
      </c>
      <c r="AS535">
        <v>3</v>
      </c>
      <c r="AT535">
        <v>0</v>
      </c>
      <c r="AU535">
        <v>0</v>
      </c>
      <c r="AV535">
        <v>75</v>
      </c>
      <c r="AW535">
        <v>78</v>
      </c>
      <c r="AX535">
        <v>84</v>
      </c>
      <c r="AY535">
        <v>1</v>
      </c>
      <c r="AZ535" t="b">
        <v>0</v>
      </c>
      <c r="BA535">
        <v>1782</v>
      </c>
      <c r="BB535">
        <v>1505</v>
      </c>
      <c r="BC535">
        <v>21</v>
      </c>
      <c r="BD535" t="s">
        <v>5622</v>
      </c>
      <c r="BE535">
        <v>98</v>
      </c>
      <c r="BF535">
        <v>0</v>
      </c>
      <c r="BG535">
        <v>72</v>
      </c>
      <c r="BH535">
        <v>0</v>
      </c>
      <c r="BI535">
        <v>5</v>
      </c>
      <c r="BJ535" s="1" t="s">
        <v>963</v>
      </c>
      <c r="BK535" s="1" t="s">
        <v>449</v>
      </c>
      <c r="BL535" s="1" t="s">
        <v>189</v>
      </c>
      <c r="BM535">
        <v>2</v>
      </c>
      <c r="BN535">
        <v>2.2000000000000002</v>
      </c>
      <c r="BO535" s="1" t="s">
        <v>126</v>
      </c>
      <c r="BP535" s="1" t="s">
        <v>206</v>
      </c>
      <c r="BQ535">
        <v>0</v>
      </c>
      <c r="BR535">
        <v>0</v>
      </c>
      <c r="BS535" s="1" t="s">
        <v>129</v>
      </c>
      <c r="BT535">
        <v>0.2</v>
      </c>
      <c r="BU535" s="1" t="s">
        <v>128</v>
      </c>
      <c r="BV535" s="1" t="s">
        <v>213</v>
      </c>
      <c r="BW535">
        <v>0</v>
      </c>
      <c r="BX535">
        <v>0.8</v>
      </c>
      <c r="BY535" s="1" t="s">
        <v>129</v>
      </c>
      <c r="BZ535" s="1" t="s">
        <v>129</v>
      </c>
      <c r="CA535">
        <v>0.27</v>
      </c>
      <c r="CB535">
        <v>0.27</v>
      </c>
      <c r="CC535">
        <v>0.57999999999999996</v>
      </c>
      <c r="CD535">
        <v>0.57999999999999996</v>
      </c>
      <c r="CE535">
        <v>0.32</v>
      </c>
      <c r="CF535">
        <v>0.32</v>
      </c>
      <c r="CG535" s="1" t="s">
        <v>211</v>
      </c>
      <c r="CH535" s="1" t="s">
        <v>431</v>
      </c>
      <c r="CI535">
        <v>1</v>
      </c>
      <c r="CJ535" s="1" t="s">
        <v>128</v>
      </c>
      <c r="CK535" s="1" t="s">
        <v>161</v>
      </c>
      <c r="CL535" s="1" t="s">
        <v>162</v>
      </c>
      <c r="CM535">
        <v>71</v>
      </c>
      <c r="CN535" s="1" t="s">
        <v>1753</v>
      </c>
      <c r="CO535" s="1" t="s">
        <v>683</v>
      </c>
      <c r="CP535">
        <v>70.8</v>
      </c>
      <c r="CQ535" s="1" t="s">
        <v>3403</v>
      </c>
      <c r="CR535">
        <v>172.6</v>
      </c>
      <c r="CS535">
        <v>1583</v>
      </c>
      <c r="CT535" s="1" t="s">
        <v>3527</v>
      </c>
      <c r="CU535">
        <v>1707</v>
      </c>
      <c r="CV535" s="1" t="s">
        <v>1232</v>
      </c>
      <c r="CW535">
        <v>47.4</v>
      </c>
      <c r="CX535">
        <v>46.8</v>
      </c>
      <c r="CY535">
        <v>37.799999999999997</v>
      </c>
      <c r="CZ535">
        <v>45</v>
      </c>
      <c r="DA535">
        <v>1</v>
      </c>
      <c r="DB535" t="s">
        <v>525</v>
      </c>
      <c r="DC535">
        <v>39</v>
      </c>
      <c r="DD535" s="1" t="s">
        <v>5623</v>
      </c>
      <c r="DE535">
        <v>-12.5265093298996</v>
      </c>
      <c r="DF535" t="str">
        <f>_xlfn.XLOOKUP(Table1[[#This Row],[Player ID]],Table2[feed_id],Table2[trade_status])</f>
        <v>free_agent</v>
      </c>
      <c r="DG535">
        <f>_xlfn.NUMBERVALUE(Table1[[#This Row],[predicted]])</f>
        <v>51.526509329899604</v>
      </c>
    </row>
    <row r="536" spans="1:111" hidden="1" x14ac:dyDescent="0.25">
      <c r="A536">
        <v>128959</v>
      </c>
      <c r="B536">
        <v>8970</v>
      </c>
      <c r="C536" t="s">
        <v>5619</v>
      </c>
      <c r="D536" t="s">
        <v>762</v>
      </c>
      <c r="E536">
        <v>2024</v>
      </c>
      <c r="F536">
        <v>1005199</v>
      </c>
      <c r="G536" t="s">
        <v>5624</v>
      </c>
      <c r="H536" t="s">
        <v>5625</v>
      </c>
      <c r="I536" t="s">
        <v>510</v>
      </c>
      <c r="J536">
        <v>1</v>
      </c>
      <c r="K536">
        <v>13</v>
      </c>
      <c r="L536">
        <v>15</v>
      </c>
      <c r="M536">
        <v>16</v>
      </c>
      <c r="N536">
        <v>13</v>
      </c>
      <c r="O536">
        <v>17</v>
      </c>
      <c r="P536">
        <v>2</v>
      </c>
      <c r="Q536">
        <v>1</v>
      </c>
      <c r="R536">
        <v>1</v>
      </c>
      <c r="S536">
        <v>0</v>
      </c>
      <c r="T536">
        <v>5</v>
      </c>
      <c r="U536">
        <v>0</v>
      </c>
      <c r="V536">
        <v>1</v>
      </c>
      <c r="W536">
        <v>0</v>
      </c>
      <c r="X536">
        <v>0</v>
      </c>
      <c r="Y536" t="s">
        <v>113</v>
      </c>
      <c r="Z536" t="s">
        <v>5152</v>
      </c>
      <c r="AA536" t="s">
        <v>5626</v>
      </c>
      <c r="AB536" t="s">
        <v>116</v>
      </c>
      <c r="AC536" t="s">
        <v>5627</v>
      </c>
      <c r="AE536">
        <v>0</v>
      </c>
      <c r="AH536" t="s">
        <v>155</v>
      </c>
      <c r="AI536">
        <v>34</v>
      </c>
      <c r="AJ536">
        <v>0</v>
      </c>
      <c r="AK536">
        <v>0</v>
      </c>
      <c r="AL536">
        <v>0</v>
      </c>
      <c r="AM536">
        <v>0</v>
      </c>
      <c r="AN536">
        <v>0.23</v>
      </c>
      <c r="AO536">
        <v>0.24</v>
      </c>
      <c r="AS536">
        <v>1</v>
      </c>
      <c r="AT536">
        <v>0</v>
      </c>
      <c r="AU536">
        <v>1</v>
      </c>
      <c r="AV536">
        <v>66</v>
      </c>
      <c r="AW536">
        <v>50</v>
      </c>
      <c r="AX536">
        <v>44</v>
      </c>
      <c r="AY536">
        <v>1</v>
      </c>
      <c r="AZ536" t="b">
        <v>1</v>
      </c>
      <c r="BA536">
        <v>1782</v>
      </c>
      <c r="BB536">
        <v>1505</v>
      </c>
      <c r="BC536">
        <v>21</v>
      </c>
      <c r="BD536" t="s">
        <v>5622</v>
      </c>
      <c r="BE536">
        <v>98</v>
      </c>
      <c r="BF536">
        <v>0</v>
      </c>
      <c r="BG536">
        <v>72</v>
      </c>
      <c r="BH536">
        <v>0</v>
      </c>
      <c r="BI536">
        <v>3</v>
      </c>
      <c r="BJ536">
        <v>5.8</v>
      </c>
      <c r="BK536" s="1" t="s">
        <v>169</v>
      </c>
      <c r="BL536" s="1" t="s">
        <v>189</v>
      </c>
      <c r="BM536">
        <v>1</v>
      </c>
      <c r="BN536" s="1" t="s">
        <v>237</v>
      </c>
      <c r="BO536">
        <v>1</v>
      </c>
      <c r="BP536" s="1" t="s">
        <v>304</v>
      </c>
      <c r="BQ536" s="1" t="s">
        <v>125</v>
      </c>
      <c r="BR536" s="1" t="s">
        <v>212</v>
      </c>
      <c r="BS536" s="1" t="s">
        <v>129</v>
      </c>
      <c r="BT536" s="1" t="s">
        <v>399</v>
      </c>
      <c r="BU536" s="1" t="s">
        <v>128</v>
      </c>
      <c r="BV536">
        <v>0.6</v>
      </c>
      <c r="BW536" s="1" t="s">
        <v>129</v>
      </c>
      <c r="BX536">
        <v>0.8</v>
      </c>
      <c r="BY536">
        <v>0</v>
      </c>
      <c r="BZ536" s="1" t="s">
        <v>231</v>
      </c>
      <c r="CA536">
        <v>0</v>
      </c>
      <c r="CB536" s="1" t="s">
        <v>4644</v>
      </c>
      <c r="CC536">
        <v>0.23</v>
      </c>
      <c r="CD536">
        <v>0.16</v>
      </c>
      <c r="CE536">
        <v>0.24</v>
      </c>
      <c r="CF536">
        <v>0.158</v>
      </c>
      <c r="CG536" s="1" t="s">
        <v>138</v>
      </c>
      <c r="CH536">
        <v>5.2</v>
      </c>
      <c r="CI536" s="1" t="s">
        <v>129</v>
      </c>
      <c r="CJ536" s="1" t="s">
        <v>238</v>
      </c>
      <c r="CK536">
        <v>1</v>
      </c>
      <c r="CL536" s="1" t="s">
        <v>161</v>
      </c>
      <c r="CM536" s="1" t="s">
        <v>1123</v>
      </c>
      <c r="CN536">
        <v>70</v>
      </c>
      <c r="CO536" s="1" t="s">
        <v>141</v>
      </c>
      <c r="CP536">
        <v>77.400000000000006</v>
      </c>
      <c r="CQ536">
        <v>73</v>
      </c>
      <c r="CR536">
        <v>133.6</v>
      </c>
      <c r="CS536">
        <v>1583</v>
      </c>
      <c r="CT536">
        <v>1620.2</v>
      </c>
      <c r="CU536">
        <v>1707</v>
      </c>
      <c r="CV536" s="1" t="s">
        <v>3825</v>
      </c>
      <c r="CW536">
        <v>56.95</v>
      </c>
      <c r="CX536">
        <v>53.8</v>
      </c>
      <c r="CY536">
        <v>46.8</v>
      </c>
      <c r="CZ536" s="1" t="s">
        <v>922</v>
      </c>
      <c r="DA536">
        <v>1</v>
      </c>
      <c r="DB536" t="s">
        <v>5152</v>
      </c>
      <c r="DC536">
        <v>15</v>
      </c>
      <c r="DD536" s="1" t="s">
        <v>5628</v>
      </c>
      <c r="DE536">
        <v>-48.824738070174</v>
      </c>
      <c r="DF536" t="str">
        <f>_xlfn.XLOOKUP(Table1[[#This Row],[Player ID]],Table2[feed_id],Table2[trade_status])</f>
        <v>free_agent</v>
      </c>
      <c r="DG536">
        <f>_xlfn.NUMBERVALUE(Table1[[#This Row],[predicted]])</f>
        <v>63.824738070174</v>
      </c>
    </row>
    <row r="537" spans="1:111" hidden="1" x14ac:dyDescent="0.25">
      <c r="A537">
        <v>129057</v>
      </c>
      <c r="B537">
        <v>8972</v>
      </c>
      <c r="C537" t="s">
        <v>5629</v>
      </c>
      <c r="D537" t="s">
        <v>810</v>
      </c>
      <c r="E537">
        <v>2024</v>
      </c>
      <c r="F537">
        <v>993799</v>
      </c>
      <c r="G537" t="s">
        <v>3687</v>
      </c>
      <c r="H537" t="s">
        <v>5630</v>
      </c>
      <c r="I537" t="s">
        <v>524</v>
      </c>
      <c r="J537">
        <v>14</v>
      </c>
      <c r="K537">
        <v>66</v>
      </c>
      <c r="L537">
        <v>87</v>
      </c>
      <c r="M537">
        <v>50</v>
      </c>
      <c r="N537">
        <v>52</v>
      </c>
      <c r="O537">
        <v>67</v>
      </c>
      <c r="P537">
        <v>8</v>
      </c>
      <c r="Q537">
        <v>7</v>
      </c>
      <c r="R537">
        <v>2</v>
      </c>
      <c r="S537">
        <v>3</v>
      </c>
      <c r="T537">
        <v>0</v>
      </c>
      <c r="U537">
        <v>3</v>
      </c>
      <c r="V537">
        <v>0</v>
      </c>
      <c r="W537">
        <v>1</v>
      </c>
      <c r="X537">
        <v>1</v>
      </c>
      <c r="Y537" t="s">
        <v>113</v>
      </c>
      <c r="Z537" t="s">
        <v>525</v>
      </c>
      <c r="AA537" t="s">
        <v>5631</v>
      </c>
      <c r="AE537">
        <v>0</v>
      </c>
      <c r="AH537" t="s">
        <v>118</v>
      </c>
      <c r="AI537">
        <v>8</v>
      </c>
      <c r="AJ537">
        <v>10</v>
      </c>
      <c r="AK537">
        <v>92.3</v>
      </c>
      <c r="AL537">
        <v>0</v>
      </c>
      <c r="AM537">
        <v>0</v>
      </c>
      <c r="AN537">
        <v>7.0000000000000007E-2</v>
      </c>
      <c r="AO537">
        <v>0.15</v>
      </c>
      <c r="AS537">
        <v>3</v>
      </c>
      <c r="AT537">
        <v>1</v>
      </c>
      <c r="AU537">
        <v>0</v>
      </c>
      <c r="AV537">
        <v>93</v>
      </c>
      <c r="AW537">
        <v>82</v>
      </c>
      <c r="AX537">
        <v>203</v>
      </c>
      <c r="AY537">
        <v>0</v>
      </c>
      <c r="AZ537" t="b">
        <v>0</v>
      </c>
      <c r="BA537">
        <v>1722</v>
      </c>
      <c r="BB537">
        <v>1570</v>
      </c>
      <c r="BC537">
        <v>22</v>
      </c>
      <c r="BD537" t="s">
        <v>5632</v>
      </c>
      <c r="BE537">
        <v>101</v>
      </c>
      <c r="BF537">
        <v>0</v>
      </c>
      <c r="BG537">
        <v>70</v>
      </c>
      <c r="BH537">
        <v>1</v>
      </c>
      <c r="BI537">
        <v>7</v>
      </c>
      <c r="BJ537" s="1" t="s">
        <v>962</v>
      </c>
      <c r="BK537" s="1" t="s">
        <v>294</v>
      </c>
      <c r="BL537">
        <v>8.4</v>
      </c>
      <c r="BM537" s="1" t="s">
        <v>160</v>
      </c>
      <c r="BN537" s="1" t="s">
        <v>565</v>
      </c>
      <c r="BO537" s="1" t="s">
        <v>126</v>
      </c>
      <c r="BP537">
        <v>2.2000000000000002</v>
      </c>
      <c r="BQ537">
        <v>0</v>
      </c>
      <c r="BR537">
        <v>0</v>
      </c>
      <c r="BS537">
        <v>1</v>
      </c>
      <c r="BT537" s="1" t="s">
        <v>238</v>
      </c>
      <c r="BU537">
        <v>0</v>
      </c>
      <c r="BV537">
        <v>0.2</v>
      </c>
      <c r="BW537" s="1" t="s">
        <v>129</v>
      </c>
      <c r="BX537" s="1" t="s">
        <v>231</v>
      </c>
      <c r="BY537" s="1" t="s">
        <v>129</v>
      </c>
      <c r="BZ537" s="1" t="s">
        <v>129</v>
      </c>
      <c r="CA537">
        <v>0</v>
      </c>
      <c r="CB537">
        <v>8.66666666666672E-3</v>
      </c>
      <c r="CC537">
        <v>7.0000000000000007E-2</v>
      </c>
      <c r="CD537">
        <v>0.08</v>
      </c>
      <c r="CE537">
        <v>0.15</v>
      </c>
      <c r="CF537">
        <v>0.156</v>
      </c>
      <c r="CG537" s="1" t="s">
        <v>159</v>
      </c>
      <c r="CH537" s="1" t="s">
        <v>565</v>
      </c>
      <c r="CI537" s="1" t="s">
        <v>129</v>
      </c>
      <c r="CJ537" s="1" t="s">
        <v>127</v>
      </c>
      <c r="CK537" s="1" t="s">
        <v>161</v>
      </c>
      <c r="CL537" s="1" t="s">
        <v>275</v>
      </c>
      <c r="CM537">
        <v>82</v>
      </c>
      <c r="CN537" s="1" t="s">
        <v>2057</v>
      </c>
      <c r="CO537" s="1" t="s">
        <v>2147</v>
      </c>
      <c r="CP537">
        <v>77.599999999999994</v>
      </c>
      <c r="CQ537" s="1" t="s">
        <v>5633</v>
      </c>
      <c r="CR537" s="1" t="s">
        <v>5634</v>
      </c>
      <c r="CS537">
        <v>1636</v>
      </c>
      <c r="CT537" s="1" t="s">
        <v>5635</v>
      </c>
      <c r="CU537">
        <v>1655</v>
      </c>
      <c r="CV537" s="1" t="s">
        <v>2481</v>
      </c>
      <c r="CW537">
        <v>73.05</v>
      </c>
      <c r="CX537">
        <v>66.8</v>
      </c>
      <c r="CY537">
        <v>61</v>
      </c>
      <c r="CZ537" s="1" t="s">
        <v>2490</v>
      </c>
      <c r="DA537">
        <v>1</v>
      </c>
      <c r="DB537" t="s">
        <v>525</v>
      </c>
      <c r="DC537">
        <v>87</v>
      </c>
      <c r="DD537">
        <v>69.220741080637794</v>
      </c>
      <c r="DE537" s="1" t="s">
        <v>5636</v>
      </c>
      <c r="DF537" t="str">
        <f>_xlfn.XLOOKUP(Table1[[#This Row],[Player ID]],Table2[feed_id],Table2[trade_status])</f>
        <v>free_agent</v>
      </c>
      <c r="DG537">
        <f>_xlfn.NUMBERVALUE(Table1[[#This Row],[predicted]])</f>
        <v>69.220741080637794</v>
      </c>
    </row>
    <row r="538" spans="1:111" hidden="1" x14ac:dyDescent="0.25">
      <c r="A538">
        <v>129078</v>
      </c>
      <c r="B538">
        <v>8973</v>
      </c>
      <c r="C538" t="s">
        <v>5637</v>
      </c>
      <c r="D538" t="s">
        <v>810</v>
      </c>
      <c r="E538">
        <v>2024</v>
      </c>
      <c r="F538">
        <v>1002240</v>
      </c>
      <c r="G538" t="s">
        <v>5638</v>
      </c>
      <c r="H538" t="s">
        <v>5639</v>
      </c>
      <c r="I538" t="s">
        <v>813</v>
      </c>
      <c r="J538">
        <v>25</v>
      </c>
      <c r="K538">
        <v>99</v>
      </c>
      <c r="L538">
        <v>104</v>
      </c>
      <c r="M538">
        <v>131</v>
      </c>
      <c r="N538">
        <v>75</v>
      </c>
      <c r="O538">
        <v>96</v>
      </c>
      <c r="P538">
        <v>14</v>
      </c>
      <c r="Q538">
        <v>3</v>
      </c>
      <c r="R538">
        <v>8</v>
      </c>
      <c r="S538">
        <v>5</v>
      </c>
      <c r="T538">
        <v>0</v>
      </c>
      <c r="U538">
        <v>1</v>
      </c>
      <c r="V538">
        <v>0</v>
      </c>
      <c r="W538">
        <v>1</v>
      </c>
      <c r="X538">
        <v>0</v>
      </c>
      <c r="Y538" t="s">
        <v>113</v>
      </c>
      <c r="Z538" t="s">
        <v>226</v>
      </c>
      <c r="AA538" t="s">
        <v>5640</v>
      </c>
      <c r="AE538">
        <v>0</v>
      </c>
      <c r="AH538" t="s">
        <v>155</v>
      </c>
      <c r="AI538">
        <v>2</v>
      </c>
      <c r="AJ538">
        <v>21</v>
      </c>
      <c r="AK538">
        <v>66.14</v>
      </c>
      <c r="AL538">
        <v>0</v>
      </c>
      <c r="AM538">
        <v>0</v>
      </c>
      <c r="AN538">
        <v>0.23</v>
      </c>
      <c r="AO538">
        <v>0.17</v>
      </c>
      <c r="AS538">
        <v>4</v>
      </c>
      <c r="AT538">
        <v>0</v>
      </c>
      <c r="AU538">
        <v>2</v>
      </c>
      <c r="AV538">
        <v>70</v>
      </c>
      <c r="AW538">
        <v>78</v>
      </c>
      <c r="AX538">
        <v>459</v>
      </c>
      <c r="AY538">
        <v>0</v>
      </c>
      <c r="AZ538" t="b">
        <v>0</v>
      </c>
      <c r="BA538">
        <v>1443</v>
      </c>
      <c r="BB538">
        <v>1835</v>
      </c>
      <c r="BC538">
        <v>22</v>
      </c>
      <c r="BD538" t="s">
        <v>5641</v>
      </c>
      <c r="BE538">
        <v>101</v>
      </c>
      <c r="BF538">
        <v>1</v>
      </c>
      <c r="BG538">
        <v>70</v>
      </c>
      <c r="BH538">
        <v>1</v>
      </c>
      <c r="BI538" s="1" t="s">
        <v>356</v>
      </c>
      <c r="BJ538" s="1" t="s">
        <v>158</v>
      </c>
      <c r="BK538" s="1" t="s">
        <v>160</v>
      </c>
      <c r="BL538" s="1" t="s">
        <v>125</v>
      </c>
      <c r="BM538" s="1" t="s">
        <v>160</v>
      </c>
      <c r="BN538" s="1" t="s">
        <v>587</v>
      </c>
      <c r="BO538">
        <v>3</v>
      </c>
      <c r="BP538" s="1" t="s">
        <v>275</v>
      </c>
      <c r="BQ538">
        <v>0</v>
      </c>
      <c r="BR538">
        <v>0</v>
      </c>
      <c r="BS538" s="1" t="s">
        <v>128</v>
      </c>
      <c r="BT538">
        <v>0.4</v>
      </c>
      <c r="BU538" s="1" t="s">
        <v>128</v>
      </c>
      <c r="BV538" s="1" t="s">
        <v>238</v>
      </c>
      <c r="BW538" s="1" t="s">
        <v>129</v>
      </c>
      <c r="BX538" s="1" t="s">
        <v>128</v>
      </c>
      <c r="BY538">
        <v>0</v>
      </c>
      <c r="BZ538" s="1" t="s">
        <v>213</v>
      </c>
      <c r="CA538">
        <v>0</v>
      </c>
      <c r="CB538">
        <v>0</v>
      </c>
      <c r="CC538">
        <v>0.23</v>
      </c>
      <c r="CD538">
        <v>0.222</v>
      </c>
      <c r="CE538">
        <v>0.17</v>
      </c>
      <c r="CF538" s="1" t="s">
        <v>5642</v>
      </c>
      <c r="CG538">
        <v>4</v>
      </c>
      <c r="CH538" s="1" t="s">
        <v>528</v>
      </c>
      <c r="CI538">
        <v>0</v>
      </c>
      <c r="CJ538" s="1" t="s">
        <v>184</v>
      </c>
      <c r="CK538" s="1" t="s">
        <v>159</v>
      </c>
      <c r="CL538">
        <v>1.8</v>
      </c>
      <c r="CM538">
        <v>66</v>
      </c>
      <c r="CN538" s="1" t="s">
        <v>5643</v>
      </c>
      <c r="CO538" s="1" t="s">
        <v>195</v>
      </c>
      <c r="CP538" s="1" t="s">
        <v>754</v>
      </c>
      <c r="CQ538">
        <v>293</v>
      </c>
      <c r="CR538">
        <v>262.8</v>
      </c>
      <c r="CS538" s="1" t="s">
        <v>2102</v>
      </c>
      <c r="CT538">
        <v>1568.6</v>
      </c>
      <c r="CU538">
        <v>1540</v>
      </c>
      <c r="CV538">
        <v>1716.4</v>
      </c>
      <c r="CW538">
        <v>50.15</v>
      </c>
      <c r="CX538">
        <v>55.2</v>
      </c>
      <c r="CY538">
        <v>59</v>
      </c>
      <c r="CZ538" s="1" t="s">
        <v>572</v>
      </c>
      <c r="DA538">
        <v>1</v>
      </c>
      <c r="DB538" t="s">
        <v>226</v>
      </c>
      <c r="DC538">
        <v>104</v>
      </c>
      <c r="DD538" s="1" t="s">
        <v>5644</v>
      </c>
      <c r="DE538" s="1" t="s">
        <v>5645</v>
      </c>
      <c r="DF538" t="e">
        <f>_xlfn.XLOOKUP(Table1[[#This Row],[Player ID]],Table2[feed_id],Table2[trade_status])</f>
        <v>#N/A</v>
      </c>
      <c r="DG538">
        <f>_xlfn.NUMBERVALUE(Table1[[#This Row],[predicted]])</f>
        <v>80.650890523132503</v>
      </c>
    </row>
    <row r="539" spans="1:111" hidden="1" x14ac:dyDescent="0.25">
      <c r="A539">
        <v>129109</v>
      </c>
      <c r="B539">
        <v>8973</v>
      </c>
      <c r="C539" t="s">
        <v>5637</v>
      </c>
      <c r="D539" t="s">
        <v>810</v>
      </c>
      <c r="E539">
        <v>2024</v>
      </c>
      <c r="F539">
        <v>290847</v>
      </c>
      <c r="G539" t="s">
        <v>5646</v>
      </c>
      <c r="H539" t="s">
        <v>3981</v>
      </c>
      <c r="I539" t="s">
        <v>317</v>
      </c>
      <c r="J539">
        <v>7</v>
      </c>
      <c r="K539">
        <v>47</v>
      </c>
      <c r="L539">
        <v>54</v>
      </c>
      <c r="M539">
        <v>28</v>
      </c>
      <c r="N539">
        <v>40</v>
      </c>
      <c r="O539">
        <v>56</v>
      </c>
      <c r="P539">
        <v>7</v>
      </c>
      <c r="Q539">
        <v>9</v>
      </c>
      <c r="R539">
        <v>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2</v>
      </c>
      <c r="Y539" t="s">
        <v>113</v>
      </c>
      <c r="Z539" t="s">
        <v>5647</v>
      </c>
      <c r="AA539" t="s">
        <v>5648</v>
      </c>
      <c r="AB539" t="s">
        <v>861</v>
      </c>
      <c r="AC539" t="s">
        <v>5649</v>
      </c>
      <c r="AH539" t="s">
        <v>118</v>
      </c>
      <c r="AI539">
        <v>4</v>
      </c>
      <c r="AJ539">
        <v>0</v>
      </c>
      <c r="AK539">
        <v>0</v>
      </c>
      <c r="AL539">
        <v>0</v>
      </c>
      <c r="AM539">
        <v>9.61</v>
      </c>
      <c r="AN539">
        <v>4.8499999999999996</v>
      </c>
      <c r="AO539">
        <v>7.69</v>
      </c>
      <c r="AS539">
        <v>8</v>
      </c>
      <c r="AT539">
        <v>1</v>
      </c>
      <c r="AU539">
        <v>1</v>
      </c>
      <c r="AV539">
        <v>68</v>
      </c>
      <c r="AW539">
        <v>75</v>
      </c>
      <c r="AX539">
        <v>24</v>
      </c>
      <c r="AY539">
        <v>0</v>
      </c>
      <c r="AZ539" t="b">
        <v>0</v>
      </c>
      <c r="BA539">
        <v>1835</v>
      </c>
      <c r="BB539">
        <v>1443</v>
      </c>
      <c r="BC539">
        <v>22</v>
      </c>
      <c r="BD539" t="s">
        <v>5650</v>
      </c>
      <c r="BE539">
        <v>101</v>
      </c>
      <c r="BF539">
        <v>0</v>
      </c>
      <c r="BG539">
        <v>70</v>
      </c>
      <c r="BH539">
        <v>0</v>
      </c>
      <c r="BI539">
        <v>6</v>
      </c>
      <c r="BJ539" s="1" t="s">
        <v>1398</v>
      </c>
      <c r="BK539">
        <v>6</v>
      </c>
      <c r="BL539">
        <v>8.4</v>
      </c>
      <c r="BM539" s="1" t="s">
        <v>161</v>
      </c>
      <c r="BN539" s="1" t="s">
        <v>587</v>
      </c>
      <c r="BO539">
        <v>0</v>
      </c>
      <c r="BP539">
        <v>1.6</v>
      </c>
      <c r="BQ539">
        <v>0</v>
      </c>
      <c r="BR539">
        <v>6.6666666666666596E-2</v>
      </c>
      <c r="BS539">
        <v>0</v>
      </c>
      <c r="BT539" s="1" t="s">
        <v>184</v>
      </c>
      <c r="BU539">
        <v>1</v>
      </c>
      <c r="BV539" s="1" t="s">
        <v>399</v>
      </c>
      <c r="BW539" s="1" t="s">
        <v>129</v>
      </c>
      <c r="BX539" s="1" t="s">
        <v>162</v>
      </c>
      <c r="BY539" s="1" t="s">
        <v>128</v>
      </c>
      <c r="BZ539">
        <v>0.6</v>
      </c>
      <c r="CA539">
        <v>9.61</v>
      </c>
      <c r="CB539" s="1" t="s">
        <v>5651</v>
      </c>
      <c r="CC539">
        <v>4.8499999999999996</v>
      </c>
      <c r="CD539" s="1" t="s">
        <v>5652</v>
      </c>
      <c r="CE539">
        <v>7.69</v>
      </c>
      <c r="CF539" s="1" t="s">
        <v>5653</v>
      </c>
      <c r="CG539" s="1" t="s">
        <v>211</v>
      </c>
      <c r="CH539">
        <v>5.6</v>
      </c>
      <c r="CI539">
        <v>1</v>
      </c>
      <c r="CJ539">
        <v>1.2</v>
      </c>
      <c r="CK539" s="1" t="s">
        <v>126</v>
      </c>
      <c r="CL539" s="1" t="s">
        <v>373</v>
      </c>
      <c r="CM539" s="1" t="s">
        <v>1110</v>
      </c>
      <c r="CN539" s="1" t="s">
        <v>1805</v>
      </c>
      <c r="CO539">
        <v>67</v>
      </c>
      <c r="CP539" s="1" t="s">
        <v>928</v>
      </c>
      <c r="CQ539">
        <v>111</v>
      </c>
      <c r="CR539" s="1" t="s">
        <v>5654</v>
      </c>
      <c r="CS539" s="1" t="s">
        <v>4171</v>
      </c>
      <c r="CT539">
        <v>1491.6</v>
      </c>
      <c r="CU539" s="1" t="s">
        <v>5655</v>
      </c>
      <c r="CV539" s="1" t="s">
        <v>5656</v>
      </c>
      <c r="CW539">
        <v>82.6</v>
      </c>
      <c r="CX539">
        <v>58.6</v>
      </c>
      <c r="CY539">
        <v>56</v>
      </c>
      <c r="CZ539" s="1" t="s">
        <v>2710</v>
      </c>
      <c r="DA539">
        <v>1</v>
      </c>
      <c r="DB539" t="s">
        <v>5647</v>
      </c>
      <c r="DC539">
        <v>54</v>
      </c>
      <c r="DD539" s="1" t="s">
        <v>5657</v>
      </c>
      <c r="DE539">
        <v>-21.9921127511451</v>
      </c>
      <c r="DF539" t="e">
        <f>_xlfn.XLOOKUP(Table1[[#This Row],[Player ID]],Table2[feed_id],Table2[trade_status])</f>
        <v>#N/A</v>
      </c>
      <c r="DG539">
        <f>_xlfn.NUMBERVALUE(Table1[[#This Row],[predicted]])</f>
        <v>75.9921127511451</v>
      </c>
    </row>
    <row r="540" spans="1:111" hidden="1" x14ac:dyDescent="0.25">
      <c r="A540">
        <v>129340</v>
      </c>
      <c r="B540">
        <v>8978</v>
      </c>
      <c r="C540" t="s">
        <v>5658</v>
      </c>
      <c r="D540" t="s">
        <v>810</v>
      </c>
      <c r="E540">
        <v>2024</v>
      </c>
      <c r="F540">
        <v>295067</v>
      </c>
      <c r="G540" t="s">
        <v>617</v>
      </c>
      <c r="H540" t="s">
        <v>5659</v>
      </c>
      <c r="I540" t="s">
        <v>178</v>
      </c>
      <c r="J540">
        <v>2</v>
      </c>
      <c r="K540">
        <v>29</v>
      </c>
      <c r="L540">
        <v>21</v>
      </c>
      <c r="M540">
        <v>30</v>
      </c>
      <c r="N540">
        <v>21</v>
      </c>
      <c r="O540">
        <v>30</v>
      </c>
      <c r="P540">
        <v>2</v>
      </c>
      <c r="Q540">
        <v>4</v>
      </c>
      <c r="R540">
        <v>1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113</v>
      </c>
      <c r="Z540" t="s">
        <v>525</v>
      </c>
      <c r="AA540" t="s">
        <v>5660</v>
      </c>
      <c r="AB540" t="s">
        <v>3571</v>
      </c>
      <c r="AC540" t="s">
        <v>4081</v>
      </c>
      <c r="AE540">
        <v>0</v>
      </c>
      <c r="AH540" t="s">
        <v>118</v>
      </c>
      <c r="AI540">
        <v>11</v>
      </c>
      <c r="AJ540">
        <v>8</v>
      </c>
      <c r="AK540">
        <v>72.88</v>
      </c>
      <c r="AL540">
        <v>0</v>
      </c>
      <c r="AM540">
        <v>0</v>
      </c>
      <c r="AN540">
        <v>0.13</v>
      </c>
      <c r="AO540">
        <v>0.17</v>
      </c>
      <c r="AS540">
        <v>1</v>
      </c>
      <c r="AT540">
        <v>0</v>
      </c>
      <c r="AU540">
        <v>0</v>
      </c>
      <c r="AV540">
        <v>66</v>
      </c>
      <c r="AW540">
        <v>25</v>
      </c>
      <c r="AX540">
        <v>-6</v>
      </c>
      <c r="AY540">
        <v>1</v>
      </c>
      <c r="AZ540" t="b">
        <v>0</v>
      </c>
      <c r="BA540">
        <v>1682</v>
      </c>
      <c r="BB540">
        <v>1587</v>
      </c>
      <c r="BC540">
        <v>22</v>
      </c>
      <c r="BD540" t="s">
        <v>5661</v>
      </c>
      <c r="BE540">
        <v>101</v>
      </c>
      <c r="BF540">
        <v>0</v>
      </c>
      <c r="BG540">
        <v>70</v>
      </c>
      <c r="BH540">
        <v>0</v>
      </c>
      <c r="BI540">
        <v>3</v>
      </c>
      <c r="BJ540" s="1" t="s">
        <v>1239</v>
      </c>
      <c r="BK540" s="1" t="s">
        <v>211</v>
      </c>
      <c r="BL540">
        <v>7</v>
      </c>
      <c r="BM540" s="1" t="s">
        <v>161</v>
      </c>
      <c r="BN540" s="1" t="s">
        <v>499</v>
      </c>
      <c r="BO540">
        <v>1</v>
      </c>
      <c r="BP540" s="1" t="s">
        <v>327</v>
      </c>
      <c r="BQ540">
        <v>0</v>
      </c>
      <c r="BR540">
        <v>0</v>
      </c>
      <c r="BS540">
        <v>0</v>
      </c>
      <c r="BT540" s="1" t="s">
        <v>184</v>
      </c>
      <c r="BU540">
        <v>0</v>
      </c>
      <c r="BV540" s="1" t="s">
        <v>129</v>
      </c>
      <c r="BW540">
        <v>0</v>
      </c>
      <c r="BX540">
        <v>0</v>
      </c>
      <c r="BY540">
        <v>0</v>
      </c>
      <c r="BZ540" s="1" t="s">
        <v>213</v>
      </c>
      <c r="CA540">
        <v>0</v>
      </c>
      <c r="CB540">
        <v>0</v>
      </c>
      <c r="CC540">
        <v>0.13</v>
      </c>
      <c r="CD540">
        <v>0.13</v>
      </c>
      <c r="CE540">
        <v>0.17</v>
      </c>
      <c r="CF540">
        <v>0.17</v>
      </c>
      <c r="CG540" s="1" t="s">
        <v>161</v>
      </c>
      <c r="CH540" s="1" t="s">
        <v>431</v>
      </c>
      <c r="CI540">
        <v>1</v>
      </c>
      <c r="CJ540" s="1" t="s">
        <v>127</v>
      </c>
      <c r="CK540" s="1" t="s">
        <v>129</v>
      </c>
      <c r="CL540">
        <v>1.6</v>
      </c>
      <c r="CM540" s="1" t="s">
        <v>305</v>
      </c>
      <c r="CN540">
        <v>79.2</v>
      </c>
      <c r="CO540" s="1" t="s">
        <v>5662</v>
      </c>
      <c r="CP540">
        <v>70.8</v>
      </c>
      <c r="CQ540" s="1" t="s">
        <v>1926</v>
      </c>
      <c r="CR540">
        <v>212.2</v>
      </c>
      <c r="CS540">
        <v>1722</v>
      </c>
      <c r="CT540" s="1" t="s">
        <v>5663</v>
      </c>
      <c r="CU540" s="1" t="s">
        <v>3302</v>
      </c>
      <c r="CV540" s="1" t="s">
        <v>5664</v>
      </c>
      <c r="CW540">
        <v>64.400000000000006</v>
      </c>
      <c r="CX540">
        <v>44.9</v>
      </c>
      <c r="CY540">
        <v>37.6</v>
      </c>
      <c r="CZ540">
        <v>18</v>
      </c>
      <c r="DA540">
        <v>1</v>
      </c>
      <c r="DB540" t="s">
        <v>525</v>
      </c>
      <c r="DC540">
        <v>21</v>
      </c>
      <c r="DD540" s="1" t="s">
        <v>5665</v>
      </c>
      <c r="DE540">
        <v>-35.9865477688517</v>
      </c>
      <c r="DF540" t="str">
        <f>_xlfn.XLOOKUP(Table1[[#This Row],[Player ID]],Table2[feed_id],Table2[trade_status])</f>
        <v>free_agent</v>
      </c>
      <c r="DG540">
        <f>_xlfn.NUMBERVALUE(Table1[[#This Row],[predicted]])</f>
        <v>56.9865477688517</v>
      </c>
    </row>
    <row r="541" spans="1:111" hidden="1" x14ac:dyDescent="0.25">
      <c r="A541">
        <v>129357</v>
      </c>
      <c r="B541">
        <v>8979</v>
      </c>
      <c r="C541" t="s">
        <v>5666</v>
      </c>
      <c r="D541" t="s">
        <v>810</v>
      </c>
      <c r="E541">
        <v>2024</v>
      </c>
      <c r="F541">
        <v>994599</v>
      </c>
      <c r="G541" t="s">
        <v>3189</v>
      </c>
      <c r="H541" t="s">
        <v>5667</v>
      </c>
      <c r="I541" t="s">
        <v>152</v>
      </c>
      <c r="J541">
        <v>8</v>
      </c>
      <c r="K541">
        <v>53</v>
      </c>
      <c r="L541">
        <v>55</v>
      </c>
      <c r="M541">
        <v>68</v>
      </c>
      <c r="N541">
        <v>44</v>
      </c>
      <c r="O541">
        <v>57</v>
      </c>
      <c r="P541">
        <v>7</v>
      </c>
      <c r="Q541">
        <v>5</v>
      </c>
      <c r="R541">
        <v>6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113</v>
      </c>
      <c r="Z541" t="s">
        <v>5668</v>
      </c>
      <c r="AA541" t="s">
        <v>5669</v>
      </c>
      <c r="AB541" t="s">
        <v>116</v>
      </c>
      <c r="AC541" t="s">
        <v>5670</v>
      </c>
      <c r="AE541">
        <v>0</v>
      </c>
      <c r="AH541" t="s">
        <v>181</v>
      </c>
      <c r="AI541">
        <v>36</v>
      </c>
      <c r="AJ541">
        <v>19</v>
      </c>
      <c r="AK541">
        <v>60.37</v>
      </c>
      <c r="AL541">
        <v>0</v>
      </c>
      <c r="AM541">
        <v>0</v>
      </c>
      <c r="AN541">
        <v>0.2</v>
      </c>
      <c r="AO541">
        <v>0.14000000000000001</v>
      </c>
      <c r="AS541">
        <v>4</v>
      </c>
      <c r="AT541">
        <v>1</v>
      </c>
      <c r="AU541">
        <v>1</v>
      </c>
      <c r="AV541">
        <v>66</v>
      </c>
      <c r="AW541">
        <v>37</v>
      </c>
      <c r="AX541">
        <v>210</v>
      </c>
      <c r="AY541">
        <v>1</v>
      </c>
      <c r="AZ541" t="b">
        <v>1</v>
      </c>
      <c r="BA541">
        <v>1751</v>
      </c>
      <c r="BB541">
        <v>1520</v>
      </c>
      <c r="BC541">
        <v>22</v>
      </c>
      <c r="BD541" t="s">
        <v>5671</v>
      </c>
      <c r="BE541">
        <v>101</v>
      </c>
      <c r="BF541">
        <v>0</v>
      </c>
      <c r="BG541">
        <v>70</v>
      </c>
      <c r="BH541">
        <v>0</v>
      </c>
      <c r="BI541" s="1" t="s">
        <v>1829</v>
      </c>
      <c r="BJ541" s="1" t="s">
        <v>1484</v>
      </c>
      <c r="BK541" s="1" t="s">
        <v>397</v>
      </c>
      <c r="BL541" s="1" t="s">
        <v>205</v>
      </c>
      <c r="BM541" s="1" t="s">
        <v>449</v>
      </c>
      <c r="BN541">
        <v>5.4</v>
      </c>
      <c r="BO541" s="1" t="s">
        <v>128</v>
      </c>
      <c r="BP541" s="1" t="s">
        <v>257</v>
      </c>
      <c r="BQ541">
        <v>0</v>
      </c>
      <c r="BR541">
        <v>0</v>
      </c>
      <c r="BS541" s="1" t="s">
        <v>129</v>
      </c>
      <c r="BT541" s="1" t="s">
        <v>213</v>
      </c>
      <c r="BU541">
        <v>0</v>
      </c>
      <c r="BV541" s="1" t="s">
        <v>238</v>
      </c>
      <c r="BW541">
        <v>0</v>
      </c>
      <c r="BX541">
        <v>0</v>
      </c>
      <c r="BY541">
        <v>0</v>
      </c>
      <c r="BZ541" s="1" t="s">
        <v>184</v>
      </c>
      <c r="CA541">
        <v>0</v>
      </c>
      <c r="CB541">
        <v>0</v>
      </c>
      <c r="CC541">
        <v>0.2</v>
      </c>
      <c r="CD541">
        <v>0.2</v>
      </c>
      <c r="CE541">
        <v>0.14000000000000001</v>
      </c>
      <c r="CF541">
        <v>0.14000000000000001</v>
      </c>
      <c r="CG541" s="1" t="s">
        <v>138</v>
      </c>
      <c r="CH541">
        <v>3</v>
      </c>
      <c r="CI541" s="1" t="s">
        <v>129</v>
      </c>
      <c r="CJ541" s="1" t="s">
        <v>238</v>
      </c>
      <c r="CK541" s="1" t="s">
        <v>126</v>
      </c>
      <c r="CL541">
        <v>2.4</v>
      </c>
      <c r="CM541" s="1" t="s">
        <v>994</v>
      </c>
      <c r="CN541" s="1" t="s">
        <v>610</v>
      </c>
      <c r="CO541">
        <v>63</v>
      </c>
      <c r="CP541">
        <v>74.599999999999994</v>
      </c>
      <c r="CQ541" s="1" t="s">
        <v>5672</v>
      </c>
      <c r="CR541">
        <v>415</v>
      </c>
      <c r="CS541" s="1" t="s">
        <v>5673</v>
      </c>
      <c r="CT541" s="1" t="s">
        <v>1809</v>
      </c>
      <c r="CU541" s="1" t="s">
        <v>5674</v>
      </c>
      <c r="CV541">
        <v>1683.4</v>
      </c>
      <c r="CW541">
        <v>74.650000000000006</v>
      </c>
      <c r="CX541">
        <v>66.3</v>
      </c>
      <c r="CY541">
        <v>64.400000000000006</v>
      </c>
      <c r="CZ541">
        <v>67</v>
      </c>
      <c r="DA541">
        <v>1</v>
      </c>
      <c r="DB541" t="s">
        <v>5668</v>
      </c>
      <c r="DC541">
        <v>55</v>
      </c>
      <c r="DD541">
        <v>75.451496086750595</v>
      </c>
      <c r="DE541">
        <v>-20.451496086750499</v>
      </c>
      <c r="DF541" t="e">
        <f>_xlfn.XLOOKUP(Table1[[#This Row],[Player ID]],Table2[feed_id],Table2[trade_status])</f>
        <v>#N/A</v>
      </c>
      <c r="DG541">
        <f>_xlfn.NUMBERVALUE(Table1[[#This Row],[predicted]])</f>
        <v>75.451496086750595</v>
      </c>
    </row>
    <row r="542" spans="1:111" hidden="1" x14ac:dyDescent="0.25">
      <c r="A542">
        <v>129542</v>
      </c>
      <c r="B542">
        <v>8983</v>
      </c>
      <c r="C542" t="s">
        <v>5675</v>
      </c>
      <c r="D542" t="s">
        <v>109</v>
      </c>
      <c r="E542">
        <v>2024</v>
      </c>
      <c r="F542">
        <v>293854</v>
      </c>
      <c r="G542" t="s">
        <v>889</v>
      </c>
      <c r="H542" t="s">
        <v>5676</v>
      </c>
      <c r="I542" t="s">
        <v>178</v>
      </c>
      <c r="J542">
        <v>2</v>
      </c>
      <c r="K542">
        <v>25</v>
      </c>
      <c r="L542">
        <v>39</v>
      </c>
      <c r="M542">
        <v>32</v>
      </c>
      <c r="N542">
        <v>20</v>
      </c>
      <c r="O542">
        <v>27</v>
      </c>
      <c r="P542">
        <v>3</v>
      </c>
      <c r="Q542">
        <v>3</v>
      </c>
      <c r="R542">
        <v>2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113</v>
      </c>
      <c r="Z542" t="s">
        <v>5677</v>
      </c>
      <c r="AA542" t="s">
        <v>5678</v>
      </c>
      <c r="AB542" t="s">
        <v>116</v>
      </c>
      <c r="AC542" t="s">
        <v>5679</v>
      </c>
      <c r="AE542">
        <v>0</v>
      </c>
      <c r="AH542" t="s">
        <v>155</v>
      </c>
      <c r="AI542">
        <v>20</v>
      </c>
      <c r="AJ542">
        <v>8</v>
      </c>
      <c r="AK542">
        <v>68.88</v>
      </c>
      <c r="AL542">
        <v>0</v>
      </c>
      <c r="AM542">
        <v>0</v>
      </c>
      <c r="AN542">
        <v>1.55</v>
      </c>
      <c r="AO542">
        <v>0.09</v>
      </c>
      <c r="AS542">
        <v>3</v>
      </c>
      <c r="AT542">
        <v>1</v>
      </c>
      <c r="AU542">
        <v>0</v>
      </c>
      <c r="AV542">
        <v>66</v>
      </c>
      <c r="AW542">
        <v>77</v>
      </c>
      <c r="AX542">
        <v>84</v>
      </c>
      <c r="AY542">
        <v>1</v>
      </c>
      <c r="AZ542" t="b">
        <v>1</v>
      </c>
      <c r="BA542">
        <v>1520</v>
      </c>
      <c r="BB542">
        <v>1756</v>
      </c>
      <c r="BC542">
        <v>23</v>
      </c>
      <c r="BD542" t="s">
        <v>5680</v>
      </c>
      <c r="BE542">
        <v>97</v>
      </c>
      <c r="BF542">
        <v>0</v>
      </c>
      <c r="BG542">
        <v>74</v>
      </c>
      <c r="BH542">
        <v>0</v>
      </c>
      <c r="BI542" s="1" t="s">
        <v>169</v>
      </c>
      <c r="BJ542" s="1" t="s">
        <v>374</v>
      </c>
      <c r="BK542" s="1" t="s">
        <v>161</v>
      </c>
      <c r="BL542" s="1" t="s">
        <v>373</v>
      </c>
      <c r="BM542" s="1" t="s">
        <v>161</v>
      </c>
      <c r="BN542">
        <v>4</v>
      </c>
      <c r="BO542">
        <v>2</v>
      </c>
      <c r="BP542" s="1" t="s">
        <v>298</v>
      </c>
      <c r="BQ542">
        <v>0</v>
      </c>
      <c r="BR542">
        <v>0</v>
      </c>
      <c r="BS542" s="1" t="s">
        <v>129</v>
      </c>
      <c r="BT542">
        <v>0.6</v>
      </c>
      <c r="BU542">
        <v>1</v>
      </c>
      <c r="BV542" s="1" t="s">
        <v>162</v>
      </c>
      <c r="BW542" s="1" t="s">
        <v>128</v>
      </c>
      <c r="BX542" s="1" t="s">
        <v>127</v>
      </c>
      <c r="BY542">
        <v>0</v>
      </c>
      <c r="BZ542" s="1" t="s">
        <v>231</v>
      </c>
      <c r="CA542">
        <v>0</v>
      </c>
      <c r="CB542" s="1" t="s">
        <v>4758</v>
      </c>
      <c r="CC542">
        <v>1.55</v>
      </c>
      <c r="CD542" s="1" t="s">
        <v>1887</v>
      </c>
      <c r="CE542">
        <v>0.09</v>
      </c>
      <c r="CF542">
        <v>8.0666666666666595E-2</v>
      </c>
      <c r="CG542" s="1" t="s">
        <v>169</v>
      </c>
      <c r="CH542" s="1" t="s">
        <v>640</v>
      </c>
      <c r="CI542" s="1" t="s">
        <v>129</v>
      </c>
      <c r="CJ542">
        <v>6.6666666666666596E-2</v>
      </c>
      <c r="CK542" s="1" t="s">
        <v>159</v>
      </c>
      <c r="CL542">
        <v>1.8</v>
      </c>
      <c r="CM542" s="1" t="s">
        <v>681</v>
      </c>
      <c r="CN542" s="1" t="s">
        <v>822</v>
      </c>
      <c r="CO542">
        <v>81</v>
      </c>
      <c r="CP542" s="1" t="s">
        <v>2079</v>
      </c>
      <c r="CQ542" s="1" t="s">
        <v>787</v>
      </c>
      <c r="CR542" s="1" t="s">
        <v>5681</v>
      </c>
      <c r="CS542">
        <v>1637</v>
      </c>
      <c r="CT542" s="1" t="s">
        <v>5682</v>
      </c>
      <c r="CU542">
        <v>1649</v>
      </c>
      <c r="CV542">
        <v>1612.4</v>
      </c>
      <c r="CW542">
        <v>48.85</v>
      </c>
      <c r="CX542">
        <v>39.700000000000003</v>
      </c>
      <c r="CY542">
        <v>37.799999999999997</v>
      </c>
      <c r="CZ542">
        <v>28</v>
      </c>
      <c r="DA542">
        <v>1</v>
      </c>
      <c r="DB542" t="s">
        <v>5677</v>
      </c>
      <c r="DC542">
        <v>39</v>
      </c>
      <c r="DD542" s="1" t="s">
        <v>5683</v>
      </c>
      <c r="DE542">
        <v>-15.4788383139703</v>
      </c>
      <c r="DF542" t="e">
        <f>_xlfn.XLOOKUP(Table1[[#This Row],[Player ID]],Table2[feed_id],Table2[trade_status])</f>
        <v>#N/A</v>
      </c>
      <c r="DG542">
        <f>_xlfn.NUMBERVALUE(Table1[[#This Row],[predicted]])</f>
        <v>54.4788383139703</v>
      </c>
    </row>
    <row r="543" spans="1:111" hidden="1" x14ac:dyDescent="0.25">
      <c r="A543">
        <v>129588</v>
      </c>
      <c r="B543">
        <v>8984</v>
      </c>
      <c r="C543" t="s">
        <v>5684</v>
      </c>
      <c r="D543" t="s">
        <v>109</v>
      </c>
      <c r="E543">
        <v>2024</v>
      </c>
      <c r="F543">
        <v>1015827</v>
      </c>
      <c r="G543" t="s">
        <v>5685</v>
      </c>
      <c r="H543" t="s">
        <v>5686</v>
      </c>
      <c r="I543" t="s">
        <v>619</v>
      </c>
      <c r="J543">
        <v>3</v>
      </c>
      <c r="K543">
        <v>26</v>
      </c>
      <c r="L543">
        <v>17</v>
      </c>
      <c r="M543">
        <v>35</v>
      </c>
      <c r="N543">
        <v>21</v>
      </c>
      <c r="O543">
        <v>30</v>
      </c>
      <c r="P543">
        <v>3</v>
      </c>
      <c r="Q543">
        <v>3</v>
      </c>
      <c r="R543">
        <v>2</v>
      </c>
      <c r="S543">
        <v>2</v>
      </c>
      <c r="T543">
        <v>0</v>
      </c>
      <c r="U543">
        <v>0</v>
      </c>
      <c r="V543">
        <v>1</v>
      </c>
      <c r="W543">
        <v>0</v>
      </c>
      <c r="X543">
        <v>0</v>
      </c>
      <c r="Y543" t="s">
        <v>113</v>
      </c>
      <c r="Z543" t="s">
        <v>114</v>
      </c>
      <c r="AA543" t="s">
        <v>5687</v>
      </c>
      <c r="AB543" t="s">
        <v>116</v>
      </c>
      <c r="AC543" t="s">
        <v>5688</v>
      </c>
      <c r="AI543">
        <v>13</v>
      </c>
      <c r="AJ543">
        <v>0</v>
      </c>
      <c r="AK543">
        <v>0</v>
      </c>
      <c r="AL543">
        <v>0</v>
      </c>
      <c r="AM543">
        <v>1.2</v>
      </c>
      <c r="AN543">
        <v>2.3199999999999998</v>
      </c>
      <c r="AO543">
        <v>2.3199999999999998</v>
      </c>
      <c r="AS543">
        <v>1</v>
      </c>
      <c r="AT543">
        <v>0</v>
      </c>
      <c r="AU543">
        <v>2</v>
      </c>
      <c r="AV543">
        <v>66</v>
      </c>
      <c r="AW543">
        <v>36</v>
      </c>
      <c r="AX543">
        <v>110</v>
      </c>
      <c r="AY543">
        <v>1</v>
      </c>
      <c r="AZ543" t="b">
        <v>1</v>
      </c>
      <c r="BA543">
        <v>1580</v>
      </c>
      <c r="BB543">
        <v>1711</v>
      </c>
      <c r="BC543">
        <v>23</v>
      </c>
      <c r="BD543" t="s">
        <v>5689</v>
      </c>
      <c r="BE543">
        <v>97</v>
      </c>
      <c r="BF543">
        <v>0</v>
      </c>
      <c r="BG543">
        <v>74</v>
      </c>
      <c r="BH543">
        <v>0</v>
      </c>
      <c r="BI543" s="1" t="s">
        <v>449</v>
      </c>
      <c r="BJ543" s="1" t="s">
        <v>398</v>
      </c>
      <c r="BK543" s="1" t="s">
        <v>160</v>
      </c>
      <c r="BL543">
        <v>5.6</v>
      </c>
      <c r="BM543" s="1" t="s">
        <v>125</v>
      </c>
      <c r="BN543" s="1" t="s">
        <v>990</v>
      </c>
      <c r="BO543" s="1" t="s">
        <v>161</v>
      </c>
      <c r="BP543" s="1" t="s">
        <v>373</v>
      </c>
      <c r="BQ543">
        <v>0</v>
      </c>
      <c r="BR543" s="1" t="s">
        <v>130</v>
      </c>
      <c r="BS543" s="1" t="s">
        <v>128</v>
      </c>
      <c r="BT543" s="1" t="s">
        <v>130</v>
      </c>
      <c r="BU543" s="1" t="s">
        <v>126</v>
      </c>
      <c r="BV543">
        <v>0.6</v>
      </c>
      <c r="BW543">
        <v>0</v>
      </c>
      <c r="BX543" s="1" t="s">
        <v>231</v>
      </c>
      <c r="BY543">
        <v>0</v>
      </c>
      <c r="BZ543" s="1" t="s">
        <v>213</v>
      </c>
      <c r="CA543">
        <v>1.2</v>
      </c>
      <c r="CB543">
        <v>1.2</v>
      </c>
      <c r="CC543">
        <v>2.3199999999999998</v>
      </c>
      <c r="CD543">
        <v>2.3199999999999998</v>
      </c>
      <c r="CE543">
        <v>2.3199999999999998</v>
      </c>
      <c r="CF543">
        <v>2.3199999999999998</v>
      </c>
      <c r="CG543">
        <v>3</v>
      </c>
      <c r="CH543" s="1" t="s">
        <v>160</v>
      </c>
      <c r="CI543">
        <v>0</v>
      </c>
      <c r="CJ543" s="1" t="s">
        <v>127</v>
      </c>
      <c r="CK543" s="1" t="s">
        <v>161</v>
      </c>
      <c r="CL543">
        <v>2.2000000000000002</v>
      </c>
      <c r="CM543" s="1" t="s">
        <v>1110</v>
      </c>
      <c r="CN543" s="1" t="s">
        <v>2674</v>
      </c>
      <c r="CO543" s="1" t="s">
        <v>822</v>
      </c>
      <c r="CP543">
        <v>77.2</v>
      </c>
      <c r="CQ543" s="1" t="s">
        <v>3610</v>
      </c>
      <c r="CR543" s="1" t="s">
        <v>5690</v>
      </c>
      <c r="CS543" s="1" t="s">
        <v>4920</v>
      </c>
      <c r="CT543" s="1" t="s">
        <v>5691</v>
      </c>
      <c r="CU543" s="1" t="s">
        <v>2091</v>
      </c>
      <c r="CV543" s="1" t="s">
        <v>5692</v>
      </c>
      <c r="CW543">
        <v>53.15</v>
      </c>
      <c r="CX543">
        <v>52.7</v>
      </c>
      <c r="CY543">
        <v>47</v>
      </c>
      <c r="CZ543" s="1" t="s">
        <v>420</v>
      </c>
      <c r="DA543">
        <v>1</v>
      </c>
      <c r="DB543" t="s">
        <v>114</v>
      </c>
      <c r="DC543">
        <v>17</v>
      </c>
      <c r="DD543" s="1" t="s">
        <v>5693</v>
      </c>
      <c r="DE543">
        <v>-22.155620753255398</v>
      </c>
      <c r="DF543" t="str">
        <f>_xlfn.XLOOKUP(Table1[[#This Row],[Player ID]],Table2[feed_id],Table2[trade_status])</f>
        <v>free_agent</v>
      </c>
      <c r="DG543">
        <f>_xlfn.NUMBERVALUE(Table1[[#This Row],[predicted]])</f>
        <v>39.155620753255398</v>
      </c>
    </row>
    <row r="544" spans="1:111" hidden="1" x14ac:dyDescent="0.25">
      <c r="A544">
        <v>129677</v>
      </c>
      <c r="B544">
        <v>8986</v>
      </c>
      <c r="C544" t="s">
        <v>5694</v>
      </c>
      <c r="D544" t="s">
        <v>109</v>
      </c>
      <c r="E544">
        <v>2024</v>
      </c>
      <c r="F544">
        <v>296190</v>
      </c>
      <c r="G544" t="s">
        <v>1127</v>
      </c>
      <c r="H544" t="s">
        <v>3981</v>
      </c>
      <c r="I544" t="s">
        <v>249</v>
      </c>
      <c r="J544">
        <v>0</v>
      </c>
      <c r="K544">
        <v>6</v>
      </c>
      <c r="L544">
        <v>12</v>
      </c>
      <c r="M544">
        <v>8</v>
      </c>
      <c r="N544">
        <v>5</v>
      </c>
      <c r="O544">
        <v>6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113</v>
      </c>
      <c r="Z544" t="s">
        <v>114</v>
      </c>
      <c r="AA544" t="s">
        <v>5695</v>
      </c>
      <c r="AB544" t="s">
        <v>116</v>
      </c>
      <c r="AC544" t="s">
        <v>5696</v>
      </c>
      <c r="AE544">
        <v>0</v>
      </c>
      <c r="AH544" t="s">
        <v>155</v>
      </c>
      <c r="AI544">
        <v>21</v>
      </c>
      <c r="AJ544">
        <v>15</v>
      </c>
      <c r="AK544">
        <v>83.8</v>
      </c>
      <c r="AL544">
        <v>0</v>
      </c>
      <c r="AM544">
        <v>0</v>
      </c>
      <c r="AN544">
        <v>0.19</v>
      </c>
      <c r="AO544">
        <v>0.24</v>
      </c>
      <c r="AS544">
        <v>0</v>
      </c>
      <c r="AT544">
        <v>0</v>
      </c>
      <c r="AU544">
        <v>0</v>
      </c>
      <c r="AV544">
        <v>100</v>
      </c>
      <c r="AW544">
        <v>5</v>
      </c>
      <c r="AX544">
        <v>23</v>
      </c>
      <c r="AY544">
        <v>1</v>
      </c>
      <c r="AZ544" t="b">
        <v>1</v>
      </c>
      <c r="BA544">
        <v>1828</v>
      </c>
      <c r="BB544">
        <v>1456</v>
      </c>
      <c r="BC544">
        <v>23</v>
      </c>
      <c r="BD544" t="s">
        <v>5697</v>
      </c>
      <c r="BE544">
        <v>97</v>
      </c>
      <c r="BF544">
        <v>0</v>
      </c>
      <c r="BG544">
        <v>74</v>
      </c>
      <c r="BH544">
        <v>0</v>
      </c>
      <c r="BI544">
        <v>4</v>
      </c>
      <c r="BJ544">
        <v>5.6</v>
      </c>
      <c r="BK544" s="1" t="s">
        <v>169</v>
      </c>
      <c r="BL544">
        <v>4.8</v>
      </c>
      <c r="BM544" s="1" t="s">
        <v>159</v>
      </c>
      <c r="BN544" s="1" t="s">
        <v>321</v>
      </c>
      <c r="BO544" s="1" t="s">
        <v>128</v>
      </c>
      <c r="BP544">
        <v>2</v>
      </c>
      <c r="BQ544">
        <v>0</v>
      </c>
      <c r="BR544">
        <v>0</v>
      </c>
      <c r="BS544">
        <v>1</v>
      </c>
      <c r="BT544" s="1" t="s">
        <v>162</v>
      </c>
      <c r="BU544">
        <v>1</v>
      </c>
      <c r="BV544" s="1" t="s">
        <v>127</v>
      </c>
      <c r="BW544">
        <v>1</v>
      </c>
      <c r="BX544" s="1" t="s">
        <v>126</v>
      </c>
      <c r="BY544">
        <v>0</v>
      </c>
      <c r="BZ544">
        <v>0.6</v>
      </c>
      <c r="CA544">
        <v>0</v>
      </c>
      <c r="CB544">
        <v>0</v>
      </c>
      <c r="CC544">
        <v>0.19</v>
      </c>
      <c r="CD544">
        <v>0.318</v>
      </c>
      <c r="CE544">
        <v>0.24</v>
      </c>
      <c r="CF544" s="1" t="s">
        <v>5698</v>
      </c>
      <c r="CG544">
        <v>4</v>
      </c>
      <c r="CH544" s="1" t="s">
        <v>499</v>
      </c>
      <c r="CI544" s="1" t="s">
        <v>128</v>
      </c>
      <c r="CJ544">
        <v>0.6</v>
      </c>
      <c r="CK544">
        <v>2</v>
      </c>
      <c r="CL544">
        <v>2.4</v>
      </c>
      <c r="CM544" s="1" t="s">
        <v>364</v>
      </c>
      <c r="CN544">
        <v>75.400000000000006</v>
      </c>
      <c r="CO544">
        <v>53</v>
      </c>
      <c r="CP544">
        <v>68.2</v>
      </c>
      <c r="CQ544" s="1" t="s">
        <v>572</v>
      </c>
      <c r="CR544" s="1" t="s">
        <v>5699</v>
      </c>
      <c r="CS544">
        <v>1623</v>
      </c>
      <c r="CT544" s="1" t="s">
        <v>5700</v>
      </c>
      <c r="CU544" s="1" t="s">
        <v>555</v>
      </c>
      <c r="CV544" s="1" t="s">
        <v>5701</v>
      </c>
      <c r="CW544">
        <v>55.6</v>
      </c>
      <c r="CX544">
        <v>57.4</v>
      </c>
      <c r="CY544">
        <v>47.4</v>
      </c>
      <c r="CZ544">
        <v>40</v>
      </c>
      <c r="DA544">
        <v>1</v>
      </c>
      <c r="DB544" t="s">
        <v>114</v>
      </c>
      <c r="DC544">
        <v>12</v>
      </c>
      <c r="DD544" s="1" t="s">
        <v>5702</v>
      </c>
      <c r="DE544">
        <v>-27.423435257399099</v>
      </c>
      <c r="DF544" t="str">
        <f>_xlfn.XLOOKUP(Table1[[#This Row],[Player ID]],Table2[feed_id],Table2[trade_status])</f>
        <v>free_agent</v>
      </c>
      <c r="DG544">
        <f>_xlfn.NUMBERVALUE(Table1[[#This Row],[predicted]])</f>
        <v>39.423435257399099</v>
      </c>
    </row>
    <row r="545" spans="1:111" hidden="1" x14ac:dyDescent="0.25">
      <c r="A545">
        <v>129722</v>
      </c>
      <c r="B545">
        <v>8987</v>
      </c>
      <c r="C545" t="s">
        <v>5703</v>
      </c>
      <c r="D545" t="s">
        <v>109</v>
      </c>
      <c r="E545">
        <v>2024</v>
      </c>
      <c r="F545">
        <v>1012386</v>
      </c>
      <c r="G545" t="s">
        <v>5704</v>
      </c>
      <c r="H545" t="s">
        <v>1332</v>
      </c>
      <c r="I545" t="s">
        <v>317</v>
      </c>
      <c r="J545">
        <v>2</v>
      </c>
      <c r="K545">
        <v>27</v>
      </c>
      <c r="L545">
        <v>28</v>
      </c>
      <c r="M545">
        <v>33</v>
      </c>
      <c r="N545">
        <v>23</v>
      </c>
      <c r="O545">
        <v>28</v>
      </c>
      <c r="P545">
        <v>4</v>
      </c>
      <c r="Q545">
        <v>2</v>
      </c>
      <c r="R545">
        <v>2</v>
      </c>
      <c r="S545">
        <v>0</v>
      </c>
      <c r="T545">
        <v>3</v>
      </c>
      <c r="U545">
        <v>1</v>
      </c>
      <c r="V545">
        <v>0</v>
      </c>
      <c r="W545">
        <v>0</v>
      </c>
      <c r="X545">
        <v>1</v>
      </c>
      <c r="Y545" t="s">
        <v>113</v>
      </c>
      <c r="Z545" t="s">
        <v>5705</v>
      </c>
      <c r="AA545" t="s">
        <v>5706</v>
      </c>
      <c r="AB545" t="s">
        <v>116</v>
      </c>
      <c r="AC545" t="s">
        <v>5707</v>
      </c>
      <c r="AH545" t="s">
        <v>274</v>
      </c>
      <c r="AI545">
        <v>32</v>
      </c>
      <c r="AJ545">
        <v>0</v>
      </c>
      <c r="AK545">
        <v>0</v>
      </c>
      <c r="AL545">
        <v>0</v>
      </c>
      <c r="AM545">
        <v>0.8</v>
      </c>
      <c r="AN545">
        <v>0.9</v>
      </c>
      <c r="AO545">
        <v>0.94</v>
      </c>
      <c r="AS545">
        <v>1</v>
      </c>
      <c r="AT545">
        <v>1</v>
      </c>
      <c r="AU545">
        <v>1</v>
      </c>
      <c r="AV545">
        <v>66</v>
      </c>
      <c r="AW545">
        <v>56</v>
      </c>
      <c r="AX545">
        <v>26</v>
      </c>
      <c r="AY545">
        <v>1</v>
      </c>
      <c r="AZ545" t="b">
        <v>1</v>
      </c>
      <c r="BA545">
        <v>1806</v>
      </c>
      <c r="BB545">
        <v>1451</v>
      </c>
      <c r="BC545">
        <v>23</v>
      </c>
      <c r="BD545" t="s">
        <v>5708</v>
      </c>
      <c r="BE545">
        <v>97</v>
      </c>
      <c r="BF545">
        <v>0</v>
      </c>
      <c r="BG545">
        <v>74</v>
      </c>
      <c r="BH545">
        <v>0</v>
      </c>
      <c r="BI545" s="1" t="s">
        <v>211</v>
      </c>
      <c r="BJ545" s="1" t="s">
        <v>565</v>
      </c>
      <c r="BK545" s="1" t="s">
        <v>138</v>
      </c>
      <c r="BL545" s="1" t="s">
        <v>322</v>
      </c>
      <c r="BM545">
        <v>3</v>
      </c>
      <c r="BN545" s="1" t="s">
        <v>373</v>
      </c>
      <c r="BO545" s="1" t="s">
        <v>161</v>
      </c>
      <c r="BP545" s="1" t="s">
        <v>128</v>
      </c>
      <c r="BQ545" s="1" t="s">
        <v>545</v>
      </c>
      <c r="BR545" s="1" t="s">
        <v>1398</v>
      </c>
      <c r="BS545">
        <v>1</v>
      </c>
      <c r="BT545">
        <v>0.8</v>
      </c>
      <c r="BU545">
        <v>2</v>
      </c>
      <c r="BV545">
        <v>0.8</v>
      </c>
      <c r="BW545">
        <v>0</v>
      </c>
      <c r="BX545" s="1" t="s">
        <v>231</v>
      </c>
      <c r="BY545" s="1" t="s">
        <v>128</v>
      </c>
      <c r="BZ545" s="1" t="s">
        <v>129</v>
      </c>
      <c r="CA545">
        <v>0.8</v>
      </c>
      <c r="CB545" s="1" t="s">
        <v>5709</v>
      </c>
      <c r="CC545">
        <v>0.9</v>
      </c>
      <c r="CD545" s="1" t="s">
        <v>5710</v>
      </c>
      <c r="CE545">
        <v>0.94</v>
      </c>
      <c r="CF545">
        <v>12.507999999999999</v>
      </c>
      <c r="CG545" s="1" t="s">
        <v>169</v>
      </c>
      <c r="CH545">
        <v>3.2</v>
      </c>
      <c r="CI545">
        <v>2</v>
      </c>
      <c r="CJ545" s="1" t="s">
        <v>126</v>
      </c>
      <c r="CK545">
        <v>3</v>
      </c>
      <c r="CL545" s="1" t="s">
        <v>304</v>
      </c>
      <c r="CM545" s="1" t="s">
        <v>1615</v>
      </c>
      <c r="CN545" s="1" t="s">
        <v>1053</v>
      </c>
      <c r="CO545" s="1" t="s">
        <v>263</v>
      </c>
      <c r="CP545" s="1" t="s">
        <v>572</v>
      </c>
      <c r="CQ545" s="1" t="s">
        <v>2738</v>
      </c>
      <c r="CR545">
        <v>128.80000000000001</v>
      </c>
      <c r="CS545" s="1" t="s">
        <v>4345</v>
      </c>
      <c r="CT545" s="1" t="s">
        <v>5711</v>
      </c>
      <c r="CU545" s="1" t="s">
        <v>5076</v>
      </c>
      <c r="CV545">
        <v>1707.2</v>
      </c>
      <c r="CW545">
        <v>53.45</v>
      </c>
      <c r="CX545">
        <v>40.5</v>
      </c>
      <c r="CY545">
        <v>45.4</v>
      </c>
      <c r="CZ545">
        <v>42</v>
      </c>
      <c r="DA545">
        <v>1</v>
      </c>
      <c r="DB545" t="s">
        <v>5705</v>
      </c>
      <c r="DC545">
        <v>28</v>
      </c>
      <c r="DD545" s="1" t="s">
        <v>5712</v>
      </c>
      <c r="DE545">
        <v>-22.460882082154299</v>
      </c>
      <c r="DF545" t="str">
        <f>_xlfn.XLOOKUP(Table1[[#This Row],[Player ID]],Table2[feed_id],Table2[trade_status])</f>
        <v>free_agent</v>
      </c>
      <c r="DG545">
        <f>_xlfn.NUMBERVALUE(Table1[[#This Row],[predicted]])</f>
        <v>50.460882082154299</v>
      </c>
    </row>
    <row r="546" spans="1:111" hidden="1" x14ac:dyDescent="0.25">
      <c r="A546">
        <v>129776</v>
      </c>
      <c r="B546">
        <v>8988</v>
      </c>
      <c r="C546" t="s">
        <v>5713</v>
      </c>
      <c r="D546" t="s">
        <v>109</v>
      </c>
      <c r="E546">
        <v>2024</v>
      </c>
      <c r="F546">
        <v>1006533</v>
      </c>
      <c r="G546" t="s">
        <v>3189</v>
      </c>
      <c r="H546" t="s">
        <v>5714</v>
      </c>
      <c r="I546" t="s">
        <v>712</v>
      </c>
      <c r="J546">
        <v>25</v>
      </c>
      <c r="K546">
        <v>76</v>
      </c>
      <c r="L546">
        <v>78</v>
      </c>
      <c r="M546">
        <v>75</v>
      </c>
      <c r="N546">
        <v>55</v>
      </c>
      <c r="O546">
        <v>79</v>
      </c>
      <c r="P546">
        <v>7</v>
      </c>
      <c r="Q546">
        <v>8</v>
      </c>
      <c r="R546">
        <v>2</v>
      </c>
      <c r="S546">
        <v>9</v>
      </c>
      <c r="T546">
        <v>0</v>
      </c>
      <c r="U546">
        <v>2</v>
      </c>
      <c r="V546">
        <v>2</v>
      </c>
      <c r="W546">
        <v>0</v>
      </c>
      <c r="X546">
        <v>1</v>
      </c>
      <c r="Y546" t="s">
        <v>113</v>
      </c>
      <c r="Z546" t="s">
        <v>987</v>
      </c>
      <c r="AA546" t="s">
        <v>5715</v>
      </c>
      <c r="AH546" t="s">
        <v>155</v>
      </c>
      <c r="AI546">
        <v>38</v>
      </c>
      <c r="AJ546">
        <v>0</v>
      </c>
      <c r="AK546">
        <v>0</v>
      </c>
      <c r="AL546">
        <v>0</v>
      </c>
      <c r="AM546">
        <v>0</v>
      </c>
      <c r="AN546">
        <v>0.22</v>
      </c>
      <c r="AO546">
        <v>7.0000000000000007E-2</v>
      </c>
      <c r="AS546">
        <v>7</v>
      </c>
      <c r="AT546">
        <v>4</v>
      </c>
      <c r="AU546">
        <v>2</v>
      </c>
      <c r="AV546">
        <v>66</v>
      </c>
      <c r="AW546">
        <v>74</v>
      </c>
      <c r="AX546">
        <v>150</v>
      </c>
      <c r="AY546">
        <v>0</v>
      </c>
      <c r="AZ546" t="b">
        <v>0</v>
      </c>
      <c r="BA546">
        <v>1810</v>
      </c>
      <c r="BB546">
        <v>1464</v>
      </c>
      <c r="BC546">
        <v>23</v>
      </c>
      <c r="BD546" t="s">
        <v>5716</v>
      </c>
      <c r="BE546">
        <v>97</v>
      </c>
      <c r="BF546">
        <v>0</v>
      </c>
      <c r="BG546">
        <v>74</v>
      </c>
      <c r="BH546">
        <v>1</v>
      </c>
      <c r="BI546">
        <v>7</v>
      </c>
      <c r="BJ546" s="1" t="s">
        <v>818</v>
      </c>
      <c r="BK546">
        <v>9</v>
      </c>
      <c r="BL546">
        <v>7.8</v>
      </c>
      <c r="BM546">
        <v>2</v>
      </c>
      <c r="BN546" s="1" t="s">
        <v>257</v>
      </c>
      <c r="BO546">
        <v>6</v>
      </c>
      <c r="BP546" s="1" t="s">
        <v>766</v>
      </c>
      <c r="BQ546">
        <v>0</v>
      </c>
      <c r="BR546">
        <v>0</v>
      </c>
      <c r="BS546">
        <v>1</v>
      </c>
      <c r="BT546" s="1" t="s">
        <v>130</v>
      </c>
      <c r="BU546">
        <v>2</v>
      </c>
      <c r="BV546" s="1" t="s">
        <v>257</v>
      </c>
      <c r="BW546">
        <v>0</v>
      </c>
      <c r="BX546">
        <v>0.4</v>
      </c>
      <c r="BY546" s="1" t="s">
        <v>128</v>
      </c>
      <c r="BZ546" s="1" t="s">
        <v>231</v>
      </c>
      <c r="CA546">
        <v>0</v>
      </c>
      <c r="CB546">
        <v>8.0000000000000002E-3</v>
      </c>
      <c r="CC546">
        <v>0.22</v>
      </c>
      <c r="CD546">
        <v>0.19</v>
      </c>
      <c r="CE546">
        <v>7.0000000000000007E-2</v>
      </c>
      <c r="CF546">
        <v>7.8E-2</v>
      </c>
      <c r="CG546" s="1" t="s">
        <v>449</v>
      </c>
      <c r="CH546" s="1" t="s">
        <v>429</v>
      </c>
      <c r="CI546" s="1" t="s">
        <v>169</v>
      </c>
      <c r="CJ546" s="1" t="s">
        <v>566</v>
      </c>
      <c r="CK546" s="1" t="s">
        <v>159</v>
      </c>
      <c r="CL546" s="1" t="s">
        <v>169</v>
      </c>
      <c r="CM546">
        <v>70</v>
      </c>
      <c r="CN546" s="1" t="s">
        <v>2283</v>
      </c>
      <c r="CO546" s="1" t="s">
        <v>261</v>
      </c>
      <c r="CP546" s="1" t="s">
        <v>1354</v>
      </c>
      <c r="CQ546" s="1" t="s">
        <v>5717</v>
      </c>
      <c r="CR546">
        <v>164.4</v>
      </c>
      <c r="CS546" s="1" t="s">
        <v>3527</v>
      </c>
      <c r="CT546">
        <v>1670.8</v>
      </c>
      <c r="CU546">
        <v>1617</v>
      </c>
      <c r="CV546" s="1" t="s">
        <v>5718</v>
      </c>
      <c r="CW546">
        <v>54.1</v>
      </c>
      <c r="CX546">
        <v>60.6</v>
      </c>
      <c r="CY546">
        <v>53.6</v>
      </c>
      <c r="CZ546" s="1" t="s">
        <v>1391</v>
      </c>
      <c r="DA546">
        <v>1</v>
      </c>
      <c r="DB546" t="s">
        <v>987</v>
      </c>
      <c r="DC546">
        <v>78</v>
      </c>
      <c r="DD546" s="1" t="s">
        <v>5719</v>
      </c>
      <c r="DE546" s="1" t="s">
        <v>5720</v>
      </c>
      <c r="DF546" t="str">
        <f>_xlfn.XLOOKUP(Table1[[#This Row],[Player ID]],Table2[feed_id],Table2[trade_status])</f>
        <v>free_agent</v>
      </c>
      <c r="DG546">
        <f>_xlfn.NUMBERVALUE(Table1[[#This Row],[predicted]])</f>
        <v>76.5719326948267</v>
      </c>
    </row>
    <row r="547" spans="1:111" hidden="1" x14ac:dyDescent="0.25">
      <c r="A547">
        <v>129777</v>
      </c>
      <c r="B547">
        <v>8988</v>
      </c>
      <c r="C547" t="s">
        <v>5713</v>
      </c>
      <c r="D547" t="s">
        <v>109</v>
      </c>
      <c r="E547">
        <v>2024</v>
      </c>
      <c r="F547">
        <v>1011589</v>
      </c>
      <c r="G547" t="s">
        <v>4451</v>
      </c>
      <c r="H547" t="s">
        <v>5721</v>
      </c>
      <c r="I547" t="s">
        <v>712</v>
      </c>
      <c r="J547">
        <v>9</v>
      </c>
      <c r="K547">
        <v>72</v>
      </c>
      <c r="L547">
        <v>58</v>
      </c>
      <c r="M547">
        <v>31</v>
      </c>
      <c r="N547">
        <v>56</v>
      </c>
      <c r="O547">
        <v>78</v>
      </c>
      <c r="P547">
        <v>16</v>
      </c>
      <c r="Q547">
        <v>4</v>
      </c>
      <c r="R547">
        <v>5</v>
      </c>
      <c r="S547">
        <v>1</v>
      </c>
      <c r="T547">
        <v>0</v>
      </c>
      <c r="U547">
        <v>0</v>
      </c>
      <c r="V547">
        <v>1</v>
      </c>
      <c r="W547">
        <v>0</v>
      </c>
      <c r="X547">
        <v>0</v>
      </c>
      <c r="Y547" t="s">
        <v>113</v>
      </c>
      <c r="Z547" t="s">
        <v>525</v>
      </c>
      <c r="AA547" t="s">
        <v>5722</v>
      </c>
      <c r="AH547" t="s">
        <v>118</v>
      </c>
      <c r="AI547">
        <v>25</v>
      </c>
      <c r="AJ547">
        <v>0</v>
      </c>
      <c r="AK547">
        <v>0</v>
      </c>
      <c r="AL547">
        <v>0</v>
      </c>
      <c r="AM547">
        <v>0.31</v>
      </c>
      <c r="AN547">
        <v>0.09</v>
      </c>
      <c r="AO547">
        <v>0.45</v>
      </c>
      <c r="AS547">
        <v>7</v>
      </c>
      <c r="AT547">
        <v>1</v>
      </c>
      <c r="AU547">
        <v>5</v>
      </c>
      <c r="AV547">
        <v>60</v>
      </c>
      <c r="AW547">
        <v>82</v>
      </c>
      <c r="AX547">
        <v>460</v>
      </c>
      <c r="AY547">
        <v>0</v>
      </c>
      <c r="AZ547" t="b">
        <v>0</v>
      </c>
      <c r="BA547">
        <v>1810</v>
      </c>
      <c r="BB547">
        <v>1464</v>
      </c>
      <c r="BC547">
        <v>23</v>
      </c>
      <c r="BD547" t="s">
        <v>5716</v>
      </c>
      <c r="BE547">
        <v>97</v>
      </c>
      <c r="BF547">
        <v>0</v>
      </c>
      <c r="BG547">
        <v>74</v>
      </c>
      <c r="BH547">
        <v>0</v>
      </c>
      <c r="BI547" s="1" t="s">
        <v>121</v>
      </c>
      <c r="BJ547">
        <v>8.8000000000000007</v>
      </c>
      <c r="BK547">
        <v>5</v>
      </c>
      <c r="BL547">
        <v>6</v>
      </c>
      <c r="BM547">
        <v>5</v>
      </c>
      <c r="BN547">
        <v>3.2</v>
      </c>
      <c r="BO547">
        <v>3</v>
      </c>
      <c r="BP547" s="1" t="s">
        <v>169</v>
      </c>
      <c r="BQ547">
        <v>0</v>
      </c>
      <c r="BR547">
        <v>0</v>
      </c>
      <c r="BS547" s="1" t="s">
        <v>129</v>
      </c>
      <c r="BT547" s="1" t="s">
        <v>238</v>
      </c>
      <c r="BU547" s="1" t="s">
        <v>129</v>
      </c>
      <c r="BV547" s="1" t="s">
        <v>231</v>
      </c>
      <c r="BW547" s="1" t="s">
        <v>128</v>
      </c>
      <c r="BX547">
        <v>0.4</v>
      </c>
      <c r="BY547">
        <v>0</v>
      </c>
      <c r="BZ547" s="1" t="s">
        <v>184</v>
      </c>
      <c r="CA547">
        <v>0.31</v>
      </c>
      <c r="CB547" s="1" t="s">
        <v>5723</v>
      </c>
      <c r="CC547">
        <v>0.09</v>
      </c>
      <c r="CD547">
        <v>4.2000000000000003E-2</v>
      </c>
      <c r="CE547">
        <v>0.45</v>
      </c>
      <c r="CF547">
        <v>0.21</v>
      </c>
      <c r="CG547" s="1" t="s">
        <v>211</v>
      </c>
      <c r="CH547" s="1" t="s">
        <v>160</v>
      </c>
      <c r="CI547" s="1" t="s">
        <v>126</v>
      </c>
      <c r="CJ547" s="1" t="s">
        <v>399</v>
      </c>
      <c r="CK547" s="1" t="s">
        <v>159</v>
      </c>
      <c r="CL547">
        <v>2.2000000000000002</v>
      </c>
      <c r="CM547">
        <v>65</v>
      </c>
      <c r="CN547">
        <v>65</v>
      </c>
      <c r="CO547" s="1" t="s">
        <v>437</v>
      </c>
      <c r="CP547" s="1" t="s">
        <v>754</v>
      </c>
      <c r="CQ547" s="1" t="s">
        <v>5724</v>
      </c>
      <c r="CR547">
        <v>288.8</v>
      </c>
      <c r="CS547" s="1" t="s">
        <v>3527</v>
      </c>
      <c r="CT547" s="1" t="s">
        <v>5725</v>
      </c>
      <c r="CU547">
        <v>1617</v>
      </c>
      <c r="CV547">
        <v>1590.2</v>
      </c>
      <c r="CW547">
        <v>54.5</v>
      </c>
      <c r="CX547">
        <v>57.3</v>
      </c>
      <c r="CY547">
        <v>75.2</v>
      </c>
      <c r="CZ547" s="1" t="s">
        <v>754</v>
      </c>
      <c r="DA547">
        <v>1</v>
      </c>
      <c r="DB547" t="s">
        <v>525</v>
      </c>
      <c r="DC547">
        <v>58</v>
      </c>
      <c r="DD547" s="1" t="s">
        <v>5726</v>
      </c>
      <c r="DE547">
        <v>-3.9152500097105301</v>
      </c>
      <c r="DF547" t="str">
        <f>_xlfn.XLOOKUP(Table1[[#This Row],[Player ID]],Table2[feed_id],Table2[trade_status])</f>
        <v>free_agent</v>
      </c>
      <c r="DG547">
        <f>_xlfn.NUMBERVALUE(Table1[[#This Row],[predicted]])</f>
        <v>61.915250009710498</v>
      </c>
    </row>
    <row r="548" spans="1:111" hidden="1" x14ac:dyDescent="0.25">
      <c r="A548">
        <v>129782</v>
      </c>
      <c r="B548">
        <v>8988</v>
      </c>
      <c r="C548" t="s">
        <v>5713</v>
      </c>
      <c r="D548" t="s">
        <v>109</v>
      </c>
      <c r="E548">
        <v>2024</v>
      </c>
      <c r="F548">
        <v>1005717</v>
      </c>
      <c r="G548" t="s">
        <v>740</v>
      </c>
      <c r="H548" t="s">
        <v>5727</v>
      </c>
      <c r="I548" t="s">
        <v>712</v>
      </c>
      <c r="J548">
        <v>8</v>
      </c>
      <c r="K548">
        <v>52</v>
      </c>
      <c r="L548">
        <v>43</v>
      </c>
      <c r="M548">
        <v>28</v>
      </c>
      <c r="N548">
        <v>42</v>
      </c>
      <c r="O548">
        <v>54</v>
      </c>
      <c r="P548">
        <v>10</v>
      </c>
      <c r="Q548">
        <v>2</v>
      </c>
      <c r="R548">
        <v>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113</v>
      </c>
      <c r="Z548" t="s">
        <v>226</v>
      </c>
      <c r="AA548" t="s">
        <v>5555</v>
      </c>
      <c r="AI548">
        <v>17</v>
      </c>
      <c r="AJ548">
        <v>0</v>
      </c>
      <c r="AK548">
        <v>0</v>
      </c>
      <c r="AL548">
        <v>0</v>
      </c>
      <c r="AM548">
        <v>50.89</v>
      </c>
      <c r="AN548">
        <v>58.39</v>
      </c>
      <c r="AO548">
        <v>17</v>
      </c>
      <c r="AS548">
        <v>1</v>
      </c>
      <c r="AT548">
        <v>0</v>
      </c>
      <c r="AU548">
        <v>2</v>
      </c>
      <c r="AV548">
        <v>75</v>
      </c>
      <c r="AW548">
        <v>83</v>
      </c>
      <c r="AX548">
        <v>279</v>
      </c>
      <c r="AY548">
        <v>0</v>
      </c>
      <c r="AZ548" t="b">
        <v>0</v>
      </c>
      <c r="BA548">
        <v>1810</v>
      </c>
      <c r="BB548">
        <v>1464</v>
      </c>
      <c r="BC548">
        <v>23</v>
      </c>
      <c r="BD548" t="s">
        <v>5716</v>
      </c>
      <c r="BE548">
        <v>97</v>
      </c>
      <c r="BF548">
        <v>0</v>
      </c>
      <c r="BG548">
        <v>74</v>
      </c>
      <c r="BH548">
        <v>0</v>
      </c>
      <c r="BI548" s="1" t="s">
        <v>183</v>
      </c>
      <c r="BJ548" s="1" t="s">
        <v>1066</v>
      </c>
      <c r="BK548" s="1" t="s">
        <v>138</v>
      </c>
      <c r="BL548" s="1" t="s">
        <v>237</v>
      </c>
      <c r="BM548" s="1" t="s">
        <v>211</v>
      </c>
      <c r="BN548">
        <v>4.4000000000000004</v>
      </c>
      <c r="BO548">
        <v>0</v>
      </c>
      <c r="BP548" s="1" t="s">
        <v>126</v>
      </c>
      <c r="BQ548">
        <v>0</v>
      </c>
      <c r="BR548">
        <v>0</v>
      </c>
      <c r="BS548" s="1" t="s">
        <v>128</v>
      </c>
      <c r="BT548">
        <v>0.8</v>
      </c>
      <c r="BU548">
        <v>1</v>
      </c>
      <c r="BV548">
        <v>0.6</v>
      </c>
      <c r="BW548">
        <v>0</v>
      </c>
      <c r="BX548">
        <v>0</v>
      </c>
      <c r="BY548">
        <v>0</v>
      </c>
      <c r="BZ548">
        <v>0</v>
      </c>
      <c r="CA548">
        <v>50.89</v>
      </c>
      <c r="CB548" s="1" t="s">
        <v>5728</v>
      </c>
      <c r="CC548">
        <v>58.39</v>
      </c>
      <c r="CD548" s="1" t="s">
        <v>5729</v>
      </c>
      <c r="CE548">
        <v>17</v>
      </c>
      <c r="CF548" s="1" t="s">
        <v>396</v>
      </c>
      <c r="CG548">
        <v>3</v>
      </c>
      <c r="CH548" s="1" t="s">
        <v>169</v>
      </c>
      <c r="CI548">
        <v>0</v>
      </c>
      <c r="CJ548" s="1" t="s">
        <v>213</v>
      </c>
      <c r="CK548" s="1" t="s">
        <v>169</v>
      </c>
      <c r="CL548" s="1" t="s">
        <v>206</v>
      </c>
      <c r="CM548">
        <v>71</v>
      </c>
      <c r="CN548" s="1" t="s">
        <v>364</v>
      </c>
      <c r="CO548" s="1" t="s">
        <v>241</v>
      </c>
      <c r="CP548" s="1" t="s">
        <v>417</v>
      </c>
      <c r="CQ548" s="1" t="s">
        <v>3574</v>
      </c>
      <c r="CR548" s="1" t="s">
        <v>5730</v>
      </c>
      <c r="CS548" s="1" t="s">
        <v>3527</v>
      </c>
      <c r="CT548" s="1" t="s">
        <v>5731</v>
      </c>
      <c r="CU548">
        <v>1617</v>
      </c>
      <c r="CV548" s="1" t="s">
        <v>4868</v>
      </c>
      <c r="CW548">
        <v>56.6</v>
      </c>
      <c r="CX548">
        <v>47.9</v>
      </c>
      <c r="CY548">
        <v>42.4</v>
      </c>
      <c r="CZ548" s="1" t="s">
        <v>667</v>
      </c>
      <c r="DA548">
        <v>1</v>
      </c>
      <c r="DB548" t="s">
        <v>226</v>
      </c>
      <c r="DC548">
        <v>43</v>
      </c>
      <c r="DD548" s="1" t="s">
        <v>5732</v>
      </c>
      <c r="DE548">
        <v>-38.537656586836697</v>
      </c>
      <c r="DF548" t="str">
        <f>_xlfn.XLOOKUP(Table1[[#This Row],[Player ID]],Table2[feed_id],Table2[trade_status])</f>
        <v>free_agent</v>
      </c>
      <c r="DG548">
        <f>_xlfn.NUMBERVALUE(Table1[[#This Row],[predicted]])</f>
        <v>81.537656586836704</v>
      </c>
    </row>
    <row r="549" spans="1:111" hidden="1" x14ac:dyDescent="0.25">
      <c r="A549">
        <v>129813</v>
      </c>
      <c r="B549">
        <v>8989</v>
      </c>
      <c r="C549" t="s">
        <v>5733</v>
      </c>
      <c r="D549" t="s">
        <v>198</v>
      </c>
      <c r="E549">
        <v>2024</v>
      </c>
      <c r="F549">
        <v>993806</v>
      </c>
      <c r="G549" t="s">
        <v>958</v>
      </c>
      <c r="H549" t="s">
        <v>5734</v>
      </c>
      <c r="I549" t="s">
        <v>619</v>
      </c>
      <c r="J549">
        <v>2</v>
      </c>
      <c r="K549">
        <v>28</v>
      </c>
      <c r="L549">
        <v>33</v>
      </c>
      <c r="M549">
        <v>34</v>
      </c>
      <c r="N549">
        <v>24</v>
      </c>
      <c r="O549">
        <v>33</v>
      </c>
      <c r="P549">
        <v>4</v>
      </c>
      <c r="Q549">
        <v>5</v>
      </c>
      <c r="R549">
        <v>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113</v>
      </c>
      <c r="Z549" t="s">
        <v>179</v>
      </c>
      <c r="AA549" t="s">
        <v>5735</v>
      </c>
      <c r="AE549">
        <v>0</v>
      </c>
      <c r="AH549" t="s">
        <v>155</v>
      </c>
      <c r="AI549">
        <v>10</v>
      </c>
      <c r="AJ549">
        <v>6</v>
      </c>
      <c r="AK549">
        <v>49</v>
      </c>
      <c r="AL549">
        <v>0</v>
      </c>
      <c r="AM549">
        <v>0</v>
      </c>
      <c r="AN549">
        <v>0.11</v>
      </c>
      <c r="AO549">
        <v>0.05</v>
      </c>
      <c r="AS549">
        <v>2</v>
      </c>
      <c r="AT549">
        <v>0</v>
      </c>
      <c r="AU549">
        <v>1</v>
      </c>
      <c r="AV549">
        <v>66</v>
      </c>
      <c r="AW549">
        <v>90</v>
      </c>
      <c r="AX549">
        <v>70</v>
      </c>
      <c r="AY549">
        <v>0</v>
      </c>
      <c r="AZ549" t="b">
        <v>0</v>
      </c>
      <c r="BA549">
        <v>1586</v>
      </c>
      <c r="BB549">
        <v>1712</v>
      </c>
      <c r="BC549">
        <v>24</v>
      </c>
      <c r="BD549" t="s">
        <v>5736</v>
      </c>
      <c r="BE549">
        <v>97</v>
      </c>
      <c r="BF549">
        <v>0</v>
      </c>
      <c r="BG549">
        <v>71</v>
      </c>
      <c r="BH549">
        <v>0</v>
      </c>
      <c r="BI549" s="1" t="s">
        <v>124</v>
      </c>
      <c r="BJ549">
        <v>5.2</v>
      </c>
      <c r="BK549">
        <v>3</v>
      </c>
      <c r="BL549" s="1" t="s">
        <v>125</v>
      </c>
      <c r="BM549" s="1" t="s">
        <v>125</v>
      </c>
      <c r="BN549">
        <v>4</v>
      </c>
      <c r="BO549" s="1" t="s">
        <v>129</v>
      </c>
      <c r="BP549">
        <v>0.8</v>
      </c>
      <c r="BQ549">
        <v>0</v>
      </c>
      <c r="BR549" s="1" t="s">
        <v>238</v>
      </c>
      <c r="BS549" s="1" t="s">
        <v>129</v>
      </c>
      <c r="BT549" s="1" t="s">
        <v>231</v>
      </c>
      <c r="BU549" s="1" t="s">
        <v>128</v>
      </c>
      <c r="BV549" s="1" t="s">
        <v>129</v>
      </c>
      <c r="BW549" s="1" t="s">
        <v>128</v>
      </c>
      <c r="BX549" s="1" t="s">
        <v>399</v>
      </c>
      <c r="BY549">
        <v>0</v>
      </c>
      <c r="BZ549" s="1" t="s">
        <v>162</v>
      </c>
      <c r="CA549">
        <v>0</v>
      </c>
      <c r="CB549">
        <v>0</v>
      </c>
      <c r="CC549" s="1" t="s">
        <v>952</v>
      </c>
      <c r="CD549" s="1" t="s">
        <v>2773</v>
      </c>
      <c r="CE549" s="1" t="s">
        <v>5737</v>
      </c>
      <c r="CF549" s="1" t="s">
        <v>482</v>
      </c>
      <c r="CG549" s="1" t="s">
        <v>159</v>
      </c>
      <c r="CH549">
        <v>3.6</v>
      </c>
      <c r="CI549">
        <v>0</v>
      </c>
      <c r="CJ549" s="1" t="s">
        <v>184</v>
      </c>
      <c r="CK549" s="1" t="s">
        <v>159</v>
      </c>
      <c r="CL549">
        <v>1.6</v>
      </c>
      <c r="CM549" s="1" t="s">
        <v>263</v>
      </c>
      <c r="CN549" s="1" t="s">
        <v>3525</v>
      </c>
      <c r="CO549" s="1" t="s">
        <v>306</v>
      </c>
      <c r="CP549" s="1" t="s">
        <v>365</v>
      </c>
      <c r="CQ549" s="1" t="s">
        <v>995</v>
      </c>
      <c r="CR549" s="1" t="s">
        <v>4468</v>
      </c>
      <c r="CS549">
        <v>1527</v>
      </c>
      <c r="CT549" s="1" t="s">
        <v>5738</v>
      </c>
      <c r="CU549" s="1" t="s">
        <v>4135</v>
      </c>
      <c r="CV549" s="1" t="s">
        <v>471</v>
      </c>
      <c r="CW549">
        <v>49.05</v>
      </c>
      <c r="CX549">
        <v>42</v>
      </c>
      <c r="CY549">
        <v>36.4</v>
      </c>
      <c r="CZ549">
        <v>35</v>
      </c>
      <c r="DA549">
        <v>1</v>
      </c>
      <c r="DB549" t="s">
        <v>179</v>
      </c>
      <c r="DC549">
        <v>33</v>
      </c>
      <c r="DD549" s="1" t="s">
        <v>5739</v>
      </c>
      <c r="DE549">
        <v>-11.8529962319476</v>
      </c>
      <c r="DF549" t="e">
        <f>_xlfn.XLOOKUP(Table1[[#This Row],[Player ID]],Table2[feed_id],Table2[trade_status])</f>
        <v>#N/A</v>
      </c>
      <c r="DG549">
        <f>_xlfn.NUMBERVALUE(Table1[[#This Row],[predicted]])</f>
        <v>44.8529962319476</v>
      </c>
    </row>
    <row r="550" spans="1:111" hidden="1" x14ac:dyDescent="0.25">
      <c r="A550">
        <v>129859</v>
      </c>
      <c r="B550">
        <v>8990</v>
      </c>
      <c r="C550" t="s">
        <v>5740</v>
      </c>
      <c r="D550" t="s">
        <v>198</v>
      </c>
      <c r="E550">
        <v>2024</v>
      </c>
      <c r="F550">
        <v>290832</v>
      </c>
      <c r="G550" t="s">
        <v>409</v>
      </c>
      <c r="H550" t="s">
        <v>1670</v>
      </c>
      <c r="I550" t="s">
        <v>524</v>
      </c>
      <c r="J550">
        <v>0</v>
      </c>
      <c r="K550">
        <v>13</v>
      </c>
      <c r="L550">
        <v>13</v>
      </c>
      <c r="M550">
        <v>16</v>
      </c>
      <c r="N550">
        <v>11</v>
      </c>
      <c r="O550">
        <v>15</v>
      </c>
      <c r="P550">
        <v>2</v>
      </c>
      <c r="Q550">
        <v>2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113</v>
      </c>
      <c r="Z550" t="s">
        <v>877</v>
      </c>
      <c r="AA550" t="s">
        <v>5741</v>
      </c>
      <c r="AB550" t="s">
        <v>3571</v>
      </c>
      <c r="AC550" t="s">
        <v>4081</v>
      </c>
      <c r="AE550">
        <v>0</v>
      </c>
      <c r="AH550" t="s">
        <v>118</v>
      </c>
      <c r="AI550">
        <v>24</v>
      </c>
      <c r="AJ550">
        <v>19</v>
      </c>
      <c r="AK550">
        <v>84.42</v>
      </c>
      <c r="AL550">
        <v>0</v>
      </c>
      <c r="AM550">
        <v>0</v>
      </c>
      <c r="AN550">
        <v>0.06</v>
      </c>
      <c r="AO550">
        <v>0.12</v>
      </c>
      <c r="AS550">
        <v>3</v>
      </c>
      <c r="AT550">
        <v>0</v>
      </c>
      <c r="AU550">
        <v>0</v>
      </c>
      <c r="AV550">
        <v>75</v>
      </c>
      <c r="AW550">
        <v>23</v>
      </c>
      <c r="AX550">
        <v>7</v>
      </c>
      <c r="AY550">
        <v>0</v>
      </c>
      <c r="AZ550" t="b">
        <v>0</v>
      </c>
      <c r="BA550">
        <v>1825</v>
      </c>
      <c r="BB550">
        <v>1462</v>
      </c>
      <c r="BC550">
        <v>24</v>
      </c>
      <c r="BD550" t="s">
        <v>5742</v>
      </c>
      <c r="BE550">
        <v>97</v>
      </c>
      <c r="BF550">
        <v>0</v>
      </c>
      <c r="BG550">
        <v>71</v>
      </c>
      <c r="BH550">
        <v>0</v>
      </c>
      <c r="BI550" s="1" t="s">
        <v>449</v>
      </c>
      <c r="BJ550">
        <v>5</v>
      </c>
      <c r="BK550">
        <v>5</v>
      </c>
      <c r="BL550" s="1" t="s">
        <v>449</v>
      </c>
      <c r="BM550" s="1" t="s">
        <v>126</v>
      </c>
      <c r="BN550" s="1" t="s">
        <v>322</v>
      </c>
      <c r="BO550">
        <v>2</v>
      </c>
      <c r="BP550" s="1" t="s">
        <v>275</v>
      </c>
      <c r="BQ550">
        <v>0</v>
      </c>
      <c r="BR550">
        <v>0</v>
      </c>
      <c r="BS550" s="1" t="s">
        <v>129</v>
      </c>
      <c r="BT550" s="1" t="s">
        <v>184</v>
      </c>
      <c r="BU550" s="1" t="s">
        <v>129</v>
      </c>
      <c r="BV550" s="1" t="s">
        <v>129</v>
      </c>
      <c r="BW550">
        <v>0</v>
      </c>
      <c r="BX550" s="1" t="s">
        <v>238</v>
      </c>
      <c r="BY550" s="1" t="s">
        <v>129</v>
      </c>
      <c r="BZ550" s="1" t="s">
        <v>213</v>
      </c>
      <c r="CA550">
        <v>0</v>
      </c>
      <c r="CB550">
        <v>0</v>
      </c>
      <c r="CC550">
        <v>0.06</v>
      </c>
      <c r="CD550">
        <v>0.06</v>
      </c>
      <c r="CE550">
        <v>0.12</v>
      </c>
      <c r="CF550">
        <v>0.12</v>
      </c>
      <c r="CG550" s="1" t="s">
        <v>211</v>
      </c>
      <c r="CH550">
        <v>4.4000000000000004</v>
      </c>
      <c r="CI550" s="1" t="s">
        <v>128</v>
      </c>
      <c r="CJ550">
        <v>0.6</v>
      </c>
      <c r="CK550">
        <v>2</v>
      </c>
      <c r="CL550" s="1" t="s">
        <v>327</v>
      </c>
      <c r="CM550" s="1" t="s">
        <v>1053</v>
      </c>
      <c r="CN550" s="1" t="s">
        <v>1109</v>
      </c>
      <c r="CO550">
        <v>57</v>
      </c>
      <c r="CP550">
        <v>54</v>
      </c>
      <c r="CQ550" s="1" t="s">
        <v>5743</v>
      </c>
      <c r="CR550" s="1" t="s">
        <v>5744</v>
      </c>
      <c r="CS550" s="1" t="s">
        <v>3284</v>
      </c>
      <c r="CT550" s="1" t="s">
        <v>4656</v>
      </c>
      <c r="CU550">
        <v>1795</v>
      </c>
      <c r="CV550" s="1" t="s">
        <v>4247</v>
      </c>
      <c r="CW550">
        <v>50.2</v>
      </c>
      <c r="CX550">
        <v>51.4</v>
      </c>
      <c r="CY550">
        <v>57.4</v>
      </c>
      <c r="CZ550" s="1" t="s">
        <v>2512</v>
      </c>
      <c r="DA550">
        <v>1</v>
      </c>
      <c r="DB550" t="s">
        <v>877</v>
      </c>
      <c r="DC550">
        <v>13</v>
      </c>
      <c r="DD550" s="1" t="s">
        <v>5745</v>
      </c>
      <c r="DE550">
        <v>-28.279436776046701</v>
      </c>
      <c r="DF550" t="str">
        <f>_xlfn.XLOOKUP(Table1[[#This Row],[Player ID]],Table2[feed_id],Table2[trade_status])</f>
        <v>free_agent</v>
      </c>
      <c r="DG550">
        <f>_xlfn.NUMBERVALUE(Table1[[#This Row],[predicted]])</f>
        <v>41.279436776046701</v>
      </c>
    </row>
    <row r="551" spans="1:111" hidden="1" x14ac:dyDescent="0.25">
      <c r="A551">
        <v>129948</v>
      </c>
      <c r="B551">
        <v>8992</v>
      </c>
      <c r="C551" t="s">
        <v>5746</v>
      </c>
      <c r="D551" t="s">
        <v>198</v>
      </c>
      <c r="E551">
        <v>2024</v>
      </c>
      <c r="F551">
        <v>1002922</v>
      </c>
      <c r="G551" t="s">
        <v>1127</v>
      </c>
      <c r="H551" t="s">
        <v>5747</v>
      </c>
      <c r="I551" t="s">
        <v>112</v>
      </c>
      <c r="J551">
        <v>2</v>
      </c>
      <c r="K551">
        <v>21</v>
      </c>
      <c r="L551">
        <v>15</v>
      </c>
      <c r="M551">
        <v>25</v>
      </c>
      <c r="N551">
        <v>19</v>
      </c>
      <c r="O551">
        <v>30</v>
      </c>
      <c r="P551">
        <v>4</v>
      </c>
      <c r="Q551">
        <v>6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 t="s">
        <v>113</v>
      </c>
      <c r="Z551" t="s">
        <v>525</v>
      </c>
      <c r="AA551" t="s">
        <v>5748</v>
      </c>
      <c r="AB551" t="s">
        <v>116</v>
      </c>
      <c r="AC551" t="s">
        <v>5749</v>
      </c>
      <c r="AH551" t="s">
        <v>118</v>
      </c>
      <c r="AI551">
        <v>27</v>
      </c>
      <c r="AJ551">
        <v>13</v>
      </c>
      <c r="AK551">
        <v>49.153799999999997</v>
      </c>
      <c r="AL551">
        <v>48</v>
      </c>
      <c r="AM551">
        <v>0</v>
      </c>
      <c r="AN551">
        <v>0</v>
      </c>
      <c r="AO551">
        <v>0</v>
      </c>
      <c r="AS551">
        <v>1</v>
      </c>
      <c r="AT551">
        <v>0</v>
      </c>
      <c r="AU551">
        <v>3</v>
      </c>
      <c r="AV551">
        <v>60</v>
      </c>
      <c r="AW551">
        <v>54</v>
      </c>
      <c r="AX551">
        <v>96</v>
      </c>
      <c r="AY551">
        <v>1</v>
      </c>
      <c r="AZ551" t="b">
        <v>1</v>
      </c>
      <c r="BA551">
        <v>1605</v>
      </c>
      <c r="BB551">
        <v>1682</v>
      </c>
      <c r="BC551">
        <v>24</v>
      </c>
      <c r="BD551" t="s">
        <v>5750</v>
      </c>
      <c r="BE551">
        <v>97</v>
      </c>
      <c r="BF551">
        <v>0</v>
      </c>
      <c r="BG551">
        <v>71</v>
      </c>
      <c r="BH551">
        <v>0</v>
      </c>
      <c r="BI551">
        <v>9</v>
      </c>
      <c r="BJ551" s="1" t="s">
        <v>898</v>
      </c>
      <c r="BK551" s="1" t="s">
        <v>449</v>
      </c>
      <c r="BL551">
        <v>4.4000000000000004</v>
      </c>
      <c r="BM551">
        <v>4</v>
      </c>
      <c r="BN551" s="1" t="s">
        <v>528</v>
      </c>
      <c r="BO551">
        <v>1</v>
      </c>
      <c r="BP551">
        <v>2.2000000000000002</v>
      </c>
      <c r="BQ551">
        <v>0</v>
      </c>
      <c r="BR551">
        <v>0</v>
      </c>
      <c r="BS551">
        <v>0</v>
      </c>
      <c r="BT551" s="1" t="s">
        <v>129</v>
      </c>
      <c r="BU551">
        <v>1</v>
      </c>
      <c r="BV551" s="1" t="s">
        <v>130</v>
      </c>
      <c r="BW551" s="1" t="s">
        <v>129</v>
      </c>
      <c r="BX551" s="1" t="s">
        <v>184</v>
      </c>
      <c r="BY551">
        <v>0</v>
      </c>
      <c r="BZ551">
        <v>6.6666666666666596E-2</v>
      </c>
      <c r="CA551">
        <v>0</v>
      </c>
      <c r="CB551" s="1" t="s">
        <v>5751</v>
      </c>
      <c r="CC551">
        <v>0</v>
      </c>
      <c r="CD551" s="1" t="s">
        <v>5752</v>
      </c>
      <c r="CE551">
        <v>0</v>
      </c>
      <c r="CF551" s="1" t="s">
        <v>2325</v>
      </c>
      <c r="CG551">
        <v>2</v>
      </c>
      <c r="CH551" s="1" t="s">
        <v>255</v>
      </c>
      <c r="CI551" s="1" t="s">
        <v>129</v>
      </c>
      <c r="CJ551">
        <v>0.8</v>
      </c>
      <c r="CK551" s="1" t="s">
        <v>138</v>
      </c>
      <c r="CL551" s="1" t="s">
        <v>255</v>
      </c>
      <c r="CM551">
        <v>66</v>
      </c>
      <c r="CN551">
        <v>71.400000000000006</v>
      </c>
      <c r="CO551" s="1" t="s">
        <v>822</v>
      </c>
      <c r="CP551" s="1" t="s">
        <v>5753</v>
      </c>
      <c r="CQ551" s="1" t="s">
        <v>5754</v>
      </c>
      <c r="CR551">
        <v>169.4</v>
      </c>
      <c r="CS551" s="1" t="s">
        <v>954</v>
      </c>
      <c r="CT551" s="1" t="s">
        <v>2574</v>
      </c>
      <c r="CU551">
        <v>1670</v>
      </c>
      <c r="CV551" s="1" t="s">
        <v>4005</v>
      </c>
      <c r="CW551">
        <v>41.45</v>
      </c>
      <c r="CX551">
        <v>32.299999999999997</v>
      </c>
      <c r="CY551">
        <v>39.799999999999997</v>
      </c>
      <c r="CZ551" s="1" t="s">
        <v>385</v>
      </c>
      <c r="DA551">
        <v>1</v>
      </c>
      <c r="DB551" t="s">
        <v>525</v>
      </c>
      <c r="DC551">
        <v>15</v>
      </c>
      <c r="DD551" s="1" t="s">
        <v>5755</v>
      </c>
      <c r="DE551">
        <v>-36.799758673332398</v>
      </c>
      <c r="DF551" t="e">
        <f>_xlfn.XLOOKUP(Table1[[#This Row],[Player ID]],Table2[feed_id],Table2[trade_status])</f>
        <v>#N/A</v>
      </c>
      <c r="DG551">
        <f>_xlfn.NUMBERVALUE(Table1[[#This Row],[predicted]])</f>
        <v>51.799758673332398</v>
      </c>
    </row>
    <row r="552" spans="1:111" hidden="1" x14ac:dyDescent="0.25">
      <c r="A552">
        <v>130061</v>
      </c>
      <c r="B552">
        <v>8994</v>
      </c>
      <c r="C552" t="s">
        <v>5756</v>
      </c>
      <c r="D552" t="s">
        <v>198</v>
      </c>
      <c r="E552">
        <v>2024</v>
      </c>
      <c r="F552">
        <v>291357</v>
      </c>
      <c r="G552" t="s">
        <v>3548</v>
      </c>
      <c r="H552" t="s">
        <v>1932</v>
      </c>
      <c r="I552" t="s">
        <v>1061</v>
      </c>
      <c r="J552">
        <v>8</v>
      </c>
      <c r="K552">
        <v>25</v>
      </c>
      <c r="L552">
        <v>17</v>
      </c>
      <c r="M552">
        <v>18</v>
      </c>
      <c r="N552">
        <v>22</v>
      </c>
      <c r="O552">
        <v>27</v>
      </c>
      <c r="P552">
        <v>3</v>
      </c>
      <c r="Q552">
        <v>2</v>
      </c>
      <c r="R552">
        <v>2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 t="s">
        <v>113</v>
      </c>
      <c r="Z552" t="s">
        <v>525</v>
      </c>
      <c r="AA552" t="s">
        <v>5757</v>
      </c>
      <c r="AB552" t="s">
        <v>116</v>
      </c>
      <c r="AC552" t="s">
        <v>816</v>
      </c>
      <c r="AH552" t="s">
        <v>155</v>
      </c>
      <c r="AI552">
        <v>23</v>
      </c>
      <c r="AJ552">
        <v>0</v>
      </c>
      <c r="AK552">
        <v>0</v>
      </c>
      <c r="AL552">
        <v>0</v>
      </c>
      <c r="AM552">
        <v>0.27</v>
      </c>
      <c r="AN552">
        <v>0.11</v>
      </c>
      <c r="AO552">
        <v>0.17</v>
      </c>
      <c r="AS552">
        <v>3</v>
      </c>
      <c r="AT552">
        <v>0</v>
      </c>
      <c r="AU552">
        <v>2</v>
      </c>
      <c r="AV552">
        <v>60</v>
      </c>
      <c r="AW552">
        <v>48</v>
      </c>
      <c r="AX552">
        <v>57</v>
      </c>
      <c r="AY552">
        <v>1</v>
      </c>
      <c r="AZ552" t="b">
        <v>1</v>
      </c>
      <c r="BA552">
        <v>1837</v>
      </c>
      <c r="BB552">
        <v>1430</v>
      </c>
      <c r="BC552">
        <v>24</v>
      </c>
      <c r="BD552" t="s">
        <v>5758</v>
      </c>
      <c r="BE552">
        <v>97</v>
      </c>
      <c r="BF552">
        <v>0</v>
      </c>
      <c r="BG552">
        <v>71</v>
      </c>
      <c r="BH552">
        <v>0</v>
      </c>
      <c r="BI552" s="1" t="s">
        <v>397</v>
      </c>
      <c r="BJ552" s="1" t="s">
        <v>818</v>
      </c>
      <c r="BK552">
        <v>2</v>
      </c>
      <c r="BL552" s="1" t="s">
        <v>140</v>
      </c>
      <c r="BM552" s="1" t="s">
        <v>159</v>
      </c>
      <c r="BN552">
        <v>3.2</v>
      </c>
      <c r="BO552" s="1" t="s">
        <v>128</v>
      </c>
      <c r="BP552" s="1" t="s">
        <v>304</v>
      </c>
      <c r="BQ552" s="1" t="s">
        <v>128</v>
      </c>
      <c r="BR552" s="1" t="s">
        <v>213</v>
      </c>
      <c r="BS552" s="1" t="s">
        <v>129</v>
      </c>
      <c r="BT552">
        <v>0.6</v>
      </c>
      <c r="BU552" s="1" t="s">
        <v>128</v>
      </c>
      <c r="BV552" s="1" t="s">
        <v>231</v>
      </c>
      <c r="BW552" s="1" t="s">
        <v>129</v>
      </c>
      <c r="BX552" s="1" t="s">
        <v>162</v>
      </c>
      <c r="BY552">
        <v>0</v>
      </c>
      <c r="BZ552">
        <v>0.4</v>
      </c>
      <c r="CA552">
        <v>0.27</v>
      </c>
      <c r="CB552">
        <v>0.21</v>
      </c>
      <c r="CC552">
        <v>0.11</v>
      </c>
      <c r="CD552">
        <v>0.13</v>
      </c>
      <c r="CE552">
        <v>0.17</v>
      </c>
      <c r="CF552" s="1" t="s">
        <v>5759</v>
      </c>
      <c r="CG552">
        <v>4</v>
      </c>
      <c r="CH552" s="1" t="s">
        <v>230</v>
      </c>
      <c r="CI552">
        <v>0</v>
      </c>
      <c r="CJ552" s="1" t="s">
        <v>129</v>
      </c>
      <c r="CK552" s="1" t="s">
        <v>169</v>
      </c>
      <c r="CL552">
        <v>2</v>
      </c>
      <c r="CM552" s="1" t="s">
        <v>971</v>
      </c>
      <c r="CN552" s="1" t="s">
        <v>5067</v>
      </c>
      <c r="CO552">
        <v>68</v>
      </c>
      <c r="CP552">
        <v>74</v>
      </c>
      <c r="CQ552" s="1" t="s">
        <v>5760</v>
      </c>
      <c r="CR552">
        <v>206.6</v>
      </c>
      <c r="CS552">
        <v>1538</v>
      </c>
      <c r="CT552" s="1" t="s">
        <v>4094</v>
      </c>
      <c r="CU552" s="1" t="s">
        <v>3187</v>
      </c>
      <c r="CV552">
        <v>1646.4</v>
      </c>
      <c r="CW552">
        <v>56.8</v>
      </c>
      <c r="CX552">
        <v>45.3</v>
      </c>
      <c r="CY552">
        <v>46.2</v>
      </c>
      <c r="CZ552">
        <v>30</v>
      </c>
      <c r="DA552">
        <v>1</v>
      </c>
      <c r="DB552" t="s">
        <v>525</v>
      </c>
      <c r="DC552">
        <v>17</v>
      </c>
      <c r="DD552" s="1" t="s">
        <v>5761</v>
      </c>
      <c r="DE552">
        <v>-40.751658043465099</v>
      </c>
      <c r="DF552" t="e">
        <f>_xlfn.XLOOKUP(Table1[[#This Row],[Player ID]],Table2[feed_id],Table2[trade_status])</f>
        <v>#N/A</v>
      </c>
      <c r="DG552">
        <f>_xlfn.NUMBERVALUE(Table1[[#This Row],[predicted]])</f>
        <v>57.751658043465099</v>
      </c>
    </row>
    <row r="553" spans="1:111" hidden="1" x14ac:dyDescent="0.25">
      <c r="A553">
        <v>130100</v>
      </c>
      <c r="B553">
        <v>8995</v>
      </c>
      <c r="C553" t="s">
        <v>5762</v>
      </c>
      <c r="D553" t="s">
        <v>198</v>
      </c>
      <c r="E553">
        <v>2024</v>
      </c>
      <c r="F553">
        <v>1012833</v>
      </c>
      <c r="G553" t="s">
        <v>3906</v>
      </c>
      <c r="H553" t="s">
        <v>5763</v>
      </c>
      <c r="I553" t="s">
        <v>813</v>
      </c>
      <c r="J553">
        <v>3</v>
      </c>
      <c r="K553">
        <v>43</v>
      </c>
      <c r="L553">
        <v>26</v>
      </c>
      <c r="M553">
        <v>24</v>
      </c>
      <c r="N553">
        <v>33</v>
      </c>
      <c r="O553">
        <v>43</v>
      </c>
      <c r="P553">
        <v>8</v>
      </c>
      <c r="Q553">
        <v>2</v>
      </c>
      <c r="R553">
        <v>3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1</v>
      </c>
      <c r="Y553" t="s">
        <v>113</v>
      </c>
      <c r="Z553" t="s">
        <v>656</v>
      </c>
      <c r="AA553" t="s">
        <v>5764</v>
      </c>
      <c r="AH553" t="s">
        <v>155</v>
      </c>
      <c r="AI553">
        <v>40</v>
      </c>
      <c r="AJ553">
        <v>0</v>
      </c>
      <c r="AK553">
        <v>0</v>
      </c>
      <c r="AL553">
        <v>0</v>
      </c>
      <c r="AM553">
        <v>0.13</v>
      </c>
      <c r="AN553">
        <v>0.11</v>
      </c>
      <c r="AO553">
        <v>7.0000000000000007E-2</v>
      </c>
      <c r="AS553">
        <v>4</v>
      </c>
      <c r="AT553">
        <v>1</v>
      </c>
      <c r="AU553">
        <v>3</v>
      </c>
      <c r="AV553">
        <v>50</v>
      </c>
      <c r="AW553">
        <v>82</v>
      </c>
      <c r="AX553">
        <v>157</v>
      </c>
      <c r="AY553">
        <v>0</v>
      </c>
      <c r="AZ553" t="b">
        <v>0</v>
      </c>
      <c r="BA553">
        <v>1926</v>
      </c>
      <c r="BB553">
        <v>1360</v>
      </c>
      <c r="BC553">
        <v>24</v>
      </c>
      <c r="BD553" t="s">
        <v>5765</v>
      </c>
      <c r="BE553">
        <v>97</v>
      </c>
      <c r="BF553">
        <v>0</v>
      </c>
      <c r="BG553">
        <v>71</v>
      </c>
      <c r="BH553">
        <v>0</v>
      </c>
      <c r="BI553" s="1" t="s">
        <v>253</v>
      </c>
      <c r="BJ553">
        <v>7.2</v>
      </c>
      <c r="BK553">
        <v>6</v>
      </c>
      <c r="BL553" s="1" t="s">
        <v>416</v>
      </c>
      <c r="BM553" s="1" t="s">
        <v>211</v>
      </c>
      <c r="BN553" s="1" t="s">
        <v>230</v>
      </c>
      <c r="BO553" s="1" t="s">
        <v>126</v>
      </c>
      <c r="BP553" s="1" t="s">
        <v>214</v>
      </c>
      <c r="BQ553">
        <v>0</v>
      </c>
      <c r="BR553">
        <v>0</v>
      </c>
      <c r="BS553">
        <v>1</v>
      </c>
      <c r="BT553">
        <v>0.4</v>
      </c>
      <c r="BU553">
        <v>0</v>
      </c>
      <c r="BV553">
        <v>0.6</v>
      </c>
      <c r="BW553" s="1" t="s">
        <v>129</v>
      </c>
      <c r="BX553">
        <v>0.8</v>
      </c>
      <c r="BY553" s="1" t="s">
        <v>128</v>
      </c>
      <c r="BZ553" s="1" t="s">
        <v>128</v>
      </c>
      <c r="CA553">
        <v>0.13</v>
      </c>
      <c r="CB553">
        <v>0.13</v>
      </c>
      <c r="CC553">
        <v>0.11</v>
      </c>
      <c r="CD553">
        <v>0.11</v>
      </c>
      <c r="CE553">
        <v>7.0000000000000007E-2</v>
      </c>
      <c r="CF553">
        <v>7.0000000000000007E-2</v>
      </c>
      <c r="CG553" s="1" t="s">
        <v>160</v>
      </c>
      <c r="CH553" s="1" t="s">
        <v>781</v>
      </c>
      <c r="CI553" s="1" t="s">
        <v>129</v>
      </c>
      <c r="CJ553">
        <v>0.2</v>
      </c>
      <c r="CK553" s="1" t="s">
        <v>161</v>
      </c>
      <c r="CL553" s="1" t="s">
        <v>161</v>
      </c>
      <c r="CM553">
        <v>72</v>
      </c>
      <c r="CN553">
        <v>73</v>
      </c>
      <c r="CO553" s="1" t="s">
        <v>2147</v>
      </c>
      <c r="CP553" s="1" t="s">
        <v>4979</v>
      </c>
      <c r="CQ553" s="1" t="s">
        <v>4575</v>
      </c>
      <c r="CR553">
        <v>145.80000000000001</v>
      </c>
      <c r="CS553" s="1" t="s">
        <v>2675</v>
      </c>
      <c r="CT553" s="1" t="s">
        <v>5766</v>
      </c>
      <c r="CU553" s="1" t="s">
        <v>1533</v>
      </c>
      <c r="CV553" s="1" t="s">
        <v>3825</v>
      </c>
      <c r="CW553">
        <v>55.55</v>
      </c>
      <c r="CX553">
        <v>63.2</v>
      </c>
      <c r="CY553">
        <v>56.4</v>
      </c>
      <c r="CZ553" s="1" t="s">
        <v>1715</v>
      </c>
      <c r="DA553">
        <v>1</v>
      </c>
      <c r="DB553" t="s">
        <v>656</v>
      </c>
      <c r="DC553">
        <v>26</v>
      </c>
      <c r="DD553" s="1" t="s">
        <v>5767</v>
      </c>
      <c r="DE553">
        <v>-35.298205186117698</v>
      </c>
      <c r="DF553" t="str">
        <f>_xlfn.XLOOKUP(Table1[[#This Row],[Player ID]],Table2[feed_id],Table2[trade_status])</f>
        <v>free_agent</v>
      </c>
      <c r="DG553">
        <f>_xlfn.NUMBERVALUE(Table1[[#This Row],[predicted]])</f>
        <v>61.298205186117698</v>
      </c>
    </row>
    <row r="554" spans="1:111" hidden="1" x14ac:dyDescent="0.25">
      <c r="A554">
        <v>130155</v>
      </c>
      <c r="B554">
        <v>8997</v>
      </c>
      <c r="C554" t="s">
        <v>5768</v>
      </c>
      <c r="D554" t="s">
        <v>198</v>
      </c>
      <c r="E554">
        <v>2024</v>
      </c>
      <c r="F554">
        <v>290801</v>
      </c>
      <c r="G554" t="s">
        <v>247</v>
      </c>
      <c r="H554" t="s">
        <v>5769</v>
      </c>
      <c r="I554" t="s">
        <v>582</v>
      </c>
      <c r="J554">
        <v>19</v>
      </c>
      <c r="K554">
        <v>95</v>
      </c>
      <c r="L554">
        <v>84</v>
      </c>
      <c r="M554">
        <v>121</v>
      </c>
      <c r="N554">
        <v>76</v>
      </c>
      <c r="O554">
        <v>102</v>
      </c>
      <c r="P554">
        <v>15</v>
      </c>
      <c r="Q554">
        <v>10</v>
      </c>
      <c r="R554">
        <v>7</v>
      </c>
      <c r="S554">
        <v>2</v>
      </c>
      <c r="T554">
        <v>0</v>
      </c>
      <c r="U554">
        <v>1</v>
      </c>
      <c r="V554">
        <v>0</v>
      </c>
      <c r="W554">
        <v>0</v>
      </c>
      <c r="X554">
        <v>0</v>
      </c>
      <c r="Y554" t="s">
        <v>113</v>
      </c>
      <c r="Z554" t="s">
        <v>525</v>
      </c>
      <c r="AA554" t="s">
        <v>5770</v>
      </c>
      <c r="AH554" t="s">
        <v>118</v>
      </c>
      <c r="AI554">
        <v>3</v>
      </c>
      <c r="AJ554">
        <v>0</v>
      </c>
      <c r="AK554">
        <v>0</v>
      </c>
      <c r="AL554">
        <v>0</v>
      </c>
      <c r="AM554">
        <v>0.27</v>
      </c>
      <c r="AN554">
        <v>0.28000000000000003</v>
      </c>
      <c r="AO554">
        <v>0.21</v>
      </c>
      <c r="AS554">
        <v>6</v>
      </c>
      <c r="AT554">
        <v>0</v>
      </c>
      <c r="AU554">
        <v>3</v>
      </c>
      <c r="AV554">
        <v>68</v>
      </c>
      <c r="AW554">
        <v>84</v>
      </c>
      <c r="AX554">
        <v>371</v>
      </c>
      <c r="AY554">
        <v>0</v>
      </c>
      <c r="AZ554" t="b">
        <v>0</v>
      </c>
      <c r="BA554">
        <v>1856</v>
      </c>
      <c r="BB554">
        <v>1426</v>
      </c>
      <c r="BC554">
        <v>24</v>
      </c>
      <c r="BD554" t="s">
        <v>5771</v>
      </c>
      <c r="BE554">
        <v>97</v>
      </c>
      <c r="BF554">
        <v>0</v>
      </c>
      <c r="BG554">
        <v>71</v>
      </c>
      <c r="BH554">
        <v>1</v>
      </c>
      <c r="BI554" s="1" t="s">
        <v>294</v>
      </c>
      <c r="BJ554">
        <v>8.6</v>
      </c>
      <c r="BK554" s="1" t="s">
        <v>545</v>
      </c>
      <c r="BL554">
        <v>10</v>
      </c>
      <c r="BM554">
        <v>4</v>
      </c>
      <c r="BN554" s="1" t="s">
        <v>230</v>
      </c>
      <c r="BO554" s="1" t="s">
        <v>161</v>
      </c>
      <c r="BP554">
        <v>2.2000000000000002</v>
      </c>
      <c r="BQ554">
        <v>0</v>
      </c>
      <c r="BR554">
        <v>0</v>
      </c>
      <c r="BS554" s="1" t="s">
        <v>129</v>
      </c>
      <c r="BT554" s="1" t="s">
        <v>128</v>
      </c>
      <c r="BU554" s="1" t="s">
        <v>128</v>
      </c>
      <c r="BV554">
        <v>0.4</v>
      </c>
      <c r="BW554">
        <v>0</v>
      </c>
      <c r="BX554">
        <v>0.2</v>
      </c>
      <c r="BY554">
        <v>0</v>
      </c>
      <c r="BZ554">
        <v>6.6666666666666596E-2</v>
      </c>
      <c r="CA554">
        <v>0.27</v>
      </c>
      <c r="CB554" s="1" t="s">
        <v>698</v>
      </c>
      <c r="CC554">
        <v>0.28000000000000003</v>
      </c>
      <c r="CD554" s="1" t="s">
        <v>950</v>
      </c>
      <c r="CE554">
        <v>0.21</v>
      </c>
      <c r="CF554" s="1" t="s">
        <v>5772</v>
      </c>
      <c r="CG554" s="1" t="s">
        <v>204</v>
      </c>
      <c r="CH554" s="1" t="s">
        <v>963</v>
      </c>
      <c r="CI554" s="1" t="s">
        <v>126</v>
      </c>
      <c r="CJ554" s="1" t="s">
        <v>127</v>
      </c>
      <c r="CK554" s="1" t="s">
        <v>169</v>
      </c>
      <c r="CL554">
        <v>1.8</v>
      </c>
      <c r="CM554" s="1" t="s">
        <v>418</v>
      </c>
      <c r="CN554" s="1" t="s">
        <v>1460</v>
      </c>
      <c r="CO554" s="1" t="s">
        <v>1242</v>
      </c>
      <c r="CP554" s="1" t="s">
        <v>683</v>
      </c>
      <c r="CQ554" s="1" t="s">
        <v>5773</v>
      </c>
      <c r="CR554" s="1" t="s">
        <v>5774</v>
      </c>
      <c r="CS554">
        <v>1479</v>
      </c>
      <c r="CT554" s="1" t="s">
        <v>2250</v>
      </c>
      <c r="CU554" s="1" t="s">
        <v>5775</v>
      </c>
      <c r="CV554" s="1" t="s">
        <v>5776</v>
      </c>
      <c r="CW554">
        <v>64.55</v>
      </c>
      <c r="CX554">
        <v>65.900000000000006</v>
      </c>
      <c r="CY554">
        <v>52.6</v>
      </c>
      <c r="CZ554" s="1" t="s">
        <v>1166</v>
      </c>
      <c r="DA554">
        <v>1</v>
      </c>
      <c r="DB554" t="s">
        <v>525</v>
      </c>
      <c r="DC554">
        <v>84</v>
      </c>
      <c r="DD554" s="1" t="s">
        <v>5777</v>
      </c>
      <c r="DE554" s="1" t="s">
        <v>5778</v>
      </c>
      <c r="DF554" t="e">
        <f>_xlfn.XLOOKUP(Table1[[#This Row],[Player ID]],Table2[feed_id],Table2[trade_status])</f>
        <v>#N/A</v>
      </c>
      <c r="DG554">
        <f>_xlfn.NUMBERVALUE(Table1[[#This Row],[predicted]])</f>
        <v>65.804360236412705</v>
      </c>
    </row>
    <row r="555" spans="1:111" hidden="1" x14ac:dyDescent="0.25">
      <c r="A555">
        <v>130161</v>
      </c>
      <c r="B555">
        <v>8997</v>
      </c>
      <c r="C555" t="s">
        <v>5768</v>
      </c>
      <c r="D555" t="s">
        <v>198</v>
      </c>
      <c r="E555">
        <v>2024</v>
      </c>
      <c r="F555">
        <v>998128</v>
      </c>
      <c r="G555" t="s">
        <v>1450</v>
      </c>
      <c r="H555" t="s">
        <v>5779</v>
      </c>
      <c r="I555" t="s">
        <v>582</v>
      </c>
      <c r="J555">
        <v>13</v>
      </c>
      <c r="K555">
        <v>70</v>
      </c>
      <c r="L555">
        <v>86</v>
      </c>
      <c r="M555">
        <v>93</v>
      </c>
      <c r="N555">
        <v>50</v>
      </c>
      <c r="O555">
        <v>69</v>
      </c>
      <c r="P555">
        <v>12</v>
      </c>
      <c r="Q555">
        <v>4</v>
      </c>
      <c r="R555">
        <v>3</v>
      </c>
      <c r="S555">
        <v>4</v>
      </c>
      <c r="T555">
        <v>0</v>
      </c>
      <c r="U555">
        <v>1</v>
      </c>
      <c r="V555">
        <v>0</v>
      </c>
      <c r="W555">
        <v>0</v>
      </c>
      <c r="X555">
        <v>0</v>
      </c>
      <c r="Y555" t="s">
        <v>113</v>
      </c>
      <c r="Z555" t="s">
        <v>226</v>
      </c>
      <c r="AA555" t="s">
        <v>3002</v>
      </c>
      <c r="AE555">
        <v>0</v>
      </c>
      <c r="AH555" t="s">
        <v>181</v>
      </c>
      <c r="AI555">
        <v>23</v>
      </c>
      <c r="AJ555">
        <v>21</v>
      </c>
      <c r="AK555">
        <v>88</v>
      </c>
      <c r="AL555">
        <v>0</v>
      </c>
      <c r="AM555">
        <v>0</v>
      </c>
      <c r="AN555">
        <v>1.1299999999999999</v>
      </c>
      <c r="AO555">
        <v>1.72</v>
      </c>
      <c r="AS555">
        <v>3</v>
      </c>
      <c r="AT555">
        <v>0</v>
      </c>
      <c r="AU555">
        <v>2</v>
      </c>
      <c r="AV555">
        <v>87</v>
      </c>
      <c r="AW555">
        <v>81</v>
      </c>
      <c r="AX555">
        <v>385</v>
      </c>
      <c r="AY555">
        <v>0</v>
      </c>
      <c r="AZ555" t="b">
        <v>0</v>
      </c>
      <c r="BA555">
        <v>1856</v>
      </c>
      <c r="BB555">
        <v>1426</v>
      </c>
      <c r="BC555">
        <v>24</v>
      </c>
      <c r="BD555" t="s">
        <v>5771</v>
      </c>
      <c r="BE555">
        <v>97</v>
      </c>
      <c r="BF555">
        <v>0</v>
      </c>
      <c r="BG555">
        <v>71</v>
      </c>
      <c r="BH555">
        <v>1</v>
      </c>
      <c r="BI555" s="1" t="s">
        <v>977</v>
      </c>
      <c r="BJ555">
        <v>11</v>
      </c>
      <c r="BK555">
        <v>7</v>
      </c>
      <c r="BL555" s="1" t="s">
        <v>343</v>
      </c>
      <c r="BM555" s="1" t="s">
        <v>138</v>
      </c>
      <c r="BN555">
        <v>4.2</v>
      </c>
      <c r="BO555" s="1" t="s">
        <v>138</v>
      </c>
      <c r="BP555" s="1" t="s">
        <v>375</v>
      </c>
      <c r="BQ555">
        <v>0</v>
      </c>
      <c r="BR555">
        <v>0</v>
      </c>
      <c r="BS555">
        <v>1</v>
      </c>
      <c r="BT555">
        <v>0.6</v>
      </c>
      <c r="BU555">
        <v>1</v>
      </c>
      <c r="BV555" s="1" t="s">
        <v>298</v>
      </c>
      <c r="BW555">
        <v>0</v>
      </c>
      <c r="BX555">
        <v>6.6666666666666596E-2</v>
      </c>
      <c r="BY555">
        <v>0</v>
      </c>
      <c r="BZ555">
        <v>0</v>
      </c>
      <c r="CA555">
        <v>0</v>
      </c>
      <c r="CB555">
        <v>0</v>
      </c>
      <c r="CC555">
        <v>1.1299999999999999</v>
      </c>
      <c r="CD555">
        <v>1.1299999999999999</v>
      </c>
      <c r="CE555">
        <v>1.72</v>
      </c>
      <c r="CF555">
        <v>1.72</v>
      </c>
      <c r="CG555" s="1" t="s">
        <v>125</v>
      </c>
      <c r="CH555">
        <v>4.5999999999999996</v>
      </c>
      <c r="CI555" s="1" t="s">
        <v>129</v>
      </c>
      <c r="CJ555">
        <v>0.4</v>
      </c>
      <c r="CK555">
        <v>3</v>
      </c>
      <c r="CL555">
        <v>2.8</v>
      </c>
      <c r="CM555">
        <v>82</v>
      </c>
      <c r="CN555" s="1" t="s">
        <v>930</v>
      </c>
      <c r="CO555" s="1" t="s">
        <v>930</v>
      </c>
      <c r="CP555">
        <v>79</v>
      </c>
      <c r="CQ555" s="1" t="s">
        <v>5780</v>
      </c>
      <c r="CR555" s="1" t="s">
        <v>5781</v>
      </c>
      <c r="CS555" s="1" t="s">
        <v>5782</v>
      </c>
      <c r="CT555" s="1" t="s">
        <v>5783</v>
      </c>
      <c r="CU555" s="1" t="s">
        <v>4861</v>
      </c>
      <c r="CV555" s="1" t="s">
        <v>5784</v>
      </c>
      <c r="CW555">
        <v>69.2</v>
      </c>
      <c r="CX555">
        <v>72</v>
      </c>
      <c r="CY555">
        <v>73.599999999999994</v>
      </c>
      <c r="CZ555" s="1" t="s">
        <v>1406</v>
      </c>
      <c r="DA555">
        <v>1</v>
      </c>
      <c r="DB555" t="s">
        <v>226</v>
      </c>
      <c r="DC555">
        <v>86</v>
      </c>
      <c r="DD555">
        <v>92.415877788069196</v>
      </c>
      <c r="DE555">
        <v>-6.4158777880691904</v>
      </c>
      <c r="DF555" t="e">
        <f>_xlfn.XLOOKUP(Table1[[#This Row],[Player ID]],Table2[feed_id],Table2[trade_status])</f>
        <v>#N/A</v>
      </c>
      <c r="DG555">
        <f>_xlfn.NUMBERVALUE(Table1[[#This Row],[predicted]])</f>
        <v>92.415877788069196</v>
      </c>
    </row>
    <row r="556" spans="1:111" hidden="1" x14ac:dyDescent="0.25">
      <c r="A556">
        <v>130218</v>
      </c>
      <c r="B556">
        <v>8998</v>
      </c>
      <c r="C556" t="s">
        <v>5785</v>
      </c>
      <c r="D556" t="s">
        <v>4907</v>
      </c>
      <c r="E556">
        <v>2024</v>
      </c>
      <c r="F556">
        <v>1003520</v>
      </c>
      <c r="G556" t="s">
        <v>5786</v>
      </c>
      <c r="H556" t="s">
        <v>3098</v>
      </c>
      <c r="I556" t="s">
        <v>201</v>
      </c>
      <c r="J556">
        <v>1</v>
      </c>
      <c r="K556">
        <v>22</v>
      </c>
      <c r="L556">
        <v>28</v>
      </c>
      <c r="M556">
        <v>30</v>
      </c>
      <c r="N556">
        <v>15</v>
      </c>
      <c r="O556">
        <v>21</v>
      </c>
      <c r="P556">
        <v>5</v>
      </c>
      <c r="Q556">
        <v>0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113</v>
      </c>
      <c r="Z556" t="s">
        <v>179</v>
      </c>
      <c r="AA556" t="s">
        <v>5787</v>
      </c>
      <c r="AH556" t="s">
        <v>181</v>
      </c>
      <c r="AI556">
        <v>41</v>
      </c>
      <c r="AJ556">
        <v>0</v>
      </c>
      <c r="AK556">
        <v>0</v>
      </c>
      <c r="AL556">
        <v>0</v>
      </c>
      <c r="AM556">
        <v>0.49</v>
      </c>
      <c r="AN556">
        <v>0.12</v>
      </c>
      <c r="AO556">
        <v>0.19</v>
      </c>
      <c r="AS556">
        <v>0</v>
      </c>
      <c r="AT556">
        <v>0</v>
      </c>
      <c r="AU556">
        <v>0</v>
      </c>
      <c r="AV556">
        <v>80</v>
      </c>
      <c r="AW556">
        <v>95</v>
      </c>
      <c r="AX556">
        <v>81</v>
      </c>
      <c r="AY556">
        <v>0</v>
      </c>
      <c r="AZ556" t="b">
        <v>0</v>
      </c>
      <c r="BA556">
        <v>1569</v>
      </c>
      <c r="BB556">
        <v>1720</v>
      </c>
      <c r="BC556">
        <v>25</v>
      </c>
      <c r="BD556" t="s">
        <v>5788</v>
      </c>
      <c r="BE556">
        <v>100</v>
      </c>
      <c r="BF556">
        <v>0</v>
      </c>
      <c r="BG556">
        <v>70</v>
      </c>
      <c r="BH556">
        <v>0</v>
      </c>
      <c r="BI556" s="1" t="s">
        <v>253</v>
      </c>
      <c r="BJ556" s="1" t="s">
        <v>448</v>
      </c>
      <c r="BK556" s="1" t="s">
        <v>159</v>
      </c>
      <c r="BL556" s="1" t="s">
        <v>322</v>
      </c>
      <c r="BM556" s="1" t="s">
        <v>160</v>
      </c>
      <c r="BN556" s="1" t="s">
        <v>212</v>
      </c>
      <c r="BO556" s="1" t="s">
        <v>128</v>
      </c>
      <c r="BP556" s="1" t="s">
        <v>238</v>
      </c>
      <c r="BQ556">
        <v>0</v>
      </c>
      <c r="BR556" s="1" t="s">
        <v>184</v>
      </c>
      <c r="BS556">
        <v>0</v>
      </c>
      <c r="BT556" s="1" t="s">
        <v>238</v>
      </c>
      <c r="BU556" s="1" t="s">
        <v>128</v>
      </c>
      <c r="BV556" s="1" t="s">
        <v>298</v>
      </c>
      <c r="BW556">
        <v>0</v>
      </c>
      <c r="BX556">
        <v>0</v>
      </c>
      <c r="BY556">
        <v>0</v>
      </c>
      <c r="BZ556">
        <v>0</v>
      </c>
      <c r="CA556">
        <v>0.49</v>
      </c>
      <c r="CB556" s="1" t="s">
        <v>3252</v>
      </c>
      <c r="CC556">
        <v>0.12</v>
      </c>
      <c r="CD556" s="1" t="s">
        <v>5789</v>
      </c>
      <c r="CE556">
        <v>0.19</v>
      </c>
      <c r="CF556" s="1" t="s">
        <v>2228</v>
      </c>
      <c r="CG556" s="1" t="s">
        <v>138</v>
      </c>
      <c r="CH556" s="1" t="s">
        <v>138</v>
      </c>
      <c r="CI556">
        <v>0</v>
      </c>
      <c r="CJ556">
        <v>6.6666666666666596E-2</v>
      </c>
      <c r="CK556" s="1" t="s">
        <v>169</v>
      </c>
      <c r="CL556" s="1" t="s">
        <v>170</v>
      </c>
      <c r="CM556" s="1" t="s">
        <v>755</v>
      </c>
      <c r="CN556">
        <v>77.2</v>
      </c>
      <c r="CO556">
        <v>95</v>
      </c>
      <c r="CP556">
        <v>87.6</v>
      </c>
      <c r="CQ556" s="1" t="s">
        <v>5790</v>
      </c>
      <c r="CR556" s="1" t="s">
        <v>5791</v>
      </c>
      <c r="CS556">
        <v>1646</v>
      </c>
      <c r="CT556" s="1" t="s">
        <v>1389</v>
      </c>
      <c r="CU556">
        <v>1642</v>
      </c>
      <c r="CV556" s="1" t="s">
        <v>837</v>
      </c>
      <c r="CW556">
        <v>46.7</v>
      </c>
      <c r="CX556">
        <v>47.4</v>
      </c>
      <c r="CY556">
        <v>51.2</v>
      </c>
      <c r="CZ556" s="1" t="s">
        <v>825</v>
      </c>
      <c r="DA556">
        <v>1</v>
      </c>
      <c r="DB556" t="s">
        <v>179</v>
      </c>
      <c r="DC556">
        <v>28</v>
      </c>
      <c r="DD556" s="1" t="s">
        <v>5792</v>
      </c>
      <c r="DE556">
        <v>-13.978368281687199</v>
      </c>
      <c r="DF556" t="str">
        <f>_xlfn.XLOOKUP(Table1[[#This Row],[Player ID]],Table2[feed_id],Table2[trade_status])</f>
        <v>free_agent</v>
      </c>
      <c r="DG556">
        <f>_xlfn.NUMBERVALUE(Table1[[#This Row],[predicted]])</f>
        <v>41.978368281687203</v>
      </c>
    </row>
    <row r="557" spans="1:111" hidden="1" x14ac:dyDescent="0.25">
      <c r="A557">
        <v>130223</v>
      </c>
      <c r="B557">
        <v>8998</v>
      </c>
      <c r="C557" t="s">
        <v>5785</v>
      </c>
      <c r="D557" t="s">
        <v>4907</v>
      </c>
      <c r="E557">
        <v>2024</v>
      </c>
      <c r="F557">
        <v>290629</v>
      </c>
      <c r="G557" t="s">
        <v>5793</v>
      </c>
      <c r="H557" t="s">
        <v>5794</v>
      </c>
      <c r="I557" t="s">
        <v>619</v>
      </c>
      <c r="J557">
        <v>15</v>
      </c>
      <c r="K557">
        <v>102</v>
      </c>
      <c r="L557">
        <v>116</v>
      </c>
      <c r="M557">
        <v>55</v>
      </c>
      <c r="N557">
        <v>84</v>
      </c>
      <c r="O557">
        <v>120</v>
      </c>
      <c r="P557">
        <v>18</v>
      </c>
      <c r="Q557">
        <v>16</v>
      </c>
      <c r="R557">
        <v>5</v>
      </c>
      <c r="S557">
        <v>1</v>
      </c>
      <c r="T557">
        <v>0</v>
      </c>
      <c r="U557">
        <v>0</v>
      </c>
      <c r="V557">
        <v>1</v>
      </c>
      <c r="W557">
        <v>0</v>
      </c>
      <c r="X557">
        <v>0</v>
      </c>
      <c r="Y557" t="s">
        <v>113</v>
      </c>
      <c r="Z557" t="s">
        <v>250</v>
      </c>
      <c r="AA557" t="s">
        <v>225</v>
      </c>
      <c r="AB557" t="s">
        <v>525</v>
      </c>
      <c r="AC557" t="s">
        <v>3690</v>
      </c>
      <c r="AE557">
        <v>0</v>
      </c>
      <c r="AH557" t="s">
        <v>181</v>
      </c>
      <c r="AI557">
        <v>21</v>
      </c>
      <c r="AJ557">
        <v>21</v>
      </c>
      <c r="AK557">
        <v>102.76</v>
      </c>
      <c r="AL557">
        <v>0</v>
      </c>
      <c r="AM557">
        <v>0</v>
      </c>
      <c r="AN557">
        <v>7.0000000000000007E-2</v>
      </c>
      <c r="AO557">
        <v>0.17</v>
      </c>
      <c r="AS557">
        <v>9</v>
      </c>
      <c r="AT557">
        <v>1</v>
      </c>
      <c r="AU557">
        <v>1</v>
      </c>
      <c r="AV557">
        <v>85</v>
      </c>
      <c r="AW557">
        <v>86</v>
      </c>
      <c r="AX557">
        <v>475</v>
      </c>
      <c r="AY557">
        <v>0</v>
      </c>
      <c r="AZ557" t="b">
        <v>0</v>
      </c>
      <c r="BA557">
        <v>1720</v>
      </c>
      <c r="BB557">
        <v>1569</v>
      </c>
      <c r="BC557">
        <v>25</v>
      </c>
      <c r="BD557" t="s">
        <v>5795</v>
      </c>
      <c r="BE557">
        <v>100</v>
      </c>
      <c r="BF557">
        <v>1</v>
      </c>
      <c r="BG557">
        <v>70</v>
      </c>
      <c r="BH557">
        <v>1</v>
      </c>
      <c r="BI557" s="1" t="s">
        <v>356</v>
      </c>
      <c r="BJ557" s="1" t="s">
        <v>879</v>
      </c>
      <c r="BK557" s="1" t="s">
        <v>1829</v>
      </c>
      <c r="BL557">
        <v>10.8</v>
      </c>
      <c r="BM557">
        <v>4</v>
      </c>
      <c r="BN557">
        <v>5.2</v>
      </c>
      <c r="BO557" s="1" t="s">
        <v>126</v>
      </c>
      <c r="BP557" s="1" t="s">
        <v>304</v>
      </c>
      <c r="BQ557">
        <v>0</v>
      </c>
      <c r="BR557">
        <v>0</v>
      </c>
      <c r="BS557" s="1" t="s">
        <v>129</v>
      </c>
      <c r="BT557" s="1" t="s">
        <v>130</v>
      </c>
      <c r="BU557" s="1" t="s">
        <v>161</v>
      </c>
      <c r="BV557" s="1" t="s">
        <v>128</v>
      </c>
      <c r="BW557">
        <v>0</v>
      </c>
      <c r="BX557">
        <v>6.6666666666666596E-2</v>
      </c>
      <c r="BY557">
        <v>0</v>
      </c>
      <c r="BZ557">
        <v>0</v>
      </c>
      <c r="CA557">
        <v>0</v>
      </c>
      <c r="CB557">
        <v>0</v>
      </c>
      <c r="CC557">
        <v>7.0000000000000007E-2</v>
      </c>
      <c r="CD557">
        <v>7.0000000000000007E-2</v>
      </c>
      <c r="CE557">
        <v>0.17</v>
      </c>
      <c r="CF557">
        <v>0.17</v>
      </c>
      <c r="CG557">
        <v>7</v>
      </c>
      <c r="CH557" s="1" t="s">
        <v>343</v>
      </c>
      <c r="CI557" s="1" t="s">
        <v>129</v>
      </c>
      <c r="CJ557" s="1" t="s">
        <v>399</v>
      </c>
      <c r="CK557">
        <v>2</v>
      </c>
      <c r="CL557" s="1" t="s">
        <v>161</v>
      </c>
      <c r="CM557">
        <v>78</v>
      </c>
      <c r="CN557" s="1" t="s">
        <v>2696</v>
      </c>
      <c r="CO557" s="1" t="s">
        <v>516</v>
      </c>
      <c r="CP557">
        <v>79.8</v>
      </c>
      <c r="CQ557">
        <v>315</v>
      </c>
      <c r="CR557" s="1" t="s">
        <v>5796</v>
      </c>
      <c r="CS557">
        <v>1540</v>
      </c>
      <c r="CT557">
        <v>1674</v>
      </c>
      <c r="CU557">
        <v>1738</v>
      </c>
      <c r="CV557" s="1" t="s">
        <v>5797</v>
      </c>
      <c r="CW557">
        <v>86.7</v>
      </c>
      <c r="CX557">
        <v>82.9</v>
      </c>
      <c r="CY557">
        <v>82.8</v>
      </c>
      <c r="CZ557" s="1" t="s">
        <v>1491</v>
      </c>
      <c r="DA557">
        <v>1</v>
      </c>
      <c r="DB557" t="s">
        <v>250</v>
      </c>
      <c r="DC557">
        <v>116</v>
      </c>
      <c r="DD557" s="1" t="s">
        <v>5798</v>
      </c>
      <c r="DE557" s="1" t="s">
        <v>5799</v>
      </c>
      <c r="DF557" t="e">
        <f>_xlfn.XLOOKUP(Table1[[#This Row],[Player ID]],Table2[feed_id],Table2[trade_status])</f>
        <v>#N/A</v>
      </c>
      <c r="DG557">
        <f>_xlfn.NUMBERVALUE(Table1[[#This Row],[predicted]])</f>
        <v>81.768591362006205</v>
      </c>
    </row>
    <row r="558" spans="1:111" hidden="1" x14ac:dyDescent="0.25">
      <c r="A558">
        <v>130224</v>
      </c>
      <c r="B558">
        <v>8998</v>
      </c>
      <c r="C558" t="s">
        <v>5785</v>
      </c>
      <c r="D558" t="s">
        <v>4907</v>
      </c>
      <c r="E558">
        <v>2024</v>
      </c>
      <c r="F558">
        <v>993817</v>
      </c>
      <c r="G558" t="s">
        <v>3105</v>
      </c>
      <c r="H558" t="s">
        <v>5800</v>
      </c>
      <c r="I558" t="s">
        <v>619</v>
      </c>
      <c r="J558">
        <v>24</v>
      </c>
      <c r="K558">
        <v>100</v>
      </c>
      <c r="L558">
        <v>81</v>
      </c>
      <c r="M558">
        <v>78</v>
      </c>
      <c r="N558">
        <v>80</v>
      </c>
      <c r="O558">
        <v>109</v>
      </c>
      <c r="P558">
        <v>12</v>
      </c>
      <c r="Q558">
        <v>14</v>
      </c>
      <c r="R558">
        <v>6</v>
      </c>
      <c r="S558">
        <v>4</v>
      </c>
      <c r="T558">
        <v>0</v>
      </c>
      <c r="U558">
        <v>1</v>
      </c>
      <c r="V558">
        <v>0</v>
      </c>
      <c r="W558">
        <v>0</v>
      </c>
      <c r="X558">
        <v>1</v>
      </c>
      <c r="Y558" t="s">
        <v>113</v>
      </c>
      <c r="Z558" t="s">
        <v>339</v>
      </c>
      <c r="AA558" t="s">
        <v>860</v>
      </c>
      <c r="AB558" t="s">
        <v>877</v>
      </c>
      <c r="AC558" t="s">
        <v>2816</v>
      </c>
      <c r="AE558">
        <v>0</v>
      </c>
      <c r="AH558" t="s">
        <v>118</v>
      </c>
      <c r="AI558">
        <v>3</v>
      </c>
      <c r="AJ558">
        <v>14</v>
      </c>
      <c r="AK558">
        <v>73.64</v>
      </c>
      <c r="AL558">
        <v>0</v>
      </c>
      <c r="AM558">
        <v>0</v>
      </c>
      <c r="AN558">
        <v>1.51</v>
      </c>
      <c r="AO558">
        <v>1.1000000000000001</v>
      </c>
      <c r="AS558">
        <v>9</v>
      </c>
      <c r="AT558">
        <v>6</v>
      </c>
      <c r="AU558">
        <v>4</v>
      </c>
      <c r="AV558">
        <v>53</v>
      </c>
      <c r="AW558">
        <v>80</v>
      </c>
      <c r="AX558">
        <v>374</v>
      </c>
      <c r="AY558">
        <v>0</v>
      </c>
      <c r="AZ558" t="b">
        <v>0</v>
      </c>
      <c r="BA558">
        <v>1720</v>
      </c>
      <c r="BB558">
        <v>1569</v>
      </c>
      <c r="BC558">
        <v>25</v>
      </c>
      <c r="BD558" t="s">
        <v>5795</v>
      </c>
      <c r="BE558">
        <v>100</v>
      </c>
      <c r="BF558">
        <v>0</v>
      </c>
      <c r="BG558">
        <v>70</v>
      </c>
      <c r="BH558">
        <v>1</v>
      </c>
      <c r="BI558" s="1" t="s">
        <v>121</v>
      </c>
      <c r="BJ558" s="1" t="s">
        <v>5801</v>
      </c>
      <c r="BK558">
        <v>13</v>
      </c>
      <c r="BL558">
        <v>13</v>
      </c>
      <c r="BM558" s="1" t="s">
        <v>124</v>
      </c>
      <c r="BN558" s="1" t="s">
        <v>436</v>
      </c>
      <c r="BO558">
        <v>4</v>
      </c>
      <c r="BP558" s="1" t="s">
        <v>499</v>
      </c>
      <c r="BQ558">
        <v>0</v>
      </c>
      <c r="BR558">
        <v>0</v>
      </c>
      <c r="BS558" s="1" t="s">
        <v>129</v>
      </c>
      <c r="BT558" s="1" t="s">
        <v>238</v>
      </c>
      <c r="BU558" s="1" t="s">
        <v>129</v>
      </c>
      <c r="BV558" s="1" t="s">
        <v>162</v>
      </c>
      <c r="BW558">
        <v>0</v>
      </c>
      <c r="BX558" s="1" t="s">
        <v>213</v>
      </c>
      <c r="BY558" s="1" t="s">
        <v>129</v>
      </c>
      <c r="BZ558" s="1" t="s">
        <v>129</v>
      </c>
      <c r="CA558">
        <v>0</v>
      </c>
      <c r="CB558">
        <v>0</v>
      </c>
      <c r="CC558">
        <v>1.51</v>
      </c>
      <c r="CD558">
        <v>1.73</v>
      </c>
      <c r="CE558">
        <v>1.1000000000000001</v>
      </c>
      <c r="CF558" s="1" t="s">
        <v>5802</v>
      </c>
      <c r="CG558">
        <v>10</v>
      </c>
      <c r="CH558" s="1" t="s">
        <v>1587</v>
      </c>
      <c r="CI558" s="1" t="s">
        <v>160</v>
      </c>
      <c r="CJ558" s="1" t="s">
        <v>436</v>
      </c>
      <c r="CK558" s="1" t="s">
        <v>138</v>
      </c>
      <c r="CL558" s="1" t="s">
        <v>640</v>
      </c>
      <c r="CM558" s="1" t="s">
        <v>1979</v>
      </c>
      <c r="CN558" s="1" t="s">
        <v>1354</v>
      </c>
      <c r="CO558" s="1" t="s">
        <v>241</v>
      </c>
      <c r="CP558" s="1" t="s">
        <v>3208</v>
      </c>
      <c r="CQ558" s="1" t="s">
        <v>5803</v>
      </c>
      <c r="CR558">
        <v>366.2</v>
      </c>
      <c r="CS558">
        <v>1664</v>
      </c>
      <c r="CT558" s="1" t="s">
        <v>5804</v>
      </c>
      <c r="CU558" s="1" t="s">
        <v>469</v>
      </c>
      <c r="CV558">
        <v>1636</v>
      </c>
      <c r="CW558">
        <v>96.95</v>
      </c>
      <c r="CX558">
        <v>92</v>
      </c>
      <c r="CY558">
        <v>87.8</v>
      </c>
      <c r="CZ558" s="1" t="s">
        <v>554</v>
      </c>
      <c r="DA558">
        <v>1</v>
      </c>
      <c r="DB558" t="s">
        <v>339</v>
      </c>
      <c r="DC558">
        <v>81</v>
      </c>
      <c r="DD558" s="1" t="s">
        <v>5805</v>
      </c>
      <c r="DE558">
        <v>-13.7066387800693</v>
      </c>
      <c r="DF558" t="e">
        <f>_xlfn.XLOOKUP(Table1[[#This Row],[Player ID]],Table2[feed_id],Table2[trade_status])</f>
        <v>#N/A</v>
      </c>
      <c r="DG558">
        <f>_xlfn.NUMBERVALUE(Table1[[#This Row],[predicted]])</f>
        <v>94.706638780069298</v>
      </c>
    </row>
    <row r="559" spans="1:111" hidden="1" x14ac:dyDescent="0.25">
      <c r="A559">
        <v>130228</v>
      </c>
      <c r="B559">
        <v>8998</v>
      </c>
      <c r="C559" t="s">
        <v>5785</v>
      </c>
      <c r="D559" t="s">
        <v>4907</v>
      </c>
      <c r="E559">
        <v>2024</v>
      </c>
      <c r="F559">
        <v>298280</v>
      </c>
      <c r="G559" t="s">
        <v>5806</v>
      </c>
      <c r="H559" t="s">
        <v>5807</v>
      </c>
      <c r="I559" t="s">
        <v>619</v>
      </c>
      <c r="J559">
        <v>13</v>
      </c>
      <c r="K559">
        <v>87</v>
      </c>
      <c r="L559">
        <v>74</v>
      </c>
      <c r="M559">
        <v>54</v>
      </c>
      <c r="N559">
        <v>71</v>
      </c>
      <c r="O559">
        <v>93</v>
      </c>
      <c r="P559">
        <v>14</v>
      </c>
      <c r="Q559">
        <v>9</v>
      </c>
      <c r="R559">
        <v>7</v>
      </c>
      <c r="S559">
        <v>1</v>
      </c>
      <c r="T559">
        <v>0</v>
      </c>
      <c r="U559">
        <v>2</v>
      </c>
      <c r="V559">
        <v>0</v>
      </c>
      <c r="W559">
        <v>0</v>
      </c>
      <c r="X559">
        <v>0</v>
      </c>
      <c r="Y559" t="s">
        <v>113</v>
      </c>
      <c r="Z559" t="s">
        <v>179</v>
      </c>
      <c r="AA559" t="s">
        <v>5808</v>
      </c>
      <c r="AE559">
        <v>0</v>
      </c>
      <c r="AH559" t="s">
        <v>181</v>
      </c>
      <c r="AI559">
        <v>15</v>
      </c>
      <c r="AJ559">
        <v>6</v>
      </c>
      <c r="AK559">
        <v>55.5</v>
      </c>
      <c r="AL559">
        <v>0</v>
      </c>
      <c r="AM559">
        <v>0</v>
      </c>
      <c r="AN559">
        <v>7.0000000000000007E-2</v>
      </c>
      <c r="AO559">
        <v>0.08</v>
      </c>
      <c r="AS559">
        <v>5</v>
      </c>
      <c r="AT559">
        <v>0</v>
      </c>
      <c r="AU559">
        <v>3</v>
      </c>
      <c r="AV559">
        <v>82</v>
      </c>
      <c r="AW559">
        <v>97</v>
      </c>
      <c r="AX559">
        <v>263</v>
      </c>
      <c r="AY559">
        <v>0</v>
      </c>
      <c r="AZ559" t="b">
        <v>0</v>
      </c>
      <c r="BA559">
        <v>1720</v>
      </c>
      <c r="BB559">
        <v>1569</v>
      </c>
      <c r="BC559">
        <v>25</v>
      </c>
      <c r="BD559" t="s">
        <v>5795</v>
      </c>
      <c r="BE559">
        <v>100</v>
      </c>
      <c r="BF559">
        <v>0</v>
      </c>
      <c r="BG559">
        <v>70</v>
      </c>
      <c r="BH559">
        <v>1</v>
      </c>
      <c r="BI559" s="1" t="s">
        <v>356</v>
      </c>
      <c r="BJ559">
        <v>10</v>
      </c>
      <c r="BK559" s="1" t="s">
        <v>1008</v>
      </c>
      <c r="BL559" s="1" t="s">
        <v>624</v>
      </c>
      <c r="BM559" s="1" t="s">
        <v>545</v>
      </c>
      <c r="BN559" s="1" t="s">
        <v>343</v>
      </c>
      <c r="BO559">
        <v>2</v>
      </c>
      <c r="BP559">
        <v>1.6</v>
      </c>
      <c r="BQ559">
        <v>0</v>
      </c>
      <c r="BR559">
        <v>0</v>
      </c>
      <c r="BS559" s="1" t="s">
        <v>161</v>
      </c>
      <c r="BT559">
        <v>1</v>
      </c>
      <c r="BU559">
        <v>0</v>
      </c>
      <c r="BV559" s="1" t="s">
        <v>399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7.0000000000000007E-2</v>
      </c>
      <c r="CD559">
        <v>7.0000000000000007E-2</v>
      </c>
      <c r="CE559">
        <v>0.08</v>
      </c>
      <c r="CF559">
        <v>0.08</v>
      </c>
      <c r="CG559" s="1" t="s">
        <v>397</v>
      </c>
      <c r="CH559" s="1" t="s">
        <v>205</v>
      </c>
      <c r="CI559" s="1" t="s">
        <v>129</v>
      </c>
      <c r="CJ559" s="1" t="s">
        <v>213</v>
      </c>
      <c r="CK559" s="1" t="s">
        <v>169</v>
      </c>
      <c r="CL559">
        <v>2.8</v>
      </c>
      <c r="CM559">
        <v>89</v>
      </c>
      <c r="CN559">
        <v>81.599999999999994</v>
      </c>
      <c r="CO559" s="1" t="s">
        <v>1028</v>
      </c>
      <c r="CP559" s="1" t="s">
        <v>4184</v>
      </c>
      <c r="CQ559" s="1" t="s">
        <v>5809</v>
      </c>
      <c r="CR559" s="1" t="s">
        <v>5810</v>
      </c>
      <c r="CS559">
        <v>1664</v>
      </c>
      <c r="CT559" s="1" t="s">
        <v>5811</v>
      </c>
      <c r="CU559" s="1" t="s">
        <v>469</v>
      </c>
      <c r="CV559" s="1" t="s">
        <v>5812</v>
      </c>
      <c r="CW559">
        <v>67.95</v>
      </c>
      <c r="CX559">
        <v>70.8</v>
      </c>
      <c r="CY559">
        <v>70.2</v>
      </c>
      <c r="CZ559" s="1" t="s">
        <v>630</v>
      </c>
      <c r="DA559">
        <v>1</v>
      </c>
      <c r="DB559" t="s">
        <v>179</v>
      </c>
      <c r="DC559">
        <v>74</v>
      </c>
      <c r="DD559" s="1" t="s">
        <v>5813</v>
      </c>
      <c r="DE559" s="1" t="s">
        <v>5814</v>
      </c>
      <c r="DF559" t="str">
        <f>_xlfn.XLOOKUP(Table1[[#This Row],[Player ID]],Table2[feed_id],Table2[trade_status])</f>
        <v>free_agent</v>
      </c>
      <c r="DG559">
        <f>_xlfn.NUMBERVALUE(Table1[[#This Row],[predicted]])</f>
        <v>62.878794677190598</v>
      </c>
    </row>
    <row r="560" spans="1:111" hidden="1" x14ac:dyDescent="0.25">
      <c r="A560">
        <v>130233</v>
      </c>
      <c r="B560">
        <v>8998</v>
      </c>
      <c r="C560" t="s">
        <v>5785</v>
      </c>
      <c r="D560" t="s">
        <v>4907</v>
      </c>
      <c r="E560">
        <v>2024</v>
      </c>
      <c r="F560">
        <v>297473</v>
      </c>
      <c r="G560" t="s">
        <v>1235</v>
      </c>
      <c r="H560" t="s">
        <v>1786</v>
      </c>
      <c r="I560" t="s">
        <v>619</v>
      </c>
      <c r="J560">
        <v>10</v>
      </c>
      <c r="K560">
        <v>66</v>
      </c>
      <c r="L560">
        <v>67</v>
      </c>
      <c r="M560">
        <v>44</v>
      </c>
      <c r="N560">
        <v>56</v>
      </c>
      <c r="O560">
        <v>81</v>
      </c>
      <c r="P560">
        <v>10</v>
      </c>
      <c r="Q560">
        <v>11</v>
      </c>
      <c r="R560">
        <v>4</v>
      </c>
      <c r="S560">
        <v>2</v>
      </c>
      <c r="T560">
        <v>0</v>
      </c>
      <c r="U560">
        <v>0</v>
      </c>
      <c r="V560">
        <v>2</v>
      </c>
      <c r="W560">
        <v>0</v>
      </c>
      <c r="X560">
        <v>0</v>
      </c>
      <c r="Y560" t="s">
        <v>113</v>
      </c>
      <c r="Z560" t="s">
        <v>226</v>
      </c>
      <c r="AA560" t="s">
        <v>5815</v>
      </c>
      <c r="AE560">
        <v>0</v>
      </c>
      <c r="AH560" t="s">
        <v>181</v>
      </c>
      <c r="AI560">
        <v>29</v>
      </c>
      <c r="AJ560">
        <v>18</v>
      </c>
      <c r="AK560">
        <v>64.72</v>
      </c>
      <c r="AL560">
        <v>0</v>
      </c>
      <c r="AM560">
        <v>0</v>
      </c>
      <c r="AN560">
        <v>0.09</v>
      </c>
      <c r="AO560">
        <v>0.11</v>
      </c>
      <c r="AS560">
        <v>4</v>
      </c>
      <c r="AT560">
        <v>0</v>
      </c>
      <c r="AU560">
        <v>6</v>
      </c>
      <c r="AV560">
        <v>85</v>
      </c>
      <c r="AW560">
        <v>87</v>
      </c>
      <c r="AX560">
        <v>238</v>
      </c>
      <c r="AY560">
        <v>0</v>
      </c>
      <c r="AZ560" t="b">
        <v>0</v>
      </c>
      <c r="BA560">
        <v>1720</v>
      </c>
      <c r="BB560">
        <v>1569</v>
      </c>
      <c r="BC560">
        <v>25</v>
      </c>
      <c r="BD560" t="s">
        <v>5795</v>
      </c>
      <c r="BE560">
        <v>100</v>
      </c>
      <c r="BF560">
        <v>0</v>
      </c>
      <c r="BG560">
        <v>70</v>
      </c>
      <c r="BH560">
        <v>0</v>
      </c>
      <c r="BI560" s="1" t="s">
        <v>253</v>
      </c>
      <c r="BJ560" s="1" t="s">
        <v>879</v>
      </c>
      <c r="BK560" s="1" t="s">
        <v>204</v>
      </c>
      <c r="BL560" s="1" t="s">
        <v>205</v>
      </c>
      <c r="BM560">
        <v>4</v>
      </c>
      <c r="BN560" s="1" t="s">
        <v>898</v>
      </c>
      <c r="BO560">
        <v>1</v>
      </c>
      <c r="BP560" s="1" t="s">
        <v>126</v>
      </c>
      <c r="BQ560">
        <v>0</v>
      </c>
      <c r="BR560">
        <v>0</v>
      </c>
      <c r="BS560" s="1" t="s">
        <v>129</v>
      </c>
      <c r="BT560" s="1" t="s">
        <v>129</v>
      </c>
      <c r="BU560">
        <v>1</v>
      </c>
      <c r="BV560" s="1" t="s">
        <v>238</v>
      </c>
      <c r="BW560">
        <v>0</v>
      </c>
      <c r="BX560">
        <v>6.6666666666666596E-2</v>
      </c>
      <c r="BY560">
        <v>0</v>
      </c>
      <c r="BZ560">
        <v>0</v>
      </c>
      <c r="CA560">
        <v>0</v>
      </c>
      <c r="CB560">
        <v>0</v>
      </c>
      <c r="CC560">
        <v>0.09</v>
      </c>
      <c r="CD560">
        <v>0.09</v>
      </c>
      <c r="CE560">
        <v>0.11</v>
      </c>
      <c r="CF560">
        <v>0.11</v>
      </c>
      <c r="CG560" s="1" t="s">
        <v>159</v>
      </c>
      <c r="CH560" s="1" t="s">
        <v>528</v>
      </c>
      <c r="CI560">
        <v>0</v>
      </c>
      <c r="CJ560">
        <v>0.2</v>
      </c>
      <c r="CK560">
        <v>3</v>
      </c>
      <c r="CL560" s="1" t="s">
        <v>375</v>
      </c>
      <c r="CM560" s="1" t="s">
        <v>1110</v>
      </c>
      <c r="CN560" s="1" t="s">
        <v>4490</v>
      </c>
      <c r="CO560" s="1" t="s">
        <v>1491</v>
      </c>
      <c r="CP560" s="1" t="s">
        <v>3558</v>
      </c>
      <c r="CQ560" s="1" t="s">
        <v>5224</v>
      </c>
      <c r="CR560">
        <v>205.4</v>
      </c>
      <c r="CS560">
        <v>1664</v>
      </c>
      <c r="CT560" s="1" t="s">
        <v>5816</v>
      </c>
      <c r="CU560" s="1" t="s">
        <v>469</v>
      </c>
      <c r="CV560" s="1" t="s">
        <v>5817</v>
      </c>
      <c r="CW560">
        <v>62.95</v>
      </c>
      <c r="CX560">
        <v>55.6</v>
      </c>
      <c r="CY560">
        <v>51</v>
      </c>
      <c r="CZ560" s="1" t="s">
        <v>1245</v>
      </c>
      <c r="DA560">
        <v>1</v>
      </c>
      <c r="DB560" t="s">
        <v>226</v>
      </c>
      <c r="DC560">
        <v>67</v>
      </c>
      <c r="DD560" s="1" t="s">
        <v>5818</v>
      </c>
      <c r="DE560">
        <v>-19.497541035446901</v>
      </c>
      <c r="DF560" t="e">
        <f>_xlfn.XLOOKUP(Table1[[#This Row],[Player ID]],Table2[feed_id],Table2[trade_status])</f>
        <v>#N/A</v>
      </c>
      <c r="DG560">
        <f>_xlfn.NUMBERVALUE(Table1[[#This Row],[predicted]])</f>
        <v>86.497541035446901</v>
      </c>
    </row>
    <row r="561" spans="1:111" hidden="1" x14ac:dyDescent="0.25">
      <c r="A561">
        <v>130256</v>
      </c>
      <c r="B561">
        <v>8999</v>
      </c>
      <c r="C561" t="s">
        <v>5819</v>
      </c>
      <c r="D561" t="s">
        <v>4907</v>
      </c>
      <c r="E561">
        <v>2024</v>
      </c>
      <c r="F561">
        <v>1016268</v>
      </c>
      <c r="G561" t="s">
        <v>1450</v>
      </c>
      <c r="H561" t="s">
        <v>5820</v>
      </c>
      <c r="I561" t="s">
        <v>249</v>
      </c>
      <c r="J561">
        <v>13</v>
      </c>
      <c r="K561">
        <v>58</v>
      </c>
      <c r="L561">
        <v>47</v>
      </c>
      <c r="M561">
        <v>73</v>
      </c>
      <c r="N561">
        <v>51</v>
      </c>
      <c r="O561">
        <v>69</v>
      </c>
      <c r="P561">
        <v>5</v>
      </c>
      <c r="Q561">
        <v>10</v>
      </c>
      <c r="R561">
        <v>6</v>
      </c>
      <c r="S561">
        <v>2</v>
      </c>
      <c r="T561">
        <v>0</v>
      </c>
      <c r="U561">
        <v>0</v>
      </c>
      <c r="V561">
        <v>1</v>
      </c>
      <c r="W561">
        <v>0</v>
      </c>
      <c r="X561">
        <v>0</v>
      </c>
      <c r="Y561" t="s">
        <v>113</v>
      </c>
      <c r="Z561" t="s">
        <v>226</v>
      </c>
      <c r="AA561" t="s">
        <v>5505</v>
      </c>
      <c r="AH561" t="s">
        <v>181</v>
      </c>
      <c r="AI561">
        <v>39</v>
      </c>
      <c r="AJ561">
        <v>0</v>
      </c>
      <c r="AK561">
        <v>0</v>
      </c>
      <c r="AL561">
        <v>0</v>
      </c>
      <c r="AM561">
        <v>0.09</v>
      </c>
      <c r="AN561">
        <v>0.3</v>
      </c>
      <c r="AO561">
        <v>0.36</v>
      </c>
      <c r="AS561">
        <v>3</v>
      </c>
      <c r="AT561">
        <v>1</v>
      </c>
      <c r="AU561">
        <v>3</v>
      </c>
      <c r="AV561">
        <v>80</v>
      </c>
      <c r="AW561">
        <v>79</v>
      </c>
      <c r="AX561">
        <v>164</v>
      </c>
      <c r="AY561">
        <v>1</v>
      </c>
      <c r="AZ561" t="b">
        <v>0</v>
      </c>
      <c r="BA561">
        <v>1539</v>
      </c>
      <c r="BB561">
        <v>1703</v>
      </c>
      <c r="BC561">
        <v>25</v>
      </c>
      <c r="BD561" t="s">
        <v>5821</v>
      </c>
      <c r="BE561">
        <v>100</v>
      </c>
      <c r="BF561">
        <v>0</v>
      </c>
      <c r="BG561">
        <v>70</v>
      </c>
      <c r="BH561">
        <v>0</v>
      </c>
      <c r="BI561" s="1" t="s">
        <v>160</v>
      </c>
      <c r="BJ561" s="1" t="s">
        <v>565</v>
      </c>
      <c r="BK561">
        <v>8</v>
      </c>
      <c r="BL561" s="1" t="s">
        <v>963</v>
      </c>
      <c r="BM561" s="1" t="s">
        <v>169</v>
      </c>
      <c r="BN561" s="1" t="s">
        <v>304</v>
      </c>
      <c r="BO561" s="1" t="s">
        <v>159</v>
      </c>
      <c r="BP561" s="1" t="s">
        <v>140</v>
      </c>
      <c r="BQ561">
        <v>0</v>
      </c>
      <c r="BR561">
        <v>0</v>
      </c>
      <c r="BS561" s="1" t="s">
        <v>128</v>
      </c>
      <c r="BT561">
        <v>0.4</v>
      </c>
      <c r="BU561" s="1" t="s">
        <v>129</v>
      </c>
      <c r="BV561" s="1" t="s">
        <v>238</v>
      </c>
      <c r="BW561">
        <v>0</v>
      </c>
      <c r="BX561" s="1" t="s">
        <v>238</v>
      </c>
      <c r="BY561">
        <v>0</v>
      </c>
      <c r="BZ561">
        <v>6.6666666666666596E-2</v>
      </c>
      <c r="CA561">
        <v>0.09</v>
      </c>
      <c r="CB561">
        <v>0.09</v>
      </c>
      <c r="CC561">
        <v>0.3</v>
      </c>
      <c r="CD561">
        <v>0.3</v>
      </c>
      <c r="CE561">
        <v>0.36</v>
      </c>
      <c r="CF561">
        <v>0.36</v>
      </c>
      <c r="CG561">
        <v>4</v>
      </c>
      <c r="CH561" s="1" t="s">
        <v>436</v>
      </c>
      <c r="CI561" s="1" t="s">
        <v>126</v>
      </c>
      <c r="CJ561" s="1" t="s">
        <v>298</v>
      </c>
      <c r="CK561" s="1" t="s">
        <v>161</v>
      </c>
      <c r="CL561" s="1" t="s">
        <v>327</v>
      </c>
      <c r="CM561" s="1" t="s">
        <v>437</v>
      </c>
      <c r="CN561">
        <v>73.8</v>
      </c>
      <c r="CO561" s="1" t="s">
        <v>1258</v>
      </c>
      <c r="CP561" s="1" t="s">
        <v>403</v>
      </c>
      <c r="CQ561">
        <v>130</v>
      </c>
      <c r="CR561" s="1" t="s">
        <v>4711</v>
      </c>
      <c r="CS561" s="1" t="s">
        <v>4129</v>
      </c>
      <c r="CT561" s="1" t="s">
        <v>2411</v>
      </c>
      <c r="CU561" s="1" t="s">
        <v>5822</v>
      </c>
      <c r="CV561">
        <v>1608.2</v>
      </c>
      <c r="CW561">
        <v>45.8</v>
      </c>
      <c r="CX561">
        <v>52.1</v>
      </c>
      <c r="CY561">
        <v>52.8</v>
      </c>
      <c r="CZ561">
        <v>52</v>
      </c>
      <c r="DA561">
        <v>1</v>
      </c>
      <c r="DB561" t="s">
        <v>226</v>
      </c>
      <c r="DC561">
        <v>47</v>
      </c>
      <c r="DD561" s="1" t="s">
        <v>5823</v>
      </c>
      <c r="DE561">
        <v>-28.903762768977501</v>
      </c>
      <c r="DF561" t="str">
        <f>_xlfn.XLOOKUP(Table1[[#This Row],[Player ID]],Table2[feed_id],Table2[trade_status])</f>
        <v>free_agent</v>
      </c>
      <c r="DG561">
        <f>_xlfn.NUMBERVALUE(Table1[[#This Row],[predicted]])</f>
        <v>75.903762768977501</v>
      </c>
    </row>
    <row r="562" spans="1:111" hidden="1" x14ac:dyDescent="0.25">
      <c r="A562">
        <v>130265</v>
      </c>
      <c r="B562">
        <v>8999</v>
      </c>
      <c r="C562" t="s">
        <v>5819</v>
      </c>
      <c r="D562" t="s">
        <v>4907</v>
      </c>
      <c r="E562">
        <v>2024</v>
      </c>
      <c r="F562">
        <v>1020137</v>
      </c>
      <c r="G562" t="s">
        <v>5824</v>
      </c>
      <c r="H562" t="s">
        <v>5825</v>
      </c>
      <c r="I562" t="s">
        <v>152</v>
      </c>
      <c r="J562">
        <v>37</v>
      </c>
      <c r="K562">
        <v>119</v>
      </c>
      <c r="L562">
        <v>80</v>
      </c>
      <c r="M562">
        <v>105</v>
      </c>
      <c r="N562">
        <v>88</v>
      </c>
      <c r="O562">
        <v>116</v>
      </c>
      <c r="P562">
        <v>13</v>
      </c>
      <c r="Q562">
        <v>7</v>
      </c>
      <c r="R562">
        <v>7</v>
      </c>
      <c r="S562">
        <v>9</v>
      </c>
      <c r="T562">
        <v>0</v>
      </c>
      <c r="U562">
        <v>1</v>
      </c>
      <c r="V562">
        <v>0</v>
      </c>
      <c r="W562">
        <v>1</v>
      </c>
      <c r="X562">
        <v>2</v>
      </c>
      <c r="Y562" t="s">
        <v>113</v>
      </c>
      <c r="Z562" t="s">
        <v>339</v>
      </c>
      <c r="AA562" t="s">
        <v>860</v>
      </c>
      <c r="AB562" t="s">
        <v>5826</v>
      </c>
      <c r="AC562" t="s">
        <v>5827</v>
      </c>
      <c r="AH562" t="s">
        <v>118</v>
      </c>
      <c r="AI562">
        <v>25</v>
      </c>
      <c r="AJ562">
        <v>0</v>
      </c>
      <c r="AK562">
        <v>0</v>
      </c>
      <c r="AL562">
        <v>0</v>
      </c>
      <c r="AM562">
        <v>0.62</v>
      </c>
      <c r="AN562">
        <v>1.1499999999999999</v>
      </c>
      <c r="AO562">
        <v>1.23</v>
      </c>
      <c r="AS562">
        <v>7</v>
      </c>
      <c r="AT562">
        <v>2</v>
      </c>
      <c r="AU562">
        <v>3</v>
      </c>
      <c r="AV562">
        <v>45</v>
      </c>
      <c r="AW562">
        <v>89</v>
      </c>
      <c r="AX562">
        <v>343</v>
      </c>
      <c r="AY562">
        <v>0</v>
      </c>
      <c r="AZ562" t="b">
        <v>0</v>
      </c>
      <c r="BA562">
        <v>1703</v>
      </c>
      <c r="BB562">
        <v>1539</v>
      </c>
      <c r="BC562">
        <v>25</v>
      </c>
      <c r="BD562" t="s">
        <v>5828</v>
      </c>
      <c r="BE562">
        <v>100</v>
      </c>
      <c r="BF562">
        <v>0</v>
      </c>
      <c r="BG562">
        <v>70</v>
      </c>
      <c r="BH562">
        <v>1</v>
      </c>
      <c r="BI562" s="1" t="s">
        <v>121</v>
      </c>
      <c r="BJ562">
        <v>7.8</v>
      </c>
      <c r="BK562">
        <v>8</v>
      </c>
      <c r="BL562">
        <v>6</v>
      </c>
      <c r="BM562" s="1" t="s">
        <v>211</v>
      </c>
      <c r="BN562" s="1" t="s">
        <v>373</v>
      </c>
      <c r="BO562">
        <v>7</v>
      </c>
      <c r="BP562" s="1" t="s">
        <v>138</v>
      </c>
      <c r="BQ562">
        <v>0</v>
      </c>
      <c r="BR562">
        <v>0</v>
      </c>
      <c r="BS562" s="1" t="s">
        <v>128</v>
      </c>
      <c r="BT562" s="1" t="s">
        <v>128</v>
      </c>
      <c r="BU562" s="1" t="s">
        <v>128</v>
      </c>
      <c r="BV562" s="1" t="s">
        <v>238</v>
      </c>
      <c r="BW562">
        <v>1</v>
      </c>
      <c r="BX562">
        <v>0.6</v>
      </c>
      <c r="BY562">
        <v>1</v>
      </c>
      <c r="BZ562" s="1" t="s">
        <v>238</v>
      </c>
      <c r="CA562">
        <v>0.62</v>
      </c>
      <c r="CB562" s="1" t="s">
        <v>5829</v>
      </c>
      <c r="CC562">
        <v>1.1499999999999999</v>
      </c>
      <c r="CD562" s="1" t="s">
        <v>5830</v>
      </c>
      <c r="CE562">
        <v>1.23</v>
      </c>
      <c r="CF562" s="1" t="s">
        <v>5831</v>
      </c>
      <c r="CG562" s="1" t="s">
        <v>977</v>
      </c>
      <c r="CH562" s="1" t="s">
        <v>374</v>
      </c>
      <c r="CI562">
        <v>4</v>
      </c>
      <c r="CJ562">
        <v>2.2000000000000002</v>
      </c>
      <c r="CK562" s="1" t="s">
        <v>125</v>
      </c>
      <c r="CL562" s="1" t="s">
        <v>373</v>
      </c>
      <c r="CM562">
        <v>58</v>
      </c>
      <c r="CN562" s="1" t="s">
        <v>333</v>
      </c>
      <c r="CO562" s="1" t="s">
        <v>1110</v>
      </c>
      <c r="CP562">
        <v>75</v>
      </c>
      <c r="CQ562">
        <v>328</v>
      </c>
      <c r="CR562">
        <v>229.4</v>
      </c>
      <c r="CS562">
        <v>1551</v>
      </c>
      <c r="CT562" s="1" t="s">
        <v>5832</v>
      </c>
      <c r="CU562" s="1" t="s">
        <v>5833</v>
      </c>
      <c r="CV562" s="1" t="s">
        <v>5834</v>
      </c>
      <c r="CW562">
        <v>54.6</v>
      </c>
      <c r="CX562">
        <v>58.3</v>
      </c>
      <c r="CY562">
        <v>79.2</v>
      </c>
      <c r="CZ562" s="1" t="s">
        <v>552</v>
      </c>
      <c r="DA562">
        <v>1</v>
      </c>
      <c r="DB562" t="s">
        <v>339</v>
      </c>
      <c r="DC562">
        <v>80</v>
      </c>
      <c r="DD562">
        <v>67.2068715330023</v>
      </c>
      <c r="DE562">
        <v>12.7931284669977</v>
      </c>
      <c r="DF562" t="e">
        <f>_xlfn.XLOOKUP(Table1[[#This Row],[Player ID]],Table2[feed_id],Table2[trade_status])</f>
        <v>#N/A</v>
      </c>
      <c r="DG562">
        <f>_xlfn.NUMBERVALUE(Table1[[#This Row],[predicted]])</f>
        <v>67.2068715330023</v>
      </c>
    </row>
    <row r="563" spans="1:111" hidden="1" x14ac:dyDescent="0.25">
      <c r="A563">
        <v>130274</v>
      </c>
      <c r="B563">
        <v>8999</v>
      </c>
      <c r="C563" t="s">
        <v>5819</v>
      </c>
      <c r="D563" t="s">
        <v>4907</v>
      </c>
      <c r="E563">
        <v>2024</v>
      </c>
      <c r="F563">
        <v>1002256</v>
      </c>
      <c r="G563" t="s">
        <v>4623</v>
      </c>
      <c r="H563" t="s">
        <v>5835</v>
      </c>
      <c r="I563" t="s">
        <v>152</v>
      </c>
      <c r="J563">
        <v>14</v>
      </c>
      <c r="K563">
        <v>65</v>
      </c>
      <c r="L563">
        <v>61</v>
      </c>
      <c r="M563">
        <v>55</v>
      </c>
      <c r="N563">
        <v>55</v>
      </c>
      <c r="O563">
        <v>75</v>
      </c>
      <c r="P563">
        <v>6</v>
      </c>
      <c r="Q563">
        <v>12</v>
      </c>
      <c r="R563">
        <v>2</v>
      </c>
      <c r="S563">
        <v>3</v>
      </c>
      <c r="T563">
        <v>0</v>
      </c>
      <c r="U563">
        <v>2</v>
      </c>
      <c r="V563">
        <v>1</v>
      </c>
      <c r="W563">
        <v>1</v>
      </c>
      <c r="X563">
        <v>0</v>
      </c>
      <c r="Y563" t="s">
        <v>113</v>
      </c>
      <c r="Z563" t="s">
        <v>877</v>
      </c>
      <c r="AA563" t="s">
        <v>5836</v>
      </c>
      <c r="AE563">
        <v>0</v>
      </c>
      <c r="AH563" t="s">
        <v>118</v>
      </c>
      <c r="AI563">
        <v>15</v>
      </c>
      <c r="AJ563">
        <v>20</v>
      </c>
      <c r="AK563">
        <v>55.5</v>
      </c>
      <c r="AL563">
        <v>0</v>
      </c>
      <c r="AM563">
        <v>0</v>
      </c>
      <c r="AN563">
        <v>3.29</v>
      </c>
      <c r="AO563">
        <v>4.03</v>
      </c>
      <c r="AS563">
        <v>9</v>
      </c>
      <c r="AT563">
        <v>3</v>
      </c>
      <c r="AU563">
        <v>2</v>
      </c>
      <c r="AV563">
        <v>55</v>
      </c>
      <c r="AW563">
        <v>67</v>
      </c>
      <c r="AX563">
        <v>179</v>
      </c>
      <c r="AY563">
        <v>1</v>
      </c>
      <c r="AZ563" t="b">
        <v>0</v>
      </c>
      <c r="BA563">
        <v>1703</v>
      </c>
      <c r="BB563">
        <v>1539</v>
      </c>
      <c r="BC563">
        <v>25</v>
      </c>
      <c r="BD563" t="s">
        <v>5828</v>
      </c>
      <c r="BE563">
        <v>100</v>
      </c>
      <c r="BF563">
        <v>0</v>
      </c>
      <c r="BG563">
        <v>70</v>
      </c>
      <c r="BH563">
        <v>0</v>
      </c>
      <c r="BI563">
        <v>8</v>
      </c>
      <c r="BJ563">
        <v>8.8000000000000007</v>
      </c>
      <c r="BK563">
        <v>10</v>
      </c>
      <c r="BL563">
        <v>8.6</v>
      </c>
      <c r="BM563">
        <v>4</v>
      </c>
      <c r="BN563" s="1" t="s">
        <v>170</v>
      </c>
      <c r="BO563">
        <v>4</v>
      </c>
      <c r="BP563">
        <v>3.6</v>
      </c>
      <c r="BQ563">
        <v>0</v>
      </c>
      <c r="BR563">
        <v>0</v>
      </c>
      <c r="BS563">
        <v>1</v>
      </c>
      <c r="BT563">
        <v>1.2</v>
      </c>
      <c r="BU563" s="1" t="s">
        <v>128</v>
      </c>
      <c r="BV563" s="1" t="s">
        <v>238</v>
      </c>
      <c r="BW563" s="1" t="s">
        <v>128</v>
      </c>
      <c r="BX563" s="1" t="s">
        <v>184</v>
      </c>
      <c r="BY563" s="1" t="s">
        <v>129</v>
      </c>
      <c r="BZ563" s="1" t="s">
        <v>184</v>
      </c>
      <c r="CA563">
        <v>0</v>
      </c>
      <c r="CB563">
        <v>0</v>
      </c>
      <c r="CC563">
        <v>3.29</v>
      </c>
      <c r="CD563" s="1" t="s">
        <v>5837</v>
      </c>
      <c r="CE563">
        <v>4.03</v>
      </c>
      <c r="CF563" s="1" t="s">
        <v>5838</v>
      </c>
      <c r="CG563" s="1" t="s">
        <v>253</v>
      </c>
      <c r="CH563" s="1" t="s">
        <v>254</v>
      </c>
      <c r="CI563">
        <v>3</v>
      </c>
      <c r="CJ563" s="1" t="s">
        <v>565</v>
      </c>
      <c r="CK563" s="1" t="s">
        <v>126</v>
      </c>
      <c r="CL563" s="1" t="s">
        <v>304</v>
      </c>
      <c r="CM563">
        <v>62</v>
      </c>
      <c r="CN563" s="1" t="s">
        <v>2828</v>
      </c>
      <c r="CO563">
        <v>69</v>
      </c>
      <c r="CP563" s="1" t="s">
        <v>5839</v>
      </c>
      <c r="CQ563" s="1" t="s">
        <v>5840</v>
      </c>
      <c r="CR563">
        <v>289.39999999999998</v>
      </c>
      <c r="CS563" s="1" t="s">
        <v>5841</v>
      </c>
      <c r="CT563" s="1" t="s">
        <v>5842</v>
      </c>
      <c r="CU563">
        <v>1528</v>
      </c>
      <c r="CV563" s="1" t="s">
        <v>5843</v>
      </c>
      <c r="CW563">
        <v>57.85</v>
      </c>
      <c r="CX563">
        <v>60.7</v>
      </c>
      <c r="CY563">
        <v>56.8</v>
      </c>
      <c r="CZ563" s="1" t="s">
        <v>263</v>
      </c>
      <c r="DA563">
        <v>1</v>
      </c>
      <c r="DB563" t="s">
        <v>877</v>
      </c>
      <c r="DC563">
        <v>61</v>
      </c>
      <c r="DD563" s="1" t="s">
        <v>5844</v>
      </c>
      <c r="DE563" s="1" t="s">
        <v>5845</v>
      </c>
      <c r="DF563" t="str">
        <f>_xlfn.XLOOKUP(Table1[[#This Row],[Player ID]],Table2[feed_id],Table2[trade_status])</f>
        <v>free_agent</v>
      </c>
      <c r="DG563">
        <f>_xlfn.NUMBERVALUE(Table1[[#This Row],[predicted]])</f>
        <v>47.369949536251603</v>
      </c>
    </row>
    <row r="564" spans="1:111" hidden="1" x14ac:dyDescent="0.25">
      <c r="A564">
        <v>130283</v>
      </c>
      <c r="B564">
        <v>8999</v>
      </c>
      <c r="C564" t="s">
        <v>5819</v>
      </c>
      <c r="D564" t="s">
        <v>4907</v>
      </c>
      <c r="E564">
        <v>2024</v>
      </c>
      <c r="F564">
        <v>992374</v>
      </c>
      <c r="G564" t="s">
        <v>4512</v>
      </c>
      <c r="H564" t="s">
        <v>1295</v>
      </c>
      <c r="I564" t="s">
        <v>152</v>
      </c>
      <c r="J564">
        <v>9</v>
      </c>
      <c r="K564">
        <v>44</v>
      </c>
      <c r="L564">
        <v>31</v>
      </c>
      <c r="M564">
        <v>47</v>
      </c>
      <c r="N564">
        <v>37</v>
      </c>
      <c r="O564">
        <v>51</v>
      </c>
      <c r="P564">
        <v>3</v>
      </c>
      <c r="Q564">
        <v>6</v>
      </c>
      <c r="R564">
        <v>4</v>
      </c>
      <c r="S564">
        <v>4</v>
      </c>
      <c r="T564">
        <v>0</v>
      </c>
      <c r="U564">
        <v>1</v>
      </c>
      <c r="V564">
        <v>2</v>
      </c>
      <c r="W564">
        <v>0</v>
      </c>
      <c r="X564">
        <v>0</v>
      </c>
      <c r="Y564" t="s">
        <v>113</v>
      </c>
      <c r="Z564" t="s">
        <v>861</v>
      </c>
      <c r="AA564" t="s">
        <v>5846</v>
      </c>
      <c r="AE564">
        <v>0</v>
      </c>
      <c r="AH564" t="s">
        <v>155</v>
      </c>
      <c r="AI564">
        <v>16</v>
      </c>
      <c r="AJ564">
        <v>15</v>
      </c>
      <c r="AK564">
        <v>56.93</v>
      </c>
      <c r="AL564">
        <v>0</v>
      </c>
      <c r="AM564">
        <v>0</v>
      </c>
      <c r="AN564">
        <v>0.09</v>
      </c>
      <c r="AO564">
        <v>0.11</v>
      </c>
      <c r="AS564">
        <v>5</v>
      </c>
      <c r="AT564">
        <v>0</v>
      </c>
      <c r="AU564">
        <v>4</v>
      </c>
      <c r="AV564">
        <v>66</v>
      </c>
      <c r="AW564">
        <v>66</v>
      </c>
      <c r="AX564">
        <v>76</v>
      </c>
      <c r="AY564">
        <v>1</v>
      </c>
      <c r="AZ564" t="b">
        <v>0</v>
      </c>
      <c r="BA564">
        <v>1703</v>
      </c>
      <c r="BB564">
        <v>1539</v>
      </c>
      <c r="BC564">
        <v>25</v>
      </c>
      <c r="BD564" t="s">
        <v>5828</v>
      </c>
      <c r="BE564">
        <v>100</v>
      </c>
      <c r="BF564">
        <v>0</v>
      </c>
      <c r="BG564">
        <v>70</v>
      </c>
      <c r="BH564">
        <v>0</v>
      </c>
      <c r="BI564" s="1" t="s">
        <v>211</v>
      </c>
      <c r="BJ564" s="1" t="s">
        <v>963</v>
      </c>
      <c r="BK564" s="1" t="s">
        <v>449</v>
      </c>
      <c r="BL564" s="1" t="s">
        <v>321</v>
      </c>
      <c r="BM564" s="1" t="s">
        <v>159</v>
      </c>
      <c r="BN564" s="1" t="s">
        <v>322</v>
      </c>
      <c r="BO564">
        <v>3</v>
      </c>
      <c r="BP564">
        <v>3.8</v>
      </c>
      <c r="BQ564">
        <v>0</v>
      </c>
      <c r="BR564">
        <v>0</v>
      </c>
      <c r="BS564" s="1" t="s">
        <v>129</v>
      </c>
      <c r="BT564" s="1" t="s">
        <v>298</v>
      </c>
      <c r="BU564">
        <v>2</v>
      </c>
      <c r="BV564" s="1" t="s">
        <v>298</v>
      </c>
      <c r="BW564">
        <v>1</v>
      </c>
      <c r="BX564" s="1" t="s">
        <v>399</v>
      </c>
      <c r="BY564" s="1" t="s">
        <v>129</v>
      </c>
      <c r="BZ564" s="1" t="s">
        <v>184</v>
      </c>
      <c r="CA564">
        <v>0</v>
      </c>
      <c r="CB564">
        <v>0</v>
      </c>
      <c r="CC564">
        <v>0.09</v>
      </c>
      <c r="CD564" s="1" t="s">
        <v>1174</v>
      </c>
      <c r="CE564">
        <v>0.11</v>
      </c>
      <c r="CF564" s="1" t="s">
        <v>5847</v>
      </c>
      <c r="CG564" s="1" t="s">
        <v>125</v>
      </c>
      <c r="CH564">
        <v>3.8</v>
      </c>
      <c r="CI564">
        <v>0</v>
      </c>
      <c r="CJ564">
        <v>0.4</v>
      </c>
      <c r="CK564">
        <v>4</v>
      </c>
      <c r="CL564" s="1" t="s">
        <v>373</v>
      </c>
      <c r="CM564">
        <v>59</v>
      </c>
      <c r="CN564" s="1" t="s">
        <v>5848</v>
      </c>
      <c r="CO564" s="1" t="s">
        <v>261</v>
      </c>
      <c r="CP564">
        <v>72.8</v>
      </c>
      <c r="CQ564" s="1" t="s">
        <v>406</v>
      </c>
      <c r="CR564" s="1" t="s">
        <v>5849</v>
      </c>
      <c r="CS564" s="1" t="s">
        <v>5841</v>
      </c>
      <c r="CT564">
        <v>1640.4</v>
      </c>
      <c r="CU564">
        <v>1528</v>
      </c>
      <c r="CV564" s="1" t="s">
        <v>5850</v>
      </c>
      <c r="CW564">
        <v>48.7</v>
      </c>
      <c r="CX564">
        <v>47.6</v>
      </c>
      <c r="CY564">
        <v>38.6</v>
      </c>
      <c r="CZ564">
        <v>32</v>
      </c>
      <c r="DA564">
        <v>1</v>
      </c>
      <c r="DB564" t="s">
        <v>861</v>
      </c>
      <c r="DC564">
        <v>31</v>
      </c>
      <c r="DD564" s="1" t="s">
        <v>5851</v>
      </c>
      <c r="DE564">
        <v>-23.669176322813801</v>
      </c>
      <c r="DF564" t="str">
        <f>_xlfn.XLOOKUP(Table1[[#This Row],[Player ID]],Table2[feed_id],Table2[trade_status])</f>
        <v>free_agent</v>
      </c>
      <c r="DG564">
        <f>_xlfn.NUMBERVALUE(Table1[[#This Row],[predicted]])</f>
        <v>54.669176322813797</v>
      </c>
    </row>
    <row r="565" spans="1:111" hidden="1" x14ac:dyDescent="0.25">
      <c r="A565">
        <v>130285</v>
      </c>
      <c r="B565">
        <v>8999</v>
      </c>
      <c r="C565" t="s">
        <v>5819</v>
      </c>
      <c r="D565" t="s">
        <v>4907</v>
      </c>
      <c r="E565">
        <v>2024</v>
      </c>
      <c r="F565">
        <v>993480</v>
      </c>
      <c r="G565" t="s">
        <v>5852</v>
      </c>
      <c r="H565" t="s">
        <v>5853</v>
      </c>
      <c r="I565" t="s">
        <v>152</v>
      </c>
      <c r="J565">
        <v>7</v>
      </c>
      <c r="K565">
        <v>36</v>
      </c>
      <c r="L565">
        <v>39</v>
      </c>
      <c r="M565">
        <v>22</v>
      </c>
      <c r="N565">
        <v>33</v>
      </c>
      <c r="O565">
        <v>42</v>
      </c>
      <c r="P565">
        <v>7</v>
      </c>
      <c r="Q565">
        <v>0</v>
      </c>
      <c r="R565">
        <v>7</v>
      </c>
      <c r="S565">
        <v>0</v>
      </c>
      <c r="T565">
        <v>0</v>
      </c>
      <c r="U565">
        <v>0</v>
      </c>
      <c r="V565">
        <v>2</v>
      </c>
      <c r="W565">
        <v>0</v>
      </c>
      <c r="X565">
        <v>0</v>
      </c>
      <c r="Y565" t="s">
        <v>113</v>
      </c>
      <c r="Z565" t="s">
        <v>179</v>
      </c>
      <c r="AA565" t="s">
        <v>5854</v>
      </c>
      <c r="AE565">
        <v>0</v>
      </c>
      <c r="AH565" t="s">
        <v>181</v>
      </c>
      <c r="AI565">
        <v>20</v>
      </c>
      <c r="AJ565">
        <v>19</v>
      </c>
      <c r="AK565">
        <v>48.74</v>
      </c>
      <c r="AL565">
        <v>0</v>
      </c>
      <c r="AM565">
        <v>0</v>
      </c>
      <c r="AN565">
        <v>7.0000000000000007E-2</v>
      </c>
      <c r="AO565">
        <v>0.08</v>
      </c>
      <c r="AS565">
        <v>2</v>
      </c>
      <c r="AT565">
        <v>0</v>
      </c>
      <c r="AU565">
        <v>3</v>
      </c>
      <c r="AV565">
        <v>85</v>
      </c>
      <c r="AW565">
        <v>92</v>
      </c>
      <c r="AX565">
        <v>116</v>
      </c>
      <c r="AY565">
        <v>0</v>
      </c>
      <c r="AZ565" t="b">
        <v>0</v>
      </c>
      <c r="BA565">
        <v>1703</v>
      </c>
      <c r="BB565">
        <v>1539</v>
      </c>
      <c r="BC565">
        <v>25</v>
      </c>
      <c r="BD565" t="s">
        <v>5828</v>
      </c>
      <c r="BE565">
        <v>100</v>
      </c>
      <c r="BF565">
        <v>0</v>
      </c>
      <c r="BG565">
        <v>70</v>
      </c>
      <c r="BH565">
        <v>0</v>
      </c>
      <c r="BI565" s="1" t="s">
        <v>137</v>
      </c>
      <c r="BJ565">
        <v>7.8</v>
      </c>
      <c r="BK565" s="1" t="s">
        <v>159</v>
      </c>
      <c r="BL565" s="1" t="s">
        <v>125</v>
      </c>
      <c r="BM565">
        <v>8</v>
      </c>
      <c r="BN565" s="1" t="s">
        <v>680</v>
      </c>
      <c r="BO565" s="1" t="s">
        <v>129</v>
      </c>
      <c r="BP565" s="1" t="s">
        <v>128</v>
      </c>
      <c r="BQ565">
        <v>0</v>
      </c>
      <c r="BR565">
        <v>0</v>
      </c>
      <c r="BS565">
        <v>0</v>
      </c>
      <c r="BT565" s="1" t="s">
        <v>238</v>
      </c>
      <c r="BU565">
        <v>1</v>
      </c>
      <c r="BV565" s="1" t="s">
        <v>127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7.0000000000000007E-2</v>
      </c>
      <c r="CD565">
        <v>7.0000000000000007E-2</v>
      </c>
      <c r="CE565">
        <v>0.08</v>
      </c>
      <c r="CF565">
        <v>0.08</v>
      </c>
      <c r="CG565" s="1" t="s">
        <v>126</v>
      </c>
      <c r="CH565" s="1" t="s">
        <v>640</v>
      </c>
      <c r="CI565">
        <v>0</v>
      </c>
      <c r="CJ565" s="1" t="s">
        <v>213</v>
      </c>
      <c r="CK565" s="1" t="s">
        <v>161</v>
      </c>
      <c r="CL565">
        <v>2.2000000000000002</v>
      </c>
      <c r="CM565" s="1" t="s">
        <v>217</v>
      </c>
      <c r="CN565" s="1" t="s">
        <v>1433</v>
      </c>
      <c r="CO565" s="1" t="s">
        <v>552</v>
      </c>
      <c r="CP565" s="1" t="s">
        <v>1042</v>
      </c>
      <c r="CQ565" s="1" t="s">
        <v>5855</v>
      </c>
      <c r="CR565" s="1" t="s">
        <v>5856</v>
      </c>
      <c r="CS565" s="1" t="s">
        <v>5841</v>
      </c>
      <c r="CT565">
        <v>1657.2</v>
      </c>
      <c r="CU565">
        <v>1528</v>
      </c>
      <c r="CV565" s="1" t="s">
        <v>1860</v>
      </c>
      <c r="CW565">
        <v>63.45</v>
      </c>
      <c r="CX565">
        <v>62.1</v>
      </c>
      <c r="CY565">
        <v>62</v>
      </c>
      <c r="CZ565">
        <v>63</v>
      </c>
      <c r="DA565">
        <v>1</v>
      </c>
      <c r="DB565" t="s">
        <v>179</v>
      </c>
      <c r="DC565">
        <v>39</v>
      </c>
      <c r="DD565" s="1" t="s">
        <v>5857</v>
      </c>
      <c r="DE565">
        <v>-14.5720560022987</v>
      </c>
      <c r="DF565" t="str">
        <f>_xlfn.XLOOKUP(Table1[[#This Row],[Player ID]],Table2[feed_id],Table2[trade_status])</f>
        <v>free_agent</v>
      </c>
      <c r="DG565">
        <f>_xlfn.NUMBERVALUE(Table1[[#This Row],[predicted]])</f>
        <v>53.572056002298702</v>
      </c>
    </row>
    <row r="566" spans="1:111" hidden="1" x14ac:dyDescent="0.25">
      <c r="A566">
        <v>130303</v>
      </c>
      <c r="B566">
        <v>9000</v>
      </c>
      <c r="C566" t="s">
        <v>5858</v>
      </c>
      <c r="D566" t="s">
        <v>4907</v>
      </c>
      <c r="E566">
        <v>2024</v>
      </c>
      <c r="F566">
        <v>292511</v>
      </c>
      <c r="G566" t="s">
        <v>5859</v>
      </c>
      <c r="H566" t="s">
        <v>5860</v>
      </c>
      <c r="I566" t="s">
        <v>1061</v>
      </c>
      <c r="J566">
        <v>13</v>
      </c>
      <c r="K566">
        <v>53</v>
      </c>
      <c r="L566">
        <v>61</v>
      </c>
      <c r="M566">
        <v>64</v>
      </c>
      <c r="N566">
        <v>44</v>
      </c>
      <c r="O566">
        <v>60</v>
      </c>
      <c r="P566">
        <v>9</v>
      </c>
      <c r="Q566">
        <v>7</v>
      </c>
      <c r="R566">
        <v>2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 t="s">
        <v>113</v>
      </c>
      <c r="Z566" t="s">
        <v>153</v>
      </c>
      <c r="AA566" t="s">
        <v>4045</v>
      </c>
      <c r="AE566">
        <v>0</v>
      </c>
      <c r="AH566" t="s">
        <v>181</v>
      </c>
      <c r="AI566">
        <v>2</v>
      </c>
      <c r="AJ566">
        <v>21</v>
      </c>
      <c r="AK566">
        <v>80.52</v>
      </c>
      <c r="AL566">
        <v>0</v>
      </c>
      <c r="AM566">
        <v>0</v>
      </c>
      <c r="AN566">
        <v>0.18</v>
      </c>
      <c r="AO566">
        <v>0.46</v>
      </c>
      <c r="AS566">
        <v>4</v>
      </c>
      <c r="AT566">
        <v>1</v>
      </c>
      <c r="AU566">
        <v>0</v>
      </c>
      <c r="AV566">
        <v>81</v>
      </c>
      <c r="AW566">
        <v>82</v>
      </c>
      <c r="AX566">
        <v>530</v>
      </c>
      <c r="AY566">
        <v>0</v>
      </c>
      <c r="AZ566" t="b">
        <v>0</v>
      </c>
      <c r="BA566">
        <v>1275</v>
      </c>
      <c r="BB566">
        <v>1866</v>
      </c>
      <c r="BC566">
        <v>25</v>
      </c>
      <c r="BD566" t="s">
        <v>5861</v>
      </c>
      <c r="BE566">
        <v>100</v>
      </c>
      <c r="BF566">
        <v>0</v>
      </c>
      <c r="BG566">
        <v>70</v>
      </c>
      <c r="BH566">
        <v>0</v>
      </c>
      <c r="BI566" s="1" t="s">
        <v>977</v>
      </c>
      <c r="BJ566" s="1" t="s">
        <v>1398</v>
      </c>
      <c r="BK566">
        <v>6</v>
      </c>
      <c r="BL566">
        <v>5.2</v>
      </c>
      <c r="BM566" s="1" t="s">
        <v>159</v>
      </c>
      <c r="BN566">
        <v>3.2</v>
      </c>
      <c r="BO566">
        <v>0</v>
      </c>
      <c r="BP566" s="1" t="s">
        <v>298</v>
      </c>
      <c r="BQ566">
        <v>0</v>
      </c>
      <c r="BR566">
        <v>0</v>
      </c>
      <c r="BS566" s="1" t="s">
        <v>129</v>
      </c>
      <c r="BT566" s="1" t="s">
        <v>238</v>
      </c>
      <c r="BU566" s="1" t="s">
        <v>129</v>
      </c>
      <c r="BV566" s="1" t="s">
        <v>231</v>
      </c>
      <c r="BW566" s="1" t="s">
        <v>129</v>
      </c>
      <c r="BX566" s="1" t="s">
        <v>231</v>
      </c>
      <c r="BY566">
        <v>0</v>
      </c>
      <c r="BZ566">
        <v>0.2</v>
      </c>
      <c r="CA566">
        <v>0</v>
      </c>
      <c r="CB566">
        <v>0</v>
      </c>
      <c r="CC566">
        <v>0.18</v>
      </c>
      <c r="CD566">
        <v>0.18</v>
      </c>
      <c r="CE566">
        <v>0.46</v>
      </c>
      <c r="CF566">
        <v>0.46</v>
      </c>
      <c r="CG566" s="1" t="s">
        <v>160</v>
      </c>
      <c r="CH566">
        <v>5.2</v>
      </c>
      <c r="CI566">
        <v>2</v>
      </c>
      <c r="CJ566" s="1" t="s">
        <v>161</v>
      </c>
      <c r="CK566" s="1" t="s">
        <v>159</v>
      </c>
      <c r="CL566" s="1" t="s">
        <v>322</v>
      </c>
      <c r="CM566" s="1" t="s">
        <v>261</v>
      </c>
      <c r="CN566" s="1" t="s">
        <v>2674</v>
      </c>
      <c r="CO566" s="1" t="s">
        <v>406</v>
      </c>
      <c r="CP566" s="1" t="s">
        <v>406</v>
      </c>
      <c r="CQ566" s="1" t="s">
        <v>5862</v>
      </c>
      <c r="CR566" s="1" t="s">
        <v>5863</v>
      </c>
      <c r="CS566" s="1" t="s">
        <v>5864</v>
      </c>
      <c r="CT566">
        <v>1642</v>
      </c>
      <c r="CU566" s="1" t="s">
        <v>900</v>
      </c>
      <c r="CV566">
        <v>1634</v>
      </c>
      <c r="CW566">
        <v>66.7</v>
      </c>
      <c r="CX566">
        <v>63.6</v>
      </c>
      <c r="CY566">
        <v>59.8</v>
      </c>
      <c r="CZ566" s="1" t="s">
        <v>971</v>
      </c>
      <c r="DA566">
        <v>1</v>
      </c>
      <c r="DB566" t="s">
        <v>153</v>
      </c>
      <c r="DC566">
        <v>61</v>
      </c>
      <c r="DD566" s="1" t="s">
        <v>5865</v>
      </c>
      <c r="DE566">
        <v>-13.6808457782586</v>
      </c>
      <c r="DF566" t="e">
        <f>_xlfn.XLOOKUP(Table1[[#This Row],[Player ID]],Table2[feed_id],Table2[trade_status])</f>
        <v>#N/A</v>
      </c>
      <c r="DG566">
        <f>_xlfn.NUMBERVALUE(Table1[[#This Row],[predicted]])</f>
        <v>74.6808457782586</v>
      </c>
    </row>
    <row r="567" spans="1:111" hidden="1" x14ac:dyDescent="0.25">
      <c r="A567">
        <v>130315</v>
      </c>
      <c r="B567">
        <v>9000</v>
      </c>
      <c r="C567" t="s">
        <v>5858</v>
      </c>
      <c r="D567" t="s">
        <v>4907</v>
      </c>
      <c r="E567">
        <v>2024</v>
      </c>
      <c r="F567">
        <v>292128</v>
      </c>
      <c r="G567" t="s">
        <v>5866</v>
      </c>
      <c r="H567" t="s">
        <v>5867</v>
      </c>
      <c r="I567" t="s">
        <v>582</v>
      </c>
      <c r="J567">
        <v>14</v>
      </c>
      <c r="K567">
        <v>68</v>
      </c>
      <c r="L567">
        <v>77</v>
      </c>
      <c r="M567">
        <v>49</v>
      </c>
      <c r="N567">
        <v>56</v>
      </c>
      <c r="O567">
        <v>84</v>
      </c>
      <c r="P567">
        <v>10</v>
      </c>
      <c r="Q567">
        <v>11</v>
      </c>
      <c r="R567">
        <v>3</v>
      </c>
      <c r="S567">
        <v>4</v>
      </c>
      <c r="T567">
        <v>0</v>
      </c>
      <c r="U567">
        <v>0</v>
      </c>
      <c r="V567">
        <v>3</v>
      </c>
      <c r="W567">
        <v>0</v>
      </c>
      <c r="X567">
        <v>0</v>
      </c>
      <c r="Y567" t="s">
        <v>113</v>
      </c>
      <c r="Z567" t="s">
        <v>153</v>
      </c>
      <c r="AA567" t="s">
        <v>5868</v>
      </c>
      <c r="AH567" t="s">
        <v>181</v>
      </c>
      <c r="AI567">
        <v>6</v>
      </c>
      <c r="AJ567">
        <v>0</v>
      </c>
      <c r="AK567">
        <v>0</v>
      </c>
      <c r="AL567">
        <v>0</v>
      </c>
      <c r="AM567">
        <v>5.93</v>
      </c>
      <c r="AN567">
        <v>1.82</v>
      </c>
      <c r="AO567">
        <v>9.3699999999999992</v>
      </c>
      <c r="AS567">
        <v>10</v>
      </c>
      <c r="AT567">
        <v>6</v>
      </c>
      <c r="AU567">
        <v>4</v>
      </c>
      <c r="AV567">
        <v>66</v>
      </c>
      <c r="AW567">
        <v>68</v>
      </c>
      <c r="AX567">
        <v>377</v>
      </c>
      <c r="AY567">
        <v>0</v>
      </c>
      <c r="AZ567" t="b">
        <v>0</v>
      </c>
      <c r="BA567">
        <v>1866</v>
      </c>
      <c r="BB567">
        <v>1275</v>
      </c>
      <c r="BC567">
        <v>25</v>
      </c>
      <c r="BD567" t="s">
        <v>5869</v>
      </c>
      <c r="BE567">
        <v>100</v>
      </c>
      <c r="BF567">
        <v>0</v>
      </c>
      <c r="BG567">
        <v>70</v>
      </c>
      <c r="BH567">
        <v>1</v>
      </c>
      <c r="BI567">
        <v>11</v>
      </c>
      <c r="BJ567" s="1" t="s">
        <v>746</v>
      </c>
      <c r="BK567">
        <v>11</v>
      </c>
      <c r="BL567">
        <v>9</v>
      </c>
      <c r="BM567">
        <v>2</v>
      </c>
      <c r="BN567" s="1" t="s">
        <v>375</v>
      </c>
      <c r="BO567" s="1" t="s">
        <v>449</v>
      </c>
      <c r="BP567">
        <v>6.6</v>
      </c>
      <c r="BQ567">
        <v>0</v>
      </c>
      <c r="BR567">
        <v>0</v>
      </c>
      <c r="BS567" s="1" t="s">
        <v>126</v>
      </c>
      <c r="BT567" s="1" t="s">
        <v>304</v>
      </c>
      <c r="BU567" s="1" t="s">
        <v>161</v>
      </c>
      <c r="BV567" s="1" t="s">
        <v>298</v>
      </c>
      <c r="BW567" s="1" t="s">
        <v>128</v>
      </c>
      <c r="BX567" s="1" t="s">
        <v>238</v>
      </c>
      <c r="BY567" s="1" t="s">
        <v>129</v>
      </c>
      <c r="BZ567">
        <v>0.4</v>
      </c>
      <c r="CA567">
        <v>5.93</v>
      </c>
      <c r="CB567">
        <v>5.93</v>
      </c>
      <c r="CC567">
        <v>1.82</v>
      </c>
      <c r="CD567">
        <v>1.82</v>
      </c>
      <c r="CE567">
        <v>9.3699999999999992</v>
      </c>
      <c r="CF567">
        <v>9.3699999999999992</v>
      </c>
      <c r="CG567">
        <v>11</v>
      </c>
      <c r="CH567" s="1" t="s">
        <v>357</v>
      </c>
      <c r="CI567">
        <v>5</v>
      </c>
      <c r="CJ567" s="1" t="s">
        <v>898</v>
      </c>
      <c r="CK567">
        <v>3</v>
      </c>
      <c r="CL567" s="1" t="s">
        <v>140</v>
      </c>
      <c r="CM567" s="1" t="s">
        <v>1012</v>
      </c>
      <c r="CN567" s="1" t="s">
        <v>4827</v>
      </c>
      <c r="CO567" s="1" t="s">
        <v>263</v>
      </c>
      <c r="CP567" s="1" t="s">
        <v>366</v>
      </c>
      <c r="CQ567" s="1" t="s">
        <v>5870</v>
      </c>
      <c r="CR567" s="1" t="s">
        <v>5871</v>
      </c>
      <c r="CS567" s="1" t="s">
        <v>5872</v>
      </c>
      <c r="CT567" s="1" t="s">
        <v>5873</v>
      </c>
      <c r="CU567">
        <v>1832</v>
      </c>
      <c r="CV567" s="1" t="s">
        <v>5874</v>
      </c>
      <c r="CW567">
        <v>104.8</v>
      </c>
      <c r="CX567">
        <v>103.6</v>
      </c>
      <c r="CY567">
        <v>101.2</v>
      </c>
      <c r="CZ567" s="1" t="s">
        <v>3487</v>
      </c>
      <c r="DA567">
        <v>1</v>
      </c>
      <c r="DB567" t="s">
        <v>153</v>
      </c>
      <c r="DC567">
        <v>77</v>
      </c>
      <c r="DD567" s="1" t="s">
        <v>5875</v>
      </c>
      <c r="DE567">
        <v>-26.941596449637899</v>
      </c>
      <c r="DF567" t="str">
        <f>_xlfn.XLOOKUP(Table1[[#This Row],[Player ID]],Table2[feed_id],Table2[trade_status])</f>
        <v>free_agent</v>
      </c>
      <c r="DG567">
        <f>_xlfn.NUMBERVALUE(Table1[[#This Row],[predicted]])</f>
        <v>103.941596449637</v>
      </c>
    </row>
    <row r="568" spans="1:111" hidden="1" x14ac:dyDescent="0.25">
      <c r="A568">
        <v>130319</v>
      </c>
      <c r="B568">
        <v>9000</v>
      </c>
      <c r="C568" t="s">
        <v>5858</v>
      </c>
      <c r="D568" t="s">
        <v>4907</v>
      </c>
      <c r="E568">
        <v>2024</v>
      </c>
      <c r="F568">
        <v>1006550</v>
      </c>
      <c r="G568" t="s">
        <v>1127</v>
      </c>
      <c r="H568" t="s">
        <v>5876</v>
      </c>
      <c r="I568" t="s">
        <v>582</v>
      </c>
      <c r="J568">
        <v>8</v>
      </c>
      <c r="K568">
        <v>58</v>
      </c>
      <c r="L568">
        <v>56</v>
      </c>
      <c r="M568">
        <v>36</v>
      </c>
      <c r="N568">
        <v>46</v>
      </c>
      <c r="O568">
        <v>67</v>
      </c>
      <c r="P568">
        <v>10</v>
      </c>
      <c r="Q568">
        <v>7</v>
      </c>
      <c r="R568">
        <v>2</v>
      </c>
      <c r="S568">
        <v>3</v>
      </c>
      <c r="T568">
        <v>0</v>
      </c>
      <c r="U568">
        <v>1</v>
      </c>
      <c r="V568">
        <v>2</v>
      </c>
      <c r="W568">
        <v>0</v>
      </c>
      <c r="X568">
        <v>1</v>
      </c>
      <c r="Y568" t="s">
        <v>113</v>
      </c>
      <c r="Z568" t="s">
        <v>153</v>
      </c>
      <c r="AA568" t="s">
        <v>815</v>
      </c>
      <c r="AH568" t="s">
        <v>155</v>
      </c>
      <c r="AI568">
        <v>21</v>
      </c>
      <c r="AJ568">
        <v>0</v>
      </c>
      <c r="AK568">
        <v>0</v>
      </c>
      <c r="AL568">
        <v>0</v>
      </c>
      <c r="AM568">
        <v>0.09</v>
      </c>
      <c r="AN568">
        <v>0.03</v>
      </c>
      <c r="AO568">
        <v>0.08</v>
      </c>
      <c r="AS568">
        <v>6</v>
      </c>
      <c r="AT568">
        <v>3</v>
      </c>
      <c r="AU568">
        <v>3</v>
      </c>
      <c r="AV568">
        <v>70</v>
      </c>
      <c r="AW568">
        <v>75</v>
      </c>
      <c r="AX568">
        <v>268</v>
      </c>
      <c r="AY568">
        <v>0</v>
      </c>
      <c r="AZ568" t="b">
        <v>0</v>
      </c>
      <c r="BA568">
        <v>1866</v>
      </c>
      <c r="BB568">
        <v>1275</v>
      </c>
      <c r="BC568">
        <v>25</v>
      </c>
      <c r="BD568" t="s">
        <v>5869</v>
      </c>
      <c r="BE568">
        <v>100</v>
      </c>
      <c r="BF568">
        <v>0</v>
      </c>
      <c r="BG568">
        <v>70</v>
      </c>
      <c r="BH568">
        <v>0</v>
      </c>
      <c r="BI568" s="1" t="s">
        <v>204</v>
      </c>
      <c r="BJ568" s="1" t="s">
        <v>168</v>
      </c>
      <c r="BK568" s="1" t="s">
        <v>125</v>
      </c>
      <c r="BL568" s="1" t="s">
        <v>212</v>
      </c>
      <c r="BM568" s="1" t="s">
        <v>126</v>
      </c>
      <c r="BN568" s="1" t="s">
        <v>640</v>
      </c>
      <c r="BO568">
        <v>2</v>
      </c>
      <c r="BP568" s="1" t="s">
        <v>170</v>
      </c>
      <c r="BQ568">
        <v>0</v>
      </c>
      <c r="BR568">
        <v>0</v>
      </c>
      <c r="BS568" s="1" t="s">
        <v>129</v>
      </c>
      <c r="BT568">
        <v>0.8</v>
      </c>
      <c r="BU568" s="1" t="s">
        <v>161</v>
      </c>
      <c r="BV568" s="1" t="s">
        <v>127</v>
      </c>
      <c r="BW568" s="1" t="s">
        <v>128</v>
      </c>
      <c r="BX568" s="1" t="s">
        <v>130</v>
      </c>
      <c r="BY568" s="1" t="s">
        <v>129</v>
      </c>
      <c r="BZ568" s="1" t="s">
        <v>128</v>
      </c>
      <c r="CA568">
        <v>0.09</v>
      </c>
      <c r="CB568">
        <v>0.09</v>
      </c>
      <c r="CC568">
        <v>0.03</v>
      </c>
      <c r="CD568">
        <v>0.03</v>
      </c>
      <c r="CE568">
        <v>0.08</v>
      </c>
      <c r="CF568">
        <v>0.08</v>
      </c>
      <c r="CG568" s="1" t="s">
        <v>160</v>
      </c>
      <c r="CH568">
        <v>4.4000000000000004</v>
      </c>
      <c r="CI568" s="1" t="s">
        <v>161</v>
      </c>
      <c r="CJ568" s="1" t="s">
        <v>298</v>
      </c>
      <c r="CK568">
        <v>2</v>
      </c>
      <c r="CL568">
        <v>2.2000000000000002</v>
      </c>
      <c r="CM568" s="1" t="s">
        <v>364</v>
      </c>
      <c r="CN568">
        <v>71.400000000000006</v>
      </c>
      <c r="CO568" s="1" t="s">
        <v>1166</v>
      </c>
      <c r="CP568" s="1" t="s">
        <v>3045</v>
      </c>
      <c r="CQ568" s="1" t="s">
        <v>5877</v>
      </c>
      <c r="CR568" s="1" t="s">
        <v>5878</v>
      </c>
      <c r="CS568" s="1" t="s">
        <v>5879</v>
      </c>
      <c r="CT568">
        <v>1490.2</v>
      </c>
      <c r="CU568">
        <v>1841</v>
      </c>
      <c r="CV568" s="1" t="s">
        <v>5880</v>
      </c>
      <c r="CW568">
        <v>52.4</v>
      </c>
      <c r="CX568">
        <v>49.1</v>
      </c>
      <c r="CY568">
        <v>45.6</v>
      </c>
      <c r="CZ568">
        <v>44</v>
      </c>
      <c r="DA568">
        <v>1</v>
      </c>
      <c r="DB568" t="s">
        <v>153</v>
      </c>
      <c r="DC568">
        <v>56</v>
      </c>
      <c r="DD568" s="1" t="s">
        <v>5881</v>
      </c>
      <c r="DE568">
        <v>-8.3714917110785407</v>
      </c>
      <c r="DF568" t="str">
        <f>_xlfn.XLOOKUP(Table1[[#This Row],[Player ID]],Table2[feed_id],Table2[trade_status])</f>
        <v>free_agent</v>
      </c>
      <c r="DG568">
        <f>_xlfn.NUMBERVALUE(Table1[[#This Row],[predicted]])</f>
        <v>64.371491711078505</v>
      </c>
    </row>
    <row r="569" spans="1:111" hidden="1" x14ac:dyDescent="0.25">
      <c r="A569">
        <v>130324</v>
      </c>
      <c r="B569">
        <v>9000</v>
      </c>
      <c r="C569" t="s">
        <v>5858</v>
      </c>
      <c r="D569" t="s">
        <v>4907</v>
      </c>
      <c r="E569">
        <v>2024</v>
      </c>
      <c r="F569">
        <v>1017057</v>
      </c>
      <c r="G569" t="s">
        <v>5431</v>
      </c>
      <c r="H569" t="s">
        <v>5882</v>
      </c>
      <c r="I569" t="s">
        <v>582</v>
      </c>
      <c r="J569">
        <v>8</v>
      </c>
      <c r="K569">
        <v>45</v>
      </c>
      <c r="L569">
        <v>47</v>
      </c>
      <c r="M569">
        <v>41</v>
      </c>
      <c r="N569">
        <v>32</v>
      </c>
      <c r="O569">
        <v>48</v>
      </c>
      <c r="P569">
        <v>5</v>
      </c>
      <c r="Q569">
        <v>5</v>
      </c>
      <c r="R569">
        <v>1</v>
      </c>
      <c r="S569">
        <v>5</v>
      </c>
      <c r="T569">
        <v>0</v>
      </c>
      <c r="U569">
        <v>0</v>
      </c>
      <c r="V569">
        <v>1</v>
      </c>
      <c r="W569">
        <v>0</v>
      </c>
      <c r="X569">
        <v>0</v>
      </c>
      <c r="Y569" t="s">
        <v>113</v>
      </c>
      <c r="Z569" t="s">
        <v>153</v>
      </c>
      <c r="AA569" t="s">
        <v>511</v>
      </c>
      <c r="AH569" t="s">
        <v>181</v>
      </c>
      <c r="AI569">
        <v>18</v>
      </c>
      <c r="AJ569">
        <v>0</v>
      </c>
      <c r="AK569">
        <v>0</v>
      </c>
      <c r="AL569">
        <v>0</v>
      </c>
      <c r="AM569">
        <v>0.93</v>
      </c>
      <c r="AN569">
        <v>1.05</v>
      </c>
      <c r="AO569">
        <v>1.1599999999999999</v>
      </c>
      <c r="AS569">
        <v>2</v>
      </c>
      <c r="AT569">
        <v>1</v>
      </c>
      <c r="AU569">
        <v>3</v>
      </c>
      <c r="AV569">
        <v>70</v>
      </c>
      <c r="AW569">
        <v>78</v>
      </c>
      <c r="AX569">
        <v>234</v>
      </c>
      <c r="AY569">
        <v>0</v>
      </c>
      <c r="AZ569" t="b">
        <v>0</v>
      </c>
      <c r="BA569">
        <v>1866</v>
      </c>
      <c r="BB569">
        <v>1275</v>
      </c>
      <c r="BC569">
        <v>25</v>
      </c>
      <c r="BD569" t="s">
        <v>5869</v>
      </c>
      <c r="BE569">
        <v>100</v>
      </c>
      <c r="BF569">
        <v>0</v>
      </c>
      <c r="BG569">
        <v>70</v>
      </c>
      <c r="BH569">
        <v>0</v>
      </c>
      <c r="BI569">
        <v>4</v>
      </c>
      <c r="BJ569" s="1" t="s">
        <v>429</v>
      </c>
      <c r="BK569">
        <v>6</v>
      </c>
      <c r="BL569">
        <v>5.4</v>
      </c>
      <c r="BM569">
        <v>1</v>
      </c>
      <c r="BN569" s="1" t="s">
        <v>214</v>
      </c>
      <c r="BO569" s="1" t="s">
        <v>169</v>
      </c>
      <c r="BP569">
        <v>2</v>
      </c>
      <c r="BQ569">
        <v>0</v>
      </c>
      <c r="BR569">
        <v>0</v>
      </c>
      <c r="BS569">
        <v>0</v>
      </c>
      <c r="BT569" s="1" t="s">
        <v>129</v>
      </c>
      <c r="BU569" s="1" t="s">
        <v>128</v>
      </c>
      <c r="BV569" s="1" t="s">
        <v>238</v>
      </c>
      <c r="BW569">
        <v>0</v>
      </c>
      <c r="BX569" s="1" t="s">
        <v>184</v>
      </c>
      <c r="BY569" s="1" t="s">
        <v>129</v>
      </c>
      <c r="BZ569" s="1" t="s">
        <v>184</v>
      </c>
      <c r="CA569">
        <v>0.93</v>
      </c>
      <c r="CB569">
        <v>0.93</v>
      </c>
      <c r="CC569">
        <v>1.05</v>
      </c>
      <c r="CD569">
        <v>1.05</v>
      </c>
      <c r="CE569">
        <v>1.1599999999999999</v>
      </c>
      <c r="CF569">
        <v>1.1599999999999999</v>
      </c>
      <c r="CG569" s="1" t="s">
        <v>161</v>
      </c>
      <c r="CH569" s="1" t="s">
        <v>990</v>
      </c>
      <c r="CI569" s="1" t="s">
        <v>128</v>
      </c>
      <c r="CJ569" s="1" t="s">
        <v>130</v>
      </c>
      <c r="CK569">
        <v>2</v>
      </c>
      <c r="CL569">
        <v>1.8</v>
      </c>
      <c r="CM569">
        <v>73</v>
      </c>
      <c r="CN569" s="1" t="s">
        <v>141</v>
      </c>
      <c r="CO569" s="1" t="s">
        <v>572</v>
      </c>
      <c r="CP569">
        <v>76.400000000000006</v>
      </c>
      <c r="CQ569" s="1" t="s">
        <v>4575</v>
      </c>
      <c r="CR569">
        <v>202.8</v>
      </c>
      <c r="CS569">
        <v>1373</v>
      </c>
      <c r="CT569">
        <v>1500.4</v>
      </c>
      <c r="CU569" s="1" t="s">
        <v>5883</v>
      </c>
      <c r="CV569">
        <v>1780.2</v>
      </c>
      <c r="CW569">
        <v>45.5</v>
      </c>
      <c r="CX569">
        <v>46.6</v>
      </c>
      <c r="CY569">
        <v>38</v>
      </c>
      <c r="CZ569" s="1" t="s">
        <v>5884</v>
      </c>
      <c r="DA569">
        <v>1</v>
      </c>
      <c r="DB569" t="s">
        <v>153</v>
      </c>
      <c r="DC569">
        <v>47</v>
      </c>
      <c r="DD569" s="1" t="s">
        <v>5885</v>
      </c>
      <c r="DE569">
        <v>-11.3112377233278</v>
      </c>
      <c r="DF569" t="str">
        <f>_xlfn.XLOOKUP(Table1[[#This Row],[Player ID]],Table2[feed_id],Table2[trade_status])</f>
        <v>free_agent</v>
      </c>
      <c r="DG569">
        <f>_xlfn.NUMBERVALUE(Table1[[#This Row],[predicted]])</f>
        <v>58.3112377233278</v>
      </c>
    </row>
    <row r="570" spans="1:111" hidden="1" x14ac:dyDescent="0.25">
      <c r="A570">
        <v>130357</v>
      </c>
      <c r="B570">
        <v>9001</v>
      </c>
      <c r="C570" t="s">
        <v>5886</v>
      </c>
      <c r="D570" t="s">
        <v>4907</v>
      </c>
      <c r="E570">
        <v>2024</v>
      </c>
      <c r="F570">
        <v>1023477</v>
      </c>
      <c r="G570" t="s">
        <v>2908</v>
      </c>
      <c r="H570" t="s">
        <v>5887</v>
      </c>
      <c r="I570" t="s">
        <v>813</v>
      </c>
      <c r="J570">
        <v>25</v>
      </c>
      <c r="K570">
        <v>80</v>
      </c>
      <c r="L570">
        <v>100</v>
      </c>
      <c r="M570">
        <v>69</v>
      </c>
      <c r="N570">
        <v>62</v>
      </c>
      <c r="O570">
        <v>87</v>
      </c>
      <c r="P570">
        <v>8</v>
      </c>
      <c r="Q570">
        <v>12</v>
      </c>
      <c r="R570">
        <v>1</v>
      </c>
      <c r="S570">
        <v>6</v>
      </c>
      <c r="T570">
        <v>0</v>
      </c>
      <c r="U570">
        <v>2</v>
      </c>
      <c r="V570">
        <v>1</v>
      </c>
      <c r="W570">
        <v>1</v>
      </c>
      <c r="X570">
        <v>0</v>
      </c>
      <c r="Y570" t="s">
        <v>113</v>
      </c>
      <c r="Z570" t="s">
        <v>153</v>
      </c>
      <c r="AA570" t="s">
        <v>5888</v>
      </c>
      <c r="AH570" t="s">
        <v>118</v>
      </c>
      <c r="AI570">
        <v>6</v>
      </c>
      <c r="AJ570">
        <v>0</v>
      </c>
      <c r="AK570">
        <v>0</v>
      </c>
      <c r="AL570">
        <v>0</v>
      </c>
      <c r="AM570">
        <v>8.33</v>
      </c>
      <c r="AN570">
        <v>7.77</v>
      </c>
      <c r="AO570">
        <v>8.94</v>
      </c>
      <c r="AS570">
        <v>11</v>
      </c>
      <c r="AT570">
        <v>4</v>
      </c>
      <c r="AU570">
        <v>4</v>
      </c>
      <c r="AV570">
        <v>55</v>
      </c>
      <c r="AW570">
        <v>73</v>
      </c>
      <c r="AX570">
        <v>221</v>
      </c>
      <c r="AY570">
        <v>1</v>
      </c>
      <c r="AZ570" t="b">
        <v>0</v>
      </c>
      <c r="BA570">
        <v>1957</v>
      </c>
      <c r="BB570">
        <v>1328</v>
      </c>
      <c r="BC570">
        <v>25</v>
      </c>
      <c r="BD570" t="s">
        <v>5889</v>
      </c>
      <c r="BE570">
        <v>100</v>
      </c>
      <c r="BF570">
        <v>1</v>
      </c>
      <c r="BG570">
        <v>70</v>
      </c>
      <c r="BH570">
        <v>1</v>
      </c>
      <c r="BI570" s="1" t="s">
        <v>294</v>
      </c>
      <c r="BJ570" s="1" t="s">
        <v>276</v>
      </c>
      <c r="BK570">
        <v>10</v>
      </c>
      <c r="BL570" s="1" t="s">
        <v>448</v>
      </c>
      <c r="BM570">
        <v>1</v>
      </c>
      <c r="BN570" s="1" t="s">
        <v>237</v>
      </c>
      <c r="BO570">
        <v>5</v>
      </c>
      <c r="BP570" s="1" t="s">
        <v>211</v>
      </c>
      <c r="BQ570">
        <v>0</v>
      </c>
      <c r="BR570">
        <v>0</v>
      </c>
      <c r="BS570">
        <v>2</v>
      </c>
      <c r="BT570">
        <v>1.6</v>
      </c>
      <c r="BU570" s="1" t="s">
        <v>128</v>
      </c>
      <c r="BV570" s="1" t="s">
        <v>130</v>
      </c>
      <c r="BW570" s="1" t="s">
        <v>128</v>
      </c>
      <c r="BX570" s="1" t="s">
        <v>129</v>
      </c>
      <c r="BY570">
        <v>0</v>
      </c>
      <c r="BZ570">
        <v>0.4</v>
      </c>
      <c r="CA570">
        <v>8.33</v>
      </c>
      <c r="CB570">
        <v>8.33</v>
      </c>
      <c r="CC570">
        <v>7.77</v>
      </c>
      <c r="CD570">
        <v>7.77</v>
      </c>
      <c r="CE570">
        <v>8.94</v>
      </c>
      <c r="CF570">
        <v>8.94</v>
      </c>
      <c r="CG570">
        <v>11</v>
      </c>
      <c r="CH570" s="1" t="s">
        <v>1426</v>
      </c>
      <c r="CI570">
        <v>4</v>
      </c>
      <c r="CJ570">
        <v>4.8</v>
      </c>
      <c r="CK570" s="1" t="s">
        <v>125</v>
      </c>
      <c r="CL570">
        <v>3</v>
      </c>
      <c r="CM570" s="1" t="s">
        <v>1857</v>
      </c>
      <c r="CN570" s="1" t="s">
        <v>1242</v>
      </c>
      <c r="CO570" s="1" t="s">
        <v>2147</v>
      </c>
      <c r="CP570" s="1" t="s">
        <v>1289</v>
      </c>
      <c r="CQ570" s="1" t="s">
        <v>5890</v>
      </c>
      <c r="CR570" s="1" t="s">
        <v>5891</v>
      </c>
      <c r="CS570">
        <v>1441</v>
      </c>
      <c r="CT570" s="1" t="s">
        <v>2024</v>
      </c>
      <c r="CU570" s="1" t="s">
        <v>5892</v>
      </c>
      <c r="CV570">
        <v>1737.2</v>
      </c>
      <c r="CW570">
        <v>82.9</v>
      </c>
      <c r="CX570">
        <v>89.9</v>
      </c>
      <c r="CY570">
        <v>74.8</v>
      </c>
      <c r="CZ570" s="1" t="s">
        <v>239</v>
      </c>
      <c r="DA570">
        <v>1</v>
      </c>
      <c r="DB570" t="s">
        <v>153</v>
      </c>
      <c r="DC570">
        <v>100</v>
      </c>
      <c r="DD570">
        <v>88.201351079450504</v>
      </c>
      <c r="DE570" s="1" t="s">
        <v>5893</v>
      </c>
      <c r="DF570" t="e">
        <f>_xlfn.XLOOKUP(Table1[[#This Row],[Player ID]],Table2[feed_id],Table2[trade_status])</f>
        <v>#N/A</v>
      </c>
      <c r="DG570">
        <f>_xlfn.NUMBERVALUE(Table1[[#This Row],[predicted]])</f>
        <v>88.201351079450504</v>
      </c>
    </row>
    <row r="571" spans="1:111" hidden="1" x14ac:dyDescent="0.25">
      <c r="A571">
        <v>130364</v>
      </c>
      <c r="B571">
        <v>9001</v>
      </c>
      <c r="C571" t="s">
        <v>5886</v>
      </c>
      <c r="D571" t="s">
        <v>4907</v>
      </c>
      <c r="E571">
        <v>2024</v>
      </c>
      <c r="F571">
        <v>280737</v>
      </c>
      <c r="G571" t="s">
        <v>1464</v>
      </c>
      <c r="H571" t="s">
        <v>5894</v>
      </c>
      <c r="I571" t="s">
        <v>813</v>
      </c>
      <c r="J571">
        <v>8</v>
      </c>
      <c r="K571">
        <v>48</v>
      </c>
      <c r="L571">
        <v>55</v>
      </c>
      <c r="M571">
        <v>34</v>
      </c>
      <c r="N571">
        <v>32</v>
      </c>
      <c r="O571">
        <v>48</v>
      </c>
      <c r="P571">
        <v>8</v>
      </c>
      <c r="Q571">
        <v>3</v>
      </c>
      <c r="R571">
        <v>0</v>
      </c>
      <c r="S571">
        <v>5</v>
      </c>
      <c r="T571">
        <v>0</v>
      </c>
      <c r="U571">
        <v>1</v>
      </c>
      <c r="V571">
        <v>1</v>
      </c>
      <c r="W571">
        <v>0</v>
      </c>
      <c r="X571">
        <v>0</v>
      </c>
      <c r="Y571" t="s">
        <v>113</v>
      </c>
      <c r="Z571" t="s">
        <v>153</v>
      </c>
      <c r="AA571" t="s">
        <v>5895</v>
      </c>
      <c r="AE571">
        <v>0</v>
      </c>
      <c r="AH571" t="s">
        <v>118</v>
      </c>
      <c r="AI571">
        <v>14</v>
      </c>
      <c r="AJ571">
        <v>20</v>
      </c>
      <c r="AK571">
        <v>97.45</v>
      </c>
      <c r="AL571">
        <v>0</v>
      </c>
      <c r="AM571">
        <v>0</v>
      </c>
      <c r="AN571">
        <v>0.08</v>
      </c>
      <c r="AO571">
        <v>0.09</v>
      </c>
      <c r="AS571">
        <v>8</v>
      </c>
      <c r="AT571">
        <v>3</v>
      </c>
      <c r="AU571">
        <v>2</v>
      </c>
      <c r="AV571">
        <v>63</v>
      </c>
      <c r="AW571">
        <v>88</v>
      </c>
      <c r="AX571">
        <v>221</v>
      </c>
      <c r="AY571">
        <v>0</v>
      </c>
      <c r="AZ571" t="b">
        <v>0</v>
      </c>
      <c r="BA571">
        <v>1957</v>
      </c>
      <c r="BB571">
        <v>1328</v>
      </c>
      <c r="BC571">
        <v>25</v>
      </c>
      <c r="BD571" t="s">
        <v>5889</v>
      </c>
      <c r="BE571">
        <v>100</v>
      </c>
      <c r="BF571">
        <v>0</v>
      </c>
      <c r="BG571">
        <v>70</v>
      </c>
      <c r="BH571">
        <v>0</v>
      </c>
      <c r="BI571" s="1" t="s">
        <v>204</v>
      </c>
      <c r="BJ571">
        <v>7</v>
      </c>
      <c r="BK571" s="1" t="s">
        <v>449</v>
      </c>
      <c r="BL571" s="1" t="s">
        <v>260</v>
      </c>
      <c r="BM571" s="1" t="s">
        <v>159</v>
      </c>
      <c r="BN571">
        <v>2.6</v>
      </c>
      <c r="BO571" s="1" t="s">
        <v>138</v>
      </c>
      <c r="BP571">
        <v>3</v>
      </c>
      <c r="BQ571">
        <v>0</v>
      </c>
      <c r="BR571">
        <v>0</v>
      </c>
      <c r="BS571" s="1" t="s">
        <v>129</v>
      </c>
      <c r="BT571">
        <v>0.8</v>
      </c>
      <c r="BU571" s="1" t="s">
        <v>128</v>
      </c>
      <c r="BV571">
        <v>1</v>
      </c>
      <c r="BW571" s="1" t="s">
        <v>129</v>
      </c>
      <c r="BX571" s="1" t="s">
        <v>213</v>
      </c>
      <c r="BY571">
        <v>0</v>
      </c>
      <c r="BZ571" s="1" t="s">
        <v>184</v>
      </c>
      <c r="CA571">
        <v>0</v>
      </c>
      <c r="CB571">
        <v>0</v>
      </c>
      <c r="CC571">
        <v>0.08</v>
      </c>
      <c r="CD571">
        <v>0.08</v>
      </c>
      <c r="CE571">
        <v>0.09</v>
      </c>
      <c r="CF571">
        <v>0.09</v>
      </c>
      <c r="CG571" s="1" t="s">
        <v>449</v>
      </c>
      <c r="CH571">
        <v>5</v>
      </c>
      <c r="CI571" s="1" t="s">
        <v>161</v>
      </c>
      <c r="CJ571" s="1" t="s">
        <v>327</v>
      </c>
      <c r="CK571">
        <v>2</v>
      </c>
      <c r="CL571" s="1" t="s">
        <v>255</v>
      </c>
      <c r="CM571" s="1" t="s">
        <v>1406</v>
      </c>
      <c r="CN571" s="1" t="s">
        <v>1752</v>
      </c>
      <c r="CO571" s="1" t="s">
        <v>268</v>
      </c>
      <c r="CP571">
        <v>75.400000000000006</v>
      </c>
      <c r="CQ571" s="1" t="s">
        <v>5743</v>
      </c>
      <c r="CR571" s="1" t="s">
        <v>5896</v>
      </c>
      <c r="CS571" s="1" t="s">
        <v>1628</v>
      </c>
      <c r="CT571">
        <v>1584.2</v>
      </c>
      <c r="CU571" s="1" t="s">
        <v>5897</v>
      </c>
      <c r="CV571">
        <v>1698</v>
      </c>
      <c r="CW571">
        <v>56.2</v>
      </c>
      <c r="CX571">
        <v>58.1</v>
      </c>
      <c r="CY571">
        <v>48</v>
      </c>
      <c r="CZ571" s="1" t="s">
        <v>1927</v>
      </c>
      <c r="DA571">
        <v>1</v>
      </c>
      <c r="DB571" t="s">
        <v>153</v>
      </c>
      <c r="DC571">
        <v>55</v>
      </c>
      <c r="DD571" s="1" t="s">
        <v>5898</v>
      </c>
      <c r="DE571">
        <v>-12.4524207072031</v>
      </c>
      <c r="DF571" t="e">
        <f>_xlfn.XLOOKUP(Table1[[#This Row],[Player ID]],Table2[feed_id],Table2[trade_status])</f>
        <v>#N/A</v>
      </c>
      <c r="DG571">
        <f>_xlfn.NUMBERVALUE(Table1[[#This Row],[predicted]])</f>
        <v>67.452420707203103</v>
      </c>
    </row>
    <row r="572" spans="1:111" hidden="1" x14ac:dyDescent="0.25">
      <c r="A572">
        <v>130384</v>
      </c>
      <c r="B572">
        <v>9002</v>
      </c>
      <c r="C572" t="s">
        <v>5899</v>
      </c>
      <c r="D572" t="s">
        <v>4907</v>
      </c>
      <c r="E572">
        <v>2024</v>
      </c>
      <c r="F572">
        <v>291819</v>
      </c>
      <c r="G572" t="s">
        <v>150</v>
      </c>
      <c r="H572" t="s">
        <v>5900</v>
      </c>
      <c r="I572" t="s">
        <v>291</v>
      </c>
      <c r="J572">
        <v>12</v>
      </c>
      <c r="K572">
        <v>61</v>
      </c>
      <c r="L572">
        <v>86</v>
      </c>
      <c r="M572">
        <v>78</v>
      </c>
      <c r="N572">
        <v>51</v>
      </c>
      <c r="O572">
        <v>66</v>
      </c>
      <c r="P572">
        <v>10</v>
      </c>
      <c r="Q572">
        <v>5</v>
      </c>
      <c r="R572">
        <v>7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113</v>
      </c>
      <c r="Z572" t="s">
        <v>179</v>
      </c>
      <c r="AA572" t="s">
        <v>5901</v>
      </c>
      <c r="AE572">
        <v>0</v>
      </c>
      <c r="AH572" t="s">
        <v>181</v>
      </c>
      <c r="AI572">
        <v>20</v>
      </c>
      <c r="AJ572">
        <v>21</v>
      </c>
      <c r="AK572">
        <v>73.709999999999994</v>
      </c>
      <c r="AL572">
        <v>0</v>
      </c>
      <c r="AM572">
        <v>0</v>
      </c>
      <c r="AN572">
        <v>0.04</v>
      </c>
      <c r="AO572">
        <v>0.06</v>
      </c>
      <c r="AS572">
        <v>4</v>
      </c>
      <c r="AT572">
        <v>0</v>
      </c>
      <c r="AU572">
        <v>0</v>
      </c>
      <c r="AV572">
        <v>73</v>
      </c>
      <c r="AW572">
        <v>100</v>
      </c>
      <c r="AX572">
        <v>331</v>
      </c>
      <c r="AY572">
        <v>0</v>
      </c>
      <c r="AZ572" t="b">
        <v>0</v>
      </c>
      <c r="BA572">
        <v>1845</v>
      </c>
      <c r="BB572">
        <v>1417</v>
      </c>
      <c r="BC572">
        <v>25</v>
      </c>
      <c r="BD572" t="s">
        <v>5902</v>
      </c>
      <c r="BE572">
        <v>100</v>
      </c>
      <c r="BF572">
        <v>0</v>
      </c>
      <c r="BG572">
        <v>70</v>
      </c>
      <c r="BH572">
        <v>1</v>
      </c>
      <c r="BI572">
        <v>10</v>
      </c>
      <c r="BJ572">
        <v>10.199999999999999</v>
      </c>
      <c r="BK572" s="1" t="s">
        <v>211</v>
      </c>
      <c r="BL572" s="1" t="s">
        <v>256</v>
      </c>
      <c r="BM572">
        <v>5</v>
      </c>
      <c r="BN572">
        <v>4.5999999999999996</v>
      </c>
      <c r="BO572">
        <v>1</v>
      </c>
      <c r="BP572" s="1" t="s">
        <v>161</v>
      </c>
      <c r="BQ572">
        <v>0</v>
      </c>
      <c r="BR572">
        <v>0</v>
      </c>
      <c r="BS572" s="1" t="s">
        <v>128</v>
      </c>
      <c r="BT572">
        <v>1</v>
      </c>
      <c r="BU572" s="1" t="s">
        <v>128</v>
      </c>
      <c r="BV572" s="1" t="s">
        <v>127</v>
      </c>
      <c r="BW572">
        <v>0</v>
      </c>
      <c r="BX572">
        <v>0</v>
      </c>
      <c r="BY572">
        <v>0</v>
      </c>
      <c r="BZ572">
        <v>6.6666666666666596E-2</v>
      </c>
      <c r="CA572">
        <v>0</v>
      </c>
      <c r="CB572">
        <v>0</v>
      </c>
      <c r="CC572">
        <v>0.04</v>
      </c>
      <c r="CD572">
        <v>6.8000000000000005E-2</v>
      </c>
      <c r="CE572">
        <v>0.06</v>
      </c>
      <c r="CF572">
        <v>6.9333333333333302E-2</v>
      </c>
      <c r="CG572" s="1" t="s">
        <v>125</v>
      </c>
      <c r="CH572" s="1" t="s">
        <v>781</v>
      </c>
      <c r="CI572">
        <v>0</v>
      </c>
      <c r="CJ572" s="1" t="s">
        <v>213</v>
      </c>
      <c r="CK572" s="1" t="s">
        <v>128</v>
      </c>
      <c r="CL572">
        <v>2</v>
      </c>
      <c r="CM572" s="1" t="s">
        <v>1110</v>
      </c>
      <c r="CN572" s="1" t="s">
        <v>3208</v>
      </c>
      <c r="CO572">
        <v>100</v>
      </c>
      <c r="CP572" s="1" t="s">
        <v>2534</v>
      </c>
      <c r="CQ572" s="1" t="s">
        <v>5903</v>
      </c>
      <c r="CR572">
        <v>272.60000000000002</v>
      </c>
      <c r="CS572">
        <v>1616</v>
      </c>
      <c r="CT572" s="1" t="s">
        <v>5904</v>
      </c>
      <c r="CU572">
        <v>1661</v>
      </c>
      <c r="CV572">
        <v>1673.2</v>
      </c>
      <c r="CW572">
        <v>69.400000000000006</v>
      </c>
      <c r="CX572">
        <v>74.8</v>
      </c>
      <c r="CY572">
        <v>66.8</v>
      </c>
      <c r="CZ572" s="1" t="s">
        <v>483</v>
      </c>
      <c r="DA572">
        <v>1</v>
      </c>
      <c r="DB572" t="s">
        <v>179</v>
      </c>
      <c r="DC572">
        <v>86</v>
      </c>
      <c r="DD572" s="1" t="s">
        <v>5905</v>
      </c>
      <c r="DE572" s="1" t="s">
        <v>5906</v>
      </c>
      <c r="DF572" t="e">
        <f>_xlfn.XLOOKUP(Table1[[#This Row],[Player ID]],Table2[feed_id],Table2[trade_status])</f>
        <v>#N/A</v>
      </c>
      <c r="DG572">
        <f>_xlfn.NUMBERVALUE(Table1[[#This Row],[predicted]])</f>
        <v>58.942492198053898</v>
      </c>
    </row>
    <row r="573" spans="1:111" hidden="1" x14ac:dyDescent="0.25">
      <c r="A573">
        <v>130397</v>
      </c>
      <c r="B573">
        <v>9002</v>
      </c>
      <c r="C573" t="s">
        <v>5899</v>
      </c>
      <c r="D573" t="s">
        <v>4907</v>
      </c>
      <c r="E573">
        <v>2024</v>
      </c>
      <c r="F573">
        <v>1017703</v>
      </c>
      <c r="G573" t="s">
        <v>5907</v>
      </c>
      <c r="H573" t="s">
        <v>5908</v>
      </c>
      <c r="I573" t="s">
        <v>291</v>
      </c>
      <c r="J573">
        <v>2</v>
      </c>
      <c r="K573">
        <v>24</v>
      </c>
      <c r="L573">
        <v>29</v>
      </c>
      <c r="M573">
        <v>36</v>
      </c>
      <c r="N573">
        <v>21</v>
      </c>
      <c r="O573">
        <v>36</v>
      </c>
      <c r="P573">
        <v>5</v>
      </c>
      <c r="Q573">
        <v>3</v>
      </c>
      <c r="R573">
        <v>1</v>
      </c>
      <c r="S573">
        <v>3</v>
      </c>
      <c r="T573">
        <v>0</v>
      </c>
      <c r="U573">
        <v>0</v>
      </c>
      <c r="V573">
        <v>4</v>
      </c>
      <c r="W573">
        <v>0</v>
      </c>
      <c r="X573">
        <v>0</v>
      </c>
      <c r="Y573" t="s">
        <v>113</v>
      </c>
      <c r="Z573" t="s">
        <v>5909</v>
      </c>
      <c r="AA573" t="s">
        <v>5910</v>
      </c>
      <c r="AH573" t="s">
        <v>181</v>
      </c>
      <c r="AI573">
        <v>4</v>
      </c>
      <c r="AJ573">
        <v>0</v>
      </c>
      <c r="AK573">
        <v>0</v>
      </c>
      <c r="AL573">
        <v>0</v>
      </c>
      <c r="AM573">
        <v>0.31</v>
      </c>
      <c r="AN573">
        <v>0.27</v>
      </c>
      <c r="AO573">
        <v>0.45</v>
      </c>
      <c r="AS573">
        <v>3</v>
      </c>
      <c r="AT573">
        <v>1</v>
      </c>
      <c r="AU573">
        <v>6</v>
      </c>
      <c r="AV573">
        <v>37</v>
      </c>
      <c r="AW573">
        <v>80</v>
      </c>
      <c r="AX573">
        <v>203</v>
      </c>
      <c r="AY573">
        <v>0</v>
      </c>
      <c r="AZ573" t="b">
        <v>0</v>
      </c>
      <c r="BA573">
        <v>1845</v>
      </c>
      <c r="BB573">
        <v>1417</v>
      </c>
      <c r="BC573">
        <v>25</v>
      </c>
      <c r="BD573" t="s">
        <v>5902</v>
      </c>
      <c r="BE573">
        <v>100</v>
      </c>
      <c r="BF573">
        <v>0</v>
      </c>
      <c r="BG573">
        <v>70</v>
      </c>
      <c r="BH573">
        <v>0</v>
      </c>
      <c r="BI573" s="1" t="s">
        <v>977</v>
      </c>
      <c r="BJ573">
        <v>10.4</v>
      </c>
      <c r="BK573" s="1" t="s">
        <v>125</v>
      </c>
      <c r="BL573" s="1" t="s">
        <v>124</v>
      </c>
      <c r="BM573" s="1" t="s">
        <v>161</v>
      </c>
      <c r="BN573" s="1" t="s">
        <v>321</v>
      </c>
      <c r="BO573" s="1" t="s">
        <v>126</v>
      </c>
      <c r="BP573" s="1" t="s">
        <v>127</v>
      </c>
      <c r="BQ573">
        <v>0</v>
      </c>
      <c r="BR573">
        <v>0</v>
      </c>
      <c r="BS573">
        <v>1</v>
      </c>
      <c r="BT573" s="1" t="s">
        <v>130</v>
      </c>
      <c r="BU573" s="1" t="s">
        <v>126</v>
      </c>
      <c r="BV573" s="1" t="s">
        <v>231</v>
      </c>
      <c r="BW573" s="1" t="s">
        <v>129</v>
      </c>
      <c r="BX573">
        <v>6.6666666666666596E-2</v>
      </c>
      <c r="BY573" s="1" t="s">
        <v>129</v>
      </c>
      <c r="BZ573" s="1" t="s">
        <v>213</v>
      </c>
      <c r="CA573">
        <v>0.31</v>
      </c>
      <c r="CB573">
        <v>0.31</v>
      </c>
      <c r="CC573">
        <v>0.27</v>
      </c>
      <c r="CD573">
        <v>0.27</v>
      </c>
      <c r="CE573">
        <v>0.45</v>
      </c>
      <c r="CF573">
        <v>0.45</v>
      </c>
      <c r="CG573">
        <v>6</v>
      </c>
      <c r="CH573">
        <v>6</v>
      </c>
      <c r="CI573" s="1" t="s">
        <v>159</v>
      </c>
      <c r="CJ573" s="1" t="s">
        <v>298</v>
      </c>
      <c r="CK573" s="1" t="s">
        <v>125</v>
      </c>
      <c r="CL573" s="1" t="s">
        <v>275</v>
      </c>
      <c r="CM573" s="1" t="s">
        <v>971</v>
      </c>
      <c r="CN573">
        <v>73.2</v>
      </c>
      <c r="CO573">
        <v>77</v>
      </c>
      <c r="CP573">
        <v>80.2</v>
      </c>
      <c r="CQ573" s="1" t="s">
        <v>5911</v>
      </c>
      <c r="CR573" s="1" t="s">
        <v>5912</v>
      </c>
      <c r="CS573">
        <v>1616</v>
      </c>
      <c r="CT573" s="1" t="s">
        <v>851</v>
      </c>
      <c r="CU573">
        <v>1661</v>
      </c>
      <c r="CV573" s="1" t="s">
        <v>5913</v>
      </c>
      <c r="CW573">
        <v>69.099999999999994</v>
      </c>
      <c r="CX573">
        <v>72.2</v>
      </c>
      <c r="CY573">
        <v>56.2</v>
      </c>
      <c r="CZ573">
        <v>47</v>
      </c>
      <c r="DA573">
        <v>1</v>
      </c>
      <c r="DB573" t="s">
        <v>5909</v>
      </c>
      <c r="DC573">
        <v>29</v>
      </c>
      <c r="DD573" s="1" t="s">
        <v>5914</v>
      </c>
      <c r="DE573">
        <v>-42.413354196080597</v>
      </c>
      <c r="DF573" t="str">
        <f>_xlfn.XLOOKUP(Table1[[#This Row],[Player ID]],Table2[feed_id],Table2[trade_status])</f>
        <v>free_agent</v>
      </c>
      <c r="DG573">
        <f>_xlfn.NUMBERVALUE(Table1[[#This Row],[predicted]])</f>
        <v>71.413354196080604</v>
      </c>
    </row>
    <row r="574" spans="1:111" hidden="1" x14ac:dyDescent="0.25">
      <c r="A574">
        <v>130423</v>
      </c>
      <c r="B574">
        <v>9003</v>
      </c>
      <c r="C574" t="s">
        <v>5915</v>
      </c>
      <c r="D574" t="s">
        <v>4907</v>
      </c>
      <c r="E574">
        <v>2024</v>
      </c>
      <c r="F574">
        <v>290627</v>
      </c>
      <c r="G574" t="s">
        <v>5916</v>
      </c>
      <c r="H574" t="s">
        <v>5917</v>
      </c>
      <c r="I574" t="s">
        <v>317</v>
      </c>
      <c r="J574">
        <v>20</v>
      </c>
      <c r="K574">
        <v>101</v>
      </c>
      <c r="L574">
        <v>103</v>
      </c>
      <c r="M574">
        <v>122</v>
      </c>
      <c r="N574">
        <v>90</v>
      </c>
      <c r="O574">
        <v>123</v>
      </c>
      <c r="P574">
        <v>13</v>
      </c>
      <c r="Q574">
        <v>20</v>
      </c>
      <c r="R574">
        <v>8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 t="s">
        <v>113</v>
      </c>
      <c r="Z574" t="s">
        <v>339</v>
      </c>
      <c r="AA574" t="s">
        <v>5918</v>
      </c>
      <c r="AB574" t="s">
        <v>877</v>
      </c>
      <c r="AC574" t="s">
        <v>1814</v>
      </c>
      <c r="AH574" t="s">
        <v>118</v>
      </c>
      <c r="AI574">
        <v>3</v>
      </c>
      <c r="AJ574">
        <v>0</v>
      </c>
      <c r="AK574">
        <v>0</v>
      </c>
      <c r="AL574">
        <v>0</v>
      </c>
      <c r="AM574">
        <v>0.18</v>
      </c>
      <c r="AN574">
        <v>0.21</v>
      </c>
      <c r="AO574">
        <v>0.33</v>
      </c>
      <c r="AS574">
        <v>13</v>
      </c>
      <c r="AT574">
        <v>5</v>
      </c>
      <c r="AU574">
        <v>5</v>
      </c>
      <c r="AV574">
        <v>75</v>
      </c>
      <c r="AW574">
        <v>81</v>
      </c>
      <c r="AX574">
        <v>418</v>
      </c>
      <c r="AY574">
        <v>0</v>
      </c>
      <c r="AZ574" t="b">
        <v>0</v>
      </c>
      <c r="BA574">
        <v>1650</v>
      </c>
      <c r="BB574">
        <v>1511</v>
      </c>
      <c r="BC574">
        <v>25</v>
      </c>
      <c r="BD574" t="s">
        <v>5919</v>
      </c>
      <c r="BE574">
        <v>100</v>
      </c>
      <c r="BF574">
        <v>1</v>
      </c>
      <c r="BG574">
        <v>70</v>
      </c>
      <c r="BH574">
        <v>1</v>
      </c>
      <c r="BI574">
        <v>10</v>
      </c>
      <c r="BJ574">
        <v>10.199999999999999</v>
      </c>
      <c r="BK574" s="1" t="s">
        <v>622</v>
      </c>
      <c r="BL574" s="1" t="s">
        <v>5920</v>
      </c>
      <c r="BM574" s="1" t="s">
        <v>449</v>
      </c>
      <c r="BN574" s="1" t="s">
        <v>321</v>
      </c>
      <c r="BO574" s="1" t="s">
        <v>126</v>
      </c>
      <c r="BP574" s="1" t="s">
        <v>304</v>
      </c>
      <c r="BQ574">
        <v>0</v>
      </c>
      <c r="BR574">
        <v>0</v>
      </c>
      <c r="BS574" s="1" t="s">
        <v>126</v>
      </c>
      <c r="BT574">
        <v>0.8</v>
      </c>
      <c r="BU574" s="1" t="s">
        <v>128</v>
      </c>
      <c r="BV574">
        <v>0.6</v>
      </c>
      <c r="BW574">
        <v>0</v>
      </c>
      <c r="BX574" s="1" t="s">
        <v>184</v>
      </c>
      <c r="BY574" s="1" t="s">
        <v>128</v>
      </c>
      <c r="BZ574" s="1" t="s">
        <v>184</v>
      </c>
      <c r="CA574">
        <v>0.18</v>
      </c>
      <c r="CB574">
        <v>0.192</v>
      </c>
      <c r="CC574">
        <v>0.21</v>
      </c>
      <c r="CD574" s="1" t="s">
        <v>821</v>
      </c>
      <c r="CE574">
        <v>0.33</v>
      </c>
      <c r="CF574" s="1" t="s">
        <v>5921</v>
      </c>
      <c r="CG574" s="1" t="s">
        <v>1008</v>
      </c>
      <c r="CH574" s="1" t="s">
        <v>254</v>
      </c>
      <c r="CI574" s="1" t="s">
        <v>160</v>
      </c>
      <c r="CJ574" s="1" t="s">
        <v>256</v>
      </c>
      <c r="CK574" s="1" t="s">
        <v>125</v>
      </c>
      <c r="CL574">
        <v>2.8</v>
      </c>
      <c r="CM574" s="1" t="s">
        <v>215</v>
      </c>
      <c r="CN574">
        <v>71.400000000000006</v>
      </c>
      <c r="CO574">
        <v>80</v>
      </c>
      <c r="CP574" s="1" t="s">
        <v>3657</v>
      </c>
      <c r="CQ574" s="1" t="s">
        <v>5922</v>
      </c>
      <c r="CR574" s="1" t="s">
        <v>5923</v>
      </c>
      <c r="CS574" s="1" t="s">
        <v>4589</v>
      </c>
      <c r="CT574" s="1" t="s">
        <v>5924</v>
      </c>
      <c r="CU574" s="1" t="s">
        <v>5925</v>
      </c>
      <c r="CV574">
        <v>1796.2</v>
      </c>
      <c r="CW574">
        <v>83.2</v>
      </c>
      <c r="CX574">
        <v>83.3</v>
      </c>
      <c r="CY574">
        <v>88</v>
      </c>
      <c r="CZ574">
        <v>87</v>
      </c>
      <c r="DA574">
        <v>1</v>
      </c>
      <c r="DB574" t="s">
        <v>339</v>
      </c>
      <c r="DC574">
        <v>103</v>
      </c>
      <c r="DD574" s="1" t="s">
        <v>5926</v>
      </c>
      <c r="DE574" s="1" t="s">
        <v>5927</v>
      </c>
      <c r="DF574" t="str">
        <f>_xlfn.XLOOKUP(Table1[[#This Row],[Player ID]],Table2[feed_id],Table2[trade_status])</f>
        <v>free_agent</v>
      </c>
      <c r="DG574">
        <f>_xlfn.NUMBERVALUE(Table1[[#This Row],[predicted]])</f>
        <v>84.735877607477704</v>
      </c>
    </row>
    <row r="575" spans="1:111" hidden="1" x14ac:dyDescent="0.25">
      <c r="A575">
        <v>130434</v>
      </c>
      <c r="B575">
        <v>9003</v>
      </c>
      <c r="C575" t="s">
        <v>5915</v>
      </c>
      <c r="D575" t="s">
        <v>4907</v>
      </c>
      <c r="E575">
        <v>2024</v>
      </c>
      <c r="F575">
        <v>1002245</v>
      </c>
      <c r="G575" t="s">
        <v>5462</v>
      </c>
      <c r="H575" t="s">
        <v>5928</v>
      </c>
      <c r="I575" t="s">
        <v>317</v>
      </c>
      <c r="J575">
        <v>4</v>
      </c>
      <c r="K575">
        <v>48</v>
      </c>
      <c r="L575">
        <v>52</v>
      </c>
      <c r="M575">
        <v>62</v>
      </c>
      <c r="N575">
        <v>39</v>
      </c>
      <c r="O575">
        <v>51</v>
      </c>
      <c r="P575">
        <v>7</v>
      </c>
      <c r="Q575">
        <v>4</v>
      </c>
      <c r="R575">
        <v>5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 t="s">
        <v>113</v>
      </c>
      <c r="Z575" t="s">
        <v>179</v>
      </c>
      <c r="AA575" t="s">
        <v>5929</v>
      </c>
      <c r="AE575">
        <v>0</v>
      </c>
      <c r="AH575" t="s">
        <v>181</v>
      </c>
      <c r="AI575">
        <v>21</v>
      </c>
      <c r="AJ575">
        <v>0</v>
      </c>
      <c r="AK575">
        <v>0</v>
      </c>
      <c r="AL575">
        <v>0</v>
      </c>
      <c r="AM575">
        <v>0</v>
      </c>
      <c r="AN575">
        <v>0.18</v>
      </c>
      <c r="AO575">
        <v>0.33</v>
      </c>
      <c r="AS575">
        <v>4</v>
      </c>
      <c r="AT575">
        <v>0</v>
      </c>
      <c r="AU575">
        <v>3</v>
      </c>
      <c r="AV575">
        <v>72</v>
      </c>
      <c r="AW575">
        <v>85</v>
      </c>
      <c r="AX575">
        <v>193</v>
      </c>
      <c r="AY575">
        <v>0</v>
      </c>
      <c r="AZ575" t="b">
        <v>0</v>
      </c>
      <c r="BA575">
        <v>1650</v>
      </c>
      <c r="BB575">
        <v>1511</v>
      </c>
      <c r="BC575">
        <v>25</v>
      </c>
      <c r="BD575" t="s">
        <v>5919</v>
      </c>
      <c r="BE575">
        <v>100</v>
      </c>
      <c r="BF575">
        <v>0</v>
      </c>
      <c r="BG575">
        <v>70</v>
      </c>
      <c r="BH575">
        <v>0</v>
      </c>
      <c r="BI575" s="1" t="s">
        <v>545</v>
      </c>
      <c r="BJ575" s="1" t="s">
        <v>1159</v>
      </c>
      <c r="BK575" s="1" t="s">
        <v>169</v>
      </c>
      <c r="BL575" s="1" t="s">
        <v>322</v>
      </c>
      <c r="BM575" s="1" t="s">
        <v>449</v>
      </c>
      <c r="BN575" s="1" t="s">
        <v>429</v>
      </c>
      <c r="BO575" s="1" t="s">
        <v>128</v>
      </c>
      <c r="BP575" s="1" t="s">
        <v>162</v>
      </c>
      <c r="BQ575" s="1" t="s">
        <v>126</v>
      </c>
      <c r="BR575" s="1" t="s">
        <v>130</v>
      </c>
      <c r="BS575">
        <v>0</v>
      </c>
      <c r="BT575" s="1" t="s">
        <v>238</v>
      </c>
      <c r="BU575" s="1" t="s">
        <v>129</v>
      </c>
      <c r="BV575" s="1" t="s">
        <v>231</v>
      </c>
      <c r="BW575" s="1" t="s">
        <v>128</v>
      </c>
      <c r="BX575" s="1" t="s">
        <v>231</v>
      </c>
      <c r="BY575" s="1" t="s">
        <v>129</v>
      </c>
      <c r="BZ575">
        <v>6.6666666666666596E-2</v>
      </c>
      <c r="CA575">
        <v>0</v>
      </c>
      <c r="CB575">
        <v>0</v>
      </c>
      <c r="CC575">
        <v>0.18</v>
      </c>
      <c r="CD575">
        <v>0.18</v>
      </c>
      <c r="CE575">
        <v>0.33</v>
      </c>
      <c r="CF575">
        <v>0.33</v>
      </c>
      <c r="CG575">
        <v>4</v>
      </c>
      <c r="CH575">
        <v>3.8</v>
      </c>
      <c r="CI575" s="1" t="s">
        <v>129</v>
      </c>
      <c r="CJ575" s="1" t="s">
        <v>129</v>
      </c>
      <c r="CK575">
        <v>2</v>
      </c>
      <c r="CL575" s="1" t="s">
        <v>373</v>
      </c>
      <c r="CM575" s="1" t="s">
        <v>1979</v>
      </c>
      <c r="CN575" s="1" t="s">
        <v>3309</v>
      </c>
      <c r="CO575" s="1" t="s">
        <v>437</v>
      </c>
      <c r="CP575" s="1" t="s">
        <v>5930</v>
      </c>
      <c r="CQ575" s="1" t="s">
        <v>5931</v>
      </c>
      <c r="CR575">
        <v>300.39999999999998</v>
      </c>
      <c r="CS575" s="1" t="s">
        <v>4589</v>
      </c>
      <c r="CT575">
        <v>1471.6</v>
      </c>
      <c r="CU575" s="1" t="s">
        <v>5925</v>
      </c>
      <c r="CV575">
        <v>1803.2</v>
      </c>
      <c r="CW575">
        <v>61.75</v>
      </c>
      <c r="CX575">
        <v>53.4</v>
      </c>
      <c r="CY575">
        <v>48.6</v>
      </c>
      <c r="CZ575" s="1" t="s">
        <v>1316</v>
      </c>
      <c r="DA575">
        <v>1</v>
      </c>
      <c r="DB575" t="s">
        <v>179</v>
      </c>
      <c r="DC575">
        <v>52</v>
      </c>
      <c r="DD575" s="1" t="s">
        <v>5932</v>
      </c>
      <c r="DE575">
        <v>-0.205271207657268</v>
      </c>
      <c r="DF575" t="str">
        <f>_xlfn.XLOOKUP(Table1[[#This Row],[Player ID]],Table2[feed_id],Table2[trade_status])</f>
        <v>free_agent</v>
      </c>
      <c r="DG575">
        <f>_xlfn.NUMBERVALUE(Table1[[#This Row],[predicted]])</f>
        <v>52.205271207657198</v>
      </c>
    </row>
    <row r="576" spans="1:111" hidden="1" x14ac:dyDescent="0.25">
      <c r="A576">
        <v>130438</v>
      </c>
      <c r="B576">
        <v>9003</v>
      </c>
      <c r="C576" t="s">
        <v>5915</v>
      </c>
      <c r="D576" t="s">
        <v>4907</v>
      </c>
      <c r="E576">
        <v>2024</v>
      </c>
      <c r="F576">
        <v>993771</v>
      </c>
      <c r="G576" t="s">
        <v>5933</v>
      </c>
      <c r="H576" t="s">
        <v>5934</v>
      </c>
      <c r="I576" t="s">
        <v>317</v>
      </c>
      <c r="J576">
        <v>10</v>
      </c>
      <c r="K576">
        <v>43</v>
      </c>
      <c r="L576">
        <v>43</v>
      </c>
      <c r="M576">
        <v>56</v>
      </c>
      <c r="N576">
        <v>38</v>
      </c>
      <c r="O576">
        <v>51</v>
      </c>
      <c r="P576">
        <v>7</v>
      </c>
      <c r="Q576">
        <v>3</v>
      </c>
      <c r="R576">
        <v>4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 t="s">
        <v>113</v>
      </c>
      <c r="Z576" t="s">
        <v>525</v>
      </c>
      <c r="AA576" t="s">
        <v>5935</v>
      </c>
      <c r="AB576" t="s">
        <v>3571</v>
      </c>
      <c r="AC576" t="s">
        <v>4081</v>
      </c>
      <c r="AH576" t="s">
        <v>118</v>
      </c>
      <c r="AI576">
        <v>50</v>
      </c>
      <c r="AJ576">
        <v>0</v>
      </c>
      <c r="AK576">
        <v>0</v>
      </c>
      <c r="AL576">
        <v>0</v>
      </c>
      <c r="AM576">
        <v>0.93</v>
      </c>
      <c r="AN576">
        <v>0.35</v>
      </c>
      <c r="AO576">
        <v>0.81</v>
      </c>
      <c r="AS576">
        <v>6</v>
      </c>
      <c r="AT576">
        <v>2</v>
      </c>
      <c r="AU576">
        <v>4</v>
      </c>
      <c r="AV576">
        <v>60</v>
      </c>
      <c r="AW576">
        <v>32</v>
      </c>
      <c r="AX576">
        <v>319</v>
      </c>
      <c r="AY576">
        <v>0</v>
      </c>
      <c r="AZ576" t="b">
        <v>0</v>
      </c>
      <c r="BA576">
        <v>1650</v>
      </c>
      <c r="BB576">
        <v>1511</v>
      </c>
      <c r="BC576">
        <v>25</v>
      </c>
      <c r="BD576" t="s">
        <v>5919</v>
      </c>
      <c r="BE576">
        <v>100</v>
      </c>
      <c r="BF576">
        <v>0</v>
      </c>
      <c r="BG576">
        <v>70</v>
      </c>
      <c r="BH576">
        <v>0</v>
      </c>
      <c r="BI576">
        <v>8</v>
      </c>
      <c r="BJ576">
        <v>6.8</v>
      </c>
      <c r="BK576" s="1" t="s">
        <v>204</v>
      </c>
      <c r="BL576" s="1" t="s">
        <v>818</v>
      </c>
      <c r="BM576">
        <v>4</v>
      </c>
      <c r="BN576" s="1" t="s">
        <v>766</v>
      </c>
      <c r="BO576">
        <v>1</v>
      </c>
      <c r="BP576" s="1" t="s">
        <v>159</v>
      </c>
      <c r="BQ576">
        <v>0</v>
      </c>
      <c r="BR576" s="1" t="s">
        <v>213</v>
      </c>
      <c r="BS576">
        <v>0</v>
      </c>
      <c r="BT576">
        <v>0.4</v>
      </c>
      <c r="BU576" s="1" t="s">
        <v>169</v>
      </c>
      <c r="BV576" s="1" t="s">
        <v>275</v>
      </c>
      <c r="BW576" s="1" t="s">
        <v>128</v>
      </c>
      <c r="BX576" s="1" t="s">
        <v>184</v>
      </c>
      <c r="BY576" s="1" t="s">
        <v>126</v>
      </c>
      <c r="BZ576">
        <v>0.6</v>
      </c>
      <c r="CA576">
        <v>0.93</v>
      </c>
      <c r="CB576" s="1" t="s">
        <v>2562</v>
      </c>
      <c r="CC576">
        <v>0.35</v>
      </c>
      <c r="CD576" s="1" t="s">
        <v>5599</v>
      </c>
      <c r="CE576">
        <v>0.81</v>
      </c>
      <c r="CF576" s="1" t="s">
        <v>5936</v>
      </c>
      <c r="CG576" s="1" t="s">
        <v>124</v>
      </c>
      <c r="CH576" s="1" t="s">
        <v>963</v>
      </c>
      <c r="CI576">
        <v>1</v>
      </c>
      <c r="CJ576" s="1" t="s">
        <v>162</v>
      </c>
      <c r="CK576" s="1" t="s">
        <v>124</v>
      </c>
      <c r="CL576">
        <v>4.5999999999999996</v>
      </c>
      <c r="CM576" s="1" t="s">
        <v>706</v>
      </c>
      <c r="CN576" s="1" t="s">
        <v>3123</v>
      </c>
      <c r="CO576" s="1" t="s">
        <v>759</v>
      </c>
      <c r="CP576" s="1" t="s">
        <v>1460</v>
      </c>
      <c r="CQ576" s="1" t="s">
        <v>5840</v>
      </c>
      <c r="CR576">
        <v>254</v>
      </c>
      <c r="CS576" s="1" t="s">
        <v>5937</v>
      </c>
      <c r="CT576" s="1" t="s">
        <v>5938</v>
      </c>
      <c r="CU576">
        <v>1750</v>
      </c>
      <c r="CV576" s="1" t="s">
        <v>5939</v>
      </c>
      <c r="CW576">
        <v>53.95</v>
      </c>
      <c r="CX576">
        <v>53.8</v>
      </c>
      <c r="CY576">
        <v>49.6</v>
      </c>
      <c r="CZ576" s="1" t="s">
        <v>283</v>
      </c>
      <c r="DA576">
        <v>1</v>
      </c>
      <c r="DB576" t="s">
        <v>525</v>
      </c>
      <c r="DC576">
        <v>43</v>
      </c>
      <c r="DD576" s="1" t="s">
        <v>5940</v>
      </c>
      <c r="DE576">
        <v>-16.852140006047101</v>
      </c>
      <c r="DF576" t="e">
        <f>_xlfn.XLOOKUP(Table1[[#This Row],[Player ID]],Table2[feed_id],Table2[trade_status])</f>
        <v>#N/A</v>
      </c>
      <c r="DG576">
        <f>_xlfn.NUMBERVALUE(Table1[[#This Row],[predicted]])</f>
        <v>59.852140006047101</v>
      </c>
    </row>
    <row r="577" spans="1:111" hidden="1" x14ac:dyDescent="0.25">
      <c r="A577">
        <v>130442</v>
      </c>
      <c r="B577">
        <v>9003</v>
      </c>
      <c r="C577" t="s">
        <v>5915</v>
      </c>
      <c r="D577" t="s">
        <v>4907</v>
      </c>
      <c r="E577">
        <v>2024</v>
      </c>
      <c r="F577">
        <v>1006030</v>
      </c>
      <c r="G577" t="s">
        <v>3830</v>
      </c>
      <c r="H577" t="s">
        <v>5941</v>
      </c>
      <c r="I577" t="s">
        <v>317</v>
      </c>
      <c r="J577">
        <v>1</v>
      </c>
      <c r="K577">
        <v>28</v>
      </c>
      <c r="L577">
        <v>31</v>
      </c>
      <c r="M577">
        <v>32</v>
      </c>
      <c r="N577">
        <v>25</v>
      </c>
      <c r="O577">
        <v>34</v>
      </c>
      <c r="P577">
        <v>3</v>
      </c>
      <c r="Q577">
        <v>6</v>
      </c>
      <c r="R577">
        <v>1</v>
      </c>
      <c r="S577">
        <v>0</v>
      </c>
      <c r="T577">
        <v>4</v>
      </c>
      <c r="U577">
        <v>0</v>
      </c>
      <c r="V577">
        <v>0</v>
      </c>
      <c r="W577">
        <v>0</v>
      </c>
      <c r="X577">
        <v>0</v>
      </c>
      <c r="Y577" t="s">
        <v>113</v>
      </c>
      <c r="Z577" t="s">
        <v>5942</v>
      </c>
      <c r="AA577" t="s">
        <v>5943</v>
      </c>
      <c r="AH577" t="s">
        <v>155</v>
      </c>
      <c r="AI577">
        <v>20</v>
      </c>
      <c r="AJ577">
        <v>0</v>
      </c>
      <c r="AK577">
        <v>0</v>
      </c>
      <c r="AL577">
        <v>0</v>
      </c>
      <c r="AM577">
        <v>0.09</v>
      </c>
      <c r="AN577">
        <v>0.19</v>
      </c>
      <c r="AO577">
        <v>0.15</v>
      </c>
      <c r="AS577">
        <v>3</v>
      </c>
      <c r="AT577">
        <v>0</v>
      </c>
      <c r="AU577">
        <v>1</v>
      </c>
      <c r="AV577">
        <v>88</v>
      </c>
      <c r="AW577">
        <v>81</v>
      </c>
      <c r="AX577">
        <v>90</v>
      </c>
      <c r="AY577">
        <v>0</v>
      </c>
      <c r="AZ577" t="b">
        <v>0</v>
      </c>
      <c r="BA577">
        <v>1650</v>
      </c>
      <c r="BB577">
        <v>1511</v>
      </c>
      <c r="BC577">
        <v>25</v>
      </c>
      <c r="BD577" t="s">
        <v>5919</v>
      </c>
      <c r="BE577">
        <v>100</v>
      </c>
      <c r="BF577">
        <v>0</v>
      </c>
      <c r="BG577">
        <v>70</v>
      </c>
      <c r="BH577">
        <v>0</v>
      </c>
      <c r="BI577">
        <v>4</v>
      </c>
      <c r="BJ577" s="1" t="s">
        <v>565</v>
      </c>
      <c r="BK577" s="1" t="s">
        <v>449</v>
      </c>
      <c r="BL577">
        <v>4.4000000000000004</v>
      </c>
      <c r="BM577">
        <v>2</v>
      </c>
      <c r="BN577" s="1" t="s">
        <v>237</v>
      </c>
      <c r="BO577" s="1" t="s">
        <v>129</v>
      </c>
      <c r="BP577">
        <v>1.2</v>
      </c>
      <c r="BQ577" s="1" t="s">
        <v>169</v>
      </c>
      <c r="BR577" s="1" t="s">
        <v>211</v>
      </c>
      <c r="BS577" s="1" t="s">
        <v>129</v>
      </c>
      <c r="BT577" s="1" t="s">
        <v>127</v>
      </c>
      <c r="BU577">
        <v>0</v>
      </c>
      <c r="BV577" s="1" t="s">
        <v>129</v>
      </c>
      <c r="BW577" s="1" t="s">
        <v>129</v>
      </c>
      <c r="BX577" s="1" t="s">
        <v>399</v>
      </c>
      <c r="BY577" s="1" t="s">
        <v>128</v>
      </c>
      <c r="BZ577">
        <v>0.4</v>
      </c>
      <c r="CA577">
        <v>0.09</v>
      </c>
      <c r="CB577">
        <v>8.66666666666666E-2</v>
      </c>
      <c r="CC577">
        <v>0.19</v>
      </c>
      <c r="CD577" s="1" t="s">
        <v>5944</v>
      </c>
      <c r="CE577">
        <v>0.15</v>
      </c>
      <c r="CF577">
        <v>0.14599999999999999</v>
      </c>
      <c r="CG577" s="1" t="s">
        <v>125</v>
      </c>
      <c r="CH577">
        <v>5</v>
      </c>
      <c r="CI577" s="1" t="s">
        <v>129</v>
      </c>
      <c r="CJ577">
        <v>0.6</v>
      </c>
      <c r="CK577" s="1" t="s">
        <v>128</v>
      </c>
      <c r="CL577" s="1" t="s">
        <v>275</v>
      </c>
      <c r="CM577">
        <v>71</v>
      </c>
      <c r="CN577" s="1" t="s">
        <v>2078</v>
      </c>
      <c r="CO577">
        <v>82</v>
      </c>
      <c r="CP577">
        <v>82.8</v>
      </c>
      <c r="CQ577" s="1" t="s">
        <v>1123</v>
      </c>
      <c r="CR577" s="1" t="s">
        <v>5945</v>
      </c>
      <c r="CS577" s="1" t="s">
        <v>4589</v>
      </c>
      <c r="CT577" s="1" t="s">
        <v>5946</v>
      </c>
      <c r="CU577" s="1" t="s">
        <v>5925</v>
      </c>
      <c r="CV577">
        <v>1776.2</v>
      </c>
      <c r="CW577">
        <v>54.35</v>
      </c>
      <c r="CX577">
        <v>54</v>
      </c>
      <c r="CY577">
        <v>52</v>
      </c>
      <c r="CZ577">
        <v>36</v>
      </c>
      <c r="DA577">
        <v>1</v>
      </c>
      <c r="DB577" t="s">
        <v>5942</v>
      </c>
      <c r="DC577">
        <v>31</v>
      </c>
      <c r="DD577">
        <v>64.403237844597896</v>
      </c>
      <c r="DE577">
        <v>-33.403237844597797</v>
      </c>
      <c r="DF577" t="str">
        <f>_xlfn.XLOOKUP(Table1[[#This Row],[Player ID]],Table2[feed_id],Table2[trade_status])</f>
        <v>free_agent</v>
      </c>
      <c r="DG577">
        <f>_xlfn.NUMBERVALUE(Table1[[#This Row],[predicted]])</f>
        <v>64.403237844597896</v>
      </c>
    </row>
    <row r="578" spans="1:111" hidden="1" x14ac:dyDescent="0.25">
      <c r="A578">
        <v>130451</v>
      </c>
      <c r="B578">
        <v>9003</v>
      </c>
      <c r="C578" t="s">
        <v>5915</v>
      </c>
      <c r="D578" t="s">
        <v>4907</v>
      </c>
      <c r="E578">
        <v>2024</v>
      </c>
      <c r="F578">
        <v>294013</v>
      </c>
      <c r="G578" t="s">
        <v>974</v>
      </c>
      <c r="H578" t="s">
        <v>5947</v>
      </c>
      <c r="I578" t="s">
        <v>524</v>
      </c>
      <c r="J578">
        <v>13</v>
      </c>
      <c r="K578">
        <v>75</v>
      </c>
      <c r="L578">
        <v>60</v>
      </c>
      <c r="M578">
        <v>52</v>
      </c>
      <c r="N578">
        <v>53</v>
      </c>
      <c r="O578">
        <v>69</v>
      </c>
      <c r="P578">
        <v>12</v>
      </c>
      <c r="Q578">
        <v>3</v>
      </c>
      <c r="R578">
        <v>3</v>
      </c>
      <c r="S578">
        <v>5</v>
      </c>
      <c r="T578">
        <v>0</v>
      </c>
      <c r="U578">
        <v>4</v>
      </c>
      <c r="V578">
        <v>0</v>
      </c>
      <c r="W578">
        <v>0</v>
      </c>
      <c r="X578">
        <v>0</v>
      </c>
      <c r="Y578" t="s">
        <v>113</v>
      </c>
      <c r="Z578" t="s">
        <v>226</v>
      </c>
      <c r="AA578" t="s">
        <v>5948</v>
      </c>
      <c r="AE578">
        <v>0</v>
      </c>
      <c r="AH578" t="s">
        <v>181</v>
      </c>
      <c r="AI578">
        <v>23</v>
      </c>
      <c r="AJ578">
        <v>9</v>
      </c>
      <c r="AK578">
        <v>47</v>
      </c>
      <c r="AL578">
        <v>0</v>
      </c>
      <c r="AM578">
        <v>0</v>
      </c>
      <c r="AN578">
        <v>0.08</v>
      </c>
      <c r="AO578">
        <v>0.13</v>
      </c>
      <c r="AS578">
        <v>7</v>
      </c>
      <c r="AT578">
        <v>1</v>
      </c>
      <c r="AU578">
        <v>4</v>
      </c>
      <c r="AV578">
        <v>66</v>
      </c>
      <c r="AW578">
        <v>89</v>
      </c>
      <c r="AX578">
        <v>362</v>
      </c>
      <c r="AY578">
        <v>0</v>
      </c>
      <c r="AZ578" t="b">
        <v>0</v>
      </c>
      <c r="BA578">
        <v>1511</v>
      </c>
      <c r="BB578">
        <v>1650</v>
      </c>
      <c r="BC578">
        <v>25</v>
      </c>
      <c r="BD578" t="s">
        <v>5949</v>
      </c>
      <c r="BE578">
        <v>100</v>
      </c>
      <c r="BF578">
        <v>0</v>
      </c>
      <c r="BG578">
        <v>70</v>
      </c>
      <c r="BH578">
        <v>0</v>
      </c>
      <c r="BI578">
        <v>8</v>
      </c>
      <c r="BJ578">
        <v>8</v>
      </c>
      <c r="BK578" s="1" t="s">
        <v>211</v>
      </c>
      <c r="BL578" s="1" t="s">
        <v>373</v>
      </c>
      <c r="BM578">
        <v>2</v>
      </c>
      <c r="BN578">
        <v>3.2</v>
      </c>
      <c r="BO578">
        <v>3</v>
      </c>
      <c r="BP578">
        <v>2.4</v>
      </c>
      <c r="BQ578">
        <v>0</v>
      </c>
      <c r="BR578">
        <v>0</v>
      </c>
      <c r="BS578" s="1" t="s">
        <v>161</v>
      </c>
      <c r="BT578" s="1" t="s">
        <v>298</v>
      </c>
      <c r="BU578">
        <v>0</v>
      </c>
      <c r="BV578">
        <v>0.8</v>
      </c>
      <c r="BW578">
        <v>0</v>
      </c>
      <c r="BX578">
        <v>0</v>
      </c>
      <c r="BY578">
        <v>0</v>
      </c>
      <c r="BZ578">
        <v>6.6666666666666596E-2</v>
      </c>
      <c r="CA578">
        <v>0</v>
      </c>
      <c r="CB578">
        <v>0</v>
      </c>
      <c r="CC578">
        <v>0.08</v>
      </c>
      <c r="CD578" s="1" t="s">
        <v>5203</v>
      </c>
      <c r="CE578">
        <v>0.13</v>
      </c>
      <c r="CF578">
        <v>7.2666666666666602E-2</v>
      </c>
      <c r="CG578">
        <v>5</v>
      </c>
      <c r="CH578" s="1" t="s">
        <v>230</v>
      </c>
      <c r="CI578" s="1" t="s">
        <v>128</v>
      </c>
      <c r="CJ578" s="1" t="s">
        <v>130</v>
      </c>
      <c r="CK578">
        <v>2</v>
      </c>
      <c r="CL578" s="1" t="s">
        <v>275</v>
      </c>
      <c r="CM578" s="1" t="s">
        <v>609</v>
      </c>
      <c r="CN578">
        <v>78.2</v>
      </c>
      <c r="CO578" s="1" t="s">
        <v>364</v>
      </c>
      <c r="CP578">
        <v>74.599999999999994</v>
      </c>
      <c r="CQ578" s="1" t="s">
        <v>5950</v>
      </c>
      <c r="CR578" s="1" t="s">
        <v>5951</v>
      </c>
      <c r="CS578">
        <v>1564</v>
      </c>
      <c r="CT578" s="1" t="s">
        <v>4195</v>
      </c>
      <c r="CU578" s="1" t="s">
        <v>806</v>
      </c>
      <c r="CV578" s="1" t="s">
        <v>2189</v>
      </c>
      <c r="CW578">
        <v>52.85</v>
      </c>
      <c r="CX578">
        <v>49</v>
      </c>
      <c r="CY578">
        <v>55</v>
      </c>
      <c r="CZ578">
        <v>55</v>
      </c>
      <c r="DA578">
        <v>1</v>
      </c>
      <c r="DB578" t="s">
        <v>226</v>
      </c>
      <c r="DC578">
        <v>60</v>
      </c>
      <c r="DD578" s="1" t="s">
        <v>5952</v>
      </c>
      <c r="DE578">
        <v>-20.990455715986901</v>
      </c>
      <c r="DF578" t="str">
        <f>_xlfn.XLOOKUP(Table1[[#This Row],[Player ID]],Table2[feed_id],Table2[trade_status])</f>
        <v>free_agent</v>
      </c>
      <c r="DG578">
        <f>_xlfn.NUMBERVALUE(Table1[[#This Row],[predicted]])</f>
        <v>80.990455715986897</v>
      </c>
    </row>
    <row r="579" spans="1:111" hidden="1" x14ac:dyDescent="0.25">
      <c r="A579">
        <v>130452</v>
      </c>
      <c r="B579">
        <v>9003</v>
      </c>
      <c r="C579" t="s">
        <v>5915</v>
      </c>
      <c r="D579" t="s">
        <v>4907</v>
      </c>
      <c r="E579">
        <v>2024</v>
      </c>
      <c r="F579">
        <v>294643</v>
      </c>
      <c r="G579" t="s">
        <v>1450</v>
      </c>
      <c r="H579" t="s">
        <v>5953</v>
      </c>
      <c r="I579" t="s">
        <v>524</v>
      </c>
      <c r="J579">
        <v>12</v>
      </c>
      <c r="K579">
        <v>72</v>
      </c>
      <c r="L579">
        <v>69</v>
      </c>
      <c r="M579">
        <v>35</v>
      </c>
      <c r="N579">
        <v>57</v>
      </c>
      <c r="O579">
        <v>78</v>
      </c>
      <c r="P579">
        <v>15</v>
      </c>
      <c r="Q579">
        <v>4</v>
      </c>
      <c r="R579">
        <v>6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 t="s">
        <v>113</v>
      </c>
      <c r="Z579" t="s">
        <v>987</v>
      </c>
      <c r="AA579" t="s">
        <v>5954</v>
      </c>
      <c r="AE579">
        <v>0</v>
      </c>
      <c r="AH579" t="s">
        <v>155</v>
      </c>
      <c r="AI579">
        <v>6</v>
      </c>
      <c r="AJ579">
        <v>21</v>
      </c>
      <c r="AK579">
        <v>60.71</v>
      </c>
      <c r="AL579">
        <v>0</v>
      </c>
      <c r="AM579">
        <v>0</v>
      </c>
      <c r="AN579">
        <v>0.49</v>
      </c>
      <c r="AO579">
        <v>0.64</v>
      </c>
      <c r="AS579">
        <v>1</v>
      </c>
      <c r="AT579">
        <v>1</v>
      </c>
      <c r="AU579">
        <v>2</v>
      </c>
      <c r="AV579">
        <v>84</v>
      </c>
      <c r="AW579">
        <v>79</v>
      </c>
      <c r="AX579">
        <v>561</v>
      </c>
      <c r="AY579">
        <v>1</v>
      </c>
      <c r="AZ579" t="b">
        <v>0</v>
      </c>
      <c r="BA579">
        <v>1511</v>
      </c>
      <c r="BB579">
        <v>1650</v>
      </c>
      <c r="BC579">
        <v>25</v>
      </c>
      <c r="BD579" t="s">
        <v>5949</v>
      </c>
      <c r="BE579">
        <v>100</v>
      </c>
      <c r="BF579">
        <v>0</v>
      </c>
      <c r="BG579">
        <v>70</v>
      </c>
      <c r="BH579">
        <v>0</v>
      </c>
      <c r="BI579" s="1" t="s">
        <v>294</v>
      </c>
      <c r="BJ579" s="1" t="s">
        <v>5955</v>
      </c>
      <c r="BK579" s="1" t="s">
        <v>211</v>
      </c>
      <c r="BL579" s="1" t="s">
        <v>680</v>
      </c>
      <c r="BM579" s="1" t="s">
        <v>125</v>
      </c>
      <c r="BN579">
        <v>5.8</v>
      </c>
      <c r="BO579" s="1" t="s">
        <v>159</v>
      </c>
      <c r="BP579" s="1" t="s">
        <v>566</v>
      </c>
      <c r="BQ579">
        <v>0</v>
      </c>
      <c r="BR579">
        <v>0</v>
      </c>
      <c r="BS579">
        <v>0</v>
      </c>
      <c r="BT579" s="1" t="s">
        <v>231</v>
      </c>
      <c r="BU579" s="1" t="s">
        <v>128</v>
      </c>
      <c r="BV579">
        <v>0.6</v>
      </c>
      <c r="BW579">
        <v>0</v>
      </c>
      <c r="BX579" s="1" t="s">
        <v>213</v>
      </c>
      <c r="BY579" s="1" t="s">
        <v>129</v>
      </c>
      <c r="BZ579">
        <v>0.2</v>
      </c>
      <c r="CA579">
        <v>0</v>
      </c>
      <c r="CB579">
        <v>2.33333333333333E-2</v>
      </c>
      <c r="CC579">
        <v>0.49</v>
      </c>
      <c r="CD579">
        <v>0.49</v>
      </c>
      <c r="CE579">
        <v>0.64</v>
      </c>
      <c r="CF579">
        <v>0.64</v>
      </c>
      <c r="CG579" s="1" t="s">
        <v>159</v>
      </c>
      <c r="CH579" s="1" t="s">
        <v>237</v>
      </c>
      <c r="CI579">
        <v>1</v>
      </c>
      <c r="CJ579" s="1" t="s">
        <v>130</v>
      </c>
      <c r="CK579" s="1" t="s">
        <v>126</v>
      </c>
      <c r="CL579" s="1" t="s">
        <v>566</v>
      </c>
      <c r="CM579" s="1" t="s">
        <v>968</v>
      </c>
      <c r="CN579" s="1" t="s">
        <v>1387</v>
      </c>
      <c r="CO579" s="1" t="s">
        <v>268</v>
      </c>
      <c r="CP579">
        <v>80</v>
      </c>
      <c r="CQ579">
        <v>330</v>
      </c>
      <c r="CR579" s="1" t="s">
        <v>5956</v>
      </c>
      <c r="CS579">
        <v>1600</v>
      </c>
      <c r="CT579" s="1" t="s">
        <v>5957</v>
      </c>
      <c r="CU579">
        <v>1648</v>
      </c>
      <c r="CV579">
        <v>1638</v>
      </c>
      <c r="CW579">
        <v>62.15</v>
      </c>
      <c r="CX579">
        <v>73.599999999999994</v>
      </c>
      <c r="CY579">
        <v>59.4</v>
      </c>
      <c r="CZ579" s="1" t="s">
        <v>2490</v>
      </c>
      <c r="DA579">
        <v>1</v>
      </c>
      <c r="DB579" t="s">
        <v>987</v>
      </c>
      <c r="DC579">
        <v>69</v>
      </c>
      <c r="DD579" s="1" t="s">
        <v>5958</v>
      </c>
      <c r="DE579">
        <v>-8.2309238296240608</v>
      </c>
      <c r="DF579" t="str">
        <f>_xlfn.XLOOKUP(Table1[[#This Row],[Player ID]],Table2[feed_id],Table2[trade_status])</f>
        <v>free_agent</v>
      </c>
      <c r="DG579">
        <f>_xlfn.NUMBERVALUE(Table1[[#This Row],[predicted]])</f>
        <v>77.230923829624004</v>
      </c>
    </row>
    <row r="580" spans="1:111" hidden="1" x14ac:dyDescent="0.25">
      <c r="A580">
        <v>130458</v>
      </c>
      <c r="B580">
        <v>9003</v>
      </c>
      <c r="C580" t="s">
        <v>5915</v>
      </c>
      <c r="D580" t="s">
        <v>4907</v>
      </c>
      <c r="E580">
        <v>2024</v>
      </c>
      <c r="F580">
        <v>1013268</v>
      </c>
      <c r="G580" t="s">
        <v>1450</v>
      </c>
      <c r="H580" t="s">
        <v>5959</v>
      </c>
      <c r="I580" t="s">
        <v>524</v>
      </c>
      <c r="J580">
        <v>12</v>
      </c>
      <c r="K580">
        <v>50</v>
      </c>
      <c r="L580">
        <v>58</v>
      </c>
      <c r="M580">
        <v>44</v>
      </c>
      <c r="N580">
        <v>41</v>
      </c>
      <c r="O580">
        <v>63</v>
      </c>
      <c r="P580">
        <v>5</v>
      </c>
      <c r="Q580">
        <v>11</v>
      </c>
      <c r="R580">
        <v>1</v>
      </c>
      <c r="S580">
        <v>4</v>
      </c>
      <c r="T580">
        <v>0</v>
      </c>
      <c r="U580">
        <v>0</v>
      </c>
      <c r="V580">
        <v>2</v>
      </c>
      <c r="W580">
        <v>0</v>
      </c>
      <c r="X580">
        <v>0</v>
      </c>
      <c r="Y580" t="s">
        <v>113</v>
      </c>
      <c r="Z580" t="s">
        <v>877</v>
      </c>
      <c r="AA580" t="s">
        <v>5960</v>
      </c>
      <c r="AB580" t="s">
        <v>116</v>
      </c>
      <c r="AC580" t="s">
        <v>3690</v>
      </c>
      <c r="AH580" t="s">
        <v>118</v>
      </c>
      <c r="AI580">
        <v>5</v>
      </c>
      <c r="AJ580">
        <v>0</v>
      </c>
      <c r="AK580">
        <v>0</v>
      </c>
      <c r="AL580">
        <v>0</v>
      </c>
      <c r="AM580">
        <v>0.31</v>
      </c>
      <c r="AN580">
        <v>0.11</v>
      </c>
      <c r="AO580">
        <v>0.35</v>
      </c>
      <c r="AS580">
        <v>7</v>
      </c>
      <c r="AT580">
        <v>4</v>
      </c>
      <c r="AU580">
        <v>3</v>
      </c>
      <c r="AV580">
        <v>75</v>
      </c>
      <c r="AW580">
        <v>52</v>
      </c>
      <c r="AX580">
        <v>45</v>
      </c>
      <c r="AY580">
        <v>1</v>
      </c>
      <c r="AZ580" t="b">
        <v>1</v>
      </c>
      <c r="BA580">
        <v>1511</v>
      </c>
      <c r="BB580">
        <v>1650</v>
      </c>
      <c r="BC580">
        <v>25</v>
      </c>
      <c r="BD580" t="s">
        <v>5949</v>
      </c>
      <c r="BE580">
        <v>100</v>
      </c>
      <c r="BF580">
        <v>0</v>
      </c>
      <c r="BG580">
        <v>70</v>
      </c>
      <c r="BH580">
        <v>0</v>
      </c>
      <c r="BI580" s="1" t="s">
        <v>160</v>
      </c>
      <c r="BJ580" s="1" t="s">
        <v>260</v>
      </c>
      <c r="BK580" s="1" t="s">
        <v>1829</v>
      </c>
      <c r="BL580" s="1" t="s">
        <v>303</v>
      </c>
      <c r="BM580" s="1" t="s">
        <v>161</v>
      </c>
      <c r="BN580">
        <v>1.4</v>
      </c>
      <c r="BO580">
        <v>4</v>
      </c>
      <c r="BP580" s="1" t="s">
        <v>898</v>
      </c>
      <c r="BQ580">
        <v>0</v>
      </c>
      <c r="BR580">
        <v>6.6666666666666596E-2</v>
      </c>
      <c r="BS580" s="1" t="s">
        <v>129</v>
      </c>
      <c r="BT580" s="1" t="s">
        <v>162</v>
      </c>
      <c r="BU580" s="1" t="s">
        <v>161</v>
      </c>
      <c r="BV580" s="1" t="s">
        <v>126</v>
      </c>
      <c r="BW580" s="1" t="s">
        <v>129</v>
      </c>
      <c r="BX580" s="1" t="s">
        <v>213</v>
      </c>
      <c r="BY580">
        <v>0</v>
      </c>
      <c r="BZ580" s="1" t="s">
        <v>184</v>
      </c>
      <c r="CA580">
        <v>0.31</v>
      </c>
      <c r="CB580" s="1" t="s">
        <v>5557</v>
      </c>
      <c r="CC580">
        <v>0.11</v>
      </c>
      <c r="CD580" s="1" t="s">
        <v>5961</v>
      </c>
      <c r="CE580">
        <v>0.35</v>
      </c>
      <c r="CF580" s="1" t="s">
        <v>5962</v>
      </c>
      <c r="CG580">
        <v>7</v>
      </c>
      <c r="CH580" s="1" t="s">
        <v>254</v>
      </c>
      <c r="CI580" s="1" t="s">
        <v>159</v>
      </c>
      <c r="CJ580" s="1" t="s">
        <v>431</v>
      </c>
      <c r="CK580" s="1" t="s">
        <v>125</v>
      </c>
      <c r="CL580">
        <v>3.2</v>
      </c>
      <c r="CM580" s="1" t="s">
        <v>683</v>
      </c>
      <c r="CN580" s="1" t="s">
        <v>1838</v>
      </c>
      <c r="CO580" s="1" t="s">
        <v>772</v>
      </c>
      <c r="CP580" s="1" t="s">
        <v>1242</v>
      </c>
      <c r="CQ580">
        <v>131</v>
      </c>
      <c r="CR580" s="1" t="s">
        <v>4947</v>
      </c>
      <c r="CS580">
        <v>1564</v>
      </c>
      <c r="CT580" s="1" t="s">
        <v>4146</v>
      </c>
      <c r="CU580" s="1" t="s">
        <v>806</v>
      </c>
      <c r="CV580" s="1" t="s">
        <v>612</v>
      </c>
      <c r="CW580">
        <v>60.4</v>
      </c>
      <c r="CX580">
        <v>69.599999999999994</v>
      </c>
      <c r="CY580">
        <v>69.8</v>
      </c>
      <c r="CZ580" s="1" t="s">
        <v>171</v>
      </c>
      <c r="DA580">
        <v>1</v>
      </c>
      <c r="DB580" t="s">
        <v>877</v>
      </c>
      <c r="DC580">
        <v>58</v>
      </c>
      <c r="DD580" s="1" t="s">
        <v>5963</v>
      </c>
      <c r="DE580" s="1" t="s">
        <v>5964</v>
      </c>
      <c r="DF580" t="str">
        <f>_xlfn.XLOOKUP(Table1[[#This Row],[Player ID]],Table2[feed_id],Table2[trade_status])</f>
        <v>free_agent</v>
      </c>
      <c r="DG580">
        <f>_xlfn.NUMBERVALUE(Table1[[#This Row],[predicted]])</f>
        <v>51.752565514575899</v>
      </c>
    </row>
    <row r="581" spans="1:111" hidden="1" x14ac:dyDescent="0.25">
      <c r="A581">
        <v>130481</v>
      </c>
      <c r="B581">
        <v>9004</v>
      </c>
      <c r="C581" t="s">
        <v>5965</v>
      </c>
      <c r="D581" t="s">
        <v>4907</v>
      </c>
      <c r="E581">
        <v>2024</v>
      </c>
      <c r="F581">
        <v>990816</v>
      </c>
      <c r="G581" t="s">
        <v>2456</v>
      </c>
      <c r="H581" t="s">
        <v>5966</v>
      </c>
      <c r="I581" t="s">
        <v>338</v>
      </c>
      <c r="J581">
        <v>8</v>
      </c>
      <c r="K581">
        <v>55</v>
      </c>
      <c r="L581">
        <v>37</v>
      </c>
      <c r="M581">
        <v>74</v>
      </c>
      <c r="N581">
        <v>43</v>
      </c>
      <c r="O581">
        <v>54</v>
      </c>
      <c r="P581">
        <v>8</v>
      </c>
      <c r="Q581">
        <v>1</v>
      </c>
      <c r="R581">
        <v>7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113</v>
      </c>
      <c r="Z581" t="s">
        <v>5967</v>
      </c>
      <c r="AA581" t="s">
        <v>5968</v>
      </c>
      <c r="AE581">
        <v>0</v>
      </c>
      <c r="AH581" t="s">
        <v>181</v>
      </c>
      <c r="AI581">
        <v>10</v>
      </c>
      <c r="AJ581">
        <v>4</v>
      </c>
      <c r="AK581">
        <v>57.75</v>
      </c>
      <c r="AL581">
        <v>0</v>
      </c>
      <c r="AM581">
        <v>0</v>
      </c>
      <c r="AN581">
        <v>0.1</v>
      </c>
      <c r="AO581">
        <v>0.08</v>
      </c>
      <c r="AS581">
        <v>1</v>
      </c>
      <c r="AT581">
        <v>0</v>
      </c>
      <c r="AU581">
        <v>2</v>
      </c>
      <c r="AV581">
        <v>77</v>
      </c>
      <c r="AW581">
        <v>90</v>
      </c>
      <c r="AX581">
        <v>225</v>
      </c>
      <c r="AY581">
        <v>0</v>
      </c>
      <c r="AZ581" t="b">
        <v>0</v>
      </c>
      <c r="BA581">
        <v>1449</v>
      </c>
      <c r="BB581">
        <v>1808</v>
      </c>
      <c r="BC581">
        <v>25</v>
      </c>
      <c r="BD581" t="s">
        <v>5969</v>
      </c>
      <c r="BE581">
        <v>100</v>
      </c>
      <c r="BF581">
        <v>0</v>
      </c>
      <c r="BG581">
        <v>70</v>
      </c>
      <c r="BH581">
        <v>0</v>
      </c>
      <c r="BI581" s="1" t="s">
        <v>124</v>
      </c>
      <c r="BJ581" s="1" t="s">
        <v>139</v>
      </c>
      <c r="BK581" s="1" t="s">
        <v>125</v>
      </c>
      <c r="BL581" s="1" t="s">
        <v>256</v>
      </c>
      <c r="BM581" s="1" t="s">
        <v>160</v>
      </c>
      <c r="BN581" s="1" t="s">
        <v>211</v>
      </c>
      <c r="BO581" s="1" t="s">
        <v>126</v>
      </c>
      <c r="BP581" s="1" t="s">
        <v>257</v>
      </c>
      <c r="BQ581">
        <v>0</v>
      </c>
      <c r="BR581">
        <v>0</v>
      </c>
      <c r="BS581" s="1" t="s">
        <v>128</v>
      </c>
      <c r="BT581" s="1" t="s">
        <v>399</v>
      </c>
      <c r="BU581">
        <v>0</v>
      </c>
      <c r="BV581" s="1" t="s">
        <v>130</v>
      </c>
      <c r="BW581">
        <v>0</v>
      </c>
      <c r="BX581">
        <v>6.6666666666666596E-2</v>
      </c>
      <c r="BY581">
        <v>0</v>
      </c>
      <c r="BZ581">
        <v>6.6666666666666596E-2</v>
      </c>
      <c r="CA581">
        <v>0</v>
      </c>
      <c r="CB581">
        <v>0</v>
      </c>
      <c r="CC581">
        <v>0.1</v>
      </c>
      <c r="CD581" s="1" t="s">
        <v>5970</v>
      </c>
      <c r="CE581">
        <v>0.08</v>
      </c>
      <c r="CF581" s="1" t="s">
        <v>5971</v>
      </c>
      <c r="CG581" s="1" t="s">
        <v>169</v>
      </c>
      <c r="CH581" s="1" t="s">
        <v>138</v>
      </c>
      <c r="CI581">
        <v>0</v>
      </c>
      <c r="CJ581">
        <v>0</v>
      </c>
      <c r="CK581" s="1" t="s">
        <v>126</v>
      </c>
      <c r="CL581">
        <v>2.2000000000000002</v>
      </c>
      <c r="CM581" s="1" t="s">
        <v>261</v>
      </c>
      <c r="CN581">
        <v>71.400000000000006</v>
      </c>
      <c r="CO581" s="1" t="s">
        <v>1123</v>
      </c>
      <c r="CP581" s="1" t="s">
        <v>1641</v>
      </c>
      <c r="CQ581" s="1" t="s">
        <v>5743</v>
      </c>
      <c r="CR581" s="1" t="s">
        <v>3217</v>
      </c>
      <c r="CS581" s="1" t="s">
        <v>242</v>
      </c>
      <c r="CT581" s="1" t="s">
        <v>5972</v>
      </c>
      <c r="CU581" s="1" t="s">
        <v>5841</v>
      </c>
      <c r="CV581" s="1" t="s">
        <v>1356</v>
      </c>
      <c r="CW581">
        <v>48.95</v>
      </c>
      <c r="CX581">
        <v>46</v>
      </c>
      <c r="CY581">
        <v>49.6</v>
      </c>
      <c r="CZ581" s="1" t="s">
        <v>667</v>
      </c>
      <c r="DA581">
        <v>1</v>
      </c>
      <c r="DB581" t="s">
        <v>5967</v>
      </c>
      <c r="DC581">
        <v>37</v>
      </c>
      <c r="DD581" s="1" t="s">
        <v>5973</v>
      </c>
      <c r="DE581">
        <v>-36.887781003356402</v>
      </c>
      <c r="DF581" t="str">
        <f>_xlfn.XLOOKUP(Table1[[#This Row],[Player ID]],Table2[feed_id],Table2[trade_status])</f>
        <v>free_agent</v>
      </c>
      <c r="DG581">
        <f>_xlfn.NUMBERVALUE(Table1[[#This Row],[predicted]])</f>
        <v>73.887781003356395</v>
      </c>
    </row>
    <row r="582" spans="1:111" hidden="1" x14ac:dyDescent="0.25">
      <c r="A582">
        <v>130495</v>
      </c>
      <c r="B582">
        <v>9004</v>
      </c>
      <c r="C582" t="s">
        <v>5965</v>
      </c>
      <c r="D582" t="s">
        <v>4907</v>
      </c>
      <c r="E582">
        <v>2024</v>
      </c>
      <c r="F582">
        <v>1012807</v>
      </c>
      <c r="G582" t="s">
        <v>958</v>
      </c>
      <c r="H582" t="s">
        <v>5590</v>
      </c>
      <c r="I582" t="s">
        <v>510</v>
      </c>
      <c r="J582">
        <v>19</v>
      </c>
      <c r="K582">
        <v>73</v>
      </c>
      <c r="L582">
        <v>83</v>
      </c>
      <c r="M582">
        <v>57</v>
      </c>
      <c r="N582">
        <v>59</v>
      </c>
      <c r="O582">
        <v>84</v>
      </c>
      <c r="P582">
        <v>8</v>
      </c>
      <c r="Q582">
        <v>14</v>
      </c>
      <c r="R582">
        <v>0</v>
      </c>
      <c r="S582">
        <v>4</v>
      </c>
      <c r="T582">
        <v>0</v>
      </c>
      <c r="U582">
        <v>2</v>
      </c>
      <c r="V582">
        <v>1</v>
      </c>
      <c r="W582">
        <v>1</v>
      </c>
      <c r="X582">
        <v>0</v>
      </c>
      <c r="Y582" t="s">
        <v>113</v>
      </c>
      <c r="Z582" t="s">
        <v>877</v>
      </c>
      <c r="AA582" t="s">
        <v>5974</v>
      </c>
      <c r="AH582" t="s">
        <v>118</v>
      </c>
      <c r="AI582">
        <v>3</v>
      </c>
      <c r="AJ582">
        <v>0</v>
      </c>
      <c r="AK582">
        <v>0</v>
      </c>
      <c r="AL582">
        <v>0</v>
      </c>
      <c r="AM582">
        <v>0.49</v>
      </c>
      <c r="AN582">
        <v>0.74</v>
      </c>
      <c r="AO582">
        <v>0.09</v>
      </c>
      <c r="AS582">
        <v>7</v>
      </c>
      <c r="AT582">
        <v>6</v>
      </c>
      <c r="AU582">
        <v>4</v>
      </c>
      <c r="AV582">
        <v>81</v>
      </c>
      <c r="AW582">
        <v>73</v>
      </c>
      <c r="AX582">
        <v>303</v>
      </c>
      <c r="AY582">
        <v>0</v>
      </c>
      <c r="AZ582" t="b">
        <v>0</v>
      </c>
      <c r="BA582">
        <v>1808</v>
      </c>
      <c r="BB582">
        <v>1449</v>
      </c>
      <c r="BC582">
        <v>25</v>
      </c>
      <c r="BD582" t="s">
        <v>5975</v>
      </c>
      <c r="BE582">
        <v>100</v>
      </c>
      <c r="BF582">
        <v>0</v>
      </c>
      <c r="BG582">
        <v>70</v>
      </c>
      <c r="BH582">
        <v>1</v>
      </c>
      <c r="BI582" s="1" t="s">
        <v>137</v>
      </c>
      <c r="BJ582" s="1" t="s">
        <v>624</v>
      </c>
      <c r="BK582" s="1" t="s">
        <v>1008</v>
      </c>
      <c r="BL582" s="1" t="s">
        <v>448</v>
      </c>
      <c r="BM582" s="1" t="s">
        <v>129</v>
      </c>
      <c r="BN582">
        <v>1.6</v>
      </c>
      <c r="BO582" s="1" t="s">
        <v>124</v>
      </c>
      <c r="BP582" s="1" t="s">
        <v>416</v>
      </c>
      <c r="BQ582">
        <v>0</v>
      </c>
      <c r="BR582">
        <v>0</v>
      </c>
      <c r="BS582">
        <v>2</v>
      </c>
      <c r="BT582" s="1" t="s">
        <v>126</v>
      </c>
      <c r="BU582" s="1" t="s">
        <v>128</v>
      </c>
      <c r="BV582" s="1" t="s">
        <v>298</v>
      </c>
      <c r="BW582" s="1" t="s">
        <v>129</v>
      </c>
      <c r="BX582">
        <v>0.2</v>
      </c>
      <c r="BY582">
        <v>0</v>
      </c>
      <c r="BZ582" s="1" t="s">
        <v>213</v>
      </c>
      <c r="CA582">
        <v>0.49</v>
      </c>
      <c r="CB582">
        <v>0.49</v>
      </c>
      <c r="CC582">
        <v>0.74</v>
      </c>
      <c r="CD582">
        <v>0.74</v>
      </c>
      <c r="CE582">
        <v>0.09</v>
      </c>
      <c r="CF582">
        <v>0.09</v>
      </c>
      <c r="CG582" s="1" t="s">
        <v>137</v>
      </c>
      <c r="CH582" s="1" t="s">
        <v>448</v>
      </c>
      <c r="CI582" s="1" t="s">
        <v>160</v>
      </c>
      <c r="CJ582" s="1" t="s">
        <v>990</v>
      </c>
      <c r="CK582" s="1" t="s">
        <v>160</v>
      </c>
      <c r="CL582">
        <v>2.8</v>
      </c>
      <c r="CM582">
        <v>71</v>
      </c>
      <c r="CN582" s="1" t="s">
        <v>1243</v>
      </c>
      <c r="CO582">
        <v>72</v>
      </c>
      <c r="CP582" s="1" t="s">
        <v>195</v>
      </c>
      <c r="CQ582" s="1" t="s">
        <v>5976</v>
      </c>
      <c r="CR582">
        <v>193.4</v>
      </c>
      <c r="CS582" s="1" t="s">
        <v>4920</v>
      </c>
      <c r="CT582">
        <v>1640</v>
      </c>
      <c r="CU582" s="1" t="s">
        <v>3496</v>
      </c>
      <c r="CV582" s="1" t="s">
        <v>5977</v>
      </c>
      <c r="CW582">
        <v>62</v>
      </c>
      <c r="CX582">
        <v>74.2</v>
      </c>
      <c r="CY582">
        <v>71.2</v>
      </c>
      <c r="CZ582" s="1" t="s">
        <v>1110</v>
      </c>
      <c r="DA582">
        <v>1</v>
      </c>
      <c r="DB582" t="s">
        <v>877</v>
      </c>
      <c r="DC582">
        <v>83</v>
      </c>
      <c r="DD582">
        <v>54.487784838409198</v>
      </c>
      <c r="DE582" s="1" t="s">
        <v>5978</v>
      </c>
      <c r="DF582" t="str">
        <f>_xlfn.XLOOKUP(Table1[[#This Row],[Player ID]],Table2[feed_id],Table2[trade_status])</f>
        <v>free_agent</v>
      </c>
      <c r="DG582">
        <f>_xlfn.NUMBERVALUE(Table1[[#This Row],[predicted]])</f>
        <v>54.487784838409198</v>
      </c>
    </row>
    <row r="583" spans="1:111" hidden="1" x14ac:dyDescent="0.25">
      <c r="A583">
        <v>130508</v>
      </c>
      <c r="B583">
        <v>9004</v>
      </c>
      <c r="C583" t="s">
        <v>5965</v>
      </c>
      <c r="D583" t="s">
        <v>4907</v>
      </c>
      <c r="E583">
        <v>2024</v>
      </c>
      <c r="F583">
        <v>1006203</v>
      </c>
      <c r="G583" t="s">
        <v>5979</v>
      </c>
      <c r="H583" t="s">
        <v>890</v>
      </c>
      <c r="I583" t="s">
        <v>510</v>
      </c>
      <c r="J583">
        <v>3</v>
      </c>
      <c r="K583">
        <v>36</v>
      </c>
      <c r="L583">
        <v>27</v>
      </c>
      <c r="M583">
        <v>32</v>
      </c>
      <c r="N583">
        <v>26</v>
      </c>
      <c r="O583">
        <v>34</v>
      </c>
      <c r="P583">
        <v>4</v>
      </c>
      <c r="Q583">
        <v>2</v>
      </c>
      <c r="R583">
        <v>2</v>
      </c>
      <c r="S583">
        <v>3</v>
      </c>
      <c r="T583">
        <v>0</v>
      </c>
      <c r="U583">
        <v>1</v>
      </c>
      <c r="V583">
        <v>0</v>
      </c>
      <c r="W583">
        <v>0</v>
      </c>
      <c r="X583">
        <v>1</v>
      </c>
      <c r="Y583" t="s">
        <v>113</v>
      </c>
      <c r="Z583" t="s">
        <v>525</v>
      </c>
      <c r="AA583" t="s">
        <v>5980</v>
      </c>
      <c r="AB583" t="s">
        <v>3571</v>
      </c>
      <c r="AC583" t="s">
        <v>4081</v>
      </c>
      <c r="AH583" t="s">
        <v>181</v>
      </c>
      <c r="AI583">
        <v>1</v>
      </c>
      <c r="AJ583">
        <v>0</v>
      </c>
      <c r="AK583">
        <v>0</v>
      </c>
      <c r="AL583">
        <v>0</v>
      </c>
      <c r="AM583">
        <v>0.13</v>
      </c>
      <c r="AN583">
        <v>0.43</v>
      </c>
      <c r="AO583">
        <v>0.3</v>
      </c>
      <c r="AS583">
        <v>3</v>
      </c>
      <c r="AT583">
        <v>1</v>
      </c>
      <c r="AU583">
        <v>0</v>
      </c>
      <c r="AV583">
        <v>66</v>
      </c>
      <c r="AW583">
        <v>29</v>
      </c>
      <c r="AX583">
        <v>110</v>
      </c>
      <c r="AY583">
        <v>0</v>
      </c>
      <c r="AZ583" t="b">
        <v>0</v>
      </c>
      <c r="BA583">
        <v>1808</v>
      </c>
      <c r="BB583">
        <v>1449</v>
      </c>
      <c r="BC583">
        <v>25</v>
      </c>
      <c r="BD583" t="s">
        <v>5975</v>
      </c>
      <c r="BE583">
        <v>100</v>
      </c>
      <c r="BF583">
        <v>0</v>
      </c>
      <c r="BG583">
        <v>70</v>
      </c>
      <c r="BH583">
        <v>0</v>
      </c>
      <c r="BI583">
        <v>8</v>
      </c>
      <c r="BJ583" s="1" t="s">
        <v>294</v>
      </c>
      <c r="BK583" s="1" t="s">
        <v>159</v>
      </c>
      <c r="BL583" s="1" t="s">
        <v>752</v>
      </c>
      <c r="BM583">
        <v>3</v>
      </c>
      <c r="BN583" s="1" t="s">
        <v>431</v>
      </c>
      <c r="BO583">
        <v>4</v>
      </c>
      <c r="BP583" s="1" t="s">
        <v>140</v>
      </c>
      <c r="BQ583">
        <v>0</v>
      </c>
      <c r="BR583">
        <v>0</v>
      </c>
      <c r="BS583" s="1" t="s">
        <v>126</v>
      </c>
      <c r="BT583">
        <v>0.8</v>
      </c>
      <c r="BU583" s="1" t="s">
        <v>129</v>
      </c>
      <c r="BV583" s="1" t="s">
        <v>238</v>
      </c>
      <c r="BW583">
        <v>0</v>
      </c>
      <c r="BX583">
        <v>0.4</v>
      </c>
      <c r="BY583" s="1" t="s">
        <v>128</v>
      </c>
      <c r="BZ583" s="1" t="s">
        <v>184</v>
      </c>
      <c r="CA583">
        <v>0.13</v>
      </c>
      <c r="CB583">
        <v>0.13</v>
      </c>
      <c r="CC583">
        <v>0.43</v>
      </c>
      <c r="CD583">
        <v>0.43</v>
      </c>
      <c r="CE583">
        <v>0.3</v>
      </c>
      <c r="CF583">
        <v>0.3</v>
      </c>
      <c r="CG583" s="1" t="s">
        <v>138</v>
      </c>
      <c r="CH583">
        <v>5.2</v>
      </c>
      <c r="CI583">
        <v>1</v>
      </c>
      <c r="CJ583" s="1" t="s">
        <v>566</v>
      </c>
      <c r="CK583">
        <v>2</v>
      </c>
      <c r="CL583">
        <v>2.4</v>
      </c>
      <c r="CM583" s="1" t="s">
        <v>558</v>
      </c>
      <c r="CN583" s="1" t="s">
        <v>5981</v>
      </c>
      <c r="CO583" s="1" t="s">
        <v>609</v>
      </c>
      <c r="CP583" s="1" t="s">
        <v>3034</v>
      </c>
      <c r="CQ583" s="1" t="s">
        <v>3374</v>
      </c>
      <c r="CR583" s="1" t="s">
        <v>5982</v>
      </c>
      <c r="CS583" s="1" t="s">
        <v>5983</v>
      </c>
      <c r="CT583">
        <v>1644.4</v>
      </c>
      <c r="CU583">
        <v>1765</v>
      </c>
      <c r="CV583" s="1" t="s">
        <v>1913</v>
      </c>
      <c r="CW583">
        <v>59.5</v>
      </c>
      <c r="CX583">
        <v>56.6</v>
      </c>
      <c r="CY583">
        <v>53.6</v>
      </c>
      <c r="CZ583" s="1" t="s">
        <v>2742</v>
      </c>
      <c r="DA583">
        <v>1</v>
      </c>
      <c r="DB583" t="s">
        <v>525</v>
      </c>
      <c r="DC583">
        <v>27</v>
      </c>
      <c r="DD583" s="1" t="s">
        <v>5984</v>
      </c>
      <c r="DE583">
        <v>-31.882150539379001</v>
      </c>
      <c r="DF583" t="str">
        <f>_xlfn.XLOOKUP(Table1[[#This Row],[Player ID]],Table2[feed_id],Table2[trade_status])</f>
        <v>free_agent</v>
      </c>
      <c r="DG583">
        <f>_xlfn.NUMBERVALUE(Table1[[#This Row],[predicted]])</f>
        <v>58.882150539378998</v>
      </c>
    </row>
    <row r="584" spans="1:111" hidden="1" x14ac:dyDescent="0.25">
      <c r="A584">
        <v>130567</v>
      </c>
      <c r="B584">
        <v>9006</v>
      </c>
      <c r="C584" t="s">
        <v>5985</v>
      </c>
      <c r="D584" t="s">
        <v>4907</v>
      </c>
      <c r="E584">
        <v>2024</v>
      </c>
      <c r="F584">
        <v>291570</v>
      </c>
      <c r="G584" t="s">
        <v>5986</v>
      </c>
      <c r="H584" t="s">
        <v>5987</v>
      </c>
      <c r="I584" t="s">
        <v>178</v>
      </c>
      <c r="J584">
        <v>14</v>
      </c>
      <c r="K584">
        <v>55</v>
      </c>
      <c r="L584">
        <v>74</v>
      </c>
      <c r="M584">
        <v>67</v>
      </c>
      <c r="N584">
        <v>51</v>
      </c>
      <c r="O584">
        <v>75</v>
      </c>
      <c r="P584">
        <v>4</v>
      </c>
      <c r="Q584">
        <v>14</v>
      </c>
      <c r="R584">
        <v>2</v>
      </c>
      <c r="S584">
        <v>3</v>
      </c>
      <c r="T584">
        <v>0</v>
      </c>
      <c r="U584">
        <v>0</v>
      </c>
      <c r="V584">
        <v>3</v>
      </c>
      <c r="W584">
        <v>1</v>
      </c>
      <c r="X584">
        <v>0</v>
      </c>
      <c r="Y584" t="s">
        <v>113</v>
      </c>
      <c r="Z584" t="s">
        <v>877</v>
      </c>
      <c r="AA584" t="s">
        <v>5988</v>
      </c>
      <c r="AE584">
        <v>0</v>
      </c>
      <c r="AH584" t="s">
        <v>118</v>
      </c>
      <c r="AI584">
        <v>7</v>
      </c>
      <c r="AJ584">
        <v>14</v>
      </c>
      <c r="AK584">
        <v>105.36</v>
      </c>
      <c r="AL584">
        <v>0</v>
      </c>
      <c r="AM584">
        <v>0</v>
      </c>
      <c r="AN584">
        <v>24.67</v>
      </c>
      <c r="AO584">
        <v>16.13</v>
      </c>
      <c r="AS584">
        <v>8</v>
      </c>
      <c r="AT584">
        <v>0</v>
      </c>
      <c r="AU584">
        <v>5</v>
      </c>
      <c r="AV584">
        <v>77</v>
      </c>
      <c r="AW584">
        <v>77</v>
      </c>
      <c r="AX584">
        <v>156</v>
      </c>
      <c r="AY584">
        <v>0</v>
      </c>
      <c r="AZ584" t="b">
        <v>0</v>
      </c>
      <c r="BA584">
        <v>1631</v>
      </c>
      <c r="BB584">
        <v>1640</v>
      </c>
      <c r="BC584">
        <v>25</v>
      </c>
      <c r="BD584" t="s">
        <v>5989</v>
      </c>
      <c r="BE584">
        <v>100</v>
      </c>
      <c r="BF584">
        <v>0</v>
      </c>
      <c r="BG584">
        <v>70</v>
      </c>
      <c r="BH584">
        <v>1</v>
      </c>
      <c r="BI584" s="1" t="s">
        <v>211</v>
      </c>
      <c r="BJ584">
        <v>5.4</v>
      </c>
      <c r="BK584" s="1" t="s">
        <v>1829</v>
      </c>
      <c r="BL584" s="1" t="s">
        <v>3429</v>
      </c>
      <c r="BM584">
        <v>1</v>
      </c>
      <c r="BN584" s="1" t="s">
        <v>214</v>
      </c>
      <c r="BO584" s="1" t="s">
        <v>126</v>
      </c>
      <c r="BP584" s="1" t="s">
        <v>275</v>
      </c>
      <c r="BQ584">
        <v>0</v>
      </c>
      <c r="BR584">
        <v>0</v>
      </c>
      <c r="BS584" s="1" t="s">
        <v>129</v>
      </c>
      <c r="BT584" s="1" t="s">
        <v>238</v>
      </c>
      <c r="BU584" s="1" t="s">
        <v>161</v>
      </c>
      <c r="BV584">
        <v>1.6</v>
      </c>
      <c r="BW584" s="1" t="s">
        <v>128</v>
      </c>
      <c r="BX584">
        <v>0.2</v>
      </c>
      <c r="BY584" s="1" t="s">
        <v>129</v>
      </c>
      <c r="BZ584">
        <v>0.2</v>
      </c>
      <c r="CA584">
        <v>0</v>
      </c>
      <c r="CB584">
        <v>0</v>
      </c>
      <c r="CC584">
        <v>24.67</v>
      </c>
      <c r="CD584">
        <v>24.67</v>
      </c>
      <c r="CE584">
        <v>16.13</v>
      </c>
      <c r="CF584">
        <v>16.13</v>
      </c>
      <c r="CG584" s="1" t="s">
        <v>253</v>
      </c>
      <c r="CH584" s="1" t="s">
        <v>254</v>
      </c>
      <c r="CI584">
        <v>2</v>
      </c>
      <c r="CJ584" s="1" t="s">
        <v>321</v>
      </c>
      <c r="CK584">
        <v>3</v>
      </c>
      <c r="CL584">
        <v>3</v>
      </c>
      <c r="CM584">
        <v>71</v>
      </c>
      <c r="CN584" s="1" t="s">
        <v>701</v>
      </c>
      <c r="CO584" s="1" t="s">
        <v>1615</v>
      </c>
      <c r="CP584">
        <v>67.8</v>
      </c>
      <c r="CQ584" s="1" t="s">
        <v>5744</v>
      </c>
      <c r="CR584" s="1" t="s">
        <v>5990</v>
      </c>
      <c r="CS584" s="1" t="s">
        <v>1533</v>
      </c>
      <c r="CT584" s="1" t="s">
        <v>5991</v>
      </c>
      <c r="CU584" s="1" t="s">
        <v>1876</v>
      </c>
      <c r="CV584" s="1" t="s">
        <v>3295</v>
      </c>
      <c r="CW584">
        <v>67.5</v>
      </c>
      <c r="CX584">
        <v>59</v>
      </c>
      <c r="CY584">
        <v>58</v>
      </c>
      <c r="CZ584">
        <v>59</v>
      </c>
      <c r="DA584">
        <v>1</v>
      </c>
      <c r="DB584" t="s">
        <v>877</v>
      </c>
      <c r="DC584">
        <v>74</v>
      </c>
      <c r="DD584" s="1" t="s">
        <v>5992</v>
      </c>
      <c r="DE584" s="1" t="s">
        <v>5993</v>
      </c>
      <c r="DF584" t="str">
        <f>_xlfn.XLOOKUP(Table1[[#This Row],[Player ID]],Table2[feed_id],Table2[trade_status])</f>
        <v>free_agent</v>
      </c>
      <c r="DG584">
        <f>_xlfn.NUMBERVALUE(Table1[[#This Row],[predicted]])</f>
        <v>54.544757313826203</v>
      </c>
    </row>
    <row r="585" spans="1:111" hidden="1" x14ac:dyDescent="0.25">
      <c r="A585">
        <v>130569</v>
      </c>
      <c r="B585">
        <v>9006</v>
      </c>
      <c r="C585" t="s">
        <v>5985</v>
      </c>
      <c r="D585" t="s">
        <v>4907</v>
      </c>
      <c r="E585">
        <v>2024</v>
      </c>
      <c r="F585">
        <v>1013611</v>
      </c>
      <c r="G585" t="s">
        <v>958</v>
      </c>
      <c r="H585" t="s">
        <v>5994</v>
      </c>
      <c r="I585" t="s">
        <v>178</v>
      </c>
      <c r="J585">
        <v>10</v>
      </c>
      <c r="K585">
        <v>50</v>
      </c>
      <c r="L585">
        <v>51</v>
      </c>
      <c r="M585">
        <v>60</v>
      </c>
      <c r="N585">
        <v>47</v>
      </c>
      <c r="O585">
        <v>61</v>
      </c>
      <c r="P585">
        <v>5</v>
      </c>
      <c r="Q585">
        <v>8</v>
      </c>
      <c r="R585">
        <v>5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1</v>
      </c>
      <c r="Y585" t="s">
        <v>113</v>
      </c>
      <c r="Z585" t="s">
        <v>525</v>
      </c>
      <c r="AA585" t="s">
        <v>5995</v>
      </c>
      <c r="AH585" t="s">
        <v>155</v>
      </c>
      <c r="AI585">
        <v>1</v>
      </c>
      <c r="AJ585">
        <v>0</v>
      </c>
      <c r="AK585">
        <v>0</v>
      </c>
      <c r="AL585">
        <v>0</v>
      </c>
      <c r="AM585">
        <v>0.04</v>
      </c>
      <c r="AN585">
        <v>0.08</v>
      </c>
      <c r="AO585">
        <v>0.2</v>
      </c>
      <c r="AS585">
        <v>4</v>
      </c>
      <c r="AT585">
        <v>0</v>
      </c>
      <c r="AU585">
        <v>3</v>
      </c>
      <c r="AV585">
        <v>69</v>
      </c>
      <c r="AW585">
        <v>81</v>
      </c>
      <c r="AX585">
        <v>85</v>
      </c>
      <c r="AY585">
        <v>1</v>
      </c>
      <c r="AZ585" t="b">
        <v>0</v>
      </c>
      <c r="BA585">
        <v>1631</v>
      </c>
      <c r="BB585">
        <v>1640</v>
      </c>
      <c r="BC585">
        <v>25</v>
      </c>
      <c r="BD585" t="s">
        <v>5989</v>
      </c>
      <c r="BE585">
        <v>100</v>
      </c>
      <c r="BF585">
        <v>0</v>
      </c>
      <c r="BG585">
        <v>70</v>
      </c>
      <c r="BH585">
        <v>0</v>
      </c>
      <c r="BI585" s="1" t="s">
        <v>124</v>
      </c>
      <c r="BJ585" s="1" t="s">
        <v>205</v>
      </c>
      <c r="BK585">
        <v>5</v>
      </c>
      <c r="BL585" s="1" t="s">
        <v>436</v>
      </c>
      <c r="BM585" s="1" t="s">
        <v>125</v>
      </c>
      <c r="BN585" s="1" t="s">
        <v>140</v>
      </c>
      <c r="BO585">
        <v>1</v>
      </c>
      <c r="BP585" s="1" t="s">
        <v>126</v>
      </c>
      <c r="BQ585">
        <v>0</v>
      </c>
      <c r="BR585">
        <v>0</v>
      </c>
      <c r="BS585" s="1" t="s">
        <v>129</v>
      </c>
      <c r="BT585" s="1" t="s">
        <v>238</v>
      </c>
      <c r="BU585" s="1" t="s">
        <v>128</v>
      </c>
      <c r="BV585">
        <v>0.8</v>
      </c>
      <c r="BW585" s="1" t="s">
        <v>126</v>
      </c>
      <c r="BX585" s="1" t="s">
        <v>206</v>
      </c>
      <c r="BY585" s="1" t="s">
        <v>129</v>
      </c>
      <c r="BZ585" s="1" t="s">
        <v>238</v>
      </c>
      <c r="CA585">
        <v>0.04</v>
      </c>
      <c r="CB585" s="1" t="s">
        <v>820</v>
      </c>
      <c r="CC585">
        <v>0.08</v>
      </c>
      <c r="CD585">
        <v>0.22</v>
      </c>
      <c r="CE585">
        <v>0.2</v>
      </c>
      <c r="CF585" s="1" t="s">
        <v>5996</v>
      </c>
      <c r="CG585" s="1" t="s">
        <v>211</v>
      </c>
      <c r="CH585">
        <v>3.6</v>
      </c>
      <c r="CI585">
        <v>1</v>
      </c>
      <c r="CJ585" s="1" t="s">
        <v>129</v>
      </c>
      <c r="CK585" s="1" t="s">
        <v>161</v>
      </c>
      <c r="CL585" s="1" t="s">
        <v>304</v>
      </c>
      <c r="CM585" s="1" t="s">
        <v>994</v>
      </c>
      <c r="CN585" s="1" t="s">
        <v>3309</v>
      </c>
      <c r="CO585" s="1" t="s">
        <v>516</v>
      </c>
      <c r="CP585" s="1" t="s">
        <v>1387</v>
      </c>
      <c r="CQ585" s="1" t="s">
        <v>5997</v>
      </c>
      <c r="CR585">
        <v>140.4</v>
      </c>
      <c r="CS585" s="1" t="s">
        <v>1533</v>
      </c>
      <c r="CT585" s="1" t="s">
        <v>5998</v>
      </c>
      <c r="CU585" s="1" t="s">
        <v>1876</v>
      </c>
      <c r="CV585" s="1" t="s">
        <v>648</v>
      </c>
      <c r="CW585">
        <v>53.55</v>
      </c>
      <c r="CX585">
        <v>55.1</v>
      </c>
      <c r="CY585">
        <v>55.6</v>
      </c>
      <c r="CZ585">
        <v>56</v>
      </c>
      <c r="DA585">
        <v>1</v>
      </c>
      <c r="DB585" t="s">
        <v>525</v>
      </c>
      <c r="DC585">
        <v>51</v>
      </c>
      <c r="DD585" s="1" t="s">
        <v>5999</v>
      </c>
      <c r="DE585">
        <v>-4.98790668636234</v>
      </c>
      <c r="DF585" t="str">
        <f>_xlfn.XLOOKUP(Table1[[#This Row],[Player ID]],Table2[feed_id],Table2[trade_status])</f>
        <v>free_agent</v>
      </c>
      <c r="DG585">
        <f>_xlfn.NUMBERVALUE(Table1[[#This Row],[predicted]])</f>
        <v>55.987906686362301</v>
      </c>
    </row>
    <row r="586" spans="1:111" hidden="1" x14ac:dyDescent="0.25">
      <c r="A586">
        <v>130577</v>
      </c>
      <c r="B586">
        <v>9006</v>
      </c>
      <c r="C586" t="s">
        <v>5985</v>
      </c>
      <c r="D586" t="s">
        <v>4907</v>
      </c>
      <c r="E586">
        <v>2024</v>
      </c>
      <c r="F586">
        <v>281007</v>
      </c>
      <c r="G586" t="s">
        <v>461</v>
      </c>
      <c r="H586" t="s">
        <v>6000</v>
      </c>
      <c r="I586" t="s">
        <v>178</v>
      </c>
      <c r="J586">
        <v>0</v>
      </c>
      <c r="K586">
        <v>16</v>
      </c>
      <c r="L586">
        <v>17</v>
      </c>
      <c r="M586">
        <v>20</v>
      </c>
      <c r="N586">
        <v>12</v>
      </c>
      <c r="O586">
        <v>16</v>
      </c>
      <c r="P586">
        <v>2</v>
      </c>
      <c r="Q586">
        <v>2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1</v>
      </c>
      <c r="Y586" t="s">
        <v>113</v>
      </c>
      <c r="Z586" t="s">
        <v>525</v>
      </c>
      <c r="AA586" t="s">
        <v>6001</v>
      </c>
      <c r="AB586" t="s">
        <v>3571</v>
      </c>
      <c r="AC586" t="s">
        <v>4081</v>
      </c>
      <c r="AE586">
        <v>0</v>
      </c>
      <c r="AH586" t="s">
        <v>155</v>
      </c>
      <c r="AI586">
        <v>10</v>
      </c>
      <c r="AJ586">
        <v>18</v>
      </c>
      <c r="AK586">
        <v>80</v>
      </c>
      <c r="AL586">
        <v>0</v>
      </c>
      <c r="AM586">
        <v>0</v>
      </c>
      <c r="AN586">
        <v>0.11</v>
      </c>
      <c r="AO586">
        <v>0.28999999999999998</v>
      </c>
      <c r="AS586">
        <v>2</v>
      </c>
      <c r="AT586">
        <v>0</v>
      </c>
      <c r="AU586">
        <v>0</v>
      </c>
      <c r="AV586">
        <v>50</v>
      </c>
      <c r="AW586">
        <v>25</v>
      </c>
      <c r="AX586">
        <v>45</v>
      </c>
      <c r="AY586">
        <v>0</v>
      </c>
      <c r="AZ586" t="b">
        <v>0</v>
      </c>
      <c r="BA586">
        <v>1631</v>
      </c>
      <c r="BB586">
        <v>1640</v>
      </c>
      <c r="BC586">
        <v>25</v>
      </c>
      <c r="BD586" t="s">
        <v>5989</v>
      </c>
      <c r="BE586">
        <v>100</v>
      </c>
      <c r="BF586">
        <v>0</v>
      </c>
      <c r="BG586">
        <v>70</v>
      </c>
      <c r="BH586">
        <v>0</v>
      </c>
      <c r="BI586" s="1" t="s">
        <v>160</v>
      </c>
      <c r="BJ586" s="1" t="s">
        <v>898</v>
      </c>
      <c r="BK586" s="1" t="s">
        <v>138</v>
      </c>
      <c r="BL586" s="1" t="s">
        <v>189</v>
      </c>
      <c r="BM586">
        <v>2</v>
      </c>
      <c r="BN586" s="1" t="s">
        <v>140</v>
      </c>
      <c r="BO586">
        <v>1</v>
      </c>
      <c r="BP586">
        <v>2</v>
      </c>
      <c r="BQ586">
        <v>0</v>
      </c>
      <c r="BR586">
        <v>0</v>
      </c>
      <c r="BS586" s="1" t="s">
        <v>126</v>
      </c>
      <c r="BT586" s="1" t="s">
        <v>130</v>
      </c>
      <c r="BU586">
        <v>0</v>
      </c>
      <c r="BV586" s="1" t="s">
        <v>129</v>
      </c>
      <c r="BW586">
        <v>2</v>
      </c>
      <c r="BX586" s="1" t="s">
        <v>298</v>
      </c>
      <c r="BY586" s="1" t="s">
        <v>128</v>
      </c>
      <c r="BZ586" s="1" t="s">
        <v>399</v>
      </c>
      <c r="CA586">
        <v>0</v>
      </c>
      <c r="CB586">
        <v>0</v>
      </c>
      <c r="CC586">
        <v>0.11</v>
      </c>
      <c r="CD586">
        <v>0.11</v>
      </c>
      <c r="CE586">
        <v>0.28999999999999998</v>
      </c>
      <c r="CF586">
        <v>0.28999999999999998</v>
      </c>
      <c r="CG586" s="1" t="s">
        <v>125</v>
      </c>
      <c r="CH586" s="1" t="s">
        <v>373</v>
      </c>
      <c r="CI586" s="1" t="s">
        <v>129</v>
      </c>
      <c r="CJ586">
        <v>0.4</v>
      </c>
      <c r="CK586" s="1" t="s">
        <v>128</v>
      </c>
      <c r="CL586">
        <v>1.6</v>
      </c>
      <c r="CM586">
        <v>56</v>
      </c>
      <c r="CN586">
        <v>66.8</v>
      </c>
      <c r="CO586" s="1" t="s">
        <v>1357</v>
      </c>
      <c r="CP586" s="1" t="s">
        <v>2949</v>
      </c>
      <c r="CQ586">
        <v>132</v>
      </c>
      <c r="CR586" s="1" t="s">
        <v>6002</v>
      </c>
      <c r="CS586">
        <v>1723</v>
      </c>
      <c r="CT586" s="1" t="s">
        <v>6003</v>
      </c>
      <c r="CU586" s="1" t="s">
        <v>6004</v>
      </c>
      <c r="CV586" s="1" t="s">
        <v>6005</v>
      </c>
      <c r="CW586">
        <v>47.5</v>
      </c>
      <c r="CX586">
        <v>44.9</v>
      </c>
      <c r="CY586">
        <v>50.2</v>
      </c>
      <c r="CZ586" s="1" t="s">
        <v>2013</v>
      </c>
      <c r="DA586">
        <v>1</v>
      </c>
      <c r="DB586" t="s">
        <v>525</v>
      </c>
      <c r="DC586">
        <v>17</v>
      </c>
      <c r="DD586" s="1" t="s">
        <v>6006</v>
      </c>
      <c r="DE586">
        <v>-31.7932717901238</v>
      </c>
      <c r="DF586" t="str">
        <f>_xlfn.XLOOKUP(Table1[[#This Row],[Player ID]],Table2[feed_id],Table2[trade_status])</f>
        <v>free_agent</v>
      </c>
      <c r="DG586">
        <f>_xlfn.NUMBERVALUE(Table1[[#This Row],[predicted]])</f>
        <v>48.793271790123796</v>
      </c>
    </row>
    <row r="587" spans="1:111" hidden="1" x14ac:dyDescent="0.25">
      <c r="A587">
        <v>130617</v>
      </c>
      <c r="B587">
        <v>9007</v>
      </c>
      <c r="C587" t="s">
        <v>6007</v>
      </c>
      <c r="D587" t="s">
        <v>314</v>
      </c>
      <c r="E587">
        <v>2024</v>
      </c>
      <c r="F587">
        <v>1004819</v>
      </c>
      <c r="G587" t="s">
        <v>710</v>
      </c>
      <c r="H587" t="s">
        <v>6008</v>
      </c>
      <c r="I587" t="s">
        <v>425</v>
      </c>
      <c r="J587">
        <v>9</v>
      </c>
      <c r="K587">
        <v>32</v>
      </c>
      <c r="L587">
        <v>38</v>
      </c>
      <c r="M587">
        <v>42</v>
      </c>
      <c r="N587">
        <v>29</v>
      </c>
      <c r="O587">
        <v>39</v>
      </c>
      <c r="P587">
        <v>3</v>
      </c>
      <c r="Q587">
        <v>3</v>
      </c>
      <c r="R587">
        <v>3</v>
      </c>
      <c r="S587">
        <v>2</v>
      </c>
      <c r="T587">
        <v>0</v>
      </c>
      <c r="U587">
        <v>0</v>
      </c>
      <c r="V587">
        <v>2</v>
      </c>
      <c r="W587">
        <v>1</v>
      </c>
      <c r="X587">
        <v>0</v>
      </c>
      <c r="Y587" t="s">
        <v>113</v>
      </c>
      <c r="Z587" t="s">
        <v>861</v>
      </c>
      <c r="AA587" t="s">
        <v>6009</v>
      </c>
      <c r="AH587" t="s">
        <v>155</v>
      </c>
      <c r="AI587">
        <v>41</v>
      </c>
      <c r="AJ587">
        <v>0</v>
      </c>
      <c r="AK587">
        <v>0</v>
      </c>
      <c r="AL587">
        <v>0</v>
      </c>
      <c r="AM587">
        <v>0.18</v>
      </c>
      <c r="AN587">
        <v>0.13</v>
      </c>
      <c r="AO587">
        <v>0.17</v>
      </c>
      <c r="AS587">
        <v>3</v>
      </c>
      <c r="AT587">
        <v>0</v>
      </c>
      <c r="AU587">
        <v>4</v>
      </c>
      <c r="AV587">
        <v>83</v>
      </c>
      <c r="AW587">
        <v>67</v>
      </c>
      <c r="AX587">
        <v>95</v>
      </c>
      <c r="AY587">
        <v>1</v>
      </c>
      <c r="AZ587" t="b">
        <v>0</v>
      </c>
      <c r="BA587">
        <v>1877</v>
      </c>
      <c r="BB587">
        <v>1412</v>
      </c>
      <c r="BC587">
        <v>30</v>
      </c>
      <c r="BD587" t="s">
        <v>6010</v>
      </c>
      <c r="BE587">
        <v>97</v>
      </c>
      <c r="BF587">
        <v>0</v>
      </c>
      <c r="BG587">
        <v>73</v>
      </c>
      <c r="BH587">
        <v>0</v>
      </c>
      <c r="BI587">
        <v>4</v>
      </c>
      <c r="BJ587" s="1" t="s">
        <v>990</v>
      </c>
      <c r="BK587">
        <v>3</v>
      </c>
      <c r="BL587">
        <v>4.2</v>
      </c>
      <c r="BM587" s="1" t="s">
        <v>161</v>
      </c>
      <c r="BN587">
        <v>1.8</v>
      </c>
      <c r="BO587" s="1" t="s">
        <v>169</v>
      </c>
      <c r="BP587" s="1" t="s">
        <v>640</v>
      </c>
      <c r="BQ587">
        <v>0</v>
      </c>
      <c r="BR587">
        <v>0</v>
      </c>
      <c r="BS587" s="1" t="s">
        <v>129</v>
      </c>
      <c r="BT587" s="1" t="s">
        <v>213</v>
      </c>
      <c r="BU587">
        <v>1</v>
      </c>
      <c r="BV587">
        <v>0.8</v>
      </c>
      <c r="BW587">
        <v>1</v>
      </c>
      <c r="BX587" s="1" t="s">
        <v>231</v>
      </c>
      <c r="BY587">
        <v>0</v>
      </c>
      <c r="BZ587" s="1" t="s">
        <v>129</v>
      </c>
      <c r="CA587">
        <v>0.18</v>
      </c>
      <c r="CB587" s="1" t="s">
        <v>6011</v>
      </c>
      <c r="CC587">
        <v>0.13</v>
      </c>
      <c r="CD587" s="1" t="s">
        <v>6012</v>
      </c>
      <c r="CE587">
        <v>0.17</v>
      </c>
      <c r="CF587" s="1" t="s">
        <v>6013</v>
      </c>
      <c r="CG587" s="1" t="s">
        <v>169</v>
      </c>
      <c r="CH587" s="1" t="s">
        <v>431</v>
      </c>
      <c r="CI587">
        <v>0</v>
      </c>
      <c r="CJ587" s="1" t="s">
        <v>184</v>
      </c>
      <c r="CK587" s="1" t="s">
        <v>159</v>
      </c>
      <c r="CL587">
        <v>1.6</v>
      </c>
      <c r="CM587" s="1" t="s">
        <v>2147</v>
      </c>
      <c r="CN587" s="1" t="s">
        <v>3365</v>
      </c>
      <c r="CO587" s="1" t="s">
        <v>572</v>
      </c>
      <c r="CP587" s="1" t="s">
        <v>1109</v>
      </c>
      <c r="CQ587" s="1" t="s">
        <v>1013</v>
      </c>
      <c r="CR587">
        <v>95.8</v>
      </c>
      <c r="CS587" s="1" t="s">
        <v>6014</v>
      </c>
      <c r="CT587" s="1" t="s">
        <v>6015</v>
      </c>
      <c r="CU587" s="1" t="s">
        <v>6016</v>
      </c>
      <c r="CV587" s="1" t="s">
        <v>4220</v>
      </c>
      <c r="CW587">
        <v>41.8</v>
      </c>
      <c r="CX587">
        <v>41.2</v>
      </c>
      <c r="CY587">
        <v>42.4</v>
      </c>
      <c r="CZ587" s="1" t="s">
        <v>608</v>
      </c>
      <c r="DA587">
        <v>1</v>
      </c>
      <c r="DB587" t="s">
        <v>861</v>
      </c>
      <c r="DC587">
        <v>38</v>
      </c>
      <c r="DD587" s="1" t="s">
        <v>6017</v>
      </c>
      <c r="DE587">
        <v>-11.5990945036072</v>
      </c>
      <c r="DF587" t="str">
        <f>_xlfn.XLOOKUP(Table1[[#This Row],[Player ID]],Table2[feed_id],Table2[trade_status])</f>
        <v>free_agent</v>
      </c>
      <c r="DG587">
        <f>_xlfn.NUMBERVALUE(Table1[[#This Row],[predicted]])</f>
        <v>49.599094503607198</v>
      </c>
    </row>
    <row r="588" spans="1:111" hidden="1" x14ac:dyDescent="0.25">
      <c r="A588">
        <v>130645</v>
      </c>
      <c r="B588">
        <v>9008</v>
      </c>
      <c r="C588" t="s">
        <v>6018</v>
      </c>
      <c r="D588" t="s">
        <v>314</v>
      </c>
      <c r="E588">
        <v>2024</v>
      </c>
      <c r="F588">
        <v>291790</v>
      </c>
      <c r="G588" t="s">
        <v>150</v>
      </c>
      <c r="H588" t="s">
        <v>6019</v>
      </c>
      <c r="I588" t="s">
        <v>712</v>
      </c>
      <c r="J588">
        <v>26</v>
      </c>
      <c r="K588">
        <v>106</v>
      </c>
      <c r="L588">
        <v>110</v>
      </c>
      <c r="M588">
        <v>133</v>
      </c>
      <c r="N588">
        <v>83</v>
      </c>
      <c r="O588">
        <v>114</v>
      </c>
      <c r="P588">
        <v>15</v>
      </c>
      <c r="Q588">
        <v>13</v>
      </c>
      <c r="R588">
        <v>4</v>
      </c>
      <c r="S588">
        <v>4</v>
      </c>
      <c r="T588">
        <v>0</v>
      </c>
      <c r="U588">
        <v>1</v>
      </c>
      <c r="V588">
        <v>0</v>
      </c>
      <c r="W588">
        <v>1</v>
      </c>
      <c r="X588">
        <v>0</v>
      </c>
      <c r="Y588" t="s">
        <v>113</v>
      </c>
      <c r="Z588" t="s">
        <v>339</v>
      </c>
      <c r="AA588" t="s">
        <v>860</v>
      </c>
      <c r="AB588" t="s">
        <v>877</v>
      </c>
      <c r="AC588" t="s">
        <v>3583</v>
      </c>
      <c r="AE588">
        <v>0</v>
      </c>
      <c r="AH588" t="s">
        <v>118</v>
      </c>
      <c r="AI588">
        <v>1</v>
      </c>
      <c r="AJ588">
        <v>13</v>
      </c>
      <c r="AK588">
        <v>108.46</v>
      </c>
      <c r="AL588">
        <v>0</v>
      </c>
      <c r="AM588">
        <v>0</v>
      </c>
      <c r="AN588">
        <v>0.17</v>
      </c>
      <c r="AO588">
        <v>0.45</v>
      </c>
      <c r="AS588">
        <v>9</v>
      </c>
      <c r="AT588">
        <v>6</v>
      </c>
      <c r="AU588">
        <v>2</v>
      </c>
      <c r="AV588">
        <v>67</v>
      </c>
      <c r="AW588">
        <v>84</v>
      </c>
      <c r="AX588">
        <v>447</v>
      </c>
      <c r="AY588">
        <v>0</v>
      </c>
      <c r="AZ588" t="b">
        <v>0</v>
      </c>
      <c r="BA588">
        <v>1914</v>
      </c>
      <c r="BB588">
        <v>1381</v>
      </c>
      <c r="BC588">
        <v>30</v>
      </c>
      <c r="BD588" t="s">
        <v>6020</v>
      </c>
      <c r="BE588">
        <v>97</v>
      </c>
      <c r="BF588">
        <v>1</v>
      </c>
      <c r="BG588">
        <v>73</v>
      </c>
      <c r="BH588">
        <v>1</v>
      </c>
      <c r="BI588">
        <v>13</v>
      </c>
      <c r="BJ588">
        <v>15.8</v>
      </c>
      <c r="BK588" s="1" t="s">
        <v>1830</v>
      </c>
      <c r="BL588">
        <v>15.8</v>
      </c>
      <c r="BM588">
        <v>4</v>
      </c>
      <c r="BN588" s="1" t="s">
        <v>189</v>
      </c>
      <c r="BO588" s="1" t="s">
        <v>124</v>
      </c>
      <c r="BP588">
        <v>4.4000000000000004</v>
      </c>
      <c r="BQ588">
        <v>0</v>
      </c>
      <c r="BR588">
        <v>0</v>
      </c>
      <c r="BS588" s="1" t="s">
        <v>128</v>
      </c>
      <c r="BT588" s="1" t="s">
        <v>162</v>
      </c>
      <c r="BU588" s="1" t="s">
        <v>128</v>
      </c>
      <c r="BV588" s="1" t="s">
        <v>162</v>
      </c>
      <c r="BW588" s="1" t="s">
        <v>129</v>
      </c>
      <c r="BX588" s="1" t="s">
        <v>399</v>
      </c>
      <c r="BY588">
        <v>0</v>
      </c>
      <c r="BZ588">
        <v>0.2</v>
      </c>
      <c r="CA588">
        <v>0</v>
      </c>
      <c r="CB588">
        <v>0</v>
      </c>
      <c r="CC588">
        <v>0.17</v>
      </c>
      <c r="CD588">
        <v>0.17</v>
      </c>
      <c r="CE588">
        <v>0.45</v>
      </c>
      <c r="CF588">
        <v>0.45</v>
      </c>
      <c r="CG588" s="1" t="s">
        <v>294</v>
      </c>
      <c r="CH588">
        <v>12</v>
      </c>
      <c r="CI588">
        <v>5</v>
      </c>
      <c r="CJ588" s="1" t="s">
        <v>374</v>
      </c>
      <c r="CK588">
        <v>3</v>
      </c>
      <c r="CL588" s="1" t="s">
        <v>125</v>
      </c>
      <c r="CM588" s="1" t="s">
        <v>593</v>
      </c>
      <c r="CN588" s="1" t="s">
        <v>1472</v>
      </c>
      <c r="CO588" s="1" t="s">
        <v>364</v>
      </c>
      <c r="CP588" s="1" t="s">
        <v>1301</v>
      </c>
      <c r="CQ588" s="1" t="s">
        <v>6021</v>
      </c>
      <c r="CR588">
        <v>426</v>
      </c>
      <c r="CS588" s="1" t="s">
        <v>3527</v>
      </c>
      <c r="CT588">
        <v>1688.4</v>
      </c>
      <c r="CU588" s="1" t="s">
        <v>3253</v>
      </c>
      <c r="CV588" s="1" t="s">
        <v>735</v>
      </c>
      <c r="CW588">
        <v>118</v>
      </c>
      <c r="CX588">
        <v>117.3</v>
      </c>
      <c r="CY588">
        <v>113.4</v>
      </c>
      <c r="CZ588" s="1" t="s">
        <v>6022</v>
      </c>
      <c r="DA588">
        <v>1</v>
      </c>
      <c r="DB588" t="s">
        <v>339</v>
      </c>
      <c r="DC588">
        <v>110</v>
      </c>
      <c r="DD588" s="1" t="s">
        <v>6023</v>
      </c>
      <c r="DE588" s="1" t="s">
        <v>6024</v>
      </c>
      <c r="DF588" t="e">
        <f>_xlfn.XLOOKUP(Table1[[#This Row],[Player ID]],Table2[feed_id],Table2[trade_status])</f>
        <v>#N/A</v>
      </c>
      <c r="DG588">
        <f>_xlfn.NUMBERVALUE(Table1[[#This Row],[predicted]])</f>
        <v>107.257130370205</v>
      </c>
    </row>
    <row r="589" spans="1:111" hidden="1" x14ac:dyDescent="0.25">
      <c r="A589">
        <v>130651</v>
      </c>
      <c r="B589">
        <v>9008</v>
      </c>
      <c r="C589" t="s">
        <v>6018</v>
      </c>
      <c r="D589" t="s">
        <v>314</v>
      </c>
      <c r="E589">
        <v>2024</v>
      </c>
      <c r="F589">
        <v>297373</v>
      </c>
      <c r="G589" t="s">
        <v>4384</v>
      </c>
      <c r="H589" t="s">
        <v>6025</v>
      </c>
      <c r="I589" t="s">
        <v>712</v>
      </c>
      <c r="J589">
        <v>15</v>
      </c>
      <c r="K589">
        <v>72</v>
      </c>
      <c r="L589">
        <v>63</v>
      </c>
      <c r="M589">
        <v>92</v>
      </c>
      <c r="N589">
        <v>61</v>
      </c>
      <c r="O589">
        <v>84</v>
      </c>
      <c r="P589">
        <v>9</v>
      </c>
      <c r="Q589">
        <v>9</v>
      </c>
      <c r="R589">
        <v>5</v>
      </c>
      <c r="S589">
        <v>3</v>
      </c>
      <c r="T589">
        <v>0</v>
      </c>
      <c r="U589">
        <v>0</v>
      </c>
      <c r="V589">
        <v>2</v>
      </c>
      <c r="W589">
        <v>1</v>
      </c>
      <c r="X589">
        <v>0</v>
      </c>
      <c r="Y589" t="s">
        <v>113</v>
      </c>
      <c r="Z589" t="s">
        <v>3955</v>
      </c>
      <c r="AA589" t="s">
        <v>6026</v>
      </c>
      <c r="AB589" t="s">
        <v>5826</v>
      </c>
      <c r="AC589" t="s">
        <v>6027</v>
      </c>
      <c r="AH589" t="s">
        <v>118</v>
      </c>
      <c r="AI589">
        <v>4</v>
      </c>
      <c r="AJ589">
        <v>0</v>
      </c>
      <c r="AK589">
        <v>0</v>
      </c>
      <c r="AL589">
        <v>0</v>
      </c>
      <c r="AM589">
        <v>25.47</v>
      </c>
      <c r="AN589">
        <v>30.45</v>
      </c>
      <c r="AO589">
        <v>26.24</v>
      </c>
      <c r="AS589">
        <v>8</v>
      </c>
      <c r="AT589">
        <v>8</v>
      </c>
      <c r="AU589">
        <v>6</v>
      </c>
      <c r="AV589">
        <v>66</v>
      </c>
      <c r="AW589">
        <v>81</v>
      </c>
      <c r="AX589">
        <v>329</v>
      </c>
      <c r="AY589">
        <v>0</v>
      </c>
      <c r="AZ589" t="b">
        <v>0</v>
      </c>
      <c r="BA589">
        <v>1914</v>
      </c>
      <c r="BB589">
        <v>1381</v>
      </c>
      <c r="BC589">
        <v>30</v>
      </c>
      <c r="BD589" t="s">
        <v>6020</v>
      </c>
      <c r="BE589">
        <v>97</v>
      </c>
      <c r="BF589">
        <v>0</v>
      </c>
      <c r="BG589">
        <v>73</v>
      </c>
      <c r="BH589">
        <v>0</v>
      </c>
      <c r="BI589" s="1" t="s">
        <v>157</v>
      </c>
      <c r="BJ589" s="1" t="s">
        <v>297</v>
      </c>
      <c r="BK589" s="1" t="s">
        <v>1829</v>
      </c>
      <c r="BL589" s="1" t="s">
        <v>276</v>
      </c>
      <c r="BM589" s="1" t="s">
        <v>211</v>
      </c>
      <c r="BN589" s="1" t="s">
        <v>565</v>
      </c>
      <c r="BO589">
        <v>5</v>
      </c>
      <c r="BP589" s="1" t="s">
        <v>416</v>
      </c>
      <c r="BQ589">
        <v>0</v>
      </c>
      <c r="BR589">
        <v>0</v>
      </c>
      <c r="BS589" s="1" t="s">
        <v>126</v>
      </c>
      <c r="BT589" s="1" t="s">
        <v>257</v>
      </c>
      <c r="BU589" s="1" t="s">
        <v>128</v>
      </c>
      <c r="BV589" s="1" t="s">
        <v>130</v>
      </c>
      <c r="BW589" s="1" t="s">
        <v>128</v>
      </c>
      <c r="BX589">
        <v>1.2</v>
      </c>
      <c r="BY589" s="1" t="s">
        <v>128</v>
      </c>
      <c r="BZ589" s="1" t="s">
        <v>127</v>
      </c>
      <c r="CA589">
        <v>25.47</v>
      </c>
      <c r="CB589">
        <v>25.47</v>
      </c>
      <c r="CC589">
        <v>30.45</v>
      </c>
      <c r="CD589">
        <v>30.45</v>
      </c>
      <c r="CE589">
        <v>26.24</v>
      </c>
      <c r="CF589">
        <v>26.24</v>
      </c>
      <c r="CG589">
        <v>13</v>
      </c>
      <c r="CH589" s="1" t="s">
        <v>623</v>
      </c>
      <c r="CI589" s="1" t="s">
        <v>545</v>
      </c>
      <c r="CJ589" s="1" t="s">
        <v>680</v>
      </c>
      <c r="CK589" s="1" t="s">
        <v>160</v>
      </c>
      <c r="CL589" s="1" t="s">
        <v>138</v>
      </c>
      <c r="CM589">
        <v>69</v>
      </c>
      <c r="CN589" s="1" t="s">
        <v>2828</v>
      </c>
      <c r="CO589" s="1" t="s">
        <v>142</v>
      </c>
      <c r="CP589" s="1" t="s">
        <v>2408</v>
      </c>
      <c r="CQ589" s="1" t="s">
        <v>6028</v>
      </c>
      <c r="CR589">
        <v>458.8</v>
      </c>
      <c r="CS589" s="1" t="s">
        <v>3527</v>
      </c>
      <c r="CT589">
        <v>1665.6</v>
      </c>
      <c r="CU589" s="1" t="s">
        <v>3253</v>
      </c>
      <c r="CV589">
        <v>1619.2</v>
      </c>
      <c r="CW589">
        <v>122.85</v>
      </c>
      <c r="CX589">
        <v>120.5</v>
      </c>
      <c r="CY589">
        <v>120.6</v>
      </c>
      <c r="CZ589" s="1" t="s">
        <v>3416</v>
      </c>
      <c r="DA589">
        <v>1</v>
      </c>
      <c r="DB589" t="s">
        <v>3955</v>
      </c>
      <c r="DC589">
        <v>63</v>
      </c>
      <c r="DD589" s="1" t="s">
        <v>6029</v>
      </c>
      <c r="DE589">
        <v>-41.966981350797099</v>
      </c>
      <c r="DF589" t="e">
        <f>_xlfn.XLOOKUP(Table1[[#This Row],[Player ID]],Table2[feed_id],Table2[trade_status])</f>
        <v>#N/A</v>
      </c>
      <c r="DG589">
        <f>_xlfn.NUMBERVALUE(Table1[[#This Row],[predicted]])</f>
        <v>104.966981350797</v>
      </c>
    </row>
    <row r="590" spans="1:111" hidden="1" x14ac:dyDescent="0.25">
      <c r="A590">
        <v>130662</v>
      </c>
      <c r="B590">
        <v>9008</v>
      </c>
      <c r="C590" t="s">
        <v>6018</v>
      </c>
      <c r="D590" t="s">
        <v>314</v>
      </c>
      <c r="E590">
        <v>2024</v>
      </c>
      <c r="F590">
        <v>1011803</v>
      </c>
      <c r="G590" t="s">
        <v>6030</v>
      </c>
      <c r="H590" t="s">
        <v>6031</v>
      </c>
      <c r="I590" t="s">
        <v>712</v>
      </c>
      <c r="J590">
        <v>13</v>
      </c>
      <c r="K590">
        <v>36</v>
      </c>
      <c r="L590">
        <v>27</v>
      </c>
      <c r="M590">
        <v>50</v>
      </c>
      <c r="N590">
        <v>26</v>
      </c>
      <c r="O590">
        <v>40</v>
      </c>
      <c r="P590">
        <v>2</v>
      </c>
      <c r="Q590">
        <v>5</v>
      </c>
      <c r="R590">
        <v>0</v>
      </c>
      <c r="S590">
        <v>6</v>
      </c>
      <c r="T590">
        <v>0</v>
      </c>
      <c r="U590">
        <v>1</v>
      </c>
      <c r="V590">
        <v>2</v>
      </c>
      <c r="W590">
        <v>0</v>
      </c>
      <c r="X590">
        <v>1</v>
      </c>
      <c r="Y590" t="s">
        <v>113</v>
      </c>
      <c r="Z590" t="s">
        <v>1499</v>
      </c>
      <c r="AA590" t="s">
        <v>6032</v>
      </c>
      <c r="AB590" t="s">
        <v>861</v>
      </c>
      <c r="AC590" t="s">
        <v>6033</v>
      </c>
      <c r="AH590" t="s">
        <v>155</v>
      </c>
      <c r="AI590">
        <v>3</v>
      </c>
      <c r="AJ590">
        <v>0</v>
      </c>
      <c r="AK590">
        <v>0</v>
      </c>
      <c r="AL590">
        <v>0</v>
      </c>
      <c r="AM590">
        <v>0.31</v>
      </c>
      <c r="AN590">
        <v>0.22</v>
      </c>
      <c r="AO590">
        <v>0.41</v>
      </c>
      <c r="AS590">
        <v>3</v>
      </c>
      <c r="AT590">
        <v>1</v>
      </c>
      <c r="AU590">
        <v>4</v>
      </c>
      <c r="AV590">
        <v>57</v>
      </c>
      <c r="AW590">
        <v>81</v>
      </c>
      <c r="AX590">
        <v>54</v>
      </c>
      <c r="AY590">
        <v>1</v>
      </c>
      <c r="AZ590" t="b">
        <v>0</v>
      </c>
      <c r="BA590">
        <v>1914</v>
      </c>
      <c r="BB590">
        <v>1381</v>
      </c>
      <c r="BC590">
        <v>30</v>
      </c>
      <c r="BD590" t="s">
        <v>6020</v>
      </c>
      <c r="BE590">
        <v>97</v>
      </c>
      <c r="BF590">
        <v>0</v>
      </c>
      <c r="BG590">
        <v>73</v>
      </c>
      <c r="BH590">
        <v>0</v>
      </c>
      <c r="BI590">
        <v>7</v>
      </c>
      <c r="BJ590" s="1" t="s">
        <v>168</v>
      </c>
      <c r="BK590">
        <v>6</v>
      </c>
      <c r="BL590" s="1" t="s">
        <v>256</v>
      </c>
      <c r="BM590" s="1" t="s">
        <v>126</v>
      </c>
      <c r="BN590">
        <v>2.4</v>
      </c>
      <c r="BO590">
        <v>5</v>
      </c>
      <c r="BP590" s="1" t="s">
        <v>990</v>
      </c>
      <c r="BQ590">
        <v>0</v>
      </c>
      <c r="BR590">
        <v>0</v>
      </c>
      <c r="BS590" s="1" t="s">
        <v>126</v>
      </c>
      <c r="BT590" s="1" t="s">
        <v>206</v>
      </c>
      <c r="BU590">
        <v>1</v>
      </c>
      <c r="BV590" s="1" t="s">
        <v>130</v>
      </c>
      <c r="BW590">
        <v>1</v>
      </c>
      <c r="BX590" s="1" t="s">
        <v>304</v>
      </c>
      <c r="BY590" s="1" t="s">
        <v>161</v>
      </c>
      <c r="BZ590">
        <v>1</v>
      </c>
      <c r="CA590">
        <v>0.31</v>
      </c>
      <c r="CB590">
        <v>0.31</v>
      </c>
      <c r="CC590">
        <v>0.22</v>
      </c>
      <c r="CD590">
        <v>0.22</v>
      </c>
      <c r="CE590">
        <v>0.41</v>
      </c>
      <c r="CF590">
        <v>0.41</v>
      </c>
      <c r="CG590" s="1" t="s">
        <v>449</v>
      </c>
      <c r="CH590">
        <v>5.6</v>
      </c>
      <c r="CI590">
        <v>1</v>
      </c>
      <c r="CJ590">
        <v>1</v>
      </c>
      <c r="CK590">
        <v>3</v>
      </c>
      <c r="CL590" s="1" t="s">
        <v>255</v>
      </c>
      <c r="CM590" s="1" t="s">
        <v>1316</v>
      </c>
      <c r="CN590">
        <v>61.4</v>
      </c>
      <c r="CO590" s="1" t="s">
        <v>968</v>
      </c>
      <c r="CP590" s="1" t="s">
        <v>968</v>
      </c>
      <c r="CQ590" s="1" t="s">
        <v>6034</v>
      </c>
      <c r="CR590" s="1" t="s">
        <v>6035</v>
      </c>
      <c r="CS590" s="1" t="s">
        <v>3527</v>
      </c>
      <c r="CT590" s="1" t="s">
        <v>6036</v>
      </c>
      <c r="CU590" s="1" t="s">
        <v>3253</v>
      </c>
      <c r="CV590">
        <v>1551.2</v>
      </c>
      <c r="CW590">
        <v>69.5</v>
      </c>
      <c r="CX590">
        <v>68.7</v>
      </c>
      <c r="CY590">
        <v>65.8</v>
      </c>
      <c r="CZ590" s="1" t="s">
        <v>1012</v>
      </c>
      <c r="DA590">
        <v>1</v>
      </c>
      <c r="DB590" t="s">
        <v>1499</v>
      </c>
      <c r="DC590">
        <v>27</v>
      </c>
      <c r="DD590" s="1" t="s">
        <v>6037</v>
      </c>
      <c r="DE590">
        <v>-39.662141646306203</v>
      </c>
      <c r="DF590" t="str">
        <f>_xlfn.XLOOKUP(Table1[[#This Row],[Player ID]],Table2[feed_id],Table2[trade_status])</f>
        <v>free_agent</v>
      </c>
      <c r="DG590">
        <f>_xlfn.NUMBERVALUE(Table1[[#This Row],[predicted]])</f>
        <v>66.662141646306196</v>
      </c>
    </row>
    <row r="591" spans="1:111" hidden="1" x14ac:dyDescent="0.25">
      <c r="A591">
        <v>130667</v>
      </c>
      <c r="B591">
        <v>9008</v>
      </c>
      <c r="C591" t="s">
        <v>6018</v>
      </c>
      <c r="D591" t="s">
        <v>314</v>
      </c>
      <c r="E591">
        <v>2024</v>
      </c>
      <c r="F591">
        <v>1009301</v>
      </c>
      <c r="G591" t="s">
        <v>6038</v>
      </c>
      <c r="H591" t="s">
        <v>6039</v>
      </c>
      <c r="I591" t="s">
        <v>712</v>
      </c>
      <c r="J591">
        <v>1</v>
      </c>
      <c r="K591">
        <v>18</v>
      </c>
      <c r="L591">
        <v>18</v>
      </c>
      <c r="M591">
        <v>24</v>
      </c>
      <c r="N591">
        <v>16</v>
      </c>
      <c r="O591">
        <v>22</v>
      </c>
      <c r="P591">
        <v>2</v>
      </c>
      <c r="Q591">
        <v>2</v>
      </c>
      <c r="R591">
        <v>2</v>
      </c>
      <c r="S591">
        <v>1</v>
      </c>
      <c r="T591">
        <v>0</v>
      </c>
      <c r="U591">
        <v>0</v>
      </c>
      <c r="V591">
        <v>1</v>
      </c>
      <c r="W591">
        <v>0</v>
      </c>
      <c r="X591">
        <v>1</v>
      </c>
      <c r="Y591" t="s">
        <v>113</v>
      </c>
      <c r="Z591" t="s">
        <v>6040</v>
      </c>
      <c r="AA591" t="s">
        <v>6041</v>
      </c>
      <c r="AB591" t="s">
        <v>656</v>
      </c>
      <c r="AC591" t="s">
        <v>6042</v>
      </c>
      <c r="AH591" t="s">
        <v>155</v>
      </c>
      <c r="AI591">
        <v>2</v>
      </c>
      <c r="AJ591">
        <v>0</v>
      </c>
      <c r="AK591">
        <v>0</v>
      </c>
      <c r="AL591">
        <v>0</v>
      </c>
      <c r="AM591">
        <v>0.62</v>
      </c>
      <c r="AN591">
        <v>1.28</v>
      </c>
      <c r="AO591">
        <v>1.64</v>
      </c>
      <c r="AS591">
        <v>1</v>
      </c>
      <c r="AT591">
        <v>0</v>
      </c>
      <c r="AU591">
        <v>1</v>
      </c>
      <c r="AV591">
        <v>75</v>
      </c>
      <c r="AW591">
        <v>82</v>
      </c>
      <c r="AX591">
        <v>62</v>
      </c>
      <c r="AY591">
        <v>0</v>
      </c>
      <c r="AZ591" t="b">
        <v>0</v>
      </c>
      <c r="BA591">
        <v>1914</v>
      </c>
      <c r="BB591">
        <v>1381</v>
      </c>
      <c r="BC591">
        <v>30</v>
      </c>
      <c r="BD591" t="s">
        <v>6020</v>
      </c>
      <c r="BE591">
        <v>97</v>
      </c>
      <c r="BF591">
        <v>0</v>
      </c>
      <c r="BG591">
        <v>73</v>
      </c>
      <c r="BH591">
        <v>0</v>
      </c>
      <c r="BI591">
        <v>7</v>
      </c>
      <c r="BJ591" s="1" t="s">
        <v>545</v>
      </c>
      <c r="BK591">
        <v>2</v>
      </c>
      <c r="BL591">
        <v>3.2</v>
      </c>
      <c r="BM591">
        <v>3</v>
      </c>
      <c r="BN591" s="1" t="s">
        <v>990</v>
      </c>
      <c r="BO591" s="1" t="s">
        <v>159</v>
      </c>
      <c r="BP591">
        <v>1.6</v>
      </c>
      <c r="BQ591">
        <v>0</v>
      </c>
      <c r="BR591">
        <v>0</v>
      </c>
      <c r="BS591" s="1" t="s">
        <v>128</v>
      </c>
      <c r="BT591" s="1" t="s">
        <v>130</v>
      </c>
      <c r="BU591" s="1" t="s">
        <v>159</v>
      </c>
      <c r="BV591">
        <v>1.4</v>
      </c>
      <c r="BW591">
        <v>1</v>
      </c>
      <c r="BX591" s="1" t="s">
        <v>375</v>
      </c>
      <c r="BY591">
        <v>1</v>
      </c>
      <c r="BZ591">
        <v>1.6</v>
      </c>
      <c r="CA591">
        <v>0.62</v>
      </c>
      <c r="CB591">
        <v>0.62</v>
      </c>
      <c r="CC591">
        <v>1.28</v>
      </c>
      <c r="CD591">
        <v>1.28</v>
      </c>
      <c r="CE591">
        <v>1.64</v>
      </c>
      <c r="CF591">
        <v>1.64</v>
      </c>
      <c r="CG591">
        <v>3</v>
      </c>
      <c r="CH591" s="1" t="s">
        <v>124</v>
      </c>
      <c r="CI591" s="1" t="s">
        <v>129</v>
      </c>
      <c r="CJ591">
        <v>0.4</v>
      </c>
      <c r="CK591">
        <v>4</v>
      </c>
      <c r="CL591" s="1" t="s">
        <v>528</v>
      </c>
      <c r="CM591" s="1" t="s">
        <v>329</v>
      </c>
      <c r="CN591" s="1" t="s">
        <v>6043</v>
      </c>
      <c r="CO591">
        <v>83</v>
      </c>
      <c r="CP591" s="1" t="s">
        <v>268</v>
      </c>
      <c r="CQ591">
        <v>205</v>
      </c>
      <c r="CR591">
        <v>243.6</v>
      </c>
      <c r="CS591" s="1" t="s">
        <v>3527</v>
      </c>
      <c r="CT591">
        <v>1665.6</v>
      </c>
      <c r="CU591" s="1" t="s">
        <v>3253</v>
      </c>
      <c r="CV591">
        <v>1619.2</v>
      </c>
      <c r="CW591">
        <v>63.7</v>
      </c>
      <c r="CX591">
        <v>68.900000000000006</v>
      </c>
      <c r="CY591">
        <v>57.6</v>
      </c>
      <c r="CZ591">
        <v>42</v>
      </c>
      <c r="DA591">
        <v>1</v>
      </c>
      <c r="DB591" t="s">
        <v>6040</v>
      </c>
      <c r="DC591">
        <v>18</v>
      </c>
      <c r="DD591" s="1" t="s">
        <v>6044</v>
      </c>
      <c r="DE591">
        <v>-46.687291390335403</v>
      </c>
      <c r="DF591" t="str">
        <f>_xlfn.XLOOKUP(Table1[[#This Row],[Player ID]],Table2[feed_id],Table2[trade_status])</f>
        <v>free_agent</v>
      </c>
      <c r="DG591">
        <f>_xlfn.NUMBERVALUE(Table1[[#This Row],[predicted]])</f>
        <v>64.687291390335403</v>
      </c>
    </row>
    <row r="592" spans="1:111" hidden="1" x14ac:dyDescent="0.25">
      <c r="A592">
        <v>130698</v>
      </c>
      <c r="B592">
        <v>9009</v>
      </c>
      <c r="C592" t="s">
        <v>6045</v>
      </c>
      <c r="D592" t="s">
        <v>314</v>
      </c>
      <c r="E592">
        <v>2024</v>
      </c>
      <c r="F592">
        <v>993905</v>
      </c>
      <c r="G592" t="s">
        <v>3661</v>
      </c>
      <c r="H592" t="s">
        <v>6046</v>
      </c>
      <c r="I592" t="s">
        <v>338</v>
      </c>
      <c r="J592">
        <v>13</v>
      </c>
      <c r="K592">
        <v>75</v>
      </c>
      <c r="L592">
        <v>79</v>
      </c>
      <c r="M592">
        <v>99</v>
      </c>
      <c r="N592">
        <v>62</v>
      </c>
      <c r="O592">
        <v>84</v>
      </c>
      <c r="P592">
        <v>13</v>
      </c>
      <c r="Q592">
        <v>6</v>
      </c>
      <c r="R592">
        <v>7</v>
      </c>
      <c r="S592">
        <v>2</v>
      </c>
      <c r="T592">
        <v>0</v>
      </c>
      <c r="U592">
        <v>1</v>
      </c>
      <c r="V592">
        <v>2</v>
      </c>
      <c r="W592">
        <v>0</v>
      </c>
      <c r="X592">
        <v>0</v>
      </c>
      <c r="Y592" t="s">
        <v>113</v>
      </c>
      <c r="Z592" t="s">
        <v>226</v>
      </c>
      <c r="AA592" t="s">
        <v>6047</v>
      </c>
      <c r="AH592" t="s">
        <v>118</v>
      </c>
      <c r="AI592">
        <v>14</v>
      </c>
      <c r="AJ592">
        <v>0</v>
      </c>
      <c r="AK592">
        <v>0</v>
      </c>
      <c r="AL592">
        <v>0</v>
      </c>
      <c r="AM592">
        <v>1.1100000000000001</v>
      </c>
      <c r="AN592">
        <v>1.08</v>
      </c>
      <c r="AO592">
        <v>1.02</v>
      </c>
      <c r="AS592">
        <v>6</v>
      </c>
      <c r="AT592">
        <v>2</v>
      </c>
      <c r="AU592">
        <v>3</v>
      </c>
      <c r="AV592">
        <v>73</v>
      </c>
      <c r="AW592">
        <v>78</v>
      </c>
      <c r="AX592">
        <v>239</v>
      </c>
      <c r="AY592">
        <v>0</v>
      </c>
      <c r="AZ592" t="b">
        <v>0</v>
      </c>
      <c r="BA592">
        <v>1624</v>
      </c>
      <c r="BB592">
        <v>1650</v>
      </c>
      <c r="BC592">
        <v>30</v>
      </c>
      <c r="BD592" t="s">
        <v>6048</v>
      </c>
      <c r="BE592">
        <v>97</v>
      </c>
      <c r="BF592">
        <v>0</v>
      </c>
      <c r="BG592">
        <v>73</v>
      </c>
      <c r="BH592">
        <v>1</v>
      </c>
      <c r="BI592">
        <v>15</v>
      </c>
      <c r="BJ592" s="1" t="s">
        <v>157</v>
      </c>
      <c r="BK592">
        <v>9</v>
      </c>
      <c r="BL592">
        <v>7.8</v>
      </c>
      <c r="BM592" s="1" t="s">
        <v>545</v>
      </c>
      <c r="BN592" s="1" t="s">
        <v>205</v>
      </c>
      <c r="BO592" s="1" t="s">
        <v>126</v>
      </c>
      <c r="BP592" s="1" t="s">
        <v>990</v>
      </c>
      <c r="BQ592">
        <v>0</v>
      </c>
      <c r="BR592">
        <v>0</v>
      </c>
      <c r="BS592" s="1" t="s">
        <v>128</v>
      </c>
      <c r="BT592" s="1" t="s">
        <v>399</v>
      </c>
      <c r="BU592">
        <v>1</v>
      </c>
      <c r="BV592" s="1" t="s">
        <v>238</v>
      </c>
      <c r="BW592">
        <v>0</v>
      </c>
      <c r="BX592" s="1" t="s">
        <v>129</v>
      </c>
      <c r="BY592">
        <v>0</v>
      </c>
      <c r="BZ592" s="1" t="s">
        <v>129</v>
      </c>
      <c r="CA592">
        <v>1.1100000000000001</v>
      </c>
      <c r="CB592">
        <v>4.47</v>
      </c>
      <c r="CC592">
        <v>1.08</v>
      </c>
      <c r="CD592" s="1" t="s">
        <v>587</v>
      </c>
      <c r="CE592">
        <v>1.02</v>
      </c>
      <c r="CF592" s="1" t="s">
        <v>6049</v>
      </c>
      <c r="CG592" s="1" t="s">
        <v>253</v>
      </c>
      <c r="CH592" s="1" t="s">
        <v>429</v>
      </c>
      <c r="CI592">
        <v>1</v>
      </c>
      <c r="CJ592" s="1" t="s">
        <v>127</v>
      </c>
      <c r="CK592">
        <v>2</v>
      </c>
      <c r="CL592" s="1" t="s">
        <v>322</v>
      </c>
      <c r="CM592">
        <v>82</v>
      </c>
      <c r="CN592" s="1" t="s">
        <v>1641</v>
      </c>
      <c r="CO592" s="1" t="s">
        <v>239</v>
      </c>
      <c r="CP592">
        <v>80</v>
      </c>
      <c r="CQ592" s="1" t="s">
        <v>6050</v>
      </c>
      <c r="CR592" s="1" t="s">
        <v>6051</v>
      </c>
      <c r="CS592" s="1" t="s">
        <v>219</v>
      </c>
      <c r="CT592" s="1" t="s">
        <v>3441</v>
      </c>
      <c r="CU592">
        <v>1595</v>
      </c>
      <c r="CV592">
        <v>1635.4</v>
      </c>
      <c r="CW592">
        <v>79.05</v>
      </c>
      <c r="CX592">
        <v>77.7</v>
      </c>
      <c r="CY592">
        <v>79.400000000000006</v>
      </c>
      <c r="CZ592" s="1" t="s">
        <v>554</v>
      </c>
      <c r="DA592">
        <v>1</v>
      </c>
      <c r="DB592" t="s">
        <v>226</v>
      </c>
      <c r="DC592">
        <v>79</v>
      </c>
      <c r="DD592" s="1" t="s">
        <v>6052</v>
      </c>
      <c r="DE592">
        <v>-26.794402175754399</v>
      </c>
      <c r="DF592" t="e">
        <f>_xlfn.XLOOKUP(Table1[[#This Row],[Player ID]],Table2[feed_id],Table2[trade_status])</f>
        <v>#N/A</v>
      </c>
      <c r="DG592">
        <f>_xlfn.NUMBERVALUE(Table1[[#This Row],[predicted]])</f>
        <v>105.794402175754</v>
      </c>
    </row>
    <row r="593" spans="1:111" hidden="1" x14ac:dyDescent="0.25">
      <c r="A593">
        <v>130759</v>
      </c>
      <c r="B593">
        <v>9010</v>
      </c>
      <c r="C593" t="s">
        <v>6053</v>
      </c>
      <c r="D593" t="s">
        <v>314</v>
      </c>
      <c r="E593">
        <v>2024</v>
      </c>
      <c r="F593">
        <v>297907</v>
      </c>
      <c r="G593" t="s">
        <v>4427</v>
      </c>
      <c r="H593" t="s">
        <v>316</v>
      </c>
      <c r="I593" t="s">
        <v>249</v>
      </c>
      <c r="J593">
        <v>15</v>
      </c>
      <c r="K593">
        <v>92</v>
      </c>
      <c r="L593">
        <v>110</v>
      </c>
      <c r="M593">
        <v>60</v>
      </c>
      <c r="N593">
        <v>71</v>
      </c>
      <c r="O593">
        <v>99</v>
      </c>
      <c r="P593">
        <v>15</v>
      </c>
      <c r="Q593">
        <v>9</v>
      </c>
      <c r="R593">
        <v>5</v>
      </c>
      <c r="S593">
        <v>4</v>
      </c>
      <c r="T593">
        <v>0</v>
      </c>
      <c r="U593">
        <v>1</v>
      </c>
      <c r="V593">
        <v>1</v>
      </c>
      <c r="W593">
        <v>0</v>
      </c>
      <c r="X593">
        <v>0</v>
      </c>
      <c r="Y593" t="s">
        <v>113</v>
      </c>
      <c r="Z593" t="s">
        <v>6054</v>
      </c>
      <c r="AA593" t="s">
        <v>6055</v>
      </c>
      <c r="AB593" t="s">
        <v>226</v>
      </c>
      <c r="AC593" t="s">
        <v>3882</v>
      </c>
      <c r="AH593" t="s">
        <v>181</v>
      </c>
      <c r="AI593">
        <v>24</v>
      </c>
      <c r="AJ593">
        <v>0</v>
      </c>
      <c r="AK593">
        <v>0</v>
      </c>
      <c r="AL593">
        <v>0</v>
      </c>
      <c r="AM593">
        <v>6.16</v>
      </c>
      <c r="AN593">
        <v>1.18</v>
      </c>
      <c r="AO593">
        <v>3.32</v>
      </c>
      <c r="AS593">
        <v>3</v>
      </c>
      <c r="AT593">
        <v>0</v>
      </c>
      <c r="AU593">
        <v>2</v>
      </c>
      <c r="AV593">
        <v>83</v>
      </c>
      <c r="AW593">
        <v>92</v>
      </c>
      <c r="AX593">
        <v>526</v>
      </c>
      <c r="AY593">
        <v>0</v>
      </c>
      <c r="AZ593" t="b">
        <v>0</v>
      </c>
      <c r="BA593">
        <v>1762</v>
      </c>
      <c r="BB593">
        <v>1503</v>
      </c>
      <c r="BC593">
        <v>30</v>
      </c>
      <c r="BD593" t="s">
        <v>6056</v>
      </c>
      <c r="BE593">
        <v>97</v>
      </c>
      <c r="BF593">
        <v>1</v>
      </c>
      <c r="BG593">
        <v>73</v>
      </c>
      <c r="BH593">
        <v>1</v>
      </c>
      <c r="BI593" s="1" t="s">
        <v>4271</v>
      </c>
      <c r="BJ593" s="1" t="s">
        <v>6057</v>
      </c>
      <c r="BK593" s="1" t="s">
        <v>204</v>
      </c>
      <c r="BL593" s="1" t="s">
        <v>624</v>
      </c>
      <c r="BM593" s="1" t="s">
        <v>157</v>
      </c>
      <c r="BN593" s="1" t="s">
        <v>2358</v>
      </c>
      <c r="BO593" s="1" t="s">
        <v>138</v>
      </c>
      <c r="BP593" s="1" t="s">
        <v>990</v>
      </c>
      <c r="BQ593">
        <v>0</v>
      </c>
      <c r="BR593">
        <v>0</v>
      </c>
      <c r="BS593" s="1" t="s">
        <v>126</v>
      </c>
      <c r="BT593" s="1" t="s">
        <v>162</v>
      </c>
      <c r="BU593">
        <v>1</v>
      </c>
      <c r="BV593" s="1" t="s">
        <v>298</v>
      </c>
      <c r="BW593">
        <v>0</v>
      </c>
      <c r="BX593">
        <v>6.6666666666666596E-2</v>
      </c>
      <c r="BY593">
        <v>0</v>
      </c>
      <c r="BZ593">
        <v>0.2</v>
      </c>
      <c r="CA593">
        <v>6.16</v>
      </c>
      <c r="CB593">
        <v>6.16</v>
      </c>
      <c r="CC593">
        <v>1.18</v>
      </c>
      <c r="CD593">
        <v>1.18</v>
      </c>
      <c r="CE593">
        <v>3.32</v>
      </c>
      <c r="CF593">
        <v>3.32</v>
      </c>
      <c r="CG593" s="1" t="s">
        <v>138</v>
      </c>
      <c r="CH593" s="1" t="s">
        <v>781</v>
      </c>
      <c r="CI593" s="1" t="s">
        <v>129</v>
      </c>
      <c r="CJ593">
        <v>0.6</v>
      </c>
      <c r="CK593" s="1" t="s">
        <v>169</v>
      </c>
      <c r="CL593" s="1" t="s">
        <v>169</v>
      </c>
      <c r="CM593">
        <v>84</v>
      </c>
      <c r="CN593" s="1" t="s">
        <v>789</v>
      </c>
      <c r="CO593">
        <v>93</v>
      </c>
      <c r="CP593">
        <v>90.4</v>
      </c>
      <c r="CQ593">
        <v>603</v>
      </c>
      <c r="CR593">
        <v>492.8</v>
      </c>
      <c r="CS593" s="1" t="s">
        <v>2574</v>
      </c>
      <c r="CT593" s="1" t="s">
        <v>1808</v>
      </c>
      <c r="CU593" s="1" t="s">
        <v>1149</v>
      </c>
      <c r="CV593" s="1" t="s">
        <v>6058</v>
      </c>
      <c r="CW593">
        <v>105.6</v>
      </c>
      <c r="CX593">
        <v>107.4</v>
      </c>
      <c r="CY593">
        <v>119.2</v>
      </c>
      <c r="CZ593">
        <v>115</v>
      </c>
      <c r="DA593">
        <v>1</v>
      </c>
      <c r="DB593" t="s">
        <v>6054</v>
      </c>
      <c r="DC593">
        <v>110</v>
      </c>
      <c r="DD593" s="1" t="s">
        <v>6059</v>
      </c>
      <c r="DE593" s="1" t="s">
        <v>6060</v>
      </c>
      <c r="DF593" t="str">
        <f>_xlfn.XLOOKUP(Table1[[#This Row],[Player ID]],Table2[feed_id],Table2[trade_status])</f>
        <v>free_agent</v>
      </c>
      <c r="DG593">
        <f>_xlfn.NUMBERVALUE(Table1[[#This Row],[predicted]])</f>
        <v>97.2351272930524</v>
      </c>
    </row>
    <row r="594" spans="1:111" hidden="1" x14ac:dyDescent="0.25">
      <c r="A594">
        <v>130765</v>
      </c>
      <c r="B594">
        <v>9010</v>
      </c>
      <c r="C594" t="s">
        <v>6053</v>
      </c>
      <c r="D594" t="s">
        <v>314</v>
      </c>
      <c r="E594">
        <v>2024</v>
      </c>
      <c r="F594">
        <v>298290</v>
      </c>
      <c r="G594" t="s">
        <v>3809</v>
      </c>
      <c r="H594" t="s">
        <v>6061</v>
      </c>
      <c r="I594" t="s">
        <v>249</v>
      </c>
      <c r="J594">
        <v>17</v>
      </c>
      <c r="K594">
        <v>69</v>
      </c>
      <c r="L594">
        <v>75</v>
      </c>
      <c r="M594">
        <v>52</v>
      </c>
      <c r="N594">
        <v>64</v>
      </c>
      <c r="O594">
        <v>75</v>
      </c>
      <c r="P594">
        <v>7</v>
      </c>
      <c r="Q594">
        <v>4</v>
      </c>
      <c r="R594">
        <v>4</v>
      </c>
      <c r="S594">
        <v>0</v>
      </c>
      <c r="T594">
        <v>18</v>
      </c>
      <c r="U594">
        <v>1</v>
      </c>
      <c r="V594">
        <v>1</v>
      </c>
      <c r="W594">
        <v>2</v>
      </c>
      <c r="X594">
        <v>0</v>
      </c>
      <c r="Y594" t="s">
        <v>113</v>
      </c>
      <c r="Z594" t="s">
        <v>778</v>
      </c>
      <c r="AA594" t="s">
        <v>6062</v>
      </c>
      <c r="AB594" t="s">
        <v>602</v>
      </c>
      <c r="AC594" t="s">
        <v>2391</v>
      </c>
      <c r="AE594">
        <v>0</v>
      </c>
      <c r="AH594" t="s">
        <v>274</v>
      </c>
      <c r="AI594">
        <v>27</v>
      </c>
      <c r="AJ594">
        <v>2</v>
      </c>
      <c r="AK594">
        <v>52.5</v>
      </c>
      <c r="AL594">
        <v>0</v>
      </c>
      <c r="AM594">
        <v>0</v>
      </c>
      <c r="AN594">
        <v>0.17</v>
      </c>
      <c r="AO594">
        <v>0.43</v>
      </c>
      <c r="AS594">
        <v>11</v>
      </c>
      <c r="AT594">
        <v>3</v>
      </c>
      <c r="AU594">
        <v>5</v>
      </c>
      <c r="AV594">
        <v>63</v>
      </c>
      <c r="AW594">
        <v>67</v>
      </c>
      <c r="AX594">
        <v>176</v>
      </c>
      <c r="AY594">
        <v>0</v>
      </c>
      <c r="AZ594" t="b">
        <v>1</v>
      </c>
      <c r="BA594">
        <v>1762</v>
      </c>
      <c r="BB594">
        <v>1503</v>
      </c>
      <c r="BC594">
        <v>30</v>
      </c>
      <c r="BD594" t="s">
        <v>6056</v>
      </c>
      <c r="BE594">
        <v>97</v>
      </c>
      <c r="BF594">
        <v>0</v>
      </c>
      <c r="BG594">
        <v>73</v>
      </c>
      <c r="BH594">
        <v>1</v>
      </c>
      <c r="BI594" s="1" t="s">
        <v>204</v>
      </c>
      <c r="BJ594">
        <v>6.8</v>
      </c>
      <c r="BK594" s="1" t="s">
        <v>253</v>
      </c>
      <c r="BL594" s="1" t="s">
        <v>204</v>
      </c>
      <c r="BM594">
        <v>2</v>
      </c>
      <c r="BN594" s="1" t="s">
        <v>206</v>
      </c>
      <c r="BO594">
        <v>3</v>
      </c>
      <c r="BP594">
        <v>1.4</v>
      </c>
      <c r="BQ594" s="1" t="s">
        <v>6063</v>
      </c>
      <c r="BR594" s="1" t="s">
        <v>6064</v>
      </c>
      <c r="BS594">
        <v>1</v>
      </c>
      <c r="BT594" s="1" t="s">
        <v>327</v>
      </c>
      <c r="BU594" s="1" t="s">
        <v>161</v>
      </c>
      <c r="BV594">
        <v>2</v>
      </c>
      <c r="BW594">
        <v>1</v>
      </c>
      <c r="BX594" s="1" t="s">
        <v>129</v>
      </c>
      <c r="BY594" s="1" t="s">
        <v>129</v>
      </c>
      <c r="BZ594">
        <v>0.2</v>
      </c>
      <c r="CA594">
        <v>0</v>
      </c>
      <c r="CB594">
        <v>0</v>
      </c>
      <c r="CC594">
        <v>0.17</v>
      </c>
      <c r="CD594" s="1" t="s">
        <v>6065</v>
      </c>
      <c r="CE594">
        <v>0.43</v>
      </c>
      <c r="CF594" s="1" t="s">
        <v>6066</v>
      </c>
      <c r="CG594">
        <v>11</v>
      </c>
      <c r="CH594">
        <v>10</v>
      </c>
      <c r="CI594">
        <v>6</v>
      </c>
      <c r="CJ594" s="1" t="s">
        <v>124</v>
      </c>
      <c r="CK594" s="1" t="s">
        <v>211</v>
      </c>
      <c r="CL594" s="1" t="s">
        <v>990</v>
      </c>
      <c r="CM594" s="1" t="s">
        <v>787</v>
      </c>
      <c r="CN594" s="1" t="s">
        <v>5839</v>
      </c>
      <c r="CO594" s="1" t="s">
        <v>241</v>
      </c>
      <c r="CP594" s="1" t="s">
        <v>1805</v>
      </c>
      <c r="CQ594" s="1" t="s">
        <v>6067</v>
      </c>
      <c r="CR594" s="1" t="s">
        <v>6068</v>
      </c>
      <c r="CS594" s="1" t="s">
        <v>2574</v>
      </c>
      <c r="CT594" s="1" t="s">
        <v>3743</v>
      </c>
      <c r="CU594" s="1" t="s">
        <v>1149</v>
      </c>
      <c r="CV594" s="1" t="s">
        <v>6069</v>
      </c>
      <c r="CW594">
        <v>79.599999999999994</v>
      </c>
      <c r="CX594">
        <v>86.7</v>
      </c>
      <c r="CY594">
        <v>92</v>
      </c>
      <c r="CZ594" s="1" t="s">
        <v>6070</v>
      </c>
      <c r="DA594">
        <v>1</v>
      </c>
      <c r="DB594" t="s">
        <v>778</v>
      </c>
      <c r="DC594">
        <v>75</v>
      </c>
      <c r="DD594">
        <v>86.245749142468497</v>
      </c>
      <c r="DE594">
        <v>-11.2457491424684</v>
      </c>
      <c r="DF594" t="str">
        <f>_xlfn.XLOOKUP(Table1[[#This Row],[Player ID]],Table2[feed_id],Table2[trade_status])</f>
        <v>waiver</v>
      </c>
      <c r="DG594">
        <f>_xlfn.NUMBERVALUE(Table1[[#This Row],[predicted]])</f>
        <v>86.245749142468497</v>
      </c>
    </row>
    <row r="595" spans="1:111" hidden="1" x14ac:dyDescent="0.25">
      <c r="A595">
        <v>130766</v>
      </c>
      <c r="B595">
        <v>9010</v>
      </c>
      <c r="C595" t="s">
        <v>6053</v>
      </c>
      <c r="D595" t="s">
        <v>314</v>
      </c>
      <c r="E595">
        <v>2024</v>
      </c>
      <c r="F595">
        <v>1012862</v>
      </c>
      <c r="G595" t="s">
        <v>6071</v>
      </c>
      <c r="H595" t="s">
        <v>6072</v>
      </c>
      <c r="I595" t="s">
        <v>249</v>
      </c>
      <c r="J595">
        <v>13</v>
      </c>
      <c r="K595">
        <v>68</v>
      </c>
      <c r="L595">
        <v>72</v>
      </c>
      <c r="M595">
        <v>43</v>
      </c>
      <c r="N595">
        <v>56</v>
      </c>
      <c r="O595">
        <v>76</v>
      </c>
      <c r="P595">
        <v>10</v>
      </c>
      <c r="Q595">
        <v>9</v>
      </c>
      <c r="R595">
        <v>3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1</v>
      </c>
      <c r="Y595" t="s">
        <v>113</v>
      </c>
      <c r="Z595" t="s">
        <v>5826</v>
      </c>
      <c r="AA595" t="s">
        <v>6073</v>
      </c>
      <c r="AH595" t="s">
        <v>118</v>
      </c>
      <c r="AI595">
        <v>20</v>
      </c>
      <c r="AJ595">
        <v>0</v>
      </c>
      <c r="AK595">
        <v>0</v>
      </c>
      <c r="AL595">
        <v>0</v>
      </c>
      <c r="AM595">
        <v>0.53</v>
      </c>
      <c r="AN595">
        <v>0.67</v>
      </c>
      <c r="AO595">
        <v>0.21</v>
      </c>
      <c r="AS595">
        <v>6</v>
      </c>
      <c r="AT595">
        <v>2</v>
      </c>
      <c r="AU595">
        <v>1</v>
      </c>
      <c r="AV595">
        <v>68</v>
      </c>
      <c r="AW595">
        <v>80</v>
      </c>
      <c r="AX595">
        <v>365</v>
      </c>
      <c r="AY595">
        <v>0</v>
      </c>
      <c r="AZ595" t="b">
        <v>0</v>
      </c>
      <c r="BA595">
        <v>1762</v>
      </c>
      <c r="BB595">
        <v>1503</v>
      </c>
      <c r="BC595">
        <v>30</v>
      </c>
      <c r="BD595" t="s">
        <v>6056</v>
      </c>
      <c r="BE595">
        <v>97</v>
      </c>
      <c r="BF595">
        <v>0</v>
      </c>
      <c r="BG595">
        <v>73</v>
      </c>
      <c r="BH595">
        <v>0</v>
      </c>
      <c r="BI595">
        <v>14</v>
      </c>
      <c r="BJ595" s="1" t="s">
        <v>5801</v>
      </c>
      <c r="BK595">
        <v>8</v>
      </c>
      <c r="BL595">
        <v>6.8</v>
      </c>
      <c r="BM595" s="1" t="s">
        <v>449</v>
      </c>
      <c r="BN595">
        <v>5.2</v>
      </c>
      <c r="BO595" s="1" t="s">
        <v>161</v>
      </c>
      <c r="BP595">
        <v>2.8</v>
      </c>
      <c r="BQ595">
        <v>0</v>
      </c>
      <c r="BR595">
        <v>0</v>
      </c>
      <c r="BS595" s="1" t="s">
        <v>129</v>
      </c>
      <c r="BT595" s="1" t="s">
        <v>129</v>
      </c>
      <c r="BU595" s="1" t="s">
        <v>129</v>
      </c>
      <c r="BV595">
        <v>0.8</v>
      </c>
      <c r="BW595" s="1" t="s">
        <v>129</v>
      </c>
      <c r="BX595" s="1" t="s">
        <v>130</v>
      </c>
      <c r="BY595" s="1" t="s">
        <v>126</v>
      </c>
      <c r="BZ595">
        <v>0.6</v>
      </c>
      <c r="CA595">
        <v>0.53</v>
      </c>
      <c r="CB595">
        <v>0.53</v>
      </c>
      <c r="CC595">
        <v>0.67</v>
      </c>
      <c r="CD595">
        <v>0.67</v>
      </c>
      <c r="CE595">
        <v>0.21</v>
      </c>
      <c r="CF595">
        <v>0.21</v>
      </c>
      <c r="CG595" s="1" t="s">
        <v>124</v>
      </c>
      <c r="CH595" s="1" t="s">
        <v>963</v>
      </c>
      <c r="CI595" s="1" t="s">
        <v>126</v>
      </c>
      <c r="CJ595">
        <v>1.6</v>
      </c>
      <c r="CK595" s="1" t="s">
        <v>161</v>
      </c>
      <c r="CL595" s="1" t="s">
        <v>373</v>
      </c>
      <c r="CM595" s="1" t="s">
        <v>263</v>
      </c>
      <c r="CN595" s="1" t="s">
        <v>822</v>
      </c>
      <c r="CO595" s="1" t="s">
        <v>968</v>
      </c>
      <c r="CP595">
        <v>82.8</v>
      </c>
      <c r="CQ595" s="1" t="s">
        <v>4995</v>
      </c>
      <c r="CR595" s="1" t="s">
        <v>6074</v>
      </c>
      <c r="CS595" s="1" t="s">
        <v>2574</v>
      </c>
      <c r="CT595" s="1" t="s">
        <v>1808</v>
      </c>
      <c r="CU595" s="1" t="s">
        <v>1149</v>
      </c>
      <c r="CV595" s="1" t="s">
        <v>6058</v>
      </c>
      <c r="CW595">
        <v>75.75</v>
      </c>
      <c r="CX595">
        <v>78.900000000000006</v>
      </c>
      <c r="CY595">
        <v>78.8</v>
      </c>
      <c r="CZ595" s="1" t="s">
        <v>268</v>
      </c>
      <c r="DA595">
        <v>1</v>
      </c>
      <c r="DB595" t="s">
        <v>5826</v>
      </c>
      <c r="DC595">
        <v>72</v>
      </c>
      <c r="DD595" s="1" t="s">
        <v>6075</v>
      </c>
      <c r="DE595">
        <v>-12.187531629364599</v>
      </c>
      <c r="DF595" t="e">
        <f>_xlfn.XLOOKUP(Table1[[#This Row],[Player ID]],Table2[feed_id],Table2[trade_status])</f>
        <v>#N/A</v>
      </c>
      <c r="DG595">
        <f>_xlfn.NUMBERVALUE(Table1[[#This Row],[predicted]])</f>
        <v>84.187531629364599</v>
      </c>
    </row>
    <row r="596" spans="1:111" hidden="1" x14ac:dyDescent="0.25">
      <c r="A596">
        <v>130775</v>
      </c>
      <c r="B596">
        <v>9010</v>
      </c>
      <c r="C596" t="s">
        <v>6053</v>
      </c>
      <c r="D596" t="s">
        <v>314</v>
      </c>
      <c r="E596">
        <v>2024</v>
      </c>
      <c r="F596">
        <v>296334</v>
      </c>
      <c r="G596" t="s">
        <v>6076</v>
      </c>
      <c r="H596" t="s">
        <v>6077</v>
      </c>
      <c r="I596" t="s">
        <v>249</v>
      </c>
      <c r="J596">
        <v>9</v>
      </c>
      <c r="K596">
        <v>43</v>
      </c>
      <c r="L596">
        <v>47</v>
      </c>
      <c r="M596">
        <v>32</v>
      </c>
      <c r="N596">
        <v>36</v>
      </c>
      <c r="O596">
        <v>48</v>
      </c>
      <c r="P596">
        <v>5</v>
      </c>
      <c r="Q596">
        <v>6</v>
      </c>
      <c r="R596">
        <v>2</v>
      </c>
      <c r="S596">
        <v>1</v>
      </c>
      <c r="T596">
        <v>0</v>
      </c>
      <c r="U596">
        <v>0</v>
      </c>
      <c r="V596">
        <v>0</v>
      </c>
      <c r="W596">
        <v>1</v>
      </c>
      <c r="X596">
        <v>0</v>
      </c>
      <c r="Y596" t="s">
        <v>113</v>
      </c>
      <c r="Z596" t="s">
        <v>525</v>
      </c>
      <c r="AA596" t="s">
        <v>6078</v>
      </c>
      <c r="AE596">
        <v>0</v>
      </c>
      <c r="AH596" t="s">
        <v>155</v>
      </c>
      <c r="AI596">
        <v>14</v>
      </c>
      <c r="AJ596">
        <v>13</v>
      </c>
      <c r="AK596">
        <v>79.459999999999994</v>
      </c>
      <c r="AL596">
        <v>0</v>
      </c>
      <c r="AM596">
        <v>0</v>
      </c>
      <c r="AN596">
        <v>3.04</v>
      </c>
      <c r="AO596">
        <v>5.76</v>
      </c>
      <c r="AS596">
        <v>6</v>
      </c>
      <c r="AT596">
        <v>0</v>
      </c>
      <c r="AU596">
        <v>1</v>
      </c>
      <c r="AV596">
        <v>63</v>
      </c>
      <c r="AW596">
        <v>75</v>
      </c>
      <c r="AX596">
        <v>149</v>
      </c>
      <c r="AY596">
        <v>0</v>
      </c>
      <c r="AZ596" t="b">
        <v>0</v>
      </c>
      <c r="BA596">
        <v>1762</v>
      </c>
      <c r="BB596">
        <v>1503</v>
      </c>
      <c r="BC596">
        <v>30</v>
      </c>
      <c r="BD596" t="s">
        <v>6056</v>
      </c>
      <c r="BE596">
        <v>97</v>
      </c>
      <c r="BF596">
        <v>0</v>
      </c>
      <c r="BG596">
        <v>73</v>
      </c>
      <c r="BH596">
        <v>0</v>
      </c>
      <c r="BI596" s="1" t="s">
        <v>449</v>
      </c>
      <c r="BJ596">
        <v>4.4000000000000004</v>
      </c>
      <c r="BK596" s="1" t="s">
        <v>138</v>
      </c>
      <c r="BL596" s="1" t="s">
        <v>125</v>
      </c>
      <c r="BM596">
        <v>1</v>
      </c>
      <c r="BN596" s="1" t="s">
        <v>566</v>
      </c>
      <c r="BO596" s="1" t="s">
        <v>126</v>
      </c>
      <c r="BP596" s="1" t="s">
        <v>206</v>
      </c>
      <c r="BQ596">
        <v>0</v>
      </c>
      <c r="BR596">
        <v>0</v>
      </c>
      <c r="BS596" s="1" t="s">
        <v>129</v>
      </c>
      <c r="BT596" s="1" t="s">
        <v>231</v>
      </c>
      <c r="BU596">
        <v>1</v>
      </c>
      <c r="BV596" s="1" t="s">
        <v>128</v>
      </c>
      <c r="BW596">
        <v>1</v>
      </c>
      <c r="BX596" s="1" t="s">
        <v>128</v>
      </c>
      <c r="BY596">
        <v>0</v>
      </c>
      <c r="BZ596" s="1" t="s">
        <v>231</v>
      </c>
      <c r="CA596">
        <v>0</v>
      </c>
      <c r="CB596" s="1" t="s">
        <v>6079</v>
      </c>
      <c r="CC596">
        <v>3.04</v>
      </c>
      <c r="CD596">
        <v>2.97</v>
      </c>
      <c r="CE596">
        <v>5.76</v>
      </c>
      <c r="CF596" s="1" t="s">
        <v>6080</v>
      </c>
      <c r="CG596" s="1" t="s">
        <v>138</v>
      </c>
      <c r="CH596" s="1" t="s">
        <v>138</v>
      </c>
      <c r="CI596">
        <v>0</v>
      </c>
      <c r="CJ596">
        <v>0.2</v>
      </c>
      <c r="CK596" s="1" t="s">
        <v>159</v>
      </c>
      <c r="CL596" s="1" t="s">
        <v>327</v>
      </c>
      <c r="CM596" s="1" t="s">
        <v>772</v>
      </c>
      <c r="CN596" s="1" t="s">
        <v>593</v>
      </c>
      <c r="CO596">
        <v>62</v>
      </c>
      <c r="CP596">
        <v>59.6</v>
      </c>
      <c r="CQ596">
        <v>168</v>
      </c>
      <c r="CR596" s="1" t="s">
        <v>6081</v>
      </c>
      <c r="CS596">
        <v>1551</v>
      </c>
      <c r="CT596" s="1" t="s">
        <v>6082</v>
      </c>
      <c r="CU596" s="1" t="s">
        <v>2046</v>
      </c>
      <c r="CV596">
        <v>1587.6</v>
      </c>
      <c r="CW596">
        <v>43.5</v>
      </c>
      <c r="CX596">
        <v>44.1</v>
      </c>
      <c r="CY596">
        <v>47</v>
      </c>
      <c r="CZ596" s="1" t="s">
        <v>2127</v>
      </c>
      <c r="DA596">
        <v>1</v>
      </c>
      <c r="DB596" t="s">
        <v>525</v>
      </c>
      <c r="DC596">
        <v>47</v>
      </c>
      <c r="DD596" s="1" t="s">
        <v>6083</v>
      </c>
      <c r="DE596">
        <v>-2.3053755565233698</v>
      </c>
      <c r="DF596" t="str">
        <f>_xlfn.XLOOKUP(Table1[[#This Row],[Player ID]],Table2[feed_id],Table2[trade_status])</f>
        <v>free_agent</v>
      </c>
      <c r="DG596">
        <f>_xlfn.NUMBERVALUE(Table1[[#This Row],[predicted]])</f>
        <v>49.305375556523302</v>
      </c>
    </row>
    <row r="597" spans="1:111" hidden="1" x14ac:dyDescent="0.25">
      <c r="A597">
        <v>130800</v>
      </c>
      <c r="B597">
        <v>9011</v>
      </c>
      <c r="C597" t="s">
        <v>6084</v>
      </c>
      <c r="D597" t="s">
        <v>336</v>
      </c>
      <c r="E597">
        <v>2024</v>
      </c>
      <c r="F597">
        <v>1004998</v>
      </c>
      <c r="G597" t="s">
        <v>5493</v>
      </c>
      <c r="H597" t="s">
        <v>6085</v>
      </c>
      <c r="I597" t="s">
        <v>425</v>
      </c>
      <c r="J597">
        <v>9</v>
      </c>
      <c r="K597">
        <v>37</v>
      </c>
      <c r="L597">
        <v>38</v>
      </c>
      <c r="M597">
        <v>47</v>
      </c>
      <c r="N597">
        <v>29</v>
      </c>
      <c r="O597">
        <v>36</v>
      </c>
      <c r="P597">
        <v>2</v>
      </c>
      <c r="Q597">
        <v>3</v>
      </c>
      <c r="R597">
        <v>2</v>
      </c>
      <c r="S597">
        <v>3</v>
      </c>
      <c r="T597">
        <v>0</v>
      </c>
      <c r="U597">
        <v>1</v>
      </c>
      <c r="V597">
        <v>0</v>
      </c>
      <c r="W597">
        <v>1</v>
      </c>
      <c r="X597">
        <v>0</v>
      </c>
      <c r="Y597" t="s">
        <v>113</v>
      </c>
      <c r="Z597" t="s">
        <v>494</v>
      </c>
      <c r="AA597" t="s">
        <v>6086</v>
      </c>
      <c r="AB597" t="s">
        <v>116</v>
      </c>
      <c r="AC597" t="s">
        <v>6087</v>
      </c>
      <c r="AE597">
        <v>0</v>
      </c>
      <c r="AH597" t="s">
        <v>155</v>
      </c>
      <c r="AI597">
        <v>4</v>
      </c>
      <c r="AJ597">
        <v>7</v>
      </c>
      <c r="AK597">
        <v>46.57</v>
      </c>
      <c r="AL597">
        <v>0</v>
      </c>
      <c r="AM597">
        <v>0</v>
      </c>
      <c r="AN597">
        <v>0.16</v>
      </c>
      <c r="AO597">
        <v>0.21</v>
      </c>
      <c r="AS597">
        <v>4</v>
      </c>
      <c r="AT597">
        <v>0</v>
      </c>
      <c r="AU597">
        <v>1</v>
      </c>
      <c r="AV597">
        <v>60</v>
      </c>
      <c r="AW597">
        <v>38</v>
      </c>
      <c r="AX597">
        <v>40</v>
      </c>
      <c r="AY597">
        <v>1</v>
      </c>
      <c r="AZ597" t="b">
        <v>1</v>
      </c>
      <c r="BA597">
        <v>1681</v>
      </c>
      <c r="BB597">
        <v>1613</v>
      </c>
      <c r="BC597">
        <v>32</v>
      </c>
      <c r="BD597" t="s">
        <v>6088</v>
      </c>
      <c r="BE597">
        <v>101.2</v>
      </c>
      <c r="BF597">
        <v>0</v>
      </c>
      <c r="BG597">
        <v>71.5</v>
      </c>
      <c r="BH597">
        <v>0</v>
      </c>
      <c r="BI597" s="1" t="s">
        <v>124</v>
      </c>
      <c r="BJ597" s="1" t="s">
        <v>398</v>
      </c>
      <c r="BK597" s="1" t="s">
        <v>125</v>
      </c>
      <c r="BL597">
        <v>2</v>
      </c>
      <c r="BM597" s="1" t="s">
        <v>138</v>
      </c>
      <c r="BN597" s="1" t="s">
        <v>436</v>
      </c>
      <c r="BO597" s="1" t="s">
        <v>161</v>
      </c>
      <c r="BP597" s="1" t="s">
        <v>304</v>
      </c>
      <c r="BQ597">
        <v>0</v>
      </c>
      <c r="BR597" s="1" t="s">
        <v>129</v>
      </c>
      <c r="BS597" s="1" t="s">
        <v>128</v>
      </c>
      <c r="BT597" s="1" t="s">
        <v>231</v>
      </c>
      <c r="BU597" s="1" t="s">
        <v>129</v>
      </c>
      <c r="BV597">
        <v>0.6</v>
      </c>
      <c r="BW597" s="1" t="s">
        <v>129</v>
      </c>
      <c r="BX597" s="1" t="s">
        <v>127</v>
      </c>
      <c r="BY597" s="1" t="s">
        <v>129</v>
      </c>
      <c r="BZ597" s="1" t="s">
        <v>399</v>
      </c>
      <c r="CA597">
        <v>0</v>
      </c>
      <c r="CB597">
        <v>0</v>
      </c>
      <c r="CC597">
        <v>0.16</v>
      </c>
      <c r="CD597">
        <v>0.16</v>
      </c>
      <c r="CE597">
        <v>0.21</v>
      </c>
      <c r="CF597">
        <v>0.21</v>
      </c>
      <c r="CG597">
        <v>4</v>
      </c>
      <c r="CH597" s="1" t="s">
        <v>373</v>
      </c>
      <c r="CI597">
        <v>0</v>
      </c>
      <c r="CJ597">
        <v>6.6666666666666596E-2</v>
      </c>
      <c r="CK597" s="1" t="s">
        <v>159</v>
      </c>
      <c r="CL597">
        <v>2.2000000000000002</v>
      </c>
      <c r="CM597">
        <v>65</v>
      </c>
      <c r="CN597">
        <v>55</v>
      </c>
      <c r="CO597" s="1" t="s">
        <v>1715</v>
      </c>
      <c r="CP597">
        <v>72</v>
      </c>
      <c r="CQ597" s="1" t="s">
        <v>6089</v>
      </c>
      <c r="CR597" s="1" t="s">
        <v>6090</v>
      </c>
      <c r="CS597" s="1" t="s">
        <v>4723</v>
      </c>
      <c r="CT597" s="1" t="s">
        <v>6091</v>
      </c>
      <c r="CU597">
        <v>1584</v>
      </c>
      <c r="CV597" s="1" t="s">
        <v>6092</v>
      </c>
      <c r="CW597">
        <v>56.6</v>
      </c>
      <c r="CX597">
        <v>53.4</v>
      </c>
      <c r="CY597">
        <v>41</v>
      </c>
      <c r="CZ597" s="1" t="s">
        <v>667</v>
      </c>
      <c r="DA597">
        <v>1</v>
      </c>
      <c r="DB597" t="s">
        <v>494</v>
      </c>
      <c r="DC597">
        <v>38</v>
      </c>
      <c r="DD597" s="1" t="s">
        <v>6093</v>
      </c>
      <c r="DE597">
        <v>-32.371377580022603</v>
      </c>
      <c r="DF597" t="str">
        <f>_xlfn.XLOOKUP(Table1[[#This Row],[Player ID]],Table2[feed_id],Table2[trade_status])</f>
        <v>free_agent</v>
      </c>
      <c r="DG597">
        <f>_xlfn.NUMBERVALUE(Table1[[#This Row],[predicted]])</f>
        <v>70.371377580022596</v>
      </c>
    </row>
    <row r="598" spans="1:111" hidden="1" x14ac:dyDescent="0.25">
      <c r="A598">
        <v>130906</v>
      </c>
      <c r="B598">
        <v>9013</v>
      </c>
      <c r="C598" t="s">
        <v>6094</v>
      </c>
      <c r="D598" t="s">
        <v>1058</v>
      </c>
      <c r="E598">
        <v>2024</v>
      </c>
      <c r="F598">
        <v>280711</v>
      </c>
      <c r="G598" t="s">
        <v>5306</v>
      </c>
      <c r="H598" t="s">
        <v>6095</v>
      </c>
      <c r="I598" t="s">
        <v>425</v>
      </c>
      <c r="J598">
        <v>9</v>
      </c>
      <c r="K598">
        <v>46</v>
      </c>
      <c r="L598">
        <v>59</v>
      </c>
      <c r="M598">
        <v>37</v>
      </c>
      <c r="N598">
        <v>42</v>
      </c>
      <c r="O598">
        <v>53</v>
      </c>
      <c r="P598">
        <v>4</v>
      </c>
      <c r="Q598">
        <v>8</v>
      </c>
      <c r="R598">
        <v>3</v>
      </c>
      <c r="S598">
        <v>0</v>
      </c>
      <c r="T598">
        <v>2</v>
      </c>
      <c r="U598">
        <v>1</v>
      </c>
      <c r="V598">
        <v>0</v>
      </c>
      <c r="W598">
        <v>1</v>
      </c>
      <c r="X598">
        <v>0</v>
      </c>
      <c r="Y598" t="s">
        <v>113</v>
      </c>
      <c r="Z598" t="s">
        <v>6096</v>
      </c>
      <c r="AA598" t="s">
        <v>6097</v>
      </c>
      <c r="AE598">
        <v>0</v>
      </c>
      <c r="AH598" t="s">
        <v>155</v>
      </c>
      <c r="AI598">
        <v>22</v>
      </c>
      <c r="AJ598">
        <v>20</v>
      </c>
      <c r="AK598">
        <v>71.25</v>
      </c>
      <c r="AL598">
        <v>0</v>
      </c>
      <c r="AM598">
        <v>0</v>
      </c>
      <c r="AN598">
        <v>0.1</v>
      </c>
      <c r="AO598">
        <v>0.17</v>
      </c>
      <c r="AS598">
        <v>9</v>
      </c>
      <c r="AT598">
        <v>4</v>
      </c>
      <c r="AU598">
        <v>4</v>
      </c>
      <c r="AV598">
        <v>58</v>
      </c>
      <c r="AW598">
        <v>77</v>
      </c>
      <c r="AX598">
        <v>85</v>
      </c>
      <c r="AY598">
        <v>0</v>
      </c>
      <c r="AZ598" t="b">
        <v>0</v>
      </c>
      <c r="BA598">
        <v>1925</v>
      </c>
      <c r="BB598">
        <v>1372</v>
      </c>
      <c r="BC598">
        <v>33</v>
      </c>
      <c r="BD598" t="s">
        <v>6098</v>
      </c>
      <c r="BE598">
        <v>97</v>
      </c>
      <c r="BF598">
        <v>0</v>
      </c>
      <c r="BG598">
        <v>75.5</v>
      </c>
      <c r="BH598">
        <v>0</v>
      </c>
      <c r="BI598" s="1" t="s">
        <v>211</v>
      </c>
      <c r="BJ598">
        <v>5.2</v>
      </c>
      <c r="BK598" s="1" t="s">
        <v>124</v>
      </c>
      <c r="BL598">
        <v>4.5999999999999996</v>
      </c>
      <c r="BM598">
        <v>2</v>
      </c>
      <c r="BN598" s="1" t="s">
        <v>640</v>
      </c>
      <c r="BO598" s="1" t="s">
        <v>126</v>
      </c>
      <c r="BP598">
        <v>1.6</v>
      </c>
      <c r="BQ598" s="1" t="s">
        <v>204</v>
      </c>
      <c r="BR598">
        <v>7</v>
      </c>
      <c r="BS598">
        <v>1</v>
      </c>
      <c r="BT598">
        <v>1</v>
      </c>
      <c r="BU598" s="1" t="s">
        <v>128</v>
      </c>
      <c r="BV598" s="1" t="s">
        <v>162</v>
      </c>
      <c r="BW598" s="1" t="s">
        <v>129</v>
      </c>
      <c r="BX598">
        <v>1.2</v>
      </c>
      <c r="BY598" s="1" t="s">
        <v>128</v>
      </c>
      <c r="BZ598" s="1" t="s">
        <v>128</v>
      </c>
      <c r="CA598">
        <v>0</v>
      </c>
      <c r="CB598">
        <v>0</v>
      </c>
      <c r="CC598">
        <v>0.1</v>
      </c>
      <c r="CD598">
        <v>0.1</v>
      </c>
      <c r="CE598">
        <v>0.17</v>
      </c>
      <c r="CF598">
        <v>0.17</v>
      </c>
      <c r="CG598" s="1" t="s">
        <v>397</v>
      </c>
      <c r="CH598">
        <v>6.8</v>
      </c>
      <c r="CI598" s="1" t="s">
        <v>159</v>
      </c>
      <c r="CJ598" s="1" t="s">
        <v>298</v>
      </c>
      <c r="CK598" s="1" t="s">
        <v>159</v>
      </c>
      <c r="CL598" s="1" t="s">
        <v>159</v>
      </c>
      <c r="CM598" s="1" t="s">
        <v>283</v>
      </c>
      <c r="CN598" s="1" t="s">
        <v>5981</v>
      </c>
      <c r="CO598" s="1" t="s">
        <v>1258</v>
      </c>
      <c r="CP598">
        <v>81.8</v>
      </c>
      <c r="CQ598">
        <v>118</v>
      </c>
      <c r="CR598">
        <v>108</v>
      </c>
      <c r="CS598" s="1" t="s">
        <v>5937</v>
      </c>
      <c r="CT598" s="1" t="s">
        <v>1676</v>
      </c>
      <c r="CU598" s="1" t="s">
        <v>1557</v>
      </c>
      <c r="CV598" s="1" t="s">
        <v>4023</v>
      </c>
      <c r="CW598">
        <v>70.599999999999994</v>
      </c>
      <c r="CX598">
        <v>65.8</v>
      </c>
      <c r="CY598">
        <v>70.599999999999994</v>
      </c>
      <c r="CZ598">
        <v>56</v>
      </c>
      <c r="DA598">
        <v>1</v>
      </c>
      <c r="DB598" t="s">
        <v>6096</v>
      </c>
      <c r="DC598">
        <v>59</v>
      </c>
      <c r="DD598">
        <v>65.917164609917506</v>
      </c>
      <c r="DE598">
        <v>-6.9171646099175002</v>
      </c>
      <c r="DF598" t="e">
        <f>_xlfn.XLOOKUP(Table1[[#This Row],[Player ID]],Table2[feed_id],Table2[trade_status])</f>
        <v>#N/A</v>
      </c>
      <c r="DG598">
        <f>_xlfn.NUMBERVALUE(Table1[[#This Row],[predicted]])</f>
        <v>65.917164609917506</v>
      </c>
    </row>
    <row r="599" spans="1:111" hidden="1" x14ac:dyDescent="0.25">
      <c r="A599">
        <v>130910</v>
      </c>
      <c r="B599">
        <v>9013</v>
      </c>
      <c r="C599" t="s">
        <v>6094</v>
      </c>
      <c r="D599" t="s">
        <v>1058</v>
      </c>
      <c r="E599">
        <v>2024</v>
      </c>
      <c r="F599">
        <v>999824</v>
      </c>
      <c r="G599" t="s">
        <v>6099</v>
      </c>
      <c r="H599" t="s">
        <v>6100</v>
      </c>
      <c r="I599" t="s">
        <v>425</v>
      </c>
      <c r="J599">
        <v>2</v>
      </c>
      <c r="K599">
        <v>27</v>
      </c>
      <c r="L599">
        <v>48</v>
      </c>
      <c r="M599">
        <v>13</v>
      </c>
      <c r="N599">
        <v>21</v>
      </c>
      <c r="O599">
        <v>30</v>
      </c>
      <c r="P599">
        <v>6</v>
      </c>
      <c r="Q599">
        <v>1</v>
      </c>
      <c r="R599">
        <v>2</v>
      </c>
      <c r="S599">
        <v>1</v>
      </c>
      <c r="T599">
        <v>0</v>
      </c>
      <c r="U599">
        <v>0</v>
      </c>
      <c r="V599">
        <v>1</v>
      </c>
      <c r="W599">
        <v>0</v>
      </c>
      <c r="X599">
        <v>0</v>
      </c>
      <c r="Y599" t="s">
        <v>113</v>
      </c>
      <c r="Z599" t="s">
        <v>525</v>
      </c>
      <c r="AA599" t="s">
        <v>6101</v>
      </c>
      <c r="AE599">
        <v>0</v>
      </c>
      <c r="AH599" t="s">
        <v>118</v>
      </c>
      <c r="AI599">
        <v>42</v>
      </c>
      <c r="AJ599">
        <v>6</v>
      </c>
      <c r="AK599">
        <v>50.17</v>
      </c>
      <c r="AL599">
        <v>0</v>
      </c>
      <c r="AM599">
        <v>0</v>
      </c>
      <c r="AN599">
        <v>0.28000000000000003</v>
      </c>
      <c r="AO599">
        <v>0.13</v>
      </c>
      <c r="AS599">
        <v>4</v>
      </c>
      <c r="AT599">
        <v>1</v>
      </c>
      <c r="AU599">
        <v>1</v>
      </c>
      <c r="AV599">
        <v>71</v>
      </c>
      <c r="AW599">
        <v>63</v>
      </c>
      <c r="AX599">
        <v>148</v>
      </c>
      <c r="AY599">
        <v>1</v>
      </c>
      <c r="AZ599" t="b">
        <v>0</v>
      </c>
      <c r="BA599">
        <v>1925</v>
      </c>
      <c r="BB599">
        <v>1372</v>
      </c>
      <c r="BC599">
        <v>33</v>
      </c>
      <c r="BD599" t="s">
        <v>6098</v>
      </c>
      <c r="BE599">
        <v>97</v>
      </c>
      <c r="BF599">
        <v>0</v>
      </c>
      <c r="BG599">
        <v>75.5</v>
      </c>
      <c r="BH599">
        <v>0</v>
      </c>
      <c r="BI599" s="1" t="s">
        <v>253</v>
      </c>
      <c r="BJ599" s="1" t="s">
        <v>898</v>
      </c>
      <c r="BK599" s="1" t="s">
        <v>128</v>
      </c>
      <c r="BL599">
        <v>2.2000000000000002</v>
      </c>
      <c r="BM599">
        <v>2</v>
      </c>
      <c r="BN599" s="1" t="s">
        <v>237</v>
      </c>
      <c r="BO599">
        <v>1</v>
      </c>
      <c r="BP599">
        <v>1.2</v>
      </c>
      <c r="BQ599">
        <v>0</v>
      </c>
      <c r="BR599">
        <v>0</v>
      </c>
      <c r="BS599" s="1" t="s">
        <v>129</v>
      </c>
      <c r="BT599" s="1" t="s">
        <v>213</v>
      </c>
      <c r="BU599" s="1" t="s">
        <v>128</v>
      </c>
      <c r="BV599" s="1" t="s">
        <v>129</v>
      </c>
      <c r="BW599">
        <v>0</v>
      </c>
      <c r="BX599" s="1" t="s">
        <v>238</v>
      </c>
      <c r="BY599" s="1" t="s">
        <v>129</v>
      </c>
      <c r="BZ599" s="1" t="s">
        <v>128</v>
      </c>
      <c r="CA599">
        <v>0</v>
      </c>
      <c r="CB599">
        <v>0</v>
      </c>
      <c r="CC599">
        <v>0.28000000000000003</v>
      </c>
      <c r="CD599" s="1" t="s">
        <v>1663</v>
      </c>
      <c r="CE599">
        <v>0.13</v>
      </c>
      <c r="CF599">
        <v>9.5333333333333298E-2</v>
      </c>
      <c r="CG599" s="1" t="s">
        <v>211</v>
      </c>
      <c r="CH599">
        <v>2.2000000000000002</v>
      </c>
      <c r="CI599" s="1" t="s">
        <v>128</v>
      </c>
      <c r="CJ599">
        <v>0.2</v>
      </c>
      <c r="CK599" s="1" t="s">
        <v>126</v>
      </c>
      <c r="CL599">
        <v>1.4</v>
      </c>
      <c r="CM599">
        <v>53</v>
      </c>
      <c r="CN599">
        <v>57</v>
      </c>
      <c r="CO599" s="1" t="s">
        <v>4315</v>
      </c>
      <c r="CP599" s="1" t="s">
        <v>6102</v>
      </c>
      <c r="CQ599" s="1" t="s">
        <v>6034</v>
      </c>
      <c r="CR599">
        <v>166.6</v>
      </c>
      <c r="CS599" s="1" t="s">
        <v>4318</v>
      </c>
      <c r="CT599">
        <v>1670.8</v>
      </c>
      <c r="CU599" s="1" t="s">
        <v>6103</v>
      </c>
      <c r="CV599" s="1" t="s">
        <v>1232</v>
      </c>
      <c r="CW599">
        <v>36.35</v>
      </c>
      <c r="CX599">
        <v>33.200000000000003</v>
      </c>
      <c r="CY599">
        <v>31.4</v>
      </c>
      <c r="CZ599" s="1" t="s">
        <v>536</v>
      </c>
      <c r="DA599">
        <v>1</v>
      </c>
      <c r="DB599" t="s">
        <v>525</v>
      </c>
      <c r="DC599">
        <v>48</v>
      </c>
      <c r="DD599">
        <v>45.2864630944187</v>
      </c>
      <c r="DE599">
        <v>2.7135369055813001</v>
      </c>
      <c r="DF599" t="str">
        <f>_xlfn.XLOOKUP(Table1[[#This Row],[Player ID]],Table2[feed_id],Table2[trade_status])</f>
        <v>free_agent</v>
      </c>
      <c r="DG599">
        <f>_xlfn.NUMBERVALUE(Table1[[#This Row],[predicted]])</f>
        <v>45.2864630944187</v>
      </c>
    </row>
    <row r="600" spans="1:111" hidden="1" x14ac:dyDescent="0.25">
      <c r="A600">
        <v>130914</v>
      </c>
      <c r="B600">
        <v>9013</v>
      </c>
      <c r="C600" t="s">
        <v>6094</v>
      </c>
      <c r="D600" t="s">
        <v>1058</v>
      </c>
      <c r="E600">
        <v>2024</v>
      </c>
      <c r="F600">
        <v>1004034</v>
      </c>
      <c r="G600" t="s">
        <v>3213</v>
      </c>
      <c r="H600" t="s">
        <v>6104</v>
      </c>
      <c r="I600" t="s">
        <v>425</v>
      </c>
      <c r="J600">
        <v>1</v>
      </c>
      <c r="K600">
        <v>10</v>
      </c>
      <c r="L600">
        <v>25</v>
      </c>
      <c r="M600">
        <v>11</v>
      </c>
      <c r="N600">
        <v>9</v>
      </c>
      <c r="O600">
        <v>15</v>
      </c>
      <c r="P600">
        <v>1</v>
      </c>
      <c r="Q600">
        <v>2</v>
      </c>
      <c r="R600">
        <v>0</v>
      </c>
      <c r="S600">
        <v>2</v>
      </c>
      <c r="T600">
        <v>0</v>
      </c>
      <c r="U600">
        <v>1</v>
      </c>
      <c r="V600">
        <v>2</v>
      </c>
      <c r="W600">
        <v>0</v>
      </c>
      <c r="X600">
        <v>0</v>
      </c>
      <c r="Y600" t="s">
        <v>113</v>
      </c>
      <c r="Z600" t="s">
        <v>179</v>
      </c>
      <c r="AA600" t="s">
        <v>6105</v>
      </c>
      <c r="AE600">
        <v>0</v>
      </c>
      <c r="AH600" t="s">
        <v>181</v>
      </c>
      <c r="AI600">
        <v>25</v>
      </c>
      <c r="AJ600">
        <v>0</v>
      </c>
      <c r="AK600">
        <v>0</v>
      </c>
      <c r="AL600">
        <v>0</v>
      </c>
      <c r="AM600">
        <v>0</v>
      </c>
      <c r="AN600">
        <v>0.28999999999999998</v>
      </c>
      <c r="AO600">
        <v>0.56999999999999995</v>
      </c>
      <c r="AS600">
        <v>3</v>
      </c>
      <c r="AT600">
        <v>0</v>
      </c>
      <c r="AU600">
        <v>3</v>
      </c>
      <c r="AV600">
        <v>66</v>
      </c>
      <c r="AW600">
        <v>97</v>
      </c>
      <c r="AX600">
        <v>-5</v>
      </c>
      <c r="AY600">
        <v>1</v>
      </c>
      <c r="AZ600" t="b">
        <v>0</v>
      </c>
      <c r="BA600">
        <v>1925</v>
      </c>
      <c r="BB600">
        <v>1372</v>
      </c>
      <c r="BC600">
        <v>33</v>
      </c>
      <c r="BD600" t="s">
        <v>6098</v>
      </c>
      <c r="BE600">
        <v>97</v>
      </c>
      <c r="BF600">
        <v>0</v>
      </c>
      <c r="BG600">
        <v>75.5</v>
      </c>
      <c r="BH600">
        <v>0</v>
      </c>
      <c r="BI600" s="1" t="s">
        <v>253</v>
      </c>
      <c r="BJ600">
        <v>7.4</v>
      </c>
      <c r="BK600" s="1" t="s">
        <v>125</v>
      </c>
      <c r="BL600">
        <v>4.2</v>
      </c>
      <c r="BM600" s="1" t="s">
        <v>124</v>
      </c>
      <c r="BN600" s="1" t="s">
        <v>124</v>
      </c>
      <c r="BO600" s="1" t="s">
        <v>128</v>
      </c>
      <c r="BP600">
        <v>1.4</v>
      </c>
      <c r="BQ600">
        <v>0</v>
      </c>
      <c r="BR600">
        <v>0</v>
      </c>
      <c r="BS600">
        <v>1</v>
      </c>
      <c r="BT600" s="1" t="s">
        <v>231</v>
      </c>
      <c r="BU600">
        <v>1</v>
      </c>
      <c r="BV600" s="1" t="s">
        <v>130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0.28999999999999998</v>
      </c>
      <c r="CD600">
        <v>0.28999999999999998</v>
      </c>
      <c r="CE600">
        <v>0.56999999999999995</v>
      </c>
      <c r="CF600">
        <v>0.56999999999999995</v>
      </c>
      <c r="CG600" s="1" t="s">
        <v>160</v>
      </c>
      <c r="CH600" s="1" t="s">
        <v>499</v>
      </c>
      <c r="CI600">
        <v>0</v>
      </c>
      <c r="CJ600" s="1" t="s">
        <v>184</v>
      </c>
      <c r="CK600">
        <v>3</v>
      </c>
      <c r="CL600">
        <v>1.8</v>
      </c>
      <c r="CM600" s="1" t="s">
        <v>2147</v>
      </c>
      <c r="CN600" s="1" t="s">
        <v>262</v>
      </c>
      <c r="CO600">
        <v>99</v>
      </c>
      <c r="CP600" s="1" t="s">
        <v>6106</v>
      </c>
      <c r="CQ600" s="1" t="s">
        <v>3823</v>
      </c>
      <c r="CR600" s="1" t="s">
        <v>5790</v>
      </c>
      <c r="CS600" s="1" t="s">
        <v>4318</v>
      </c>
      <c r="CT600" s="1" t="s">
        <v>3458</v>
      </c>
      <c r="CU600" s="1" t="s">
        <v>6103</v>
      </c>
      <c r="CV600">
        <v>1637.2</v>
      </c>
      <c r="CW600">
        <v>62.75</v>
      </c>
      <c r="CX600">
        <v>66.3</v>
      </c>
      <c r="CY600">
        <v>58.6</v>
      </c>
      <c r="CZ600">
        <v>53</v>
      </c>
      <c r="DA600">
        <v>1</v>
      </c>
      <c r="DB600" t="s">
        <v>179</v>
      </c>
      <c r="DC600">
        <v>25</v>
      </c>
      <c r="DD600" s="1" t="s">
        <v>6107</v>
      </c>
      <c r="DE600">
        <v>-28.835912236838801</v>
      </c>
      <c r="DF600" t="str">
        <f>_xlfn.XLOOKUP(Table1[[#This Row],[Player ID]],Table2[feed_id],Table2[trade_status])</f>
        <v>free_agent</v>
      </c>
      <c r="DG600">
        <f>_xlfn.NUMBERVALUE(Table1[[#This Row],[predicted]])</f>
        <v>53.835912236838801</v>
      </c>
    </row>
    <row r="601" spans="1:111" hidden="1" x14ac:dyDescent="0.25">
      <c r="A601">
        <v>130932</v>
      </c>
      <c r="B601">
        <v>9014</v>
      </c>
      <c r="C601" t="s">
        <v>6108</v>
      </c>
      <c r="D601" t="s">
        <v>1058</v>
      </c>
      <c r="E601">
        <v>2024</v>
      </c>
      <c r="F601">
        <v>1012805</v>
      </c>
      <c r="G601" t="s">
        <v>6109</v>
      </c>
      <c r="H601" t="s">
        <v>6110</v>
      </c>
      <c r="I601" t="s">
        <v>1061</v>
      </c>
      <c r="J601">
        <v>9</v>
      </c>
      <c r="K601">
        <v>37</v>
      </c>
      <c r="L601">
        <v>50</v>
      </c>
      <c r="M601">
        <v>51</v>
      </c>
      <c r="N601">
        <v>31</v>
      </c>
      <c r="O601">
        <v>48</v>
      </c>
      <c r="P601">
        <v>4</v>
      </c>
      <c r="Q601">
        <v>6</v>
      </c>
      <c r="R601">
        <v>2</v>
      </c>
      <c r="S601">
        <v>4</v>
      </c>
      <c r="T601">
        <v>0</v>
      </c>
      <c r="U601">
        <v>0</v>
      </c>
      <c r="V601">
        <v>3</v>
      </c>
      <c r="W601">
        <v>0</v>
      </c>
      <c r="X601">
        <v>0</v>
      </c>
      <c r="Y601" t="s">
        <v>113</v>
      </c>
      <c r="Z601" t="s">
        <v>877</v>
      </c>
      <c r="AA601" t="s">
        <v>6111</v>
      </c>
      <c r="AH601" t="s">
        <v>118</v>
      </c>
      <c r="AI601">
        <v>4</v>
      </c>
      <c r="AJ601">
        <v>0</v>
      </c>
      <c r="AK601">
        <v>0</v>
      </c>
      <c r="AL601">
        <v>0</v>
      </c>
      <c r="AM601">
        <v>0.35</v>
      </c>
      <c r="AN601">
        <v>0.48</v>
      </c>
      <c r="AO601">
        <v>0.61</v>
      </c>
      <c r="AS601">
        <v>4</v>
      </c>
      <c r="AT601">
        <v>4</v>
      </c>
      <c r="AU601">
        <v>3</v>
      </c>
      <c r="AV601">
        <v>90</v>
      </c>
      <c r="AW601">
        <v>60</v>
      </c>
      <c r="AX601">
        <v>141</v>
      </c>
      <c r="AY601">
        <v>0</v>
      </c>
      <c r="AZ601" t="b">
        <v>0</v>
      </c>
      <c r="BA601">
        <v>1738</v>
      </c>
      <c r="BB601">
        <v>1541</v>
      </c>
      <c r="BC601">
        <v>33</v>
      </c>
      <c r="BD601" t="s">
        <v>6112</v>
      </c>
      <c r="BE601">
        <v>97</v>
      </c>
      <c r="BF601">
        <v>0</v>
      </c>
      <c r="BG601">
        <v>75.5</v>
      </c>
      <c r="BH601">
        <v>0</v>
      </c>
      <c r="BI601" s="1" t="s">
        <v>545</v>
      </c>
      <c r="BJ601" s="1" t="s">
        <v>1426</v>
      </c>
      <c r="BK601" s="1" t="s">
        <v>137</v>
      </c>
      <c r="BL601" s="1" t="s">
        <v>430</v>
      </c>
      <c r="BM601" s="1" t="s">
        <v>211</v>
      </c>
      <c r="BN601" s="1" t="s">
        <v>322</v>
      </c>
      <c r="BO601" s="1" t="s">
        <v>125</v>
      </c>
      <c r="BP601" s="1" t="s">
        <v>587</v>
      </c>
      <c r="BQ601">
        <v>0</v>
      </c>
      <c r="BR601">
        <v>0</v>
      </c>
      <c r="BS601" s="1" t="s">
        <v>126</v>
      </c>
      <c r="BT601" s="1" t="s">
        <v>304</v>
      </c>
      <c r="BU601" s="1" t="s">
        <v>161</v>
      </c>
      <c r="BV601">
        <v>1.2</v>
      </c>
      <c r="BW601" s="1" t="s">
        <v>129</v>
      </c>
      <c r="BX601" s="1" t="s">
        <v>129</v>
      </c>
      <c r="BY601">
        <v>0</v>
      </c>
      <c r="BZ601" s="1" t="s">
        <v>184</v>
      </c>
      <c r="CA601">
        <v>0.35</v>
      </c>
      <c r="CB601">
        <v>0.35</v>
      </c>
      <c r="CC601">
        <v>0.48</v>
      </c>
      <c r="CD601">
        <v>0.48</v>
      </c>
      <c r="CE601">
        <v>0.61</v>
      </c>
      <c r="CF601">
        <v>0.61</v>
      </c>
      <c r="CG601" s="1" t="s">
        <v>124</v>
      </c>
      <c r="CH601" s="1" t="s">
        <v>448</v>
      </c>
      <c r="CI601" s="1" t="s">
        <v>211</v>
      </c>
      <c r="CJ601">
        <v>4.8</v>
      </c>
      <c r="CK601">
        <v>2</v>
      </c>
      <c r="CL601" s="1" t="s">
        <v>140</v>
      </c>
      <c r="CM601" s="1" t="s">
        <v>1273</v>
      </c>
      <c r="CN601" s="1" t="s">
        <v>1616</v>
      </c>
      <c r="CO601" s="1" t="s">
        <v>883</v>
      </c>
      <c r="CP601" s="1" t="s">
        <v>6113</v>
      </c>
      <c r="CQ601">
        <v>271</v>
      </c>
      <c r="CR601">
        <v>292</v>
      </c>
      <c r="CS601" s="1" t="s">
        <v>6114</v>
      </c>
      <c r="CT601" s="1" t="s">
        <v>6115</v>
      </c>
      <c r="CU601">
        <v>1475</v>
      </c>
      <c r="CV601" s="1" t="s">
        <v>6116</v>
      </c>
      <c r="CW601">
        <v>71.75</v>
      </c>
      <c r="CX601">
        <v>70.7</v>
      </c>
      <c r="CY601">
        <v>69.599999999999994</v>
      </c>
      <c r="CZ601" s="1" t="s">
        <v>241</v>
      </c>
      <c r="DA601">
        <v>1</v>
      </c>
      <c r="DB601" t="s">
        <v>877</v>
      </c>
      <c r="DC601">
        <v>50</v>
      </c>
      <c r="DD601" s="1" t="s">
        <v>6117</v>
      </c>
      <c r="DE601">
        <v>-7.4705449082656896</v>
      </c>
      <c r="DF601" t="str">
        <f>_xlfn.XLOOKUP(Table1[[#This Row],[Player ID]],Table2[feed_id],Table2[trade_status])</f>
        <v>free_agent</v>
      </c>
      <c r="DG601">
        <f>_xlfn.NUMBERVALUE(Table1[[#This Row],[predicted]])</f>
        <v>57.470544908265602</v>
      </c>
    </row>
    <row r="602" spans="1:111" hidden="1" x14ac:dyDescent="0.25">
      <c r="A602">
        <v>130934</v>
      </c>
      <c r="B602">
        <v>9014</v>
      </c>
      <c r="C602" t="s">
        <v>6108</v>
      </c>
      <c r="D602" t="s">
        <v>1058</v>
      </c>
      <c r="E602">
        <v>2024</v>
      </c>
      <c r="F602">
        <v>296291</v>
      </c>
      <c r="G602" t="s">
        <v>1235</v>
      </c>
      <c r="H602" t="s">
        <v>2618</v>
      </c>
      <c r="I602" t="s">
        <v>1061</v>
      </c>
      <c r="J602">
        <v>3</v>
      </c>
      <c r="K602">
        <v>34</v>
      </c>
      <c r="L602">
        <v>41</v>
      </c>
      <c r="M602">
        <v>42</v>
      </c>
      <c r="N602">
        <v>29</v>
      </c>
      <c r="O602">
        <v>39</v>
      </c>
      <c r="P602">
        <v>5</v>
      </c>
      <c r="Q602">
        <v>5</v>
      </c>
      <c r="R602">
        <v>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113</v>
      </c>
      <c r="Z602" t="s">
        <v>179</v>
      </c>
      <c r="AA602" t="s">
        <v>6118</v>
      </c>
      <c r="AE602">
        <v>0</v>
      </c>
      <c r="AH602" t="s">
        <v>181</v>
      </c>
      <c r="AI602">
        <v>8</v>
      </c>
      <c r="AJ602">
        <v>21</v>
      </c>
      <c r="AK602">
        <v>50.57</v>
      </c>
      <c r="AL602">
        <v>0</v>
      </c>
      <c r="AM602">
        <v>0</v>
      </c>
      <c r="AN602">
        <v>7.0000000000000007E-2</v>
      </c>
      <c r="AO602">
        <v>0.06</v>
      </c>
      <c r="AS602">
        <v>2</v>
      </c>
      <c r="AT602">
        <v>0</v>
      </c>
      <c r="AU602">
        <v>2</v>
      </c>
      <c r="AV602">
        <v>70</v>
      </c>
      <c r="AW602">
        <v>89</v>
      </c>
      <c r="AX602">
        <v>220</v>
      </c>
      <c r="AY602">
        <v>0</v>
      </c>
      <c r="AZ602" t="b">
        <v>0</v>
      </c>
      <c r="BA602">
        <v>1738</v>
      </c>
      <c r="BB602">
        <v>1541</v>
      </c>
      <c r="BC602">
        <v>33</v>
      </c>
      <c r="BD602" t="s">
        <v>6112</v>
      </c>
      <c r="BE602">
        <v>97</v>
      </c>
      <c r="BF602">
        <v>0</v>
      </c>
      <c r="BG602">
        <v>75.5</v>
      </c>
      <c r="BH602">
        <v>0</v>
      </c>
      <c r="BI602" s="1" t="s">
        <v>397</v>
      </c>
      <c r="BJ602">
        <v>8.4</v>
      </c>
      <c r="BK602">
        <v>6</v>
      </c>
      <c r="BL602" s="1" t="s">
        <v>205</v>
      </c>
      <c r="BM602">
        <v>5</v>
      </c>
      <c r="BN602" s="1" t="s">
        <v>260</v>
      </c>
      <c r="BO602">
        <v>1</v>
      </c>
      <c r="BP602">
        <v>2</v>
      </c>
      <c r="BQ602">
        <v>0</v>
      </c>
      <c r="BR602">
        <v>0</v>
      </c>
      <c r="BS602" s="1" t="s">
        <v>129</v>
      </c>
      <c r="BT602" s="1" t="s">
        <v>238</v>
      </c>
      <c r="BU602">
        <v>0</v>
      </c>
      <c r="BV602" s="1" t="s">
        <v>128</v>
      </c>
      <c r="BW602">
        <v>0</v>
      </c>
      <c r="BX602">
        <v>6.6666666666666596E-2</v>
      </c>
      <c r="BY602">
        <v>0</v>
      </c>
      <c r="BZ602">
        <v>0</v>
      </c>
      <c r="CA602">
        <v>0</v>
      </c>
      <c r="CB602">
        <v>0</v>
      </c>
      <c r="CC602">
        <v>7.0000000000000007E-2</v>
      </c>
      <c r="CD602">
        <v>7.0000000000000007E-2</v>
      </c>
      <c r="CE602">
        <v>0.06</v>
      </c>
      <c r="CF602">
        <v>0.06</v>
      </c>
      <c r="CG602" s="1" t="s">
        <v>211</v>
      </c>
      <c r="CH602" s="1" t="s">
        <v>160</v>
      </c>
      <c r="CI602">
        <v>0</v>
      </c>
      <c r="CJ602">
        <v>0.4</v>
      </c>
      <c r="CK602">
        <v>2</v>
      </c>
      <c r="CL602" s="1" t="s">
        <v>214</v>
      </c>
      <c r="CM602" s="1" t="s">
        <v>215</v>
      </c>
      <c r="CN602">
        <v>79</v>
      </c>
      <c r="CO602">
        <v>87</v>
      </c>
      <c r="CP602" s="1" t="s">
        <v>2269</v>
      </c>
      <c r="CQ602" s="1" t="s">
        <v>5357</v>
      </c>
      <c r="CR602">
        <v>193.6</v>
      </c>
      <c r="CS602" s="1" t="s">
        <v>6114</v>
      </c>
      <c r="CT602">
        <v>1649</v>
      </c>
      <c r="CU602">
        <v>1475</v>
      </c>
      <c r="CV602">
        <v>1626.8</v>
      </c>
      <c r="CW602">
        <v>67.349999999999994</v>
      </c>
      <c r="CX602">
        <v>68.400000000000006</v>
      </c>
      <c r="CY602">
        <v>70.400000000000006</v>
      </c>
      <c r="CZ602">
        <v>64</v>
      </c>
      <c r="DA602">
        <v>1</v>
      </c>
      <c r="DB602" t="s">
        <v>179</v>
      </c>
      <c r="DC602">
        <v>41</v>
      </c>
      <c r="DD602" s="1" t="s">
        <v>6119</v>
      </c>
      <c r="DE602">
        <v>-14.0681445929569</v>
      </c>
      <c r="DF602" t="str">
        <f>_xlfn.XLOOKUP(Table1[[#This Row],[Player ID]],Table2[feed_id],Table2[trade_status])</f>
        <v>free_agent</v>
      </c>
      <c r="DG602">
        <f>_xlfn.NUMBERVALUE(Table1[[#This Row],[predicted]])</f>
        <v>55.068144592956898</v>
      </c>
    </row>
    <row r="603" spans="1:111" hidden="1" x14ac:dyDescent="0.25">
      <c r="A603">
        <v>130935</v>
      </c>
      <c r="B603">
        <v>9014</v>
      </c>
      <c r="C603" t="s">
        <v>6108</v>
      </c>
      <c r="D603" t="s">
        <v>1058</v>
      </c>
      <c r="E603">
        <v>2024</v>
      </c>
      <c r="F603">
        <v>293883</v>
      </c>
      <c r="G603" t="s">
        <v>710</v>
      </c>
      <c r="H603" t="s">
        <v>6120</v>
      </c>
      <c r="I603" t="s">
        <v>1061</v>
      </c>
      <c r="J603">
        <v>2</v>
      </c>
      <c r="K603">
        <v>33</v>
      </c>
      <c r="L603">
        <v>38</v>
      </c>
      <c r="M603">
        <v>41</v>
      </c>
      <c r="N603">
        <v>27</v>
      </c>
      <c r="O603">
        <v>36</v>
      </c>
      <c r="P603">
        <v>4</v>
      </c>
      <c r="Q603">
        <v>5</v>
      </c>
      <c r="R603">
        <v>2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Y603" t="s">
        <v>113</v>
      </c>
      <c r="Z603" t="s">
        <v>6121</v>
      </c>
      <c r="AA603" t="s">
        <v>6122</v>
      </c>
      <c r="AE603">
        <v>0</v>
      </c>
      <c r="AH603" t="s">
        <v>181</v>
      </c>
      <c r="AI603">
        <v>24</v>
      </c>
      <c r="AJ603">
        <v>19</v>
      </c>
      <c r="AK603">
        <v>43.47</v>
      </c>
      <c r="AL603">
        <v>0</v>
      </c>
      <c r="AM603">
        <v>0</v>
      </c>
      <c r="AN603">
        <v>0.42</v>
      </c>
      <c r="AO603">
        <v>0.22</v>
      </c>
      <c r="AS603">
        <v>6</v>
      </c>
      <c r="AT603">
        <v>0</v>
      </c>
      <c r="AU603">
        <v>1</v>
      </c>
      <c r="AV603">
        <v>77</v>
      </c>
      <c r="AW603">
        <v>82</v>
      </c>
      <c r="AX603">
        <v>157</v>
      </c>
      <c r="AY603">
        <v>1</v>
      </c>
      <c r="AZ603" t="b">
        <v>0</v>
      </c>
      <c r="BA603">
        <v>1738</v>
      </c>
      <c r="BB603">
        <v>1541</v>
      </c>
      <c r="BC603">
        <v>33</v>
      </c>
      <c r="BD603" t="s">
        <v>6112</v>
      </c>
      <c r="BE603">
        <v>97</v>
      </c>
      <c r="BF603">
        <v>0</v>
      </c>
      <c r="BG603">
        <v>75.5</v>
      </c>
      <c r="BH603">
        <v>0</v>
      </c>
      <c r="BI603">
        <v>5</v>
      </c>
      <c r="BJ603" s="1" t="s">
        <v>124</v>
      </c>
      <c r="BK603" s="1" t="s">
        <v>138</v>
      </c>
      <c r="BL603" s="1" t="s">
        <v>229</v>
      </c>
      <c r="BM603">
        <v>3</v>
      </c>
      <c r="BN603">
        <v>3</v>
      </c>
      <c r="BO603" s="1" t="s">
        <v>129</v>
      </c>
      <c r="BP603" s="1" t="s">
        <v>275</v>
      </c>
      <c r="BQ603">
        <v>0</v>
      </c>
      <c r="BR603">
        <v>0</v>
      </c>
      <c r="BS603" s="1" t="s">
        <v>129</v>
      </c>
      <c r="BT603" s="1" t="s">
        <v>184</v>
      </c>
      <c r="BU603">
        <v>0</v>
      </c>
      <c r="BV603" s="1" t="s">
        <v>238</v>
      </c>
      <c r="BW603">
        <v>0</v>
      </c>
      <c r="BX603">
        <v>0</v>
      </c>
      <c r="BY603">
        <v>0</v>
      </c>
      <c r="BZ603">
        <v>6.6666666666666596E-2</v>
      </c>
      <c r="CA603">
        <v>0</v>
      </c>
      <c r="CB603">
        <v>0</v>
      </c>
      <c r="CC603">
        <v>0.42</v>
      </c>
      <c r="CD603" s="1" t="s">
        <v>1911</v>
      </c>
      <c r="CE603">
        <v>0.22</v>
      </c>
      <c r="CF603">
        <v>0.28000000000000003</v>
      </c>
      <c r="CG603">
        <v>3</v>
      </c>
      <c r="CH603" s="1" t="s">
        <v>230</v>
      </c>
      <c r="CI603">
        <v>0</v>
      </c>
      <c r="CJ603" s="1" t="s">
        <v>231</v>
      </c>
      <c r="CK603" s="1" t="s">
        <v>129</v>
      </c>
      <c r="CL603">
        <v>1.8</v>
      </c>
      <c r="CM603" s="1" t="s">
        <v>268</v>
      </c>
      <c r="CN603" s="1" t="s">
        <v>4884</v>
      </c>
      <c r="CO603" s="1" t="s">
        <v>1406</v>
      </c>
      <c r="CP603" s="1" t="s">
        <v>1272</v>
      </c>
      <c r="CQ603" s="1" t="s">
        <v>6123</v>
      </c>
      <c r="CR603" s="1" t="s">
        <v>6124</v>
      </c>
      <c r="CS603" s="1" t="s">
        <v>6114</v>
      </c>
      <c r="CT603" s="1" t="s">
        <v>6125</v>
      </c>
      <c r="CU603">
        <v>1475</v>
      </c>
      <c r="CV603" s="1" t="s">
        <v>6126</v>
      </c>
      <c r="CW603">
        <v>44.05</v>
      </c>
      <c r="CX603">
        <v>45.7</v>
      </c>
      <c r="CY603">
        <v>41.6</v>
      </c>
      <c r="CZ603">
        <v>34</v>
      </c>
      <c r="DA603">
        <v>1</v>
      </c>
      <c r="DB603" t="s">
        <v>6121</v>
      </c>
      <c r="DC603">
        <v>38</v>
      </c>
      <c r="DD603" s="1" t="s">
        <v>6127</v>
      </c>
      <c r="DE603">
        <v>-19.364574191952102</v>
      </c>
      <c r="DF603" t="str">
        <f>_xlfn.XLOOKUP(Table1[[#This Row],[Player ID]],Table2[feed_id],Table2[trade_status])</f>
        <v>free_agent</v>
      </c>
      <c r="DG603">
        <f>_xlfn.NUMBERVALUE(Table1[[#This Row],[predicted]])</f>
        <v>57.364574191952102</v>
      </c>
    </row>
    <row r="604" spans="1:111" hidden="1" x14ac:dyDescent="0.25">
      <c r="A604">
        <v>130937</v>
      </c>
      <c r="B604">
        <v>9014</v>
      </c>
      <c r="C604" t="s">
        <v>6108</v>
      </c>
      <c r="D604" t="s">
        <v>1058</v>
      </c>
      <c r="E604">
        <v>2024</v>
      </c>
      <c r="F604">
        <v>281065</v>
      </c>
      <c r="G604" t="s">
        <v>1718</v>
      </c>
      <c r="H604" t="s">
        <v>6128</v>
      </c>
      <c r="I604" t="s">
        <v>1061</v>
      </c>
      <c r="J604">
        <v>0</v>
      </c>
      <c r="K604">
        <v>7</v>
      </c>
      <c r="L604">
        <v>10</v>
      </c>
      <c r="M604">
        <v>9</v>
      </c>
      <c r="N604">
        <v>8</v>
      </c>
      <c r="O604">
        <v>12</v>
      </c>
      <c r="P604">
        <v>1</v>
      </c>
      <c r="Q604">
        <v>2</v>
      </c>
      <c r="R604">
        <v>1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 t="s">
        <v>113</v>
      </c>
      <c r="Z604" t="s">
        <v>525</v>
      </c>
      <c r="AA604" t="s">
        <v>6129</v>
      </c>
      <c r="AB604" t="s">
        <v>3571</v>
      </c>
      <c r="AC604" t="s">
        <v>4081</v>
      </c>
      <c r="AE604">
        <v>0</v>
      </c>
      <c r="AH604" t="s">
        <v>181</v>
      </c>
      <c r="AI604">
        <v>22</v>
      </c>
      <c r="AJ604">
        <v>19</v>
      </c>
      <c r="AK604">
        <v>100.05</v>
      </c>
      <c r="AL604">
        <v>0</v>
      </c>
      <c r="AM604">
        <v>0</v>
      </c>
      <c r="AN604">
        <v>0.28999999999999998</v>
      </c>
      <c r="AO604">
        <v>0.37</v>
      </c>
      <c r="AS604">
        <v>1</v>
      </c>
      <c r="AT604">
        <v>0</v>
      </c>
      <c r="AU604">
        <v>2</v>
      </c>
      <c r="AV604">
        <v>66</v>
      </c>
      <c r="AW604">
        <v>16</v>
      </c>
      <c r="AX604">
        <v>30</v>
      </c>
      <c r="AY604">
        <v>0</v>
      </c>
      <c r="AZ604" t="b">
        <v>0</v>
      </c>
      <c r="BA604">
        <v>1738</v>
      </c>
      <c r="BB604">
        <v>1541</v>
      </c>
      <c r="BC604">
        <v>33</v>
      </c>
      <c r="BD604" t="s">
        <v>6112</v>
      </c>
      <c r="BE604">
        <v>97</v>
      </c>
      <c r="BF604">
        <v>0</v>
      </c>
      <c r="BG604">
        <v>75.5</v>
      </c>
      <c r="BH604">
        <v>0</v>
      </c>
      <c r="BI604" s="1" t="s">
        <v>204</v>
      </c>
      <c r="BJ604">
        <v>12.6</v>
      </c>
      <c r="BK604" s="1" t="s">
        <v>449</v>
      </c>
      <c r="BL604" s="1" t="s">
        <v>898</v>
      </c>
      <c r="BM604" s="1" t="s">
        <v>159</v>
      </c>
      <c r="BN604" s="1" t="s">
        <v>124</v>
      </c>
      <c r="BO604" s="1" t="s">
        <v>159</v>
      </c>
      <c r="BP604" s="1" t="s">
        <v>170</v>
      </c>
      <c r="BQ604">
        <v>0</v>
      </c>
      <c r="BR604">
        <v>0</v>
      </c>
      <c r="BS604" s="1" t="s">
        <v>128</v>
      </c>
      <c r="BT604">
        <v>0.4</v>
      </c>
      <c r="BU604" s="1" t="s">
        <v>129</v>
      </c>
      <c r="BV604" s="1" t="s">
        <v>238</v>
      </c>
      <c r="BW604">
        <v>0</v>
      </c>
      <c r="BX604" s="1" t="s">
        <v>213</v>
      </c>
      <c r="BY604">
        <v>0</v>
      </c>
      <c r="BZ604" s="1" t="s">
        <v>129</v>
      </c>
      <c r="CA604">
        <v>0</v>
      </c>
      <c r="CB604">
        <v>0</v>
      </c>
      <c r="CC604">
        <v>0.28999999999999998</v>
      </c>
      <c r="CD604">
        <v>0.28999999999999998</v>
      </c>
      <c r="CE604">
        <v>0.37</v>
      </c>
      <c r="CF604">
        <v>0.37</v>
      </c>
      <c r="CG604">
        <v>3</v>
      </c>
      <c r="CH604" s="1" t="s">
        <v>766</v>
      </c>
      <c r="CI604">
        <v>1</v>
      </c>
      <c r="CJ604" s="1" t="s">
        <v>238</v>
      </c>
      <c r="CK604" s="1" t="s">
        <v>161</v>
      </c>
      <c r="CL604" s="1" t="s">
        <v>375</v>
      </c>
      <c r="CM604" s="1" t="s">
        <v>593</v>
      </c>
      <c r="CN604" s="1" t="s">
        <v>1353</v>
      </c>
      <c r="CO604" s="1" t="s">
        <v>4315</v>
      </c>
      <c r="CP604" s="1" t="s">
        <v>2305</v>
      </c>
      <c r="CQ604">
        <v>235</v>
      </c>
      <c r="CR604">
        <v>346.4</v>
      </c>
      <c r="CS604" s="1" t="s">
        <v>6114</v>
      </c>
      <c r="CT604">
        <v>1655.2</v>
      </c>
      <c r="CU604">
        <v>1475</v>
      </c>
      <c r="CV604">
        <v>1622</v>
      </c>
      <c r="CW604">
        <v>77.650000000000006</v>
      </c>
      <c r="CX604">
        <v>75.7</v>
      </c>
      <c r="CY604">
        <v>49</v>
      </c>
      <c r="CZ604" s="1" t="s">
        <v>4123</v>
      </c>
      <c r="DA604">
        <v>1</v>
      </c>
      <c r="DB604" t="s">
        <v>525</v>
      </c>
      <c r="DC604">
        <v>10</v>
      </c>
      <c r="DD604" s="1" t="s">
        <v>6130</v>
      </c>
      <c r="DE604">
        <v>-58.427456737224503</v>
      </c>
      <c r="DF604" t="str">
        <f>_xlfn.XLOOKUP(Table1[[#This Row],[Player ID]],Table2[feed_id],Table2[trade_status])</f>
        <v>free_agent</v>
      </c>
      <c r="DG604">
        <f>_xlfn.NUMBERVALUE(Table1[[#This Row],[predicted]])</f>
        <v>68.427456737224503</v>
      </c>
    </row>
    <row r="605" spans="1:111" hidden="1" x14ac:dyDescent="0.25">
      <c r="A605">
        <v>130961</v>
      </c>
      <c r="B605">
        <v>9015</v>
      </c>
      <c r="C605" t="s">
        <v>6131</v>
      </c>
      <c r="D605" t="s">
        <v>388</v>
      </c>
      <c r="E605">
        <v>2024</v>
      </c>
      <c r="F605">
        <v>1013128</v>
      </c>
      <c r="G605" t="s">
        <v>6132</v>
      </c>
      <c r="H605" t="s">
        <v>6133</v>
      </c>
      <c r="I605" t="s">
        <v>338</v>
      </c>
      <c r="J605">
        <v>15</v>
      </c>
      <c r="K605">
        <v>92</v>
      </c>
      <c r="L605">
        <v>75</v>
      </c>
      <c r="M605">
        <v>123</v>
      </c>
      <c r="N605">
        <v>70</v>
      </c>
      <c r="O605">
        <v>99</v>
      </c>
      <c r="P605">
        <v>18</v>
      </c>
      <c r="Q605">
        <v>6</v>
      </c>
      <c r="R605">
        <v>5</v>
      </c>
      <c r="S605">
        <v>4</v>
      </c>
      <c r="T605">
        <v>0</v>
      </c>
      <c r="U605">
        <v>1</v>
      </c>
      <c r="V605">
        <v>2</v>
      </c>
      <c r="W605">
        <v>0</v>
      </c>
      <c r="X605">
        <v>0</v>
      </c>
      <c r="Y605" t="s">
        <v>113</v>
      </c>
      <c r="Z605" t="s">
        <v>525</v>
      </c>
      <c r="AA605" t="s">
        <v>6134</v>
      </c>
      <c r="AH605" t="s">
        <v>118</v>
      </c>
      <c r="AI605">
        <v>21</v>
      </c>
      <c r="AJ605">
        <v>0</v>
      </c>
      <c r="AK605">
        <v>0</v>
      </c>
      <c r="AL605">
        <v>0</v>
      </c>
      <c r="AM605">
        <v>19.260000000000002</v>
      </c>
      <c r="AN605">
        <v>21.91</v>
      </c>
      <c r="AO605">
        <v>16.05</v>
      </c>
      <c r="AS605">
        <v>7</v>
      </c>
      <c r="AT605">
        <v>2</v>
      </c>
      <c r="AU605">
        <v>5</v>
      </c>
      <c r="AV605">
        <v>70</v>
      </c>
      <c r="AW605">
        <v>92</v>
      </c>
      <c r="AX605">
        <v>443</v>
      </c>
      <c r="AY605">
        <v>0</v>
      </c>
      <c r="AZ605" t="b">
        <v>0</v>
      </c>
      <c r="BA605">
        <v>1986</v>
      </c>
      <c r="BB605">
        <v>1301</v>
      </c>
      <c r="BC605">
        <v>34</v>
      </c>
      <c r="BD605" t="s">
        <v>6135</v>
      </c>
      <c r="BE605">
        <v>110</v>
      </c>
      <c r="BF605">
        <v>0</v>
      </c>
      <c r="BG605">
        <v>74</v>
      </c>
      <c r="BH605">
        <v>1</v>
      </c>
      <c r="BI605" s="1" t="s">
        <v>296</v>
      </c>
      <c r="BJ605" s="1" t="s">
        <v>6136</v>
      </c>
      <c r="BK605" s="1" t="s">
        <v>253</v>
      </c>
      <c r="BL605">
        <v>8.4</v>
      </c>
      <c r="BM605" s="1" t="s">
        <v>160</v>
      </c>
      <c r="BN605" s="1" t="s">
        <v>205</v>
      </c>
      <c r="BO605" s="1" t="s">
        <v>125</v>
      </c>
      <c r="BP605" s="1" t="s">
        <v>189</v>
      </c>
      <c r="BQ605">
        <v>0</v>
      </c>
      <c r="BR605">
        <v>0</v>
      </c>
      <c r="BS605" s="1" t="s">
        <v>126</v>
      </c>
      <c r="BT605" s="1" t="s">
        <v>257</v>
      </c>
      <c r="BU605">
        <v>1</v>
      </c>
      <c r="BV605">
        <v>0.8</v>
      </c>
      <c r="BW605">
        <v>0</v>
      </c>
      <c r="BX605" s="1" t="s">
        <v>231</v>
      </c>
      <c r="BY605">
        <v>0</v>
      </c>
      <c r="BZ605" s="1" t="s">
        <v>128</v>
      </c>
      <c r="CA605">
        <v>19.260000000000002</v>
      </c>
      <c r="CB605">
        <v>19.260000000000002</v>
      </c>
      <c r="CC605">
        <v>21.91</v>
      </c>
      <c r="CD605">
        <v>21.91</v>
      </c>
      <c r="CE605">
        <v>16.05</v>
      </c>
      <c r="CF605">
        <v>16.05</v>
      </c>
      <c r="CG605" s="1" t="s">
        <v>137</v>
      </c>
      <c r="CH605">
        <v>9.6</v>
      </c>
      <c r="CI605" s="1" t="s">
        <v>125</v>
      </c>
      <c r="CJ605">
        <v>4.2</v>
      </c>
      <c r="CK605" s="1" t="s">
        <v>160</v>
      </c>
      <c r="CL605">
        <v>4.2</v>
      </c>
      <c r="CM605" s="1" t="s">
        <v>787</v>
      </c>
      <c r="CN605" s="1" t="s">
        <v>4759</v>
      </c>
      <c r="CO605">
        <v>89</v>
      </c>
      <c r="CP605" s="1" t="s">
        <v>1081</v>
      </c>
      <c r="CQ605">
        <v>454</v>
      </c>
      <c r="CR605">
        <v>535.79999999999995</v>
      </c>
      <c r="CS605" s="1" t="s">
        <v>6137</v>
      </c>
      <c r="CT605" s="1" t="s">
        <v>3385</v>
      </c>
      <c r="CU605" s="1" t="s">
        <v>3934</v>
      </c>
      <c r="CV605" s="1" t="s">
        <v>6138</v>
      </c>
      <c r="CW605">
        <v>106.65</v>
      </c>
      <c r="CX605">
        <v>102.4</v>
      </c>
      <c r="CY605">
        <v>97.2</v>
      </c>
      <c r="CZ605" s="1" t="s">
        <v>2492</v>
      </c>
      <c r="DA605">
        <v>1</v>
      </c>
      <c r="DB605" t="s">
        <v>525</v>
      </c>
      <c r="DC605">
        <v>75</v>
      </c>
      <c r="DD605" s="1" t="s">
        <v>6139</v>
      </c>
      <c r="DE605">
        <v>-22.860427331375199</v>
      </c>
      <c r="DF605" t="str">
        <f>_xlfn.XLOOKUP(Table1[[#This Row],[Player ID]],Table2[feed_id],Table2[trade_status])</f>
        <v>free_agent</v>
      </c>
      <c r="DG605">
        <f>_xlfn.NUMBERVALUE(Table1[[#This Row],[predicted]])</f>
        <v>97.860427331375206</v>
      </c>
    </row>
    <row r="606" spans="1:111" hidden="1" x14ac:dyDescent="0.25">
      <c r="A606">
        <v>130962</v>
      </c>
      <c r="B606">
        <v>9015</v>
      </c>
      <c r="C606" t="s">
        <v>6131</v>
      </c>
      <c r="D606" t="s">
        <v>388</v>
      </c>
      <c r="E606">
        <v>2024</v>
      </c>
      <c r="F606">
        <v>291848</v>
      </c>
      <c r="G606" t="s">
        <v>811</v>
      </c>
      <c r="H606" t="s">
        <v>6140</v>
      </c>
      <c r="I606" t="s">
        <v>338</v>
      </c>
      <c r="J606">
        <v>20</v>
      </c>
      <c r="K606">
        <v>88</v>
      </c>
      <c r="L606">
        <v>124</v>
      </c>
      <c r="M606">
        <v>113</v>
      </c>
      <c r="N606">
        <v>71</v>
      </c>
      <c r="O606">
        <v>96</v>
      </c>
      <c r="P606">
        <v>13</v>
      </c>
      <c r="Q606">
        <v>8</v>
      </c>
      <c r="R606">
        <v>6</v>
      </c>
      <c r="S606">
        <v>3</v>
      </c>
      <c r="T606">
        <v>0</v>
      </c>
      <c r="U606">
        <v>0</v>
      </c>
      <c r="V606">
        <v>1</v>
      </c>
      <c r="W606">
        <v>1</v>
      </c>
      <c r="X606">
        <v>0</v>
      </c>
      <c r="Y606" t="s">
        <v>113</v>
      </c>
      <c r="Z606" t="s">
        <v>987</v>
      </c>
      <c r="AA606" t="s">
        <v>6141</v>
      </c>
      <c r="AH606" t="s">
        <v>181</v>
      </c>
      <c r="AI606">
        <v>42</v>
      </c>
      <c r="AJ606">
        <v>0</v>
      </c>
      <c r="AK606">
        <v>0</v>
      </c>
      <c r="AL606">
        <v>0</v>
      </c>
      <c r="AM606">
        <v>0.44</v>
      </c>
      <c r="AN606">
        <v>0.1</v>
      </c>
      <c r="AO606">
        <v>0.17</v>
      </c>
      <c r="AS606">
        <v>10</v>
      </c>
      <c r="AT606">
        <v>2</v>
      </c>
      <c r="AU606">
        <v>2</v>
      </c>
      <c r="AV606">
        <v>95</v>
      </c>
      <c r="AW606">
        <v>93</v>
      </c>
      <c r="AX606">
        <v>335</v>
      </c>
      <c r="AY606">
        <v>0</v>
      </c>
      <c r="AZ606" t="b">
        <v>0</v>
      </c>
      <c r="BA606">
        <v>1986</v>
      </c>
      <c r="BB606">
        <v>1301</v>
      </c>
      <c r="BC606">
        <v>34</v>
      </c>
      <c r="BD606" t="s">
        <v>6135</v>
      </c>
      <c r="BE606">
        <v>110</v>
      </c>
      <c r="BF606">
        <v>1</v>
      </c>
      <c r="BG606">
        <v>74</v>
      </c>
      <c r="BH606">
        <v>1</v>
      </c>
      <c r="BI606">
        <v>5</v>
      </c>
      <c r="BJ606" s="1" t="s">
        <v>204</v>
      </c>
      <c r="BK606" s="1" t="s">
        <v>125</v>
      </c>
      <c r="BL606" s="1" t="s">
        <v>416</v>
      </c>
      <c r="BM606" s="1" t="s">
        <v>169</v>
      </c>
      <c r="BN606" s="1" t="s">
        <v>990</v>
      </c>
      <c r="BO606">
        <v>1</v>
      </c>
      <c r="BP606" s="1" t="s">
        <v>375</v>
      </c>
      <c r="BQ606">
        <v>0</v>
      </c>
      <c r="BR606">
        <v>0</v>
      </c>
      <c r="BS606">
        <v>0</v>
      </c>
      <c r="BT606" s="1" t="s">
        <v>231</v>
      </c>
      <c r="BU606" s="1" t="s">
        <v>129</v>
      </c>
      <c r="BV606">
        <v>0.4</v>
      </c>
      <c r="BW606" s="1" t="s">
        <v>129</v>
      </c>
      <c r="BX606" s="1" t="s">
        <v>184</v>
      </c>
      <c r="BY606">
        <v>0</v>
      </c>
      <c r="BZ606">
        <v>6.6666666666666596E-2</v>
      </c>
      <c r="CA606">
        <v>0.44</v>
      </c>
      <c r="CB606">
        <v>0.44</v>
      </c>
      <c r="CC606">
        <v>0.1</v>
      </c>
      <c r="CD606">
        <v>0.1</v>
      </c>
      <c r="CE606">
        <v>0.17</v>
      </c>
      <c r="CF606">
        <v>0.17</v>
      </c>
      <c r="CG606" s="1" t="s">
        <v>125</v>
      </c>
      <c r="CH606" s="1" t="s">
        <v>189</v>
      </c>
      <c r="CI606" s="1" t="s">
        <v>128</v>
      </c>
      <c r="CJ606" s="1" t="s">
        <v>129</v>
      </c>
      <c r="CK606" s="1" t="s">
        <v>128</v>
      </c>
      <c r="CL606" s="1" t="s">
        <v>161</v>
      </c>
      <c r="CM606">
        <v>76</v>
      </c>
      <c r="CN606" s="1" t="s">
        <v>2873</v>
      </c>
      <c r="CO606" s="1" t="s">
        <v>1245</v>
      </c>
      <c r="CP606" s="1" t="s">
        <v>1616</v>
      </c>
      <c r="CQ606" s="1" t="s">
        <v>6142</v>
      </c>
      <c r="CR606">
        <v>150.80000000000001</v>
      </c>
      <c r="CS606">
        <v>1678</v>
      </c>
      <c r="CT606">
        <v>1679.2</v>
      </c>
      <c r="CU606" s="1" t="s">
        <v>332</v>
      </c>
      <c r="CV606">
        <v>1607</v>
      </c>
      <c r="CW606">
        <v>53.85</v>
      </c>
      <c r="CX606">
        <v>50.6</v>
      </c>
      <c r="CY606">
        <v>38.6</v>
      </c>
      <c r="CZ606" s="1" t="s">
        <v>2710</v>
      </c>
      <c r="DA606">
        <v>1</v>
      </c>
      <c r="DB606" t="s">
        <v>987</v>
      </c>
      <c r="DC606">
        <v>124</v>
      </c>
      <c r="DD606" s="1" t="s">
        <v>6143</v>
      </c>
      <c r="DE606" s="1" t="s">
        <v>6144</v>
      </c>
      <c r="DF606" t="str">
        <f>_xlfn.XLOOKUP(Table1[[#This Row],[Player ID]],Table2[feed_id],Table2[trade_status])</f>
        <v>free_agent</v>
      </c>
      <c r="DG606">
        <f>_xlfn.NUMBERVALUE(Table1[[#This Row],[predicted]])</f>
        <v>70.521430464247601</v>
      </c>
    </row>
    <row r="607" spans="1:111" hidden="1" x14ac:dyDescent="0.25">
      <c r="A607">
        <v>130976</v>
      </c>
      <c r="B607">
        <v>9015</v>
      </c>
      <c r="C607" t="s">
        <v>6131</v>
      </c>
      <c r="D607" t="s">
        <v>388</v>
      </c>
      <c r="E607">
        <v>2024</v>
      </c>
      <c r="F607">
        <v>291978</v>
      </c>
      <c r="G607" t="s">
        <v>2192</v>
      </c>
      <c r="H607" t="s">
        <v>6145</v>
      </c>
      <c r="I607" t="s">
        <v>338</v>
      </c>
      <c r="J607">
        <v>3</v>
      </c>
      <c r="K607">
        <v>33</v>
      </c>
      <c r="L607">
        <v>32</v>
      </c>
      <c r="M607">
        <v>44</v>
      </c>
      <c r="N607">
        <v>31</v>
      </c>
      <c r="O607">
        <v>42</v>
      </c>
      <c r="P607">
        <v>4</v>
      </c>
      <c r="Q607">
        <v>4</v>
      </c>
      <c r="R607">
        <v>5</v>
      </c>
      <c r="S607">
        <v>1</v>
      </c>
      <c r="T607">
        <v>0</v>
      </c>
      <c r="U607">
        <v>0</v>
      </c>
      <c r="V607">
        <v>2</v>
      </c>
      <c r="W607">
        <v>0</v>
      </c>
      <c r="X607">
        <v>0</v>
      </c>
      <c r="Y607" t="s">
        <v>113</v>
      </c>
      <c r="Z607" t="s">
        <v>6121</v>
      </c>
      <c r="AA607" t="s">
        <v>6146</v>
      </c>
      <c r="AH607" t="s">
        <v>181</v>
      </c>
      <c r="AI607">
        <v>7</v>
      </c>
      <c r="AJ607">
        <v>0</v>
      </c>
      <c r="AK607">
        <v>0</v>
      </c>
      <c r="AL607">
        <v>0</v>
      </c>
      <c r="AM607">
        <v>0.35</v>
      </c>
      <c r="AN607">
        <v>0.15</v>
      </c>
      <c r="AO607">
        <v>0.13</v>
      </c>
      <c r="AS607">
        <v>2</v>
      </c>
      <c r="AT607">
        <v>0</v>
      </c>
      <c r="AU607">
        <v>2</v>
      </c>
      <c r="AV607">
        <v>87</v>
      </c>
      <c r="AW607">
        <v>85</v>
      </c>
      <c r="AX607">
        <v>27</v>
      </c>
      <c r="AY607">
        <v>0</v>
      </c>
      <c r="AZ607" t="b">
        <v>0</v>
      </c>
      <c r="BA607">
        <v>1986</v>
      </c>
      <c r="BB607">
        <v>1301</v>
      </c>
      <c r="BC607">
        <v>34</v>
      </c>
      <c r="BD607" t="s">
        <v>6135</v>
      </c>
      <c r="BE607">
        <v>110</v>
      </c>
      <c r="BF607">
        <v>0</v>
      </c>
      <c r="BG607">
        <v>74</v>
      </c>
      <c r="BH607">
        <v>0</v>
      </c>
      <c r="BI607">
        <v>8</v>
      </c>
      <c r="BJ607" s="1" t="s">
        <v>498</v>
      </c>
      <c r="BK607">
        <v>4</v>
      </c>
      <c r="BL607">
        <v>3.6</v>
      </c>
      <c r="BM607">
        <v>7</v>
      </c>
      <c r="BN607">
        <v>5</v>
      </c>
      <c r="BO607" s="1" t="s">
        <v>211</v>
      </c>
      <c r="BP607" s="1" t="s">
        <v>214</v>
      </c>
      <c r="BQ607">
        <v>0</v>
      </c>
      <c r="BR607">
        <v>0</v>
      </c>
      <c r="BS607" s="1" t="s">
        <v>129</v>
      </c>
      <c r="BT607">
        <v>0.2</v>
      </c>
      <c r="BU607" s="1" t="s">
        <v>128</v>
      </c>
      <c r="BV607" s="1" t="s">
        <v>130</v>
      </c>
      <c r="BW607">
        <v>0</v>
      </c>
      <c r="BX607">
        <v>6.6666666666666596E-2</v>
      </c>
      <c r="BY607">
        <v>0</v>
      </c>
      <c r="BZ607">
        <v>0</v>
      </c>
      <c r="CA607">
        <v>0.35</v>
      </c>
      <c r="CB607">
        <v>0.35</v>
      </c>
      <c r="CC607">
        <v>0.15</v>
      </c>
      <c r="CD607">
        <v>0.15</v>
      </c>
      <c r="CE607">
        <v>0.13</v>
      </c>
      <c r="CF607">
        <v>0.13</v>
      </c>
      <c r="CG607">
        <v>2</v>
      </c>
      <c r="CH607" s="1" t="s">
        <v>169</v>
      </c>
      <c r="CI607">
        <v>0</v>
      </c>
      <c r="CJ607">
        <v>0.2</v>
      </c>
      <c r="CK607" s="1" t="s">
        <v>128</v>
      </c>
      <c r="CL607" s="1" t="s">
        <v>257</v>
      </c>
      <c r="CM607" s="1" t="s">
        <v>4375</v>
      </c>
      <c r="CN607">
        <v>81.400000000000006</v>
      </c>
      <c r="CO607">
        <v>92</v>
      </c>
      <c r="CP607" s="1" t="s">
        <v>2549</v>
      </c>
      <c r="CQ607">
        <v>144</v>
      </c>
      <c r="CR607" s="1" t="s">
        <v>6147</v>
      </c>
      <c r="CS607" s="1" t="s">
        <v>6137</v>
      </c>
      <c r="CT607" s="1" t="s">
        <v>3441</v>
      </c>
      <c r="CU607" s="1" t="s">
        <v>3934</v>
      </c>
      <c r="CV607" s="1" t="s">
        <v>6148</v>
      </c>
      <c r="CW607">
        <v>55.35</v>
      </c>
      <c r="CX607">
        <v>56.4</v>
      </c>
      <c r="CY607">
        <v>64.8</v>
      </c>
      <c r="CZ607">
        <v>64</v>
      </c>
      <c r="DA607">
        <v>1</v>
      </c>
      <c r="DB607" t="s">
        <v>6121</v>
      </c>
      <c r="DC607">
        <v>32</v>
      </c>
      <c r="DD607">
        <v>67.914923244252805</v>
      </c>
      <c r="DE607">
        <v>-35.914923244252797</v>
      </c>
      <c r="DF607" t="str">
        <f>_xlfn.XLOOKUP(Table1[[#This Row],[Player ID]],Table2[feed_id],Table2[trade_status])</f>
        <v>free_agent</v>
      </c>
      <c r="DG607">
        <f>_xlfn.NUMBERVALUE(Table1[[#This Row],[predicted]])</f>
        <v>67.914923244252805</v>
      </c>
    </row>
    <row r="608" spans="1:111" hidden="1" x14ac:dyDescent="0.25">
      <c r="A608">
        <v>130982</v>
      </c>
      <c r="B608">
        <v>9015</v>
      </c>
      <c r="C608" t="s">
        <v>6131</v>
      </c>
      <c r="D608" t="s">
        <v>388</v>
      </c>
      <c r="E608">
        <v>2024</v>
      </c>
      <c r="F608">
        <v>1013230</v>
      </c>
      <c r="G608" t="s">
        <v>6149</v>
      </c>
      <c r="H608" t="s">
        <v>5142</v>
      </c>
      <c r="I608" t="s">
        <v>338</v>
      </c>
      <c r="J608">
        <v>0</v>
      </c>
      <c r="K608">
        <v>6</v>
      </c>
      <c r="L608">
        <v>6</v>
      </c>
      <c r="M608">
        <v>8</v>
      </c>
      <c r="N608">
        <v>5</v>
      </c>
      <c r="O608">
        <v>6</v>
      </c>
      <c r="P608">
        <v>1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113</v>
      </c>
      <c r="Z608" t="s">
        <v>114</v>
      </c>
      <c r="AA608" t="s">
        <v>6150</v>
      </c>
      <c r="AB608" t="s">
        <v>116</v>
      </c>
      <c r="AC608" t="s">
        <v>6151</v>
      </c>
      <c r="AH608" t="s">
        <v>155</v>
      </c>
      <c r="AI608">
        <v>6</v>
      </c>
      <c r="AJ608">
        <v>0</v>
      </c>
      <c r="AK608">
        <v>0</v>
      </c>
      <c r="AL608">
        <v>0</v>
      </c>
      <c r="AM608">
        <v>0.35</v>
      </c>
      <c r="AN608">
        <v>0.19</v>
      </c>
      <c r="AO608">
        <v>0.33</v>
      </c>
      <c r="AS608">
        <v>0</v>
      </c>
      <c r="AT608">
        <v>0</v>
      </c>
      <c r="AU608">
        <v>0</v>
      </c>
      <c r="AV608">
        <v>100</v>
      </c>
      <c r="AW608">
        <v>32</v>
      </c>
      <c r="AX608">
        <v>6</v>
      </c>
      <c r="AY608">
        <v>1</v>
      </c>
      <c r="AZ608" t="b">
        <v>1</v>
      </c>
      <c r="BA608">
        <v>1986</v>
      </c>
      <c r="BB608">
        <v>1301</v>
      </c>
      <c r="BC608">
        <v>34</v>
      </c>
      <c r="BD608" t="s">
        <v>6135</v>
      </c>
      <c r="BE608">
        <v>110</v>
      </c>
      <c r="BF608">
        <v>0</v>
      </c>
      <c r="BG608">
        <v>74</v>
      </c>
      <c r="BH608">
        <v>0</v>
      </c>
      <c r="BI608">
        <v>6</v>
      </c>
      <c r="BJ608" s="1" t="s">
        <v>729</v>
      </c>
      <c r="BK608" s="1" t="s">
        <v>126</v>
      </c>
      <c r="BL608" s="1" t="s">
        <v>140</v>
      </c>
      <c r="BM608">
        <v>4</v>
      </c>
      <c r="BN608" s="1" t="s">
        <v>160</v>
      </c>
      <c r="BO608" s="1" t="s">
        <v>128</v>
      </c>
      <c r="BP608" s="1" t="s">
        <v>206</v>
      </c>
      <c r="BQ608">
        <v>0</v>
      </c>
      <c r="BR608">
        <v>0.2</v>
      </c>
      <c r="BS608">
        <v>1</v>
      </c>
      <c r="BT608">
        <v>0.6</v>
      </c>
      <c r="BU608" s="1" t="s">
        <v>129</v>
      </c>
      <c r="BV608" s="1" t="s">
        <v>129</v>
      </c>
      <c r="BW608">
        <v>1</v>
      </c>
      <c r="BX608">
        <v>1.2</v>
      </c>
      <c r="BY608" s="1" t="s">
        <v>128</v>
      </c>
      <c r="BZ608" s="1" t="s">
        <v>128</v>
      </c>
      <c r="CA608">
        <v>0.35</v>
      </c>
      <c r="CB608">
        <v>0.35</v>
      </c>
      <c r="CC608">
        <v>0.19</v>
      </c>
      <c r="CD608">
        <v>0.19</v>
      </c>
      <c r="CE608">
        <v>0.33</v>
      </c>
      <c r="CF608">
        <v>0.33</v>
      </c>
      <c r="CG608" s="1" t="s">
        <v>169</v>
      </c>
      <c r="CH608">
        <v>3.4</v>
      </c>
      <c r="CI608" s="1" t="s">
        <v>128</v>
      </c>
      <c r="CJ608" s="1" t="s">
        <v>184</v>
      </c>
      <c r="CK608">
        <v>1</v>
      </c>
      <c r="CL608" s="1" t="s">
        <v>327</v>
      </c>
      <c r="CM608">
        <v>84</v>
      </c>
      <c r="CN608" s="1" t="s">
        <v>701</v>
      </c>
      <c r="CO608" s="1" t="s">
        <v>329</v>
      </c>
      <c r="CP608">
        <v>81</v>
      </c>
      <c r="CQ608">
        <v>134</v>
      </c>
      <c r="CR608">
        <v>182.8</v>
      </c>
      <c r="CS608" s="1" t="s">
        <v>6137</v>
      </c>
      <c r="CT608" s="1" t="s">
        <v>3385</v>
      </c>
      <c r="CU608" s="1" t="s">
        <v>3934</v>
      </c>
      <c r="CV608" s="1" t="s">
        <v>6138</v>
      </c>
      <c r="CW608">
        <v>59.6</v>
      </c>
      <c r="CX608">
        <v>58.2</v>
      </c>
      <c r="CY608">
        <v>56.4</v>
      </c>
      <c r="CZ608">
        <v>49</v>
      </c>
      <c r="DA608">
        <v>1</v>
      </c>
      <c r="DB608" t="s">
        <v>114</v>
      </c>
      <c r="DC608">
        <v>6</v>
      </c>
      <c r="DD608" s="1" t="s">
        <v>6152</v>
      </c>
      <c r="DE608">
        <v>-35.480764423947598</v>
      </c>
      <c r="DF608" t="str">
        <f>_xlfn.XLOOKUP(Table1[[#This Row],[Player ID]],Table2[feed_id],Table2[trade_status])</f>
        <v>free_agent</v>
      </c>
      <c r="DG608">
        <f>_xlfn.NUMBERVALUE(Table1[[#This Row],[predicted]])</f>
        <v>41.480764423947598</v>
      </c>
    </row>
    <row r="609" spans="1:111" hidden="1" x14ac:dyDescent="0.25">
      <c r="A609">
        <v>130989</v>
      </c>
      <c r="B609">
        <v>9015</v>
      </c>
      <c r="C609" t="s">
        <v>6131</v>
      </c>
      <c r="D609" t="s">
        <v>388</v>
      </c>
      <c r="E609">
        <v>2024</v>
      </c>
      <c r="F609">
        <v>1014026</v>
      </c>
      <c r="G609" t="s">
        <v>6153</v>
      </c>
      <c r="H609" t="s">
        <v>6154</v>
      </c>
      <c r="I609" t="s">
        <v>201</v>
      </c>
      <c r="J609">
        <v>27</v>
      </c>
      <c r="K609">
        <v>93</v>
      </c>
      <c r="L609">
        <v>110</v>
      </c>
      <c r="M609">
        <v>82</v>
      </c>
      <c r="N609">
        <v>77</v>
      </c>
      <c r="O609">
        <v>96</v>
      </c>
      <c r="P609">
        <v>8</v>
      </c>
      <c r="Q609">
        <v>7</v>
      </c>
      <c r="R609">
        <v>5</v>
      </c>
      <c r="S609">
        <v>4</v>
      </c>
      <c r="T609">
        <v>0</v>
      </c>
      <c r="U609">
        <v>0</v>
      </c>
      <c r="V609">
        <v>0</v>
      </c>
      <c r="W609">
        <v>4</v>
      </c>
      <c r="X609">
        <v>0</v>
      </c>
      <c r="Y609" t="s">
        <v>113</v>
      </c>
      <c r="Z609" t="s">
        <v>4765</v>
      </c>
      <c r="AA609" t="s">
        <v>6155</v>
      </c>
      <c r="AB609" t="s">
        <v>525</v>
      </c>
      <c r="AC609" t="s">
        <v>3840</v>
      </c>
      <c r="AH609" t="s">
        <v>155</v>
      </c>
      <c r="AI609">
        <v>1</v>
      </c>
      <c r="AJ609">
        <v>0</v>
      </c>
      <c r="AK609">
        <v>0</v>
      </c>
      <c r="AL609">
        <v>0</v>
      </c>
      <c r="AM609">
        <v>0.53</v>
      </c>
      <c r="AN609">
        <v>0.8</v>
      </c>
      <c r="AO609">
        <v>1.08</v>
      </c>
      <c r="AS609">
        <v>6</v>
      </c>
      <c r="AT609">
        <v>0</v>
      </c>
      <c r="AU609">
        <v>1</v>
      </c>
      <c r="AV609">
        <v>80</v>
      </c>
      <c r="AW609">
        <v>75</v>
      </c>
      <c r="AX609">
        <v>209</v>
      </c>
      <c r="AY609">
        <v>1</v>
      </c>
      <c r="AZ609" t="b">
        <v>0</v>
      </c>
      <c r="BA609">
        <v>1301</v>
      </c>
      <c r="BB609">
        <v>1986</v>
      </c>
      <c r="BC609">
        <v>34</v>
      </c>
      <c r="BD609" t="s">
        <v>6156</v>
      </c>
      <c r="BE609">
        <v>110</v>
      </c>
      <c r="BF609">
        <v>1</v>
      </c>
      <c r="BG609">
        <v>74</v>
      </c>
      <c r="BH609">
        <v>1</v>
      </c>
      <c r="BI609" s="1" t="s">
        <v>977</v>
      </c>
      <c r="BJ609" s="1" t="s">
        <v>448</v>
      </c>
      <c r="BK609" s="1" t="s">
        <v>125</v>
      </c>
      <c r="BL609">
        <v>5</v>
      </c>
      <c r="BM609">
        <v>4</v>
      </c>
      <c r="BN609" s="1" t="s">
        <v>587</v>
      </c>
      <c r="BO609" s="1" t="s">
        <v>138</v>
      </c>
      <c r="BP609">
        <v>3</v>
      </c>
      <c r="BQ609">
        <v>0</v>
      </c>
      <c r="BR609">
        <v>0</v>
      </c>
      <c r="BS609" s="1" t="s">
        <v>128</v>
      </c>
      <c r="BT609" s="1" t="s">
        <v>231</v>
      </c>
      <c r="BU609">
        <v>1</v>
      </c>
      <c r="BV609" s="1" t="s">
        <v>127</v>
      </c>
      <c r="BW609" s="1" t="s">
        <v>159</v>
      </c>
      <c r="BX609">
        <v>1.4</v>
      </c>
      <c r="BY609">
        <v>1</v>
      </c>
      <c r="BZ609" s="1" t="s">
        <v>298</v>
      </c>
      <c r="CA609">
        <v>0.53</v>
      </c>
      <c r="CB609">
        <v>0.53</v>
      </c>
      <c r="CC609">
        <v>0.8</v>
      </c>
      <c r="CD609">
        <v>0.8</v>
      </c>
      <c r="CE609">
        <v>1.08</v>
      </c>
      <c r="CF609">
        <v>1.08</v>
      </c>
      <c r="CG609">
        <v>5</v>
      </c>
      <c r="CH609">
        <v>5.4</v>
      </c>
      <c r="CI609" s="1" t="s">
        <v>128</v>
      </c>
      <c r="CJ609">
        <v>0.8</v>
      </c>
      <c r="CK609" s="1" t="s">
        <v>159</v>
      </c>
      <c r="CL609">
        <v>2.4</v>
      </c>
      <c r="CM609" s="1" t="s">
        <v>1838</v>
      </c>
      <c r="CN609">
        <v>72</v>
      </c>
      <c r="CO609">
        <v>74</v>
      </c>
      <c r="CP609" s="1" t="s">
        <v>1177</v>
      </c>
      <c r="CQ609" s="1" t="s">
        <v>4796</v>
      </c>
      <c r="CR609" s="1" t="s">
        <v>6157</v>
      </c>
      <c r="CS609" s="1" t="s">
        <v>3735</v>
      </c>
      <c r="CT609" s="1" t="s">
        <v>6158</v>
      </c>
      <c r="CU609" s="1" t="s">
        <v>6159</v>
      </c>
      <c r="CV609" s="1" t="s">
        <v>6160</v>
      </c>
      <c r="CW609">
        <v>79.599999999999994</v>
      </c>
      <c r="CX609">
        <v>78.099999999999994</v>
      </c>
      <c r="CY609">
        <v>81.8</v>
      </c>
      <c r="CZ609" s="1" t="s">
        <v>516</v>
      </c>
      <c r="DA609">
        <v>1</v>
      </c>
      <c r="DB609" t="s">
        <v>4765</v>
      </c>
      <c r="DC609">
        <v>110</v>
      </c>
      <c r="DD609" s="1" t="s">
        <v>6161</v>
      </c>
      <c r="DE609" s="1" t="s">
        <v>6162</v>
      </c>
      <c r="DF609" t="str">
        <f>_xlfn.XLOOKUP(Table1[[#This Row],[Player ID]],Table2[feed_id],Table2[trade_status])</f>
        <v>free_agent</v>
      </c>
      <c r="DG609">
        <f>_xlfn.NUMBERVALUE(Table1[[#This Row],[predicted]])</f>
        <v>80.133335908893699</v>
      </c>
    </row>
    <row r="610" spans="1:111" hidden="1" x14ac:dyDescent="0.25">
      <c r="A610">
        <v>130993</v>
      </c>
      <c r="B610">
        <v>9015</v>
      </c>
      <c r="C610" t="s">
        <v>6131</v>
      </c>
      <c r="D610" t="s">
        <v>388</v>
      </c>
      <c r="E610">
        <v>2024</v>
      </c>
      <c r="F610">
        <v>294518</v>
      </c>
      <c r="G610" t="s">
        <v>6163</v>
      </c>
      <c r="H610" t="s">
        <v>6164</v>
      </c>
      <c r="I610" t="s">
        <v>201</v>
      </c>
      <c r="J610">
        <v>20</v>
      </c>
      <c r="K610">
        <v>83</v>
      </c>
      <c r="L610">
        <v>116</v>
      </c>
      <c r="M610">
        <v>48</v>
      </c>
      <c r="N610">
        <v>72</v>
      </c>
      <c r="O610">
        <v>92</v>
      </c>
      <c r="P610">
        <v>15</v>
      </c>
      <c r="Q610">
        <v>1</v>
      </c>
      <c r="R610">
        <v>8</v>
      </c>
      <c r="S610">
        <v>1</v>
      </c>
      <c r="T610">
        <v>1</v>
      </c>
      <c r="U610">
        <v>0</v>
      </c>
      <c r="V610">
        <v>3</v>
      </c>
      <c r="W610">
        <v>2</v>
      </c>
      <c r="X610">
        <v>4</v>
      </c>
      <c r="Y610" t="s">
        <v>113</v>
      </c>
      <c r="Z610" t="s">
        <v>6096</v>
      </c>
      <c r="AA610" t="s">
        <v>6165</v>
      </c>
      <c r="AE610">
        <v>0</v>
      </c>
      <c r="AH610" t="s">
        <v>155</v>
      </c>
      <c r="AI610">
        <v>3</v>
      </c>
      <c r="AJ610">
        <v>7</v>
      </c>
      <c r="AK610">
        <v>63.86</v>
      </c>
      <c r="AL610">
        <v>0</v>
      </c>
      <c r="AM610">
        <v>0</v>
      </c>
      <c r="AN610">
        <v>0.54</v>
      </c>
      <c r="AO610">
        <v>0.75</v>
      </c>
      <c r="AS610">
        <v>9</v>
      </c>
      <c r="AT610">
        <v>4</v>
      </c>
      <c r="AU610">
        <v>4</v>
      </c>
      <c r="AV610">
        <v>56</v>
      </c>
      <c r="AW610">
        <v>100</v>
      </c>
      <c r="AX610">
        <v>394</v>
      </c>
      <c r="AY610">
        <v>0</v>
      </c>
      <c r="AZ610" t="b">
        <v>0</v>
      </c>
      <c r="BA610">
        <v>1301</v>
      </c>
      <c r="BB610">
        <v>1986</v>
      </c>
      <c r="BC610">
        <v>34</v>
      </c>
      <c r="BD610" t="s">
        <v>6156</v>
      </c>
      <c r="BE610">
        <v>110</v>
      </c>
      <c r="BF610">
        <v>1</v>
      </c>
      <c r="BG610">
        <v>74</v>
      </c>
      <c r="BH610">
        <v>1</v>
      </c>
      <c r="BI610" s="1" t="s">
        <v>276</v>
      </c>
      <c r="BJ610" s="1" t="s">
        <v>1672</v>
      </c>
      <c r="BK610" s="1" t="s">
        <v>159</v>
      </c>
      <c r="BL610" s="1" t="s">
        <v>766</v>
      </c>
      <c r="BM610" s="1" t="s">
        <v>397</v>
      </c>
      <c r="BN610" s="1" t="s">
        <v>429</v>
      </c>
      <c r="BO610" s="1" t="s">
        <v>126</v>
      </c>
      <c r="BP610" s="1" t="s">
        <v>162</v>
      </c>
      <c r="BQ610" s="1" t="s">
        <v>138</v>
      </c>
      <c r="BR610" s="1" t="s">
        <v>327</v>
      </c>
      <c r="BS610">
        <v>1</v>
      </c>
      <c r="BT610">
        <v>0.8</v>
      </c>
      <c r="BU610" s="1" t="s">
        <v>161</v>
      </c>
      <c r="BV610" s="1" t="s">
        <v>298</v>
      </c>
      <c r="BW610">
        <v>2</v>
      </c>
      <c r="BX610">
        <v>2.4</v>
      </c>
      <c r="BY610" s="1" t="s">
        <v>161</v>
      </c>
      <c r="BZ610">
        <v>1.8</v>
      </c>
      <c r="CA610">
        <v>0</v>
      </c>
      <c r="CB610">
        <v>0</v>
      </c>
      <c r="CC610">
        <v>0.54</v>
      </c>
      <c r="CD610">
        <v>0.54</v>
      </c>
      <c r="CE610">
        <v>0.75</v>
      </c>
      <c r="CF610">
        <v>0.75</v>
      </c>
      <c r="CG610">
        <v>7</v>
      </c>
      <c r="CH610" s="1" t="s">
        <v>963</v>
      </c>
      <c r="CI610" s="1" t="s">
        <v>159</v>
      </c>
      <c r="CJ610" s="1" t="s">
        <v>126</v>
      </c>
      <c r="CK610" s="1" t="s">
        <v>160</v>
      </c>
      <c r="CL610" s="1" t="s">
        <v>431</v>
      </c>
      <c r="CM610">
        <v>57</v>
      </c>
      <c r="CN610" s="1" t="s">
        <v>3391</v>
      </c>
      <c r="CO610">
        <v>100</v>
      </c>
      <c r="CP610">
        <v>99.2</v>
      </c>
      <c r="CQ610" s="1" t="s">
        <v>6166</v>
      </c>
      <c r="CR610">
        <v>340.8</v>
      </c>
      <c r="CS610" s="1" t="s">
        <v>3735</v>
      </c>
      <c r="CT610" s="1" t="s">
        <v>6158</v>
      </c>
      <c r="CU610" s="1" t="s">
        <v>6159</v>
      </c>
      <c r="CV610" s="1" t="s">
        <v>6160</v>
      </c>
      <c r="CW610">
        <v>85.7</v>
      </c>
      <c r="CX610">
        <v>80.099999999999994</v>
      </c>
      <c r="CY610">
        <v>85.2</v>
      </c>
      <c r="CZ610" s="1" t="s">
        <v>1028</v>
      </c>
      <c r="DA610">
        <v>1</v>
      </c>
      <c r="DB610" t="s">
        <v>6096</v>
      </c>
      <c r="DC610">
        <v>116</v>
      </c>
      <c r="DD610" s="1" t="s">
        <v>6167</v>
      </c>
      <c r="DE610" s="1" t="s">
        <v>6168</v>
      </c>
      <c r="DF610" t="e">
        <f>_xlfn.XLOOKUP(Table1[[#This Row],[Player ID]],Table2[feed_id],Table2[trade_status])</f>
        <v>#N/A</v>
      </c>
      <c r="DG610">
        <f>_xlfn.NUMBERVALUE(Table1[[#This Row],[predicted]])</f>
        <v>77.009561860128301</v>
      </c>
    </row>
    <row r="611" spans="1:111" hidden="1" x14ac:dyDescent="0.25">
      <c r="A611">
        <v>131026</v>
      </c>
      <c r="B611">
        <v>9202</v>
      </c>
      <c r="C611" t="s">
        <v>6169</v>
      </c>
      <c r="D611" t="s">
        <v>5094</v>
      </c>
      <c r="E611">
        <v>2025</v>
      </c>
      <c r="F611">
        <v>291776</v>
      </c>
      <c r="G611" t="s">
        <v>1422</v>
      </c>
      <c r="H611" t="s">
        <v>4385</v>
      </c>
      <c r="I611" t="s">
        <v>338</v>
      </c>
      <c r="J611">
        <v>8</v>
      </c>
      <c r="K611">
        <v>32</v>
      </c>
      <c r="L611">
        <v>36</v>
      </c>
      <c r="M611">
        <v>39</v>
      </c>
      <c r="N611">
        <v>30</v>
      </c>
      <c r="O611">
        <v>39</v>
      </c>
      <c r="P611">
        <v>4</v>
      </c>
      <c r="Q611">
        <v>4</v>
      </c>
      <c r="R611">
        <v>3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0</v>
      </c>
      <c r="Y611" t="s">
        <v>113</v>
      </c>
      <c r="Z611" t="s">
        <v>778</v>
      </c>
      <c r="AA611" t="s">
        <v>6170</v>
      </c>
      <c r="AB611" t="s">
        <v>861</v>
      </c>
      <c r="AC611" t="s">
        <v>2670</v>
      </c>
      <c r="AD611">
        <v>706000</v>
      </c>
      <c r="AE611">
        <v>0</v>
      </c>
      <c r="AF611">
        <v>437200</v>
      </c>
      <c r="AH611" t="s">
        <v>118</v>
      </c>
      <c r="AI611">
        <v>3</v>
      </c>
      <c r="AJ611">
        <v>18</v>
      </c>
      <c r="AK611">
        <v>95.17</v>
      </c>
      <c r="AL611">
        <v>0</v>
      </c>
      <c r="AM611">
        <v>0</v>
      </c>
      <c r="AN611">
        <v>14.21</v>
      </c>
      <c r="AO611">
        <v>28.01</v>
      </c>
      <c r="AP611">
        <v>691000</v>
      </c>
      <c r="AS611">
        <v>3</v>
      </c>
      <c r="AT611">
        <v>1</v>
      </c>
      <c r="AU611">
        <v>3</v>
      </c>
      <c r="AV611">
        <v>75</v>
      </c>
      <c r="AW611">
        <v>54</v>
      </c>
      <c r="AX611">
        <v>106</v>
      </c>
      <c r="AY611">
        <v>1</v>
      </c>
      <c r="AZ611" t="b">
        <v>1</v>
      </c>
      <c r="BA611">
        <v>1700</v>
      </c>
      <c r="BB611">
        <v>1586</v>
      </c>
      <c r="BC611">
        <v>1</v>
      </c>
      <c r="BD611" t="s">
        <v>6171</v>
      </c>
      <c r="BE611">
        <v>95.4</v>
      </c>
      <c r="BF611">
        <v>0</v>
      </c>
      <c r="BG611">
        <v>65.5</v>
      </c>
      <c r="BH611">
        <v>0</v>
      </c>
      <c r="BI611" s="1" t="s">
        <v>160</v>
      </c>
      <c r="BJ611" s="1" t="s">
        <v>254</v>
      </c>
      <c r="BK611" s="1" t="s">
        <v>545</v>
      </c>
      <c r="BL611" s="1" t="s">
        <v>2358</v>
      </c>
      <c r="BM611" s="1" t="s">
        <v>169</v>
      </c>
      <c r="BN611">
        <v>3</v>
      </c>
      <c r="BO611" s="1" t="s">
        <v>169</v>
      </c>
      <c r="BP611">
        <v>3.4</v>
      </c>
      <c r="BQ611">
        <v>0</v>
      </c>
      <c r="BR611">
        <v>0</v>
      </c>
      <c r="BS611" s="1" t="s">
        <v>129</v>
      </c>
      <c r="BT611">
        <v>0.8</v>
      </c>
      <c r="BU611" s="1" t="s">
        <v>128</v>
      </c>
      <c r="BV611" s="1" t="s">
        <v>162</v>
      </c>
      <c r="BW611" s="1" t="s">
        <v>129</v>
      </c>
      <c r="BX611" s="1" t="s">
        <v>238</v>
      </c>
      <c r="BY611">
        <v>0</v>
      </c>
      <c r="BZ611" s="1" t="s">
        <v>184</v>
      </c>
      <c r="CA611">
        <v>0</v>
      </c>
      <c r="CB611">
        <v>0</v>
      </c>
      <c r="CC611">
        <v>14.21</v>
      </c>
      <c r="CD611">
        <v>14.21</v>
      </c>
      <c r="CE611">
        <v>28.01</v>
      </c>
      <c r="CF611">
        <v>28.01</v>
      </c>
      <c r="CG611" s="1" t="s">
        <v>124</v>
      </c>
      <c r="CH611">
        <v>7.2</v>
      </c>
      <c r="CI611">
        <v>2</v>
      </c>
      <c r="CJ611">
        <v>2.4</v>
      </c>
      <c r="CK611" s="1" t="s">
        <v>159</v>
      </c>
      <c r="CL611" s="1" t="s">
        <v>237</v>
      </c>
      <c r="CM611" s="1" t="s">
        <v>215</v>
      </c>
      <c r="CN611" s="1" t="s">
        <v>1012</v>
      </c>
      <c r="CO611">
        <v>57</v>
      </c>
      <c r="CP611" s="1" t="s">
        <v>2863</v>
      </c>
      <c r="CQ611" s="1" t="s">
        <v>822</v>
      </c>
      <c r="CR611" s="1" t="s">
        <v>6172</v>
      </c>
      <c r="CS611">
        <v>1660</v>
      </c>
      <c r="CT611" s="1" t="s">
        <v>4630</v>
      </c>
      <c r="CU611" s="1" t="s">
        <v>3442</v>
      </c>
      <c r="CV611" s="1" t="s">
        <v>2316</v>
      </c>
      <c r="CW611">
        <v>68.599999999999994</v>
      </c>
      <c r="CX611">
        <v>61.3</v>
      </c>
      <c r="CY611">
        <v>49.2</v>
      </c>
      <c r="CZ611" s="1" t="s">
        <v>687</v>
      </c>
      <c r="DA611">
        <v>1</v>
      </c>
      <c r="DB611" t="s">
        <v>778</v>
      </c>
      <c r="DC611">
        <v>36</v>
      </c>
      <c r="DD611" s="1" t="s">
        <v>6173</v>
      </c>
      <c r="DE611">
        <v>-40.264028125783703</v>
      </c>
      <c r="DF611" t="str">
        <f>_xlfn.XLOOKUP(Table1[[#This Row],[Player ID]],Table2[feed_id],Table2[trade_status])</f>
        <v>free_agent</v>
      </c>
      <c r="DG611">
        <f>_xlfn.NUMBERVALUE(Table1[[#This Row],[predicted]])</f>
        <v>76.264028125783696</v>
      </c>
    </row>
    <row r="612" spans="1:111" hidden="1" x14ac:dyDescent="0.25">
      <c r="A612">
        <v>131143</v>
      </c>
      <c r="B612">
        <v>9206</v>
      </c>
      <c r="C612" t="s">
        <v>6174</v>
      </c>
      <c r="D612" t="s">
        <v>1893</v>
      </c>
      <c r="E612">
        <v>2025</v>
      </c>
      <c r="F612">
        <v>1017094</v>
      </c>
      <c r="G612" t="s">
        <v>3651</v>
      </c>
      <c r="H612" t="s">
        <v>6175</v>
      </c>
      <c r="I612" t="s">
        <v>391</v>
      </c>
      <c r="J612">
        <v>20</v>
      </c>
      <c r="K612">
        <v>94</v>
      </c>
      <c r="L612">
        <v>104</v>
      </c>
      <c r="M612">
        <v>117</v>
      </c>
      <c r="N612">
        <v>79</v>
      </c>
      <c r="O612">
        <v>102</v>
      </c>
      <c r="P612">
        <v>13</v>
      </c>
      <c r="Q612">
        <v>10</v>
      </c>
      <c r="R612">
        <v>8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 t="s">
        <v>113</v>
      </c>
      <c r="Z612" t="s">
        <v>525</v>
      </c>
      <c r="AA612" t="s">
        <v>6176</v>
      </c>
      <c r="AD612">
        <v>652600</v>
      </c>
      <c r="AF612">
        <v>381400</v>
      </c>
      <c r="AH612" t="s">
        <v>155</v>
      </c>
      <c r="AI612">
        <v>31</v>
      </c>
      <c r="AJ612">
        <v>0</v>
      </c>
      <c r="AK612">
        <v>0</v>
      </c>
      <c r="AL612">
        <v>0</v>
      </c>
      <c r="AM612">
        <v>7.62</v>
      </c>
      <c r="AN612">
        <v>1.3</v>
      </c>
      <c r="AO612">
        <v>4.88</v>
      </c>
      <c r="AP612">
        <v>638000</v>
      </c>
      <c r="AS612">
        <v>9</v>
      </c>
      <c r="AT612">
        <v>1</v>
      </c>
      <c r="AU612">
        <v>0</v>
      </c>
      <c r="AV612">
        <v>82</v>
      </c>
      <c r="AW612">
        <v>81</v>
      </c>
      <c r="AX612">
        <v>281</v>
      </c>
      <c r="AY612">
        <v>0</v>
      </c>
      <c r="AZ612" t="b">
        <v>0</v>
      </c>
      <c r="BA612">
        <v>1555</v>
      </c>
      <c r="BB612">
        <v>1702</v>
      </c>
      <c r="BC612">
        <v>2</v>
      </c>
      <c r="BD612" t="s">
        <v>6177</v>
      </c>
      <c r="BE612">
        <v>98</v>
      </c>
      <c r="BF612">
        <v>1</v>
      </c>
      <c r="BG612">
        <v>73</v>
      </c>
      <c r="BH612">
        <v>1</v>
      </c>
      <c r="BI612" s="1" t="s">
        <v>183</v>
      </c>
      <c r="BJ612" s="1" t="s">
        <v>949</v>
      </c>
      <c r="BK612">
        <v>6</v>
      </c>
      <c r="BL612" s="1" t="s">
        <v>1066</v>
      </c>
      <c r="BM612" s="1" t="s">
        <v>211</v>
      </c>
      <c r="BN612" s="1" t="s">
        <v>124</v>
      </c>
      <c r="BO612" s="1" t="s">
        <v>126</v>
      </c>
      <c r="BP612" s="1" t="s">
        <v>140</v>
      </c>
      <c r="BQ612">
        <v>0</v>
      </c>
      <c r="BR612">
        <v>0</v>
      </c>
      <c r="BS612" s="1" t="s">
        <v>128</v>
      </c>
      <c r="BT612" s="1" t="s">
        <v>231</v>
      </c>
      <c r="BU612" s="1" t="s">
        <v>129</v>
      </c>
      <c r="BV612" s="1" t="s">
        <v>162</v>
      </c>
      <c r="BW612" s="1" t="s">
        <v>128</v>
      </c>
      <c r="BX612" s="1" t="s">
        <v>126</v>
      </c>
      <c r="BY612">
        <v>0</v>
      </c>
      <c r="BZ612" s="1" t="s">
        <v>231</v>
      </c>
      <c r="CA612">
        <v>7.62</v>
      </c>
      <c r="CB612">
        <v>7.62</v>
      </c>
      <c r="CC612">
        <v>1.3</v>
      </c>
      <c r="CD612">
        <v>1.3</v>
      </c>
      <c r="CE612">
        <v>4.88</v>
      </c>
      <c r="CF612">
        <v>4.88</v>
      </c>
      <c r="CG612" s="1" t="s">
        <v>211</v>
      </c>
      <c r="CH612">
        <v>5</v>
      </c>
      <c r="CI612" s="1" t="s">
        <v>129</v>
      </c>
      <c r="CJ612" s="1" t="s">
        <v>162</v>
      </c>
      <c r="CK612" s="1" t="s">
        <v>128</v>
      </c>
      <c r="CL612" s="1" t="s">
        <v>373</v>
      </c>
      <c r="CM612">
        <v>83</v>
      </c>
      <c r="CN612">
        <v>74.599999999999994</v>
      </c>
      <c r="CO612" s="1" t="s">
        <v>683</v>
      </c>
      <c r="CP612">
        <v>81.2</v>
      </c>
      <c r="CQ612">
        <v>204</v>
      </c>
      <c r="CR612">
        <v>267</v>
      </c>
      <c r="CS612" s="1" t="s">
        <v>1544</v>
      </c>
      <c r="CT612">
        <v>1752.6</v>
      </c>
      <c r="CU612" s="1" t="s">
        <v>3349</v>
      </c>
      <c r="CV612" s="1" t="s">
        <v>6178</v>
      </c>
      <c r="CW612">
        <v>79.849999999999994</v>
      </c>
      <c r="CX612">
        <v>86.9</v>
      </c>
      <c r="CY612">
        <v>85.4</v>
      </c>
      <c r="CZ612" s="1" t="s">
        <v>1176</v>
      </c>
      <c r="DA612">
        <v>1</v>
      </c>
      <c r="DB612" t="s">
        <v>525</v>
      </c>
      <c r="DC612">
        <v>104</v>
      </c>
      <c r="DD612" s="1" t="s">
        <v>6179</v>
      </c>
      <c r="DE612" s="1" t="s">
        <v>6180</v>
      </c>
      <c r="DF612" t="e">
        <f>_xlfn.XLOOKUP(Table1[[#This Row],[Player ID]],Table2[feed_id],Table2[trade_status])</f>
        <v>#N/A</v>
      </c>
      <c r="DG612">
        <f>_xlfn.NUMBERVALUE(Table1[[#This Row],[predicted]])</f>
        <v>73.002704204884495</v>
      </c>
    </row>
    <row r="613" spans="1:111" hidden="1" x14ac:dyDescent="0.25">
      <c r="A613">
        <v>131161</v>
      </c>
      <c r="B613">
        <v>9206</v>
      </c>
      <c r="C613" t="s">
        <v>6174</v>
      </c>
      <c r="D613" t="s">
        <v>1893</v>
      </c>
      <c r="E613">
        <v>2025</v>
      </c>
      <c r="F613">
        <v>293738</v>
      </c>
      <c r="G613" t="s">
        <v>958</v>
      </c>
      <c r="H613" t="s">
        <v>1128</v>
      </c>
      <c r="I613" t="s">
        <v>391</v>
      </c>
      <c r="J613">
        <v>2</v>
      </c>
      <c r="K613">
        <v>17</v>
      </c>
      <c r="L613">
        <v>19</v>
      </c>
      <c r="M613">
        <v>25</v>
      </c>
      <c r="N613">
        <v>13</v>
      </c>
      <c r="O613">
        <v>21</v>
      </c>
      <c r="P613">
        <v>4</v>
      </c>
      <c r="Q613">
        <v>1</v>
      </c>
      <c r="R613">
        <v>0</v>
      </c>
      <c r="S613">
        <v>2</v>
      </c>
      <c r="T613">
        <v>0</v>
      </c>
      <c r="U613">
        <v>1</v>
      </c>
      <c r="V613">
        <v>2</v>
      </c>
      <c r="W613">
        <v>0</v>
      </c>
      <c r="X613">
        <v>0</v>
      </c>
      <c r="Y613" t="s">
        <v>113</v>
      </c>
      <c r="Z613" t="s">
        <v>179</v>
      </c>
      <c r="AA613" t="s">
        <v>6181</v>
      </c>
      <c r="AB613" t="s">
        <v>3571</v>
      </c>
      <c r="AC613" t="s">
        <v>4081</v>
      </c>
      <c r="AD613">
        <v>457900</v>
      </c>
      <c r="AE613">
        <v>0</v>
      </c>
      <c r="AF613">
        <v>317000</v>
      </c>
      <c r="AH613" t="s">
        <v>181</v>
      </c>
      <c r="AI613">
        <v>8</v>
      </c>
      <c r="AJ613">
        <v>9</v>
      </c>
      <c r="AK613">
        <v>48.11</v>
      </c>
      <c r="AL613">
        <v>0</v>
      </c>
      <c r="AM613">
        <v>0</v>
      </c>
      <c r="AN613">
        <v>0.1</v>
      </c>
      <c r="AO613">
        <v>0.12</v>
      </c>
      <c r="AP613">
        <v>448000</v>
      </c>
      <c r="AS613">
        <v>4</v>
      </c>
      <c r="AT613">
        <v>1</v>
      </c>
      <c r="AU613">
        <v>4</v>
      </c>
      <c r="AV613">
        <v>80</v>
      </c>
      <c r="AW613">
        <v>49</v>
      </c>
      <c r="AX613">
        <v>106</v>
      </c>
      <c r="AY613">
        <v>0</v>
      </c>
      <c r="AZ613" t="b">
        <v>0</v>
      </c>
      <c r="BA613">
        <v>1555</v>
      </c>
      <c r="BB613">
        <v>1702</v>
      </c>
      <c r="BC613">
        <v>2</v>
      </c>
      <c r="BD613" t="s">
        <v>6177</v>
      </c>
      <c r="BE613">
        <v>98</v>
      </c>
      <c r="BF613">
        <v>0</v>
      </c>
      <c r="BG613">
        <v>73</v>
      </c>
      <c r="BH613">
        <v>0</v>
      </c>
      <c r="BI613" s="1" t="s">
        <v>124</v>
      </c>
      <c r="BJ613">
        <v>4.8</v>
      </c>
      <c r="BK613" s="1" t="s">
        <v>159</v>
      </c>
      <c r="BL613" s="1" t="s">
        <v>431</v>
      </c>
      <c r="BM613">
        <v>2</v>
      </c>
      <c r="BN613" s="1" t="s">
        <v>140</v>
      </c>
      <c r="BO613">
        <v>1</v>
      </c>
      <c r="BP613" s="1" t="s">
        <v>126</v>
      </c>
      <c r="BQ613">
        <v>0</v>
      </c>
      <c r="BR613" s="1" t="s">
        <v>213</v>
      </c>
      <c r="BS613" s="1" t="s">
        <v>129</v>
      </c>
      <c r="BT613">
        <v>0.2</v>
      </c>
      <c r="BU613">
        <v>1</v>
      </c>
      <c r="BV613" s="1" t="s">
        <v>399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0.1</v>
      </c>
      <c r="CD613">
        <v>0.1</v>
      </c>
      <c r="CE613">
        <v>0.12</v>
      </c>
      <c r="CF613">
        <v>0.12</v>
      </c>
      <c r="CG613">
        <v>4</v>
      </c>
      <c r="CH613">
        <v>3.4</v>
      </c>
      <c r="CI613" s="1" t="s">
        <v>129</v>
      </c>
      <c r="CJ613">
        <v>0.4</v>
      </c>
      <c r="CK613" s="1" t="s">
        <v>159</v>
      </c>
      <c r="CL613">
        <v>1.6</v>
      </c>
      <c r="CM613" s="1" t="s">
        <v>994</v>
      </c>
      <c r="CN613" s="1" t="s">
        <v>733</v>
      </c>
      <c r="CO613">
        <v>78</v>
      </c>
      <c r="CP613" s="1" t="s">
        <v>2348</v>
      </c>
      <c r="CQ613" s="1" t="s">
        <v>6182</v>
      </c>
      <c r="CR613" s="1" t="s">
        <v>6183</v>
      </c>
      <c r="CS613" s="1" t="s">
        <v>6184</v>
      </c>
      <c r="CT613" s="1" t="s">
        <v>4887</v>
      </c>
      <c r="CU613" s="1" t="s">
        <v>6185</v>
      </c>
      <c r="CV613" s="1" t="s">
        <v>6186</v>
      </c>
      <c r="CW613">
        <v>45.3</v>
      </c>
      <c r="CX613">
        <v>43.2</v>
      </c>
      <c r="CY613">
        <v>49.6</v>
      </c>
      <c r="CZ613" s="1" t="s">
        <v>608</v>
      </c>
      <c r="DA613">
        <v>1</v>
      </c>
      <c r="DB613" t="s">
        <v>179</v>
      </c>
      <c r="DC613">
        <v>19</v>
      </c>
      <c r="DD613" s="1" t="s">
        <v>6187</v>
      </c>
      <c r="DE613">
        <v>-20.408426179634201</v>
      </c>
      <c r="DF613" t="str">
        <f>_xlfn.XLOOKUP(Table1[[#This Row],[Player ID]],Table2[feed_id],Table2[trade_status])</f>
        <v>free_agent</v>
      </c>
      <c r="DG613">
        <f>_xlfn.NUMBERVALUE(Table1[[#This Row],[predicted]])</f>
        <v>39.408426179634198</v>
      </c>
    </row>
    <row r="614" spans="1:111" hidden="1" x14ac:dyDescent="0.25">
      <c r="A614">
        <v>131162</v>
      </c>
      <c r="B614">
        <v>9206</v>
      </c>
      <c r="C614" t="s">
        <v>6174</v>
      </c>
      <c r="D614" t="s">
        <v>1893</v>
      </c>
      <c r="E614">
        <v>2025</v>
      </c>
      <c r="F614">
        <v>998114</v>
      </c>
      <c r="G614" t="s">
        <v>1127</v>
      </c>
      <c r="H614" t="s">
        <v>6188</v>
      </c>
      <c r="I614" t="s">
        <v>391</v>
      </c>
      <c r="J614">
        <v>0</v>
      </c>
      <c r="K614">
        <v>13</v>
      </c>
      <c r="L614">
        <v>18</v>
      </c>
      <c r="M614">
        <v>17</v>
      </c>
      <c r="N614">
        <v>12</v>
      </c>
      <c r="O614">
        <v>18</v>
      </c>
      <c r="P614">
        <v>1</v>
      </c>
      <c r="Q614">
        <v>3</v>
      </c>
      <c r="R614">
        <v>1</v>
      </c>
      <c r="S614">
        <v>1</v>
      </c>
      <c r="T614">
        <v>0</v>
      </c>
      <c r="U614">
        <v>0</v>
      </c>
      <c r="V614">
        <v>1</v>
      </c>
      <c r="W614">
        <v>0</v>
      </c>
      <c r="X614">
        <v>0</v>
      </c>
      <c r="Y614" t="s">
        <v>113</v>
      </c>
      <c r="Z614" t="s">
        <v>114</v>
      </c>
      <c r="AA614" t="s">
        <v>6189</v>
      </c>
      <c r="AB614" t="s">
        <v>116</v>
      </c>
      <c r="AC614" t="s">
        <v>6190</v>
      </c>
      <c r="AD614">
        <v>613700</v>
      </c>
      <c r="AE614">
        <v>0</v>
      </c>
      <c r="AF614">
        <v>419500</v>
      </c>
      <c r="AH614" t="s">
        <v>181</v>
      </c>
      <c r="AI614">
        <v>14</v>
      </c>
      <c r="AJ614">
        <v>0</v>
      </c>
      <c r="AK614">
        <v>0</v>
      </c>
      <c r="AL614">
        <v>0</v>
      </c>
      <c r="AM614">
        <v>0</v>
      </c>
      <c r="AN614">
        <v>0.13</v>
      </c>
      <c r="AO614">
        <v>0.16</v>
      </c>
      <c r="AP614">
        <v>600000</v>
      </c>
      <c r="AS614">
        <v>1</v>
      </c>
      <c r="AT614">
        <v>0</v>
      </c>
      <c r="AU614">
        <v>1</v>
      </c>
      <c r="AV614">
        <v>75</v>
      </c>
      <c r="AW614">
        <v>27</v>
      </c>
      <c r="AX614">
        <v>-24</v>
      </c>
      <c r="AY614">
        <v>1</v>
      </c>
      <c r="AZ614" t="b">
        <v>1</v>
      </c>
      <c r="BA614">
        <v>1555</v>
      </c>
      <c r="BB614">
        <v>1702</v>
      </c>
      <c r="BC614">
        <v>2</v>
      </c>
      <c r="BD614" t="s">
        <v>6177</v>
      </c>
      <c r="BE614">
        <v>98</v>
      </c>
      <c r="BF614">
        <v>0</v>
      </c>
      <c r="BG614">
        <v>73</v>
      </c>
      <c r="BH614">
        <v>0</v>
      </c>
      <c r="BI614" s="1" t="s">
        <v>1008</v>
      </c>
      <c r="BJ614">
        <v>11.4</v>
      </c>
      <c r="BK614" s="1" t="s">
        <v>211</v>
      </c>
      <c r="BL614" s="1" t="s">
        <v>964</v>
      </c>
      <c r="BM614">
        <v>5</v>
      </c>
      <c r="BN614" s="1" t="s">
        <v>898</v>
      </c>
      <c r="BO614">
        <v>2</v>
      </c>
      <c r="BP614" s="1" t="s">
        <v>126</v>
      </c>
      <c r="BQ614">
        <v>0</v>
      </c>
      <c r="BR614">
        <v>0</v>
      </c>
      <c r="BS614" s="1" t="s">
        <v>128</v>
      </c>
      <c r="BT614" s="1" t="s">
        <v>184</v>
      </c>
      <c r="BU614" s="1" t="s">
        <v>128</v>
      </c>
      <c r="BV614" s="1" t="s">
        <v>231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0.13</v>
      </c>
      <c r="CD614">
        <v>0.13</v>
      </c>
      <c r="CE614">
        <v>0.16</v>
      </c>
      <c r="CF614">
        <v>0.16</v>
      </c>
      <c r="CG614" s="1" t="s">
        <v>211</v>
      </c>
      <c r="CH614">
        <v>5.4</v>
      </c>
      <c r="CI614" s="1" t="s">
        <v>128</v>
      </c>
      <c r="CJ614" s="1" t="s">
        <v>231</v>
      </c>
      <c r="CK614" s="1" t="s">
        <v>126</v>
      </c>
      <c r="CL614" s="1" t="s">
        <v>375</v>
      </c>
      <c r="CM614">
        <v>82</v>
      </c>
      <c r="CN614">
        <v>83.4</v>
      </c>
      <c r="CO614">
        <v>64</v>
      </c>
      <c r="CP614" s="1" t="s">
        <v>6191</v>
      </c>
      <c r="CQ614" s="1" t="s">
        <v>6192</v>
      </c>
      <c r="CR614">
        <v>274.2</v>
      </c>
      <c r="CS614" s="1" t="s">
        <v>1544</v>
      </c>
      <c r="CT614">
        <v>1752.6</v>
      </c>
      <c r="CU614" s="1" t="s">
        <v>3349</v>
      </c>
      <c r="CV614" s="1" t="s">
        <v>6178</v>
      </c>
      <c r="CW614">
        <v>82.1</v>
      </c>
      <c r="CX614">
        <v>83.6</v>
      </c>
      <c r="CY614">
        <v>81.599999999999994</v>
      </c>
      <c r="CZ614" s="1" t="s">
        <v>142</v>
      </c>
      <c r="DA614">
        <v>1</v>
      </c>
      <c r="DB614" t="s">
        <v>114</v>
      </c>
      <c r="DC614">
        <v>18</v>
      </c>
      <c r="DD614" s="1" t="s">
        <v>6193</v>
      </c>
      <c r="DE614">
        <v>-41.646645448827101</v>
      </c>
      <c r="DF614" t="str">
        <f>_xlfn.XLOOKUP(Table1[[#This Row],[Player ID]],Table2[feed_id],Table2[trade_status])</f>
        <v>free_agent</v>
      </c>
      <c r="DG614">
        <f>_xlfn.NUMBERVALUE(Table1[[#This Row],[predicted]])</f>
        <v>59.646645448827101</v>
      </c>
    </row>
    <row r="615" spans="1:111" hidden="1" x14ac:dyDescent="0.25">
      <c r="A615">
        <v>131184</v>
      </c>
      <c r="B615">
        <v>9206</v>
      </c>
      <c r="C615" t="s">
        <v>6174</v>
      </c>
      <c r="D615" t="s">
        <v>1893</v>
      </c>
      <c r="E615">
        <v>2025</v>
      </c>
      <c r="F615">
        <v>298630</v>
      </c>
      <c r="G615" t="s">
        <v>2354</v>
      </c>
      <c r="H615" t="s">
        <v>2116</v>
      </c>
      <c r="I615" t="s">
        <v>619</v>
      </c>
      <c r="J615">
        <v>9</v>
      </c>
      <c r="K615">
        <v>41</v>
      </c>
      <c r="L615">
        <v>53</v>
      </c>
      <c r="M615">
        <v>28</v>
      </c>
      <c r="N615">
        <v>36</v>
      </c>
      <c r="O615">
        <v>48</v>
      </c>
      <c r="P615">
        <v>5</v>
      </c>
      <c r="Q615">
        <v>6</v>
      </c>
      <c r="R615">
        <v>0</v>
      </c>
      <c r="S615">
        <v>1</v>
      </c>
      <c r="T615">
        <v>0</v>
      </c>
      <c r="U615">
        <v>1</v>
      </c>
      <c r="V615">
        <v>1</v>
      </c>
      <c r="W615">
        <v>2</v>
      </c>
      <c r="X615">
        <v>0</v>
      </c>
      <c r="Y615" t="s">
        <v>113</v>
      </c>
      <c r="Z615" t="s">
        <v>114</v>
      </c>
      <c r="AA615" t="s">
        <v>6194</v>
      </c>
      <c r="AB615" t="s">
        <v>656</v>
      </c>
      <c r="AC615" t="s">
        <v>5248</v>
      </c>
      <c r="AD615">
        <v>673700</v>
      </c>
      <c r="AE615">
        <v>0</v>
      </c>
      <c r="AF615">
        <v>442000</v>
      </c>
      <c r="AH615" t="s">
        <v>118</v>
      </c>
      <c r="AI615">
        <v>4</v>
      </c>
      <c r="AJ615">
        <v>15</v>
      </c>
      <c r="AK615">
        <v>77.599999999999994</v>
      </c>
      <c r="AL615">
        <v>0</v>
      </c>
      <c r="AM615">
        <v>0</v>
      </c>
      <c r="AN615">
        <v>0.45</v>
      </c>
      <c r="AO615">
        <v>0.69</v>
      </c>
      <c r="AP615">
        <v>659000</v>
      </c>
      <c r="AS615">
        <v>5</v>
      </c>
      <c r="AT615">
        <v>1</v>
      </c>
      <c r="AU615">
        <v>2</v>
      </c>
      <c r="AV615">
        <v>72</v>
      </c>
      <c r="AW615">
        <v>62</v>
      </c>
      <c r="AX615">
        <v>159</v>
      </c>
      <c r="AY615">
        <v>1</v>
      </c>
      <c r="AZ615" t="b">
        <v>1</v>
      </c>
      <c r="BA615">
        <v>1702</v>
      </c>
      <c r="BB615">
        <v>1555</v>
      </c>
      <c r="BC615">
        <v>2</v>
      </c>
      <c r="BD615" t="s">
        <v>6195</v>
      </c>
      <c r="BE615">
        <v>98</v>
      </c>
      <c r="BF615">
        <v>0</v>
      </c>
      <c r="BG615">
        <v>73</v>
      </c>
      <c r="BH615">
        <v>0</v>
      </c>
      <c r="BI615" s="1" t="s">
        <v>294</v>
      </c>
      <c r="BJ615" s="1" t="s">
        <v>1041</v>
      </c>
      <c r="BK615" s="1" t="s">
        <v>253</v>
      </c>
      <c r="BL615">
        <v>4.5999999999999996</v>
      </c>
      <c r="BM615">
        <v>4</v>
      </c>
      <c r="BN615" s="1" t="s">
        <v>752</v>
      </c>
      <c r="BO615" s="1" t="s">
        <v>169</v>
      </c>
      <c r="BP615" s="1" t="s">
        <v>255</v>
      </c>
      <c r="BQ615">
        <v>0</v>
      </c>
      <c r="BR615">
        <v>6.6666666666666596E-2</v>
      </c>
      <c r="BS615" s="1" t="s">
        <v>126</v>
      </c>
      <c r="BT615" s="1" t="s">
        <v>128</v>
      </c>
      <c r="BU615" s="1" t="s">
        <v>128</v>
      </c>
      <c r="BV615" s="1" t="s">
        <v>238</v>
      </c>
      <c r="BW615">
        <v>2</v>
      </c>
      <c r="BX615">
        <v>1.4</v>
      </c>
      <c r="BY615" s="1" t="s">
        <v>128</v>
      </c>
      <c r="BZ615" s="1" t="s">
        <v>162</v>
      </c>
      <c r="CA615">
        <v>0</v>
      </c>
      <c r="CB615">
        <v>0</v>
      </c>
      <c r="CC615">
        <v>0.45</v>
      </c>
      <c r="CD615">
        <v>0.45</v>
      </c>
      <c r="CE615">
        <v>0.69</v>
      </c>
      <c r="CF615">
        <v>0.69</v>
      </c>
      <c r="CG615" s="1" t="s">
        <v>204</v>
      </c>
      <c r="CH615">
        <v>4.8</v>
      </c>
      <c r="CI615" s="1" t="s">
        <v>129</v>
      </c>
      <c r="CJ615">
        <v>0.2</v>
      </c>
      <c r="CK615" s="1" t="s">
        <v>159</v>
      </c>
      <c r="CL615" s="1" t="s">
        <v>375</v>
      </c>
      <c r="CM615" s="1" t="s">
        <v>1406</v>
      </c>
      <c r="CN615">
        <v>66.400000000000006</v>
      </c>
      <c r="CO615" s="1" t="s">
        <v>755</v>
      </c>
      <c r="CP615" s="1" t="s">
        <v>5457</v>
      </c>
      <c r="CQ615" s="1" t="s">
        <v>6196</v>
      </c>
      <c r="CR615" s="1" t="s">
        <v>6197</v>
      </c>
      <c r="CS615">
        <v>1612</v>
      </c>
      <c r="CT615" s="1" t="s">
        <v>5178</v>
      </c>
      <c r="CU615" s="1" t="s">
        <v>5586</v>
      </c>
      <c r="CV615">
        <v>1612.2</v>
      </c>
      <c r="CW615">
        <v>78.599999999999994</v>
      </c>
      <c r="CX615">
        <v>79.099999999999994</v>
      </c>
      <c r="CY615">
        <v>80.599999999999994</v>
      </c>
      <c r="CZ615">
        <v>83</v>
      </c>
      <c r="DA615">
        <v>1</v>
      </c>
      <c r="DB615" t="s">
        <v>114</v>
      </c>
      <c r="DC615">
        <v>53</v>
      </c>
      <c r="DD615" s="1" t="s">
        <v>6198</v>
      </c>
      <c r="DE615">
        <v>-7.7756715337461202</v>
      </c>
      <c r="DF615" t="str">
        <f>_xlfn.XLOOKUP(Table1[[#This Row],[Player ID]],Table2[feed_id],Table2[trade_status])</f>
        <v>free_agent</v>
      </c>
      <c r="DG615">
        <f>_xlfn.NUMBERVALUE(Table1[[#This Row],[predicted]])</f>
        <v>60.775671533746099</v>
      </c>
    </row>
    <row r="616" spans="1:111" hidden="1" x14ac:dyDescent="0.25">
      <c r="A616">
        <v>131240</v>
      </c>
      <c r="B616">
        <v>9208</v>
      </c>
      <c r="C616" t="s">
        <v>6199</v>
      </c>
      <c r="D616" t="s">
        <v>1893</v>
      </c>
      <c r="E616">
        <v>2025</v>
      </c>
      <c r="F616">
        <v>1011936</v>
      </c>
      <c r="G616" t="s">
        <v>199</v>
      </c>
      <c r="H616" t="s">
        <v>6200</v>
      </c>
      <c r="I616" t="s">
        <v>338</v>
      </c>
      <c r="J616">
        <v>9</v>
      </c>
      <c r="K616">
        <v>66</v>
      </c>
      <c r="L616">
        <v>87</v>
      </c>
      <c r="M616">
        <v>80</v>
      </c>
      <c r="N616">
        <v>60</v>
      </c>
      <c r="O616">
        <v>84</v>
      </c>
      <c r="P616">
        <v>8</v>
      </c>
      <c r="Q616">
        <v>15</v>
      </c>
      <c r="R616">
        <v>4</v>
      </c>
      <c r="S616">
        <v>1</v>
      </c>
      <c r="T616">
        <v>0</v>
      </c>
      <c r="U616">
        <v>2</v>
      </c>
      <c r="V616">
        <v>2</v>
      </c>
      <c r="W616">
        <v>0</v>
      </c>
      <c r="X616">
        <v>0</v>
      </c>
      <c r="Y616" t="s">
        <v>113</v>
      </c>
      <c r="Z616" t="s">
        <v>525</v>
      </c>
      <c r="AA616" t="s">
        <v>6201</v>
      </c>
      <c r="AD616">
        <v>653200</v>
      </c>
      <c r="AF616">
        <v>403300</v>
      </c>
      <c r="AH616" t="s">
        <v>118</v>
      </c>
      <c r="AI616">
        <v>27</v>
      </c>
      <c r="AJ616">
        <v>0</v>
      </c>
      <c r="AK616">
        <v>0</v>
      </c>
      <c r="AL616">
        <v>0</v>
      </c>
      <c r="AM616">
        <v>0.18</v>
      </c>
      <c r="AN616">
        <v>7.0000000000000007E-2</v>
      </c>
      <c r="AO616">
        <v>0.21</v>
      </c>
      <c r="AP616">
        <v>639000</v>
      </c>
      <c r="AS616">
        <v>10</v>
      </c>
      <c r="AT616">
        <v>5</v>
      </c>
      <c r="AU616">
        <v>3</v>
      </c>
      <c r="AV616">
        <v>78</v>
      </c>
      <c r="AW616">
        <v>78</v>
      </c>
      <c r="AX616">
        <v>226</v>
      </c>
      <c r="AY616">
        <v>0</v>
      </c>
      <c r="AZ616" t="b">
        <v>0</v>
      </c>
      <c r="BA616">
        <v>1633</v>
      </c>
      <c r="BB616">
        <v>1660</v>
      </c>
      <c r="BC616">
        <v>2</v>
      </c>
      <c r="BD616" t="s">
        <v>6202</v>
      </c>
      <c r="BE616">
        <v>98</v>
      </c>
      <c r="BF616">
        <v>0</v>
      </c>
      <c r="BG616">
        <v>73</v>
      </c>
      <c r="BH616">
        <v>1</v>
      </c>
      <c r="BI616">
        <v>8</v>
      </c>
      <c r="BJ616" s="1" t="s">
        <v>864</v>
      </c>
      <c r="BK616" s="1" t="s">
        <v>545</v>
      </c>
      <c r="BL616" s="1" t="s">
        <v>358</v>
      </c>
      <c r="BM616" s="1" t="s">
        <v>160</v>
      </c>
      <c r="BN616" s="1" t="s">
        <v>205</v>
      </c>
      <c r="BO616" s="1" t="s">
        <v>126</v>
      </c>
      <c r="BP616" s="1" t="s">
        <v>566</v>
      </c>
      <c r="BQ616">
        <v>0</v>
      </c>
      <c r="BR616">
        <v>0</v>
      </c>
      <c r="BS616">
        <v>1</v>
      </c>
      <c r="BT616" s="1" t="s">
        <v>127</v>
      </c>
      <c r="BU616">
        <v>2</v>
      </c>
      <c r="BV616">
        <v>1</v>
      </c>
      <c r="BW616">
        <v>0</v>
      </c>
      <c r="BX616" s="1" t="s">
        <v>184</v>
      </c>
      <c r="BY616" s="1" t="s">
        <v>129</v>
      </c>
      <c r="BZ616" s="1" t="s">
        <v>231</v>
      </c>
      <c r="CA616">
        <v>0.18</v>
      </c>
      <c r="CB616">
        <v>0.18</v>
      </c>
      <c r="CC616">
        <v>7.0000000000000007E-2</v>
      </c>
      <c r="CD616">
        <v>7.0000000000000007E-2</v>
      </c>
      <c r="CE616">
        <v>0.21</v>
      </c>
      <c r="CF616">
        <v>0.21</v>
      </c>
      <c r="CG616">
        <v>7</v>
      </c>
      <c r="CH616" s="1" t="s">
        <v>1092</v>
      </c>
      <c r="CI616">
        <v>2</v>
      </c>
      <c r="CJ616">
        <v>1.4</v>
      </c>
      <c r="CK616" s="1" t="s">
        <v>169</v>
      </c>
      <c r="CL616">
        <v>2.2000000000000002</v>
      </c>
      <c r="CM616">
        <v>73</v>
      </c>
      <c r="CN616">
        <v>74.8</v>
      </c>
      <c r="CO616" s="1" t="s">
        <v>755</v>
      </c>
      <c r="CP616" s="1" t="s">
        <v>930</v>
      </c>
      <c r="CQ616" s="1" t="s">
        <v>3646</v>
      </c>
      <c r="CR616">
        <v>239.6</v>
      </c>
      <c r="CS616" s="1" t="s">
        <v>3432</v>
      </c>
      <c r="CT616" s="1" t="s">
        <v>6203</v>
      </c>
      <c r="CU616">
        <v>1773</v>
      </c>
      <c r="CV616">
        <v>1601.2</v>
      </c>
      <c r="CW616">
        <v>77.75</v>
      </c>
      <c r="CX616">
        <v>72.8</v>
      </c>
      <c r="CY616">
        <v>63.6</v>
      </c>
      <c r="CZ616" s="1" t="s">
        <v>572</v>
      </c>
      <c r="DA616">
        <v>1</v>
      </c>
      <c r="DB616" t="s">
        <v>525</v>
      </c>
      <c r="DC616">
        <v>87</v>
      </c>
      <c r="DD616" s="1" t="s">
        <v>6204</v>
      </c>
      <c r="DE616" s="1" t="s">
        <v>6205</v>
      </c>
      <c r="DF616" t="str">
        <f>_xlfn.XLOOKUP(Table1[[#This Row],[Player ID]],Table2[feed_id],Table2[trade_status])</f>
        <v>free_agent</v>
      </c>
      <c r="DG616">
        <f>_xlfn.NUMBERVALUE(Table1[[#This Row],[predicted]])</f>
        <v>74.447179471672698</v>
      </c>
    </row>
    <row r="617" spans="1:111" hidden="1" x14ac:dyDescent="0.25">
      <c r="A617">
        <v>131245</v>
      </c>
      <c r="B617">
        <v>9208</v>
      </c>
      <c r="C617" t="s">
        <v>6199</v>
      </c>
      <c r="D617" t="s">
        <v>1893</v>
      </c>
      <c r="E617">
        <v>2025</v>
      </c>
      <c r="F617">
        <v>996743</v>
      </c>
      <c r="G617" t="s">
        <v>2975</v>
      </c>
      <c r="H617" t="s">
        <v>6206</v>
      </c>
      <c r="I617" t="s">
        <v>338</v>
      </c>
      <c r="J617">
        <v>8</v>
      </c>
      <c r="K617">
        <v>57</v>
      </c>
      <c r="L617">
        <v>73</v>
      </c>
      <c r="M617">
        <v>74</v>
      </c>
      <c r="N617">
        <v>46</v>
      </c>
      <c r="O617">
        <v>60</v>
      </c>
      <c r="P617">
        <v>9</v>
      </c>
      <c r="Q617">
        <v>4</v>
      </c>
      <c r="R617">
        <v>6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113</v>
      </c>
      <c r="Z617" t="s">
        <v>179</v>
      </c>
      <c r="AA617" t="s">
        <v>6207</v>
      </c>
      <c r="AD617">
        <v>339400</v>
      </c>
      <c r="AF617">
        <v>293200</v>
      </c>
      <c r="AH617" t="s">
        <v>181</v>
      </c>
      <c r="AI617">
        <v>43</v>
      </c>
      <c r="AJ617">
        <v>0</v>
      </c>
      <c r="AK617">
        <v>0</v>
      </c>
      <c r="AL617">
        <v>0</v>
      </c>
      <c r="AM617">
        <v>0.09</v>
      </c>
      <c r="AN617">
        <v>0.05</v>
      </c>
      <c r="AO617">
        <v>0.18</v>
      </c>
      <c r="AP617">
        <v>336000</v>
      </c>
      <c r="AS617">
        <v>3</v>
      </c>
      <c r="AT617">
        <v>1</v>
      </c>
      <c r="AU617">
        <v>1</v>
      </c>
      <c r="AV617">
        <v>84</v>
      </c>
      <c r="AW617">
        <v>80</v>
      </c>
      <c r="AX617">
        <v>266</v>
      </c>
      <c r="AY617">
        <v>1</v>
      </c>
      <c r="AZ617" t="b">
        <v>0</v>
      </c>
      <c r="BA617">
        <v>1633</v>
      </c>
      <c r="BB617">
        <v>1660</v>
      </c>
      <c r="BC617">
        <v>2</v>
      </c>
      <c r="BD617" t="s">
        <v>6202</v>
      </c>
      <c r="BE617">
        <v>98</v>
      </c>
      <c r="BF617">
        <v>0</v>
      </c>
      <c r="BG617">
        <v>73</v>
      </c>
      <c r="BH617">
        <v>1</v>
      </c>
      <c r="BI617">
        <v>7</v>
      </c>
      <c r="BJ617">
        <v>6.6</v>
      </c>
      <c r="BK617">
        <v>3</v>
      </c>
      <c r="BL617" s="1" t="s">
        <v>169</v>
      </c>
      <c r="BM617" s="1" t="s">
        <v>160</v>
      </c>
      <c r="BN617" s="1" t="s">
        <v>990</v>
      </c>
      <c r="BO617" s="1" t="s">
        <v>128</v>
      </c>
      <c r="BP617" s="1" t="s">
        <v>327</v>
      </c>
      <c r="BQ617">
        <v>0</v>
      </c>
      <c r="BR617">
        <v>0</v>
      </c>
      <c r="BS617" s="1" t="s">
        <v>129</v>
      </c>
      <c r="BT617" s="1" t="s">
        <v>231</v>
      </c>
      <c r="BU617" s="1" t="s">
        <v>129</v>
      </c>
      <c r="BV617">
        <v>0.4</v>
      </c>
      <c r="BW617">
        <v>0</v>
      </c>
      <c r="BX617">
        <v>6.6666666666666596E-2</v>
      </c>
      <c r="BY617">
        <v>0</v>
      </c>
      <c r="BZ617">
        <v>0</v>
      </c>
      <c r="CA617">
        <v>0.09</v>
      </c>
      <c r="CB617">
        <v>0.09</v>
      </c>
      <c r="CC617">
        <v>0.05</v>
      </c>
      <c r="CD617">
        <v>0.05</v>
      </c>
      <c r="CE617">
        <v>0.18</v>
      </c>
      <c r="CF617">
        <v>0.18</v>
      </c>
      <c r="CG617" s="1" t="s">
        <v>211</v>
      </c>
      <c r="CH617" s="1" t="s">
        <v>321</v>
      </c>
      <c r="CI617" s="1" t="s">
        <v>129</v>
      </c>
      <c r="CJ617">
        <v>0.2</v>
      </c>
      <c r="CK617" s="1" t="s">
        <v>161</v>
      </c>
      <c r="CL617" s="1" t="s">
        <v>126</v>
      </c>
      <c r="CM617" s="1" t="s">
        <v>941</v>
      </c>
      <c r="CN617">
        <v>81.2</v>
      </c>
      <c r="CO617" s="1" t="s">
        <v>437</v>
      </c>
      <c r="CP617">
        <v>81.2</v>
      </c>
      <c r="CQ617">
        <v>157</v>
      </c>
      <c r="CR617" s="1" t="s">
        <v>6208</v>
      </c>
      <c r="CS617" s="1" t="s">
        <v>3432</v>
      </c>
      <c r="CT617" s="1" t="s">
        <v>2199</v>
      </c>
      <c r="CU617">
        <v>1773</v>
      </c>
      <c r="CV617" s="1" t="s">
        <v>770</v>
      </c>
      <c r="CW617">
        <v>58.7</v>
      </c>
      <c r="CX617">
        <v>61.2</v>
      </c>
      <c r="CY617">
        <v>66.2</v>
      </c>
      <c r="CZ617" s="1" t="s">
        <v>558</v>
      </c>
      <c r="DA617">
        <v>1</v>
      </c>
      <c r="DB617" t="s">
        <v>179</v>
      </c>
      <c r="DC617">
        <v>73</v>
      </c>
      <c r="DD617" s="1" t="s">
        <v>6209</v>
      </c>
      <c r="DE617" s="1" t="s">
        <v>6210</v>
      </c>
      <c r="DF617" t="str">
        <f>_xlfn.XLOOKUP(Table1[[#This Row],[Player ID]],Table2[feed_id],Table2[trade_status])</f>
        <v>free_agent</v>
      </c>
      <c r="DG617">
        <f>_xlfn.NUMBERVALUE(Table1[[#This Row],[predicted]])</f>
        <v>50.838345266519397</v>
      </c>
    </row>
    <row r="618" spans="1:111" hidden="1" x14ac:dyDescent="0.25">
      <c r="A618">
        <v>131249</v>
      </c>
      <c r="B618">
        <v>9208</v>
      </c>
      <c r="C618" t="s">
        <v>6199</v>
      </c>
      <c r="D618" t="s">
        <v>1893</v>
      </c>
      <c r="E618">
        <v>2025</v>
      </c>
      <c r="F618">
        <v>1004985</v>
      </c>
      <c r="G618" t="s">
        <v>670</v>
      </c>
      <c r="H618" t="s">
        <v>6211</v>
      </c>
      <c r="I618" t="s">
        <v>338</v>
      </c>
      <c r="J618">
        <v>4</v>
      </c>
      <c r="K618">
        <v>42</v>
      </c>
      <c r="L618">
        <v>43</v>
      </c>
      <c r="M618">
        <v>57</v>
      </c>
      <c r="N618">
        <v>31</v>
      </c>
      <c r="O618">
        <v>45</v>
      </c>
      <c r="P618">
        <v>7</v>
      </c>
      <c r="Q618">
        <v>3</v>
      </c>
      <c r="R618">
        <v>2</v>
      </c>
      <c r="S618">
        <v>3</v>
      </c>
      <c r="T618">
        <v>0</v>
      </c>
      <c r="U618">
        <v>0</v>
      </c>
      <c r="V618">
        <v>1</v>
      </c>
      <c r="W618">
        <v>0</v>
      </c>
      <c r="X618">
        <v>0</v>
      </c>
      <c r="Y618" t="s">
        <v>113</v>
      </c>
      <c r="Z618" t="s">
        <v>226</v>
      </c>
      <c r="AA618" t="s">
        <v>6212</v>
      </c>
      <c r="AB618" t="s">
        <v>116</v>
      </c>
      <c r="AC618" t="s">
        <v>6213</v>
      </c>
      <c r="AD618">
        <v>502200</v>
      </c>
      <c r="AF618">
        <v>275200</v>
      </c>
      <c r="AH618" t="s">
        <v>181</v>
      </c>
      <c r="AI618">
        <v>25</v>
      </c>
      <c r="AJ618">
        <v>0</v>
      </c>
      <c r="AK618">
        <v>0</v>
      </c>
      <c r="AL618">
        <v>0</v>
      </c>
      <c r="AM618">
        <v>0.09</v>
      </c>
      <c r="AN618">
        <v>0.04</v>
      </c>
      <c r="AO618">
        <v>0.03</v>
      </c>
      <c r="AP618">
        <v>491000</v>
      </c>
      <c r="AS618">
        <v>0</v>
      </c>
      <c r="AT618">
        <v>0</v>
      </c>
      <c r="AU618">
        <v>2</v>
      </c>
      <c r="AV618">
        <v>90</v>
      </c>
      <c r="AW618">
        <v>53</v>
      </c>
      <c r="AX618">
        <v>121</v>
      </c>
      <c r="AY618">
        <v>1</v>
      </c>
      <c r="AZ618" t="b">
        <v>1</v>
      </c>
      <c r="BA618">
        <v>1633</v>
      </c>
      <c r="BB618">
        <v>1660</v>
      </c>
      <c r="BC618">
        <v>2</v>
      </c>
      <c r="BD618" t="s">
        <v>6202</v>
      </c>
      <c r="BE618">
        <v>98</v>
      </c>
      <c r="BF618">
        <v>0</v>
      </c>
      <c r="BG618">
        <v>73</v>
      </c>
      <c r="BH618">
        <v>0</v>
      </c>
      <c r="BI618">
        <v>5</v>
      </c>
      <c r="BJ618" s="1" t="s">
        <v>397</v>
      </c>
      <c r="BK618" s="1" t="s">
        <v>160</v>
      </c>
      <c r="BL618" s="1" t="s">
        <v>374</v>
      </c>
      <c r="BM618" s="1" t="s">
        <v>161</v>
      </c>
      <c r="BN618" s="1" t="s">
        <v>138</v>
      </c>
      <c r="BO618" s="1" t="s">
        <v>161</v>
      </c>
      <c r="BP618">
        <v>1.6</v>
      </c>
      <c r="BQ618">
        <v>0</v>
      </c>
      <c r="BR618">
        <v>0</v>
      </c>
      <c r="BS618">
        <v>0</v>
      </c>
      <c r="BT618">
        <v>0.6</v>
      </c>
      <c r="BU618">
        <v>1</v>
      </c>
      <c r="BV618" s="1" t="s">
        <v>184</v>
      </c>
      <c r="BW618">
        <v>0</v>
      </c>
      <c r="BX618">
        <v>0</v>
      </c>
      <c r="BY618">
        <v>0</v>
      </c>
      <c r="BZ618">
        <v>0</v>
      </c>
      <c r="CA618">
        <v>0.09</v>
      </c>
      <c r="CB618" s="1" t="s">
        <v>2469</v>
      </c>
      <c r="CC618">
        <v>0.04</v>
      </c>
      <c r="CD618">
        <v>6.4000000000000001E-2</v>
      </c>
      <c r="CE618">
        <v>0.03</v>
      </c>
      <c r="CF618" s="1" t="s">
        <v>4682</v>
      </c>
      <c r="CG618">
        <v>3</v>
      </c>
      <c r="CH618" s="1" t="s">
        <v>766</v>
      </c>
      <c r="CI618">
        <v>0</v>
      </c>
      <c r="CJ618" s="1" t="s">
        <v>184</v>
      </c>
      <c r="CK618" s="1" t="s">
        <v>126</v>
      </c>
      <c r="CL618" s="1" t="s">
        <v>327</v>
      </c>
      <c r="CM618" s="1" t="s">
        <v>4685</v>
      </c>
      <c r="CN618">
        <v>77</v>
      </c>
      <c r="CO618" s="1" t="s">
        <v>649</v>
      </c>
      <c r="CP618" s="1" t="s">
        <v>1590</v>
      </c>
      <c r="CQ618">
        <v>139</v>
      </c>
      <c r="CR618">
        <v>159.6</v>
      </c>
      <c r="CS618" s="1" t="s">
        <v>1290</v>
      </c>
      <c r="CT618">
        <v>1615</v>
      </c>
      <c r="CU618">
        <v>1674</v>
      </c>
      <c r="CV618">
        <v>1667.4</v>
      </c>
      <c r="CW618">
        <v>49.35</v>
      </c>
      <c r="CX618">
        <v>42.4</v>
      </c>
      <c r="CY618">
        <v>39.799999999999997</v>
      </c>
      <c r="CZ618" s="1" t="s">
        <v>1861</v>
      </c>
      <c r="DA618">
        <v>1</v>
      </c>
      <c r="DB618" t="s">
        <v>226</v>
      </c>
      <c r="DC618">
        <v>43</v>
      </c>
      <c r="DD618" s="1" t="s">
        <v>6214</v>
      </c>
      <c r="DE618">
        <v>-32.313584439456299</v>
      </c>
      <c r="DF618" t="str">
        <f>_xlfn.XLOOKUP(Table1[[#This Row],[Player ID]],Table2[feed_id],Table2[trade_status])</f>
        <v>free_agent</v>
      </c>
      <c r="DG618">
        <f>_xlfn.NUMBERVALUE(Table1[[#This Row],[predicted]])</f>
        <v>75.313584439456307</v>
      </c>
    </row>
    <row r="619" spans="1:111" hidden="1" x14ac:dyDescent="0.25">
      <c r="A619">
        <v>131261</v>
      </c>
      <c r="B619">
        <v>9208</v>
      </c>
      <c r="C619" t="s">
        <v>6199</v>
      </c>
      <c r="D619" t="s">
        <v>1893</v>
      </c>
      <c r="E619">
        <v>2025</v>
      </c>
      <c r="F619">
        <v>298211</v>
      </c>
      <c r="G619" t="s">
        <v>3105</v>
      </c>
      <c r="H619" t="s">
        <v>6215</v>
      </c>
      <c r="I619" t="s">
        <v>201</v>
      </c>
      <c r="J619">
        <v>12</v>
      </c>
      <c r="K619">
        <v>66</v>
      </c>
      <c r="L619">
        <v>76</v>
      </c>
      <c r="M619">
        <v>42</v>
      </c>
      <c r="N619">
        <v>58</v>
      </c>
      <c r="O619">
        <v>75</v>
      </c>
      <c r="P619">
        <v>10</v>
      </c>
      <c r="Q619">
        <v>4</v>
      </c>
      <c r="R619">
        <v>4</v>
      </c>
      <c r="S619">
        <v>1</v>
      </c>
      <c r="T619">
        <v>12</v>
      </c>
      <c r="U619">
        <v>0</v>
      </c>
      <c r="V619">
        <v>2</v>
      </c>
      <c r="W619">
        <v>1</v>
      </c>
      <c r="X619">
        <v>0</v>
      </c>
      <c r="Y619" t="s">
        <v>113</v>
      </c>
      <c r="Z619" t="s">
        <v>656</v>
      </c>
      <c r="AA619" t="s">
        <v>6216</v>
      </c>
      <c r="AD619">
        <v>376100</v>
      </c>
      <c r="AF619">
        <v>272300</v>
      </c>
      <c r="AH619" t="s">
        <v>274</v>
      </c>
      <c r="AI619">
        <v>32</v>
      </c>
      <c r="AJ619">
        <v>0</v>
      </c>
      <c r="AK619">
        <v>0</v>
      </c>
      <c r="AL619">
        <v>0</v>
      </c>
      <c r="AM619">
        <v>1.55</v>
      </c>
      <c r="AN619">
        <v>1.38</v>
      </c>
      <c r="AO619">
        <v>0.28999999999999998</v>
      </c>
      <c r="AP619">
        <v>467000</v>
      </c>
      <c r="AS619">
        <v>9</v>
      </c>
      <c r="AT619">
        <v>3</v>
      </c>
      <c r="AU619">
        <v>3</v>
      </c>
      <c r="AV619">
        <v>64</v>
      </c>
      <c r="AW619">
        <v>73</v>
      </c>
      <c r="AX619">
        <v>150</v>
      </c>
      <c r="AY619">
        <v>1</v>
      </c>
      <c r="AZ619" t="b">
        <v>0</v>
      </c>
      <c r="BA619">
        <v>1660</v>
      </c>
      <c r="BB619">
        <v>1633</v>
      </c>
      <c r="BC619">
        <v>2</v>
      </c>
      <c r="BD619" t="s">
        <v>6217</v>
      </c>
      <c r="BE619">
        <v>98</v>
      </c>
      <c r="BF619">
        <v>0</v>
      </c>
      <c r="BG619">
        <v>73</v>
      </c>
      <c r="BH619">
        <v>1</v>
      </c>
      <c r="BI619">
        <v>9</v>
      </c>
      <c r="BJ619" s="1" t="s">
        <v>398</v>
      </c>
      <c r="BK619" s="1" t="s">
        <v>138</v>
      </c>
      <c r="BL619">
        <v>3.2</v>
      </c>
      <c r="BM619">
        <v>3</v>
      </c>
      <c r="BN619">
        <v>1.8</v>
      </c>
      <c r="BO619" s="1" t="s">
        <v>138</v>
      </c>
      <c r="BP619">
        <v>2.4</v>
      </c>
      <c r="BQ619" s="1" t="s">
        <v>4882</v>
      </c>
      <c r="BR619">
        <v>16</v>
      </c>
      <c r="BS619">
        <v>1</v>
      </c>
      <c r="BT619" s="1" t="s">
        <v>162</v>
      </c>
      <c r="BU619">
        <v>2</v>
      </c>
      <c r="BV619" s="1" t="s">
        <v>327</v>
      </c>
      <c r="BW619" s="1" t="s">
        <v>128</v>
      </c>
      <c r="BX619" s="1" t="s">
        <v>129</v>
      </c>
      <c r="BY619" s="1" t="s">
        <v>128</v>
      </c>
      <c r="BZ619" s="1" t="s">
        <v>129</v>
      </c>
      <c r="CA619">
        <v>1.55</v>
      </c>
      <c r="CB619" s="1" t="s">
        <v>6218</v>
      </c>
      <c r="CC619">
        <v>1.38</v>
      </c>
      <c r="CD619">
        <v>0.67600000000000005</v>
      </c>
      <c r="CE619">
        <v>0.28999999999999998</v>
      </c>
      <c r="CF619" s="1" t="s">
        <v>546</v>
      </c>
      <c r="CG619">
        <v>8</v>
      </c>
      <c r="CH619" s="1" t="s">
        <v>430</v>
      </c>
      <c r="CI619">
        <v>4</v>
      </c>
      <c r="CJ619" s="1" t="s">
        <v>373</v>
      </c>
      <c r="CK619" s="1" t="s">
        <v>159</v>
      </c>
      <c r="CL619" s="1" t="s">
        <v>140</v>
      </c>
      <c r="CM619" s="1" t="s">
        <v>2464</v>
      </c>
      <c r="CN619" s="1" t="s">
        <v>2998</v>
      </c>
      <c r="CO619" s="1" t="s">
        <v>483</v>
      </c>
      <c r="CP619">
        <v>64.599999999999994</v>
      </c>
      <c r="CQ619">
        <v>167</v>
      </c>
      <c r="CR619" s="1" t="s">
        <v>6219</v>
      </c>
      <c r="CS619">
        <v>1685</v>
      </c>
      <c r="CT619">
        <v>1688.8</v>
      </c>
      <c r="CU619" s="1" t="s">
        <v>3630</v>
      </c>
      <c r="CV619" s="1" t="s">
        <v>6220</v>
      </c>
      <c r="CW619">
        <v>61.9</v>
      </c>
      <c r="CX619">
        <v>60.8</v>
      </c>
      <c r="CY619">
        <v>65.599999999999994</v>
      </c>
      <c r="CZ619" s="1" t="s">
        <v>1053</v>
      </c>
      <c r="DA619">
        <v>1</v>
      </c>
      <c r="DB619" t="s">
        <v>656</v>
      </c>
      <c r="DC619">
        <v>76</v>
      </c>
      <c r="DD619" s="1" t="s">
        <v>6221</v>
      </c>
      <c r="DE619" s="1" t="s">
        <v>6222</v>
      </c>
      <c r="DF619" t="str">
        <f>_xlfn.XLOOKUP(Table1[[#This Row],[Player ID]],Table2[feed_id],Table2[trade_status])</f>
        <v>free_agent</v>
      </c>
      <c r="DG619">
        <f>_xlfn.NUMBERVALUE(Table1[[#This Row],[predicted]])</f>
        <v>66.679853082719205</v>
      </c>
    </row>
    <row r="620" spans="1:111" hidden="1" x14ac:dyDescent="0.25">
      <c r="A620">
        <v>131265</v>
      </c>
      <c r="B620">
        <v>9208</v>
      </c>
      <c r="C620" t="s">
        <v>6199</v>
      </c>
      <c r="D620" t="s">
        <v>1893</v>
      </c>
      <c r="E620">
        <v>2025</v>
      </c>
      <c r="F620">
        <v>1002401</v>
      </c>
      <c r="G620" t="s">
        <v>3213</v>
      </c>
      <c r="H620" t="s">
        <v>6223</v>
      </c>
      <c r="I620" t="s">
        <v>201</v>
      </c>
      <c r="J620">
        <v>4</v>
      </c>
      <c r="K620">
        <v>50</v>
      </c>
      <c r="L620">
        <v>64</v>
      </c>
      <c r="M620">
        <v>39</v>
      </c>
      <c r="N620">
        <v>40</v>
      </c>
      <c r="O620">
        <v>54</v>
      </c>
      <c r="P620">
        <v>6</v>
      </c>
      <c r="Q620">
        <v>7</v>
      </c>
      <c r="R620">
        <v>3</v>
      </c>
      <c r="S620">
        <v>2</v>
      </c>
      <c r="T620">
        <v>0</v>
      </c>
      <c r="U620">
        <v>1</v>
      </c>
      <c r="V620">
        <v>0</v>
      </c>
      <c r="W620">
        <v>0</v>
      </c>
      <c r="X620">
        <v>0</v>
      </c>
      <c r="Y620" t="s">
        <v>113</v>
      </c>
      <c r="Z620" t="s">
        <v>114</v>
      </c>
      <c r="AA620" t="s">
        <v>6224</v>
      </c>
      <c r="AB620" t="s">
        <v>226</v>
      </c>
      <c r="AC620" t="s">
        <v>6225</v>
      </c>
      <c r="AD620">
        <v>455000</v>
      </c>
      <c r="AE620">
        <v>0</v>
      </c>
      <c r="AF620">
        <v>304500</v>
      </c>
      <c r="AH620" t="s">
        <v>181</v>
      </c>
      <c r="AI620">
        <v>37</v>
      </c>
      <c r="AJ620">
        <v>3</v>
      </c>
      <c r="AK620">
        <v>37.33</v>
      </c>
      <c r="AL620">
        <v>0</v>
      </c>
      <c r="AM620">
        <v>0</v>
      </c>
      <c r="AN620">
        <v>0.37</v>
      </c>
      <c r="AO620">
        <v>0.28999999999999998</v>
      </c>
      <c r="AP620">
        <v>445000</v>
      </c>
      <c r="AS620">
        <v>7</v>
      </c>
      <c r="AT620">
        <v>2</v>
      </c>
      <c r="AU620">
        <v>0</v>
      </c>
      <c r="AV620">
        <v>84</v>
      </c>
      <c r="AW620">
        <v>66</v>
      </c>
      <c r="AX620">
        <v>105</v>
      </c>
      <c r="AY620">
        <v>1</v>
      </c>
      <c r="AZ620" t="b">
        <v>1</v>
      </c>
      <c r="BA620">
        <v>1660</v>
      </c>
      <c r="BB620">
        <v>1633</v>
      </c>
      <c r="BC620">
        <v>2</v>
      </c>
      <c r="BD620" t="s">
        <v>6217</v>
      </c>
      <c r="BE620">
        <v>98</v>
      </c>
      <c r="BF620">
        <v>0</v>
      </c>
      <c r="BG620">
        <v>73</v>
      </c>
      <c r="BH620">
        <v>0</v>
      </c>
      <c r="BI620">
        <v>10</v>
      </c>
      <c r="BJ620" s="1" t="s">
        <v>303</v>
      </c>
      <c r="BK620" s="1" t="s">
        <v>160</v>
      </c>
      <c r="BL620" s="1" t="s">
        <v>528</v>
      </c>
      <c r="BM620">
        <v>6</v>
      </c>
      <c r="BN620" s="1" t="s">
        <v>499</v>
      </c>
      <c r="BO620" s="1" t="s">
        <v>159</v>
      </c>
      <c r="BP620" s="1" t="s">
        <v>275</v>
      </c>
      <c r="BQ620">
        <v>0</v>
      </c>
      <c r="BR620">
        <v>0</v>
      </c>
      <c r="BS620" s="1" t="s">
        <v>128</v>
      </c>
      <c r="BT620" s="1" t="s">
        <v>162</v>
      </c>
      <c r="BU620">
        <v>0</v>
      </c>
      <c r="BV620" s="1" t="s">
        <v>130</v>
      </c>
      <c r="BW620">
        <v>0</v>
      </c>
      <c r="BX620">
        <v>6.6666666666666596E-2</v>
      </c>
      <c r="BY620">
        <v>0</v>
      </c>
      <c r="BZ620">
        <v>6.6666666666666596E-2</v>
      </c>
      <c r="CA620">
        <v>0</v>
      </c>
      <c r="CB620">
        <v>0</v>
      </c>
      <c r="CC620">
        <v>0.37</v>
      </c>
      <c r="CD620">
        <v>0.37</v>
      </c>
      <c r="CE620">
        <v>0.28999999999999998</v>
      </c>
      <c r="CF620">
        <v>0.28999999999999998</v>
      </c>
      <c r="CG620" s="1" t="s">
        <v>124</v>
      </c>
      <c r="CH620" s="1" t="s">
        <v>587</v>
      </c>
      <c r="CI620">
        <v>1</v>
      </c>
      <c r="CJ620" s="1" t="s">
        <v>231</v>
      </c>
      <c r="CK620" s="1" t="s">
        <v>126</v>
      </c>
      <c r="CL620" s="1" t="s">
        <v>161</v>
      </c>
      <c r="CM620" s="1" t="s">
        <v>305</v>
      </c>
      <c r="CN620" s="1" t="s">
        <v>684</v>
      </c>
      <c r="CO620">
        <v>80</v>
      </c>
      <c r="CP620" s="1" t="s">
        <v>364</v>
      </c>
      <c r="CQ620">
        <v>254</v>
      </c>
      <c r="CR620">
        <v>238</v>
      </c>
      <c r="CS620" s="1" t="s">
        <v>5076</v>
      </c>
      <c r="CT620" s="1" t="s">
        <v>1655</v>
      </c>
      <c r="CU620" s="1" t="s">
        <v>6226</v>
      </c>
      <c r="CV620">
        <v>1556.2</v>
      </c>
      <c r="CW620">
        <v>59.3</v>
      </c>
      <c r="CX620">
        <v>65.8</v>
      </c>
      <c r="CY620">
        <v>74</v>
      </c>
      <c r="CZ620">
        <v>76</v>
      </c>
      <c r="DA620">
        <v>1</v>
      </c>
      <c r="DB620" t="s">
        <v>114</v>
      </c>
      <c r="DC620">
        <v>64</v>
      </c>
      <c r="DD620" s="1" t="s">
        <v>6227</v>
      </c>
      <c r="DE620" s="1" t="s">
        <v>6228</v>
      </c>
      <c r="DF620" t="str">
        <f>_xlfn.XLOOKUP(Table1[[#This Row],[Player ID]],Table2[feed_id],Table2[trade_status])</f>
        <v>free_agent</v>
      </c>
      <c r="DG620">
        <f>_xlfn.NUMBERVALUE(Table1[[#This Row],[predicted]])</f>
        <v>46.142913989183697</v>
      </c>
    </row>
    <row r="621" spans="1:111" hidden="1" x14ac:dyDescent="0.25">
      <c r="A621">
        <v>131316</v>
      </c>
      <c r="B621">
        <v>9209</v>
      </c>
      <c r="C621" t="s">
        <v>6229</v>
      </c>
      <c r="D621" t="s">
        <v>1893</v>
      </c>
      <c r="E621">
        <v>2025</v>
      </c>
      <c r="F621">
        <v>1020968</v>
      </c>
      <c r="G621" t="s">
        <v>2003</v>
      </c>
      <c r="H621" t="s">
        <v>6230</v>
      </c>
      <c r="I621" t="s">
        <v>813</v>
      </c>
      <c r="J621">
        <v>3</v>
      </c>
      <c r="K621">
        <v>39</v>
      </c>
      <c r="L621">
        <v>35</v>
      </c>
      <c r="M621">
        <v>23</v>
      </c>
      <c r="N621">
        <v>32</v>
      </c>
      <c r="O621">
        <v>45</v>
      </c>
      <c r="P621">
        <v>7</v>
      </c>
      <c r="Q621">
        <v>4</v>
      </c>
      <c r="R621">
        <v>3</v>
      </c>
      <c r="S621">
        <v>1</v>
      </c>
      <c r="T621">
        <v>0</v>
      </c>
      <c r="U621">
        <v>0</v>
      </c>
      <c r="V621">
        <v>1</v>
      </c>
      <c r="W621">
        <v>0</v>
      </c>
      <c r="X621">
        <v>0</v>
      </c>
      <c r="Y621" t="s">
        <v>113</v>
      </c>
      <c r="Z621" t="s">
        <v>179</v>
      </c>
      <c r="AA621" t="s">
        <v>6231</v>
      </c>
      <c r="AD621">
        <v>242200</v>
      </c>
      <c r="AF621">
        <v>143100</v>
      </c>
      <c r="AH621" t="s">
        <v>181</v>
      </c>
      <c r="AI621">
        <v>34</v>
      </c>
      <c r="AJ621">
        <v>0</v>
      </c>
      <c r="AK621">
        <v>0</v>
      </c>
      <c r="AL621">
        <v>0</v>
      </c>
      <c r="AM621">
        <v>0.13</v>
      </c>
      <c r="AN621">
        <v>0.67</v>
      </c>
      <c r="AO621">
        <v>0.19</v>
      </c>
      <c r="AP621">
        <v>343000</v>
      </c>
      <c r="AS621">
        <v>1</v>
      </c>
      <c r="AT621">
        <v>0</v>
      </c>
      <c r="AU621">
        <v>1</v>
      </c>
      <c r="AV621">
        <v>90</v>
      </c>
      <c r="AW621">
        <v>74</v>
      </c>
      <c r="AX621">
        <v>62</v>
      </c>
      <c r="AY621">
        <v>0</v>
      </c>
      <c r="AZ621" t="b">
        <v>0</v>
      </c>
      <c r="BA621">
        <v>1630</v>
      </c>
      <c r="BB621">
        <v>1664</v>
      </c>
      <c r="BC621">
        <v>2</v>
      </c>
      <c r="BD621" t="s">
        <v>6232</v>
      </c>
      <c r="BE621">
        <v>98</v>
      </c>
      <c r="BF621">
        <v>0</v>
      </c>
      <c r="BG621">
        <v>73</v>
      </c>
      <c r="BH621">
        <v>0</v>
      </c>
      <c r="BI621">
        <v>7</v>
      </c>
      <c r="BJ621" s="1" t="s">
        <v>139</v>
      </c>
      <c r="BK621" s="1" t="s">
        <v>125</v>
      </c>
      <c r="BL621" s="1" t="s">
        <v>499</v>
      </c>
      <c r="BM621">
        <v>5</v>
      </c>
      <c r="BN621">
        <v>3.6</v>
      </c>
      <c r="BO621" s="1" t="s">
        <v>161</v>
      </c>
      <c r="BP621" s="1" t="s">
        <v>169</v>
      </c>
      <c r="BQ621">
        <v>0</v>
      </c>
      <c r="BR621">
        <v>0</v>
      </c>
      <c r="BS621">
        <v>1</v>
      </c>
      <c r="BT621">
        <v>1.2</v>
      </c>
      <c r="BU621">
        <v>1</v>
      </c>
      <c r="BV621" s="1" t="s">
        <v>399</v>
      </c>
      <c r="BW621">
        <v>0</v>
      </c>
      <c r="BX621">
        <v>0</v>
      </c>
      <c r="BY621">
        <v>0</v>
      </c>
      <c r="BZ621">
        <v>0</v>
      </c>
      <c r="CA621">
        <v>0.13</v>
      </c>
      <c r="CB621" s="1" t="s">
        <v>6233</v>
      </c>
      <c r="CC621">
        <v>0.67</v>
      </c>
      <c r="CD621" s="1" t="s">
        <v>5372</v>
      </c>
      <c r="CE621">
        <v>0.19</v>
      </c>
      <c r="CF621" s="1" t="s">
        <v>6234</v>
      </c>
      <c r="CG621" s="1" t="s">
        <v>126</v>
      </c>
      <c r="CH621" s="1" t="s">
        <v>587</v>
      </c>
      <c r="CI621">
        <v>0</v>
      </c>
      <c r="CJ621" s="1" t="s">
        <v>129</v>
      </c>
      <c r="CK621" s="1" t="s">
        <v>126</v>
      </c>
      <c r="CL621" s="1" t="s">
        <v>375</v>
      </c>
      <c r="CM621" s="1" t="s">
        <v>516</v>
      </c>
      <c r="CN621" s="1" t="s">
        <v>1110</v>
      </c>
      <c r="CO621">
        <v>77</v>
      </c>
      <c r="CP621" s="1" t="s">
        <v>5350</v>
      </c>
      <c r="CQ621">
        <v>95</v>
      </c>
      <c r="CR621">
        <v>90.6</v>
      </c>
      <c r="CS621" s="1" t="s">
        <v>1781</v>
      </c>
      <c r="CT621">
        <v>1647.6</v>
      </c>
      <c r="CU621" s="1" t="s">
        <v>458</v>
      </c>
      <c r="CV621" s="1" t="s">
        <v>4982</v>
      </c>
      <c r="CW621">
        <v>45.3</v>
      </c>
      <c r="CX621">
        <v>54.3</v>
      </c>
      <c r="CY621">
        <v>58.8</v>
      </c>
      <c r="CZ621" s="1" t="s">
        <v>2765</v>
      </c>
      <c r="DA621">
        <v>1</v>
      </c>
      <c r="DB621" t="s">
        <v>179</v>
      </c>
      <c r="DC621">
        <v>35</v>
      </c>
      <c r="DD621" s="1" t="s">
        <v>6235</v>
      </c>
      <c r="DE621">
        <v>-6.8572536281553296</v>
      </c>
      <c r="DF621" t="str">
        <f>_xlfn.XLOOKUP(Table1[[#This Row],[Player ID]],Table2[feed_id],Table2[trade_status])</f>
        <v>free_agent</v>
      </c>
      <c r="DG621">
        <f>_xlfn.NUMBERVALUE(Table1[[#This Row],[predicted]])</f>
        <v>41.857253628155298</v>
      </c>
    </row>
    <row r="622" spans="1:111" hidden="1" x14ac:dyDescent="0.25">
      <c r="A622">
        <v>131338</v>
      </c>
      <c r="B622">
        <v>9210</v>
      </c>
      <c r="C622" t="s">
        <v>6236</v>
      </c>
      <c r="D622" t="s">
        <v>1893</v>
      </c>
      <c r="E622">
        <v>2025</v>
      </c>
      <c r="F622">
        <v>1013278</v>
      </c>
      <c r="G622" t="s">
        <v>6237</v>
      </c>
      <c r="H622" t="s">
        <v>6238</v>
      </c>
      <c r="I622" t="s">
        <v>112</v>
      </c>
      <c r="J622">
        <v>8</v>
      </c>
      <c r="K622">
        <v>54</v>
      </c>
      <c r="L622">
        <v>53</v>
      </c>
      <c r="M622">
        <v>71</v>
      </c>
      <c r="N622">
        <v>43</v>
      </c>
      <c r="O622">
        <v>54</v>
      </c>
      <c r="P622">
        <v>9</v>
      </c>
      <c r="Q622">
        <v>2</v>
      </c>
      <c r="R622">
        <v>6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Y622" t="s">
        <v>113</v>
      </c>
      <c r="Z622" t="s">
        <v>179</v>
      </c>
      <c r="AA622" t="s">
        <v>6239</v>
      </c>
      <c r="AD622">
        <v>195400</v>
      </c>
      <c r="AF622">
        <v>123900</v>
      </c>
      <c r="AH622" t="s">
        <v>155</v>
      </c>
      <c r="AI622">
        <v>26</v>
      </c>
      <c r="AJ622">
        <v>0</v>
      </c>
      <c r="AK622">
        <v>0</v>
      </c>
      <c r="AL622">
        <v>0</v>
      </c>
      <c r="AM622">
        <v>1.59</v>
      </c>
      <c r="AN622">
        <v>2.87</v>
      </c>
      <c r="AO622">
        <v>0.72</v>
      </c>
      <c r="AP622">
        <v>285000</v>
      </c>
      <c r="AS622">
        <v>2</v>
      </c>
      <c r="AT622">
        <v>0</v>
      </c>
      <c r="AU622">
        <v>0</v>
      </c>
      <c r="AV622">
        <v>81</v>
      </c>
      <c r="AW622">
        <v>82</v>
      </c>
      <c r="AX622">
        <v>195</v>
      </c>
      <c r="AY622">
        <v>0</v>
      </c>
      <c r="AZ622" t="b">
        <v>0</v>
      </c>
      <c r="BA622">
        <v>1440</v>
      </c>
      <c r="BB622">
        <v>1840</v>
      </c>
      <c r="BC622">
        <v>2</v>
      </c>
      <c r="BD622" t="s">
        <v>6240</v>
      </c>
      <c r="BE622">
        <v>98</v>
      </c>
      <c r="BF622">
        <v>0</v>
      </c>
      <c r="BG622">
        <v>73</v>
      </c>
      <c r="BH622">
        <v>0</v>
      </c>
      <c r="BI622" s="1" t="s">
        <v>183</v>
      </c>
      <c r="BJ622" s="1" t="s">
        <v>990</v>
      </c>
      <c r="BK622" s="1" t="s">
        <v>138</v>
      </c>
      <c r="BL622" s="1" t="s">
        <v>255</v>
      </c>
      <c r="BM622" s="1" t="s">
        <v>125</v>
      </c>
      <c r="BN622" s="1" t="s">
        <v>214</v>
      </c>
      <c r="BO622" s="1" t="s">
        <v>161</v>
      </c>
      <c r="BP622">
        <v>1.2</v>
      </c>
      <c r="BQ622">
        <v>0</v>
      </c>
      <c r="BR622">
        <v>0</v>
      </c>
      <c r="BS622">
        <v>1</v>
      </c>
      <c r="BT622">
        <v>0.4</v>
      </c>
      <c r="BU622" s="1" t="s">
        <v>129</v>
      </c>
      <c r="BV622">
        <v>0.6</v>
      </c>
      <c r="BW622" s="1" t="s">
        <v>129</v>
      </c>
      <c r="BX622">
        <v>1</v>
      </c>
      <c r="BY622">
        <v>0</v>
      </c>
      <c r="BZ622">
        <v>0.2</v>
      </c>
      <c r="CA622">
        <v>1.59</v>
      </c>
      <c r="CB622" s="1" t="s">
        <v>1040</v>
      </c>
      <c r="CC622">
        <v>2.87</v>
      </c>
      <c r="CD622" s="1" t="s">
        <v>6241</v>
      </c>
      <c r="CE622">
        <v>0.72</v>
      </c>
      <c r="CF622" s="1" t="s">
        <v>6242</v>
      </c>
      <c r="CG622" s="1" t="s">
        <v>138</v>
      </c>
      <c r="CH622" s="1" t="s">
        <v>140</v>
      </c>
      <c r="CI622">
        <v>0</v>
      </c>
      <c r="CJ622">
        <v>0</v>
      </c>
      <c r="CK622" s="1" t="s">
        <v>161</v>
      </c>
      <c r="CL622" s="1" t="s">
        <v>161</v>
      </c>
      <c r="CM622">
        <v>78</v>
      </c>
      <c r="CN622" s="1" t="s">
        <v>2057</v>
      </c>
      <c r="CO622">
        <v>78</v>
      </c>
      <c r="CP622">
        <v>52.6</v>
      </c>
      <c r="CQ622">
        <v>215</v>
      </c>
      <c r="CR622">
        <v>88.8</v>
      </c>
      <c r="CS622">
        <v>1555</v>
      </c>
      <c r="CT622" s="1" t="s">
        <v>2189</v>
      </c>
      <c r="CU622" s="1" t="s">
        <v>6243</v>
      </c>
      <c r="CV622">
        <v>1606.6</v>
      </c>
      <c r="CW622">
        <v>35.85</v>
      </c>
      <c r="CX622">
        <v>41.5</v>
      </c>
      <c r="CY622">
        <v>36.4</v>
      </c>
      <c r="CZ622" s="1" t="s">
        <v>1291</v>
      </c>
      <c r="DA622">
        <v>1</v>
      </c>
      <c r="DB622" t="s">
        <v>179</v>
      </c>
      <c r="DC622">
        <v>53</v>
      </c>
      <c r="DD622" s="1" t="s">
        <v>6244</v>
      </c>
      <c r="DE622" s="1" t="s">
        <v>6245</v>
      </c>
      <c r="DF622" t="str">
        <f>_xlfn.XLOOKUP(Table1[[#This Row],[Player ID]],Table2[feed_id],Table2[trade_status])</f>
        <v>free_agent</v>
      </c>
      <c r="DG622">
        <f>_xlfn.NUMBERVALUE(Table1[[#This Row],[predicted]])</f>
        <v>38.293736952970598</v>
      </c>
    </row>
    <row r="623" spans="1:111" hidden="1" x14ac:dyDescent="0.25">
      <c r="A623">
        <v>131348</v>
      </c>
      <c r="B623">
        <v>9210</v>
      </c>
      <c r="C623" t="s">
        <v>6236</v>
      </c>
      <c r="D623" t="s">
        <v>1893</v>
      </c>
      <c r="E623">
        <v>2025</v>
      </c>
      <c r="F623">
        <v>298111</v>
      </c>
      <c r="G623" t="s">
        <v>1196</v>
      </c>
      <c r="H623" t="s">
        <v>6246</v>
      </c>
      <c r="I623" t="s">
        <v>425</v>
      </c>
      <c r="J623">
        <v>18</v>
      </c>
      <c r="K623">
        <v>84</v>
      </c>
      <c r="L623">
        <v>85</v>
      </c>
      <c r="M623">
        <v>46</v>
      </c>
      <c r="N623">
        <v>68</v>
      </c>
      <c r="O623">
        <v>87</v>
      </c>
      <c r="P623">
        <v>16</v>
      </c>
      <c r="Q623">
        <v>3</v>
      </c>
      <c r="R623">
        <v>10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113</v>
      </c>
      <c r="Z623" t="s">
        <v>6247</v>
      </c>
      <c r="AA623" t="s">
        <v>6248</v>
      </c>
      <c r="AD623">
        <v>670000</v>
      </c>
      <c r="AE623">
        <v>0</v>
      </c>
      <c r="AF623">
        <v>475600</v>
      </c>
      <c r="AH623" t="s">
        <v>274</v>
      </c>
      <c r="AI623">
        <v>11</v>
      </c>
      <c r="AJ623">
        <v>13</v>
      </c>
      <c r="AK623">
        <v>57.31</v>
      </c>
      <c r="AL623">
        <v>0</v>
      </c>
      <c r="AM623">
        <v>0</v>
      </c>
      <c r="AN623">
        <v>0.38</v>
      </c>
      <c r="AO623">
        <v>0.23</v>
      </c>
      <c r="AP623">
        <v>655000</v>
      </c>
      <c r="AS623">
        <v>3</v>
      </c>
      <c r="AT623">
        <v>0</v>
      </c>
      <c r="AU623">
        <v>2</v>
      </c>
      <c r="AV623">
        <v>68</v>
      </c>
      <c r="AW623">
        <v>99</v>
      </c>
      <c r="AX623">
        <v>348</v>
      </c>
      <c r="AY623">
        <v>0</v>
      </c>
      <c r="AZ623" t="b">
        <v>0</v>
      </c>
      <c r="BA623">
        <v>1840</v>
      </c>
      <c r="BB623">
        <v>1440</v>
      </c>
      <c r="BC623">
        <v>2</v>
      </c>
      <c r="BD623" t="s">
        <v>6249</v>
      </c>
      <c r="BE623">
        <v>98</v>
      </c>
      <c r="BF623">
        <v>0</v>
      </c>
      <c r="BG623">
        <v>73</v>
      </c>
      <c r="BH623">
        <v>1</v>
      </c>
      <c r="BI623">
        <v>10</v>
      </c>
      <c r="BJ623">
        <v>8.1999999999999993</v>
      </c>
      <c r="BK623">
        <v>4</v>
      </c>
      <c r="BL623" s="1" t="s">
        <v>766</v>
      </c>
      <c r="BM623" s="1" t="s">
        <v>160</v>
      </c>
      <c r="BN623" s="1" t="s">
        <v>125</v>
      </c>
      <c r="BO623" s="1" t="s">
        <v>129</v>
      </c>
      <c r="BP623" s="1" t="s">
        <v>206</v>
      </c>
      <c r="BQ623">
        <v>2</v>
      </c>
      <c r="BR623" s="1" t="s">
        <v>322</v>
      </c>
      <c r="BS623" s="1" t="s">
        <v>129</v>
      </c>
      <c r="BT623" s="1" t="s">
        <v>129</v>
      </c>
      <c r="BU623" s="1" t="s">
        <v>128</v>
      </c>
      <c r="BV623" s="1" t="s">
        <v>399</v>
      </c>
      <c r="BW623">
        <v>0</v>
      </c>
      <c r="BX623">
        <v>0.8</v>
      </c>
      <c r="BY623">
        <v>1</v>
      </c>
      <c r="BZ623">
        <v>1.2</v>
      </c>
      <c r="CA623">
        <v>0</v>
      </c>
      <c r="CB623">
        <v>0</v>
      </c>
      <c r="CC623">
        <v>0.38</v>
      </c>
      <c r="CD623" s="1" t="s">
        <v>967</v>
      </c>
      <c r="CE623">
        <v>0.23</v>
      </c>
      <c r="CF623" s="1" t="s">
        <v>6250</v>
      </c>
      <c r="CG623" s="1" t="s">
        <v>125</v>
      </c>
      <c r="CH623" s="1" t="s">
        <v>565</v>
      </c>
      <c r="CI623">
        <v>1</v>
      </c>
      <c r="CJ623">
        <v>1.2</v>
      </c>
      <c r="CK623" s="1" t="s">
        <v>159</v>
      </c>
      <c r="CL623" s="1" t="s">
        <v>140</v>
      </c>
      <c r="CM623" s="1" t="s">
        <v>1176</v>
      </c>
      <c r="CN623" s="1" t="s">
        <v>6251</v>
      </c>
      <c r="CO623">
        <v>87</v>
      </c>
      <c r="CP623">
        <v>76.599999999999994</v>
      </c>
      <c r="CQ623" s="1" t="s">
        <v>6252</v>
      </c>
      <c r="CR623">
        <v>215.4</v>
      </c>
      <c r="CS623" s="1" t="s">
        <v>1666</v>
      </c>
      <c r="CT623" s="1" t="s">
        <v>1876</v>
      </c>
      <c r="CU623">
        <v>1634</v>
      </c>
      <c r="CV623" s="1" t="s">
        <v>6253</v>
      </c>
      <c r="CW623">
        <v>60</v>
      </c>
      <c r="CX623">
        <v>52.7</v>
      </c>
      <c r="CY623">
        <v>63.8</v>
      </c>
      <c r="CZ623" s="1" t="s">
        <v>971</v>
      </c>
      <c r="DA623">
        <v>1</v>
      </c>
      <c r="DB623" t="s">
        <v>6247</v>
      </c>
      <c r="DC623">
        <v>85</v>
      </c>
      <c r="DD623" s="1" t="s">
        <v>6254</v>
      </c>
      <c r="DE623" s="1" t="s">
        <v>6255</v>
      </c>
      <c r="DF623" t="str">
        <f>_xlfn.XLOOKUP(Table1[[#This Row],[Player ID]],Table2[feed_id],Table2[trade_status])</f>
        <v>free_agent</v>
      </c>
      <c r="DG623">
        <f>_xlfn.NUMBERVALUE(Table1[[#This Row],[predicted]])</f>
        <v>57.410324047351899</v>
      </c>
    </row>
    <row r="624" spans="1:111" hidden="1" x14ac:dyDescent="0.25">
      <c r="A624">
        <v>131408</v>
      </c>
      <c r="B624">
        <v>9211</v>
      </c>
      <c r="C624" t="s">
        <v>6256</v>
      </c>
      <c r="D624" t="s">
        <v>1893</v>
      </c>
      <c r="E624">
        <v>2025</v>
      </c>
      <c r="F624">
        <v>991939</v>
      </c>
      <c r="G624" t="s">
        <v>6257</v>
      </c>
      <c r="H624" t="s">
        <v>6258</v>
      </c>
      <c r="I624" t="s">
        <v>152</v>
      </c>
      <c r="J624">
        <v>7</v>
      </c>
      <c r="K624">
        <v>26</v>
      </c>
      <c r="L624">
        <v>31</v>
      </c>
      <c r="M624">
        <v>24</v>
      </c>
      <c r="N624">
        <v>22</v>
      </c>
      <c r="O624">
        <v>27</v>
      </c>
      <c r="P624">
        <v>2</v>
      </c>
      <c r="Q624">
        <v>2</v>
      </c>
      <c r="R624">
        <v>2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 t="s">
        <v>113</v>
      </c>
      <c r="Z624" t="s">
        <v>987</v>
      </c>
      <c r="AA624" t="s">
        <v>6259</v>
      </c>
      <c r="AD624">
        <v>361400</v>
      </c>
      <c r="AF624">
        <v>258800</v>
      </c>
      <c r="AH624" t="s">
        <v>181</v>
      </c>
      <c r="AI624">
        <v>21</v>
      </c>
      <c r="AJ624">
        <v>0</v>
      </c>
      <c r="AK624">
        <v>0</v>
      </c>
      <c r="AL624">
        <v>0</v>
      </c>
      <c r="AM624">
        <v>0.35</v>
      </c>
      <c r="AN624">
        <v>0.37</v>
      </c>
      <c r="AO624">
        <v>0.44</v>
      </c>
      <c r="AP624">
        <v>354000</v>
      </c>
      <c r="AS624">
        <v>1</v>
      </c>
      <c r="AT624">
        <v>0</v>
      </c>
      <c r="AU624">
        <v>1</v>
      </c>
      <c r="AV624">
        <v>75</v>
      </c>
      <c r="AW624">
        <v>82</v>
      </c>
      <c r="AX624">
        <v>74</v>
      </c>
      <c r="AY624">
        <v>0</v>
      </c>
      <c r="AZ624" t="b">
        <v>0</v>
      </c>
      <c r="BA624">
        <v>1862</v>
      </c>
      <c r="BB624">
        <v>1434</v>
      </c>
      <c r="BC624">
        <v>2</v>
      </c>
      <c r="BD624" t="s">
        <v>6260</v>
      </c>
      <c r="BE624">
        <v>98</v>
      </c>
      <c r="BF624">
        <v>0</v>
      </c>
      <c r="BG624">
        <v>73</v>
      </c>
      <c r="BH624">
        <v>0</v>
      </c>
      <c r="BI624" s="1" t="s">
        <v>125</v>
      </c>
      <c r="BJ624" s="1" t="s">
        <v>781</v>
      </c>
      <c r="BK624">
        <v>2</v>
      </c>
      <c r="BL624" s="1" t="s">
        <v>766</v>
      </c>
      <c r="BM624" s="1" t="s">
        <v>169</v>
      </c>
      <c r="BN624">
        <v>3.6</v>
      </c>
      <c r="BO624" s="1" t="s">
        <v>128</v>
      </c>
      <c r="BP624">
        <v>1.6</v>
      </c>
      <c r="BQ624">
        <v>0</v>
      </c>
      <c r="BR624">
        <v>0.4</v>
      </c>
      <c r="BS624">
        <v>0</v>
      </c>
      <c r="BT624" s="1" t="s">
        <v>129</v>
      </c>
      <c r="BU624" s="1" t="s">
        <v>128</v>
      </c>
      <c r="BV624">
        <v>0.6</v>
      </c>
      <c r="BW624" s="1" t="s">
        <v>128</v>
      </c>
      <c r="BX624">
        <v>0.2</v>
      </c>
      <c r="BY624">
        <v>0</v>
      </c>
      <c r="BZ624">
        <v>0</v>
      </c>
      <c r="CA624">
        <v>0.35</v>
      </c>
      <c r="CB624" s="1" t="s">
        <v>2957</v>
      </c>
      <c r="CC624">
        <v>0.37</v>
      </c>
      <c r="CD624" s="1" t="s">
        <v>6261</v>
      </c>
      <c r="CE624">
        <v>0.44</v>
      </c>
      <c r="CF624" s="1" t="s">
        <v>6262</v>
      </c>
      <c r="CG624" s="1" t="s">
        <v>126</v>
      </c>
      <c r="CH624" s="1" t="s">
        <v>528</v>
      </c>
      <c r="CI624">
        <v>0</v>
      </c>
      <c r="CJ624" s="1" t="s">
        <v>184</v>
      </c>
      <c r="CK624" s="1" t="s">
        <v>126</v>
      </c>
      <c r="CL624">
        <v>1.6</v>
      </c>
      <c r="CM624" s="1" t="s">
        <v>994</v>
      </c>
      <c r="CN624" s="1" t="s">
        <v>1243</v>
      </c>
      <c r="CO624" s="1" t="s">
        <v>310</v>
      </c>
      <c r="CP624">
        <v>85</v>
      </c>
      <c r="CQ624" s="1" t="s">
        <v>6263</v>
      </c>
      <c r="CR624" s="1" t="s">
        <v>6264</v>
      </c>
      <c r="CS624" s="1" t="s">
        <v>6265</v>
      </c>
      <c r="CT624">
        <v>1618.8</v>
      </c>
      <c r="CU624" s="1" t="s">
        <v>6266</v>
      </c>
      <c r="CV624" s="1" t="s">
        <v>5359</v>
      </c>
      <c r="CW624">
        <v>45.35</v>
      </c>
      <c r="CX624">
        <v>47.7</v>
      </c>
      <c r="CY624">
        <v>50.2</v>
      </c>
      <c r="CZ624" s="1" t="s">
        <v>2765</v>
      </c>
      <c r="DA624">
        <v>1</v>
      </c>
      <c r="DB624" t="s">
        <v>987</v>
      </c>
      <c r="DC624">
        <v>31</v>
      </c>
      <c r="DD624" s="1" t="s">
        <v>6267</v>
      </c>
      <c r="DE624">
        <v>-34.145845308415197</v>
      </c>
      <c r="DF624" t="str">
        <f>_xlfn.XLOOKUP(Table1[[#This Row],[Player ID]],Table2[feed_id],Table2[trade_status])</f>
        <v>free_agent</v>
      </c>
      <c r="DG624">
        <f>_xlfn.NUMBERVALUE(Table1[[#This Row],[predicted]])</f>
        <v>65.145845308415204</v>
      </c>
    </row>
    <row r="625" spans="1:111" hidden="1" x14ac:dyDescent="0.25">
      <c r="A625">
        <v>131457</v>
      </c>
      <c r="B625">
        <v>9213</v>
      </c>
      <c r="C625" t="s">
        <v>6268</v>
      </c>
      <c r="D625" t="s">
        <v>1893</v>
      </c>
      <c r="E625">
        <v>2025</v>
      </c>
      <c r="F625">
        <v>993902</v>
      </c>
      <c r="G625" t="s">
        <v>889</v>
      </c>
      <c r="H625" t="s">
        <v>4954</v>
      </c>
      <c r="I625" t="s">
        <v>582</v>
      </c>
      <c r="J625">
        <v>13</v>
      </c>
      <c r="K625">
        <v>73</v>
      </c>
      <c r="L625">
        <v>87</v>
      </c>
      <c r="M625">
        <v>90</v>
      </c>
      <c r="N625">
        <v>62</v>
      </c>
      <c r="O625">
        <v>79</v>
      </c>
      <c r="P625">
        <v>7</v>
      </c>
      <c r="Q625">
        <v>6</v>
      </c>
      <c r="R625">
        <v>4</v>
      </c>
      <c r="S625">
        <v>3</v>
      </c>
      <c r="T625">
        <v>13</v>
      </c>
      <c r="U625">
        <v>0</v>
      </c>
      <c r="V625">
        <v>1</v>
      </c>
      <c r="W625">
        <v>1</v>
      </c>
      <c r="X625">
        <v>0</v>
      </c>
      <c r="Y625" t="s">
        <v>113</v>
      </c>
      <c r="Z625" t="s">
        <v>5942</v>
      </c>
      <c r="AA625" t="s">
        <v>6269</v>
      </c>
      <c r="AB625" t="s">
        <v>987</v>
      </c>
      <c r="AC625" t="s">
        <v>6270</v>
      </c>
      <c r="AD625">
        <v>680900</v>
      </c>
      <c r="AE625">
        <v>0</v>
      </c>
      <c r="AF625">
        <v>491800</v>
      </c>
      <c r="AI625">
        <v>25</v>
      </c>
      <c r="AJ625">
        <v>0</v>
      </c>
      <c r="AK625">
        <v>0</v>
      </c>
      <c r="AL625">
        <v>0</v>
      </c>
      <c r="AM625">
        <v>0</v>
      </c>
      <c r="AN625">
        <v>1.68</v>
      </c>
      <c r="AO625">
        <v>1.81</v>
      </c>
      <c r="AP625">
        <v>646000</v>
      </c>
      <c r="AS625">
        <v>8</v>
      </c>
      <c r="AT625">
        <v>4</v>
      </c>
      <c r="AU625">
        <v>1</v>
      </c>
      <c r="AV625">
        <v>69</v>
      </c>
      <c r="AW625">
        <v>85</v>
      </c>
      <c r="AX625">
        <v>141</v>
      </c>
      <c r="AY625">
        <v>0</v>
      </c>
      <c r="AZ625" t="b">
        <v>0</v>
      </c>
      <c r="BA625">
        <v>1915</v>
      </c>
      <c r="BB625">
        <v>1367</v>
      </c>
      <c r="BC625">
        <v>2</v>
      </c>
      <c r="BD625" t="s">
        <v>6271</v>
      </c>
      <c r="BE625">
        <v>98</v>
      </c>
      <c r="BF625">
        <v>0</v>
      </c>
      <c r="BG625">
        <v>73</v>
      </c>
      <c r="BH625">
        <v>1</v>
      </c>
      <c r="BI625" s="1" t="s">
        <v>138</v>
      </c>
      <c r="BJ625" s="1" t="s">
        <v>160</v>
      </c>
      <c r="BK625" s="1" t="s">
        <v>449</v>
      </c>
      <c r="BL625" s="1" t="s">
        <v>898</v>
      </c>
      <c r="BM625">
        <v>2</v>
      </c>
      <c r="BN625" s="1" t="s">
        <v>566</v>
      </c>
      <c r="BO625" s="1" t="s">
        <v>138</v>
      </c>
      <c r="BP625" s="1" t="s">
        <v>237</v>
      </c>
      <c r="BQ625" s="1" t="s">
        <v>3068</v>
      </c>
      <c r="BR625" s="1" t="s">
        <v>6272</v>
      </c>
      <c r="BS625" s="1" t="s">
        <v>128</v>
      </c>
      <c r="BT625" s="1" t="s">
        <v>127</v>
      </c>
      <c r="BU625">
        <v>1</v>
      </c>
      <c r="BV625" s="1" t="s">
        <v>126</v>
      </c>
      <c r="BW625" s="1" t="s">
        <v>129</v>
      </c>
      <c r="BX625">
        <v>0.2</v>
      </c>
      <c r="BY625">
        <v>0</v>
      </c>
      <c r="BZ625">
        <v>0.2</v>
      </c>
      <c r="CA625">
        <v>0</v>
      </c>
      <c r="CB625" s="1" t="s">
        <v>4758</v>
      </c>
      <c r="CC625">
        <v>1.68</v>
      </c>
      <c r="CD625">
        <v>0.60799999999999998</v>
      </c>
      <c r="CE625">
        <v>1.81</v>
      </c>
      <c r="CF625" s="1" t="s">
        <v>6273</v>
      </c>
      <c r="CG625" s="1" t="s">
        <v>449</v>
      </c>
      <c r="CH625" s="1" t="s">
        <v>343</v>
      </c>
      <c r="CI625">
        <v>2</v>
      </c>
      <c r="CJ625">
        <v>3</v>
      </c>
      <c r="CK625" s="1" t="s">
        <v>126</v>
      </c>
      <c r="CL625" s="1" t="s">
        <v>170</v>
      </c>
      <c r="CM625" s="1" t="s">
        <v>261</v>
      </c>
      <c r="CN625">
        <v>72</v>
      </c>
      <c r="CO625" s="1" t="s">
        <v>333</v>
      </c>
      <c r="CP625" s="1" t="s">
        <v>2326</v>
      </c>
      <c r="CQ625">
        <v>100</v>
      </c>
      <c r="CR625" s="1" t="s">
        <v>6274</v>
      </c>
      <c r="CS625" s="1" t="s">
        <v>6275</v>
      </c>
      <c r="CT625" s="1" t="s">
        <v>6276</v>
      </c>
      <c r="CU625">
        <v>1895</v>
      </c>
      <c r="CV625" s="1" t="s">
        <v>6277</v>
      </c>
      <c r="CW625">
        <v>81.95</v>
      </c>
      <c r="CX625">
        <v>74.3</v>
      </c>
      <c r="CY625">
        <v>66</v>
      </c>
      <c r="CZ625">
        <v>63</v>
      </c>
      <c r="DA625">
        <v>1</v>
      </c>
      <c r="DB625" t="s">
        <v>5942</v>
      </c>
      <c r="DC625">
        <v>87</v>
      </c>
      <c r="DD625">
        <v>83.063965849458995</v>
      </c>
      <c r="DE625" s="1" t="s">
        <v>6278</v>
      </c>
      <c r="DF625" t="e">
        <f>_xlfn.XLOOKUP(Table1[[#This Row],[Player ID]],Table2[feed_id],Table2[trade_status])</f>
        <v>#N/A</v>
      </c>
      <c r="DG625">
        <f>_xlfn.NUMBERVALUE(Table1[[#This Row],[predicted]])</f>
        <v>83.063965849458995</v>
      </c>
    </row>
    <row r="626" spans="1:111" hidden="1" x14ac:dyDescent="0.25">
      <c r="A626">
        <v>131499</v>
      </c>
      <c r="B626">
        <v>9213</v>
      </c>
      <c r="C626" t="s">
        <v>6268</v>
      </c>
      <c r="D626" t="s">
        <v>1893</v>
      </c>
      <c r="E626">
        <v>2025</v>
      </c>
      <c r="F626">
        <v>1008882</v>
      </c>
      <c r="G626" t="s">
        <v>5306</v>
      </c>
      <c r="H626" t="s">
        <v>6279</v>
      </c>
      <c r="I626" t="s">
        <v>524</v>
      </c>
      <c r="J626">
        <v>2</v>
      </c>
      <c r="K626">
        <v>30</v>
      </c>
      <c r="L626">
        <v>48</v>
      </c>
      <c r="M626">
        <v>20</v>
      </c>
      <c r="N626">
        <v>23</v>
      </c>
      <c r="O626">
        <v>30</v>
      </c>
      <c r="P626">
        <v>5</v>
      </c>
      <c r="Q626">
        <v>1</v>
      </c>
      <c r="R626">
        <v>3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113</v>
      </c>
      <c r="Z626" t="s">
        <v>114</v>
      </c>
      <c r="AA626" t="s">
        <v>6280</v>
      </c>
      <c r="AB626" t="s">
        <v>116</v>
      </c>
      <c r="AC626" t="s">
        <v>6281</v>
      </c>
      <c r="AD626">
        <v>528900</v>
      </c>
      <c r="AE626">
        <v>0</v>
      </c>
      <c r="AF626">
        <v>401900</v>
      </c>
      <c r="AH626" t="s">
        <v>181</v>
      </c>
      <c r="AI626">
        <v>10</v>
      </c>
      <c r="AJ626">
        <v>11</v>
      </c>
      <c r="AK626">
        <v>43.45</v>
      </c>
      <c r="AL626">
        <v>0</v>
      </c>
      <c r="AM626">
        <v>0</v>
      </c>
      <c r="AN626">
        <v>0.12</v>
      </c>
      <c r="AO626">
        <v>0.2</v>
      </c>
      <c r="AP626">
        <v>517000</v>
      </c>
      <c r="AS626">
        <v>1</v>
      </c>
      <c r="AT626">
        <v>0</v>
      </c>
      <c r="AU626">
        <v>0</v>
      </c>
      <c r="AV626">
        <v>83</v>
      </c>
      <c r="AW626">
        <v>45</v>
      </c>
      <c r="AX626">
        <v>80</v>
      </c>
      <c r="AY626">
        <v>0</v>
      </c>
      <c r="AZ626" t="b">
        <v>1</v>
      </c>
      <c r="BA626">
        <v>1367</v>
      </c>
      <c r="BB626">
        <v>1915</v>
      </c>
      <c r="BC626">
        <v>2</v>
      </c>
      <c r="BD626" t="s">
        <v>6282</v>
      </c>
      <c r="BE626">
        <v>98</v>
      </c>
      <c r="BF626">
        <v>0</v>
      </c>
      <c r="BG626">
        <v>73</v>
      </c>
      <c r="BH626">
        <v>0</v>
      </c>
      <c r="BI626" s="1" t="s">
        <v>204</v>
      </c>
      <c r="BJ626" s="1" t="s">
        <v>729</v>
      </c>
      <c r="BK626" s="1" t="s">
        <v>159</v>
      </c>
      <c r="BL626" s="1" t="s">
        <v>211</v>
      </c>
      <c r="BM626">
        <v>4</v>
      </c>
      <c r="BN626" s="1" t="s">
        <v>436</v>
      </c>
      <c r="BO626" s="1" t="s">
        <v>128</v>
      </c>
      <c r="BP626">
        <v>1.2</v>
      </c>
      <c r="BQ626">
        <v>0</v>
      </c>
      <c r="BR626">
        <v>0</v>
      </c>
      <c r="BS626" s="1" t="s">
        <v>128</v>
      </c>
      <c r="BT626" s="1" t="s">
        <v>184</v>
      </c>
      <c r="BU626" s="1" t="s">
        <v>129</v>
      </c>
      <c r="BV626">
        <v>0.8</v>
      </c>
      <c r="BW626" s="1" t="s">
        <v>129</v>
      </c>
      <c r="BX626">
        <v>6.6666666666666596E-2</v>
      </c>
      <c r="BY626">
        <v>0</v>
      </c>
      <c r="BZ626">
        <v>0</v>
      </c>
      <c r="CA626">
        <v>0</v>
      </c>
      <c r="CB626">
        <v>0</v>
      </c>
      <c r="CC626">
        <v>0.12</v>
      </c>
      <c r="CD626">
        <v>0.12</v>
      </c>
      <c r="CE626">
        <v>0.2</v>
      </c>
      <c r="CF626">
        <v>0.2</v>
      </c>
      <c r="CG626" s="1" t="s">
        <v>169</v>
      </c>
      <c r="CH626">
        <v>4.2</v>
      </c>
      <c r="CI626">
        <v>0</v>
      </c>
      <c r="CJ626" s="1" t="s">
        <v>213</v>
      </c>
      <c r="CK626">
        <v>1</v>
      </c>
      <c r="CL626" s="1" t="s">
        <v>566</v>
      </c>
      <c r="CM626" s="1" t="s">
        <v>437</v>
      </c>
      <c r="CN626" s="1" t="s">
        <v>969</v>
      </c>
      <c r="CO626">
        <v>77</v>
      </c>
      <c r="CP626" s="1" t="s">
        <v>3094</v>
      </c>
      <c r="CQ626" s="1" t="s">
        <v>6283</v>
      </c>
      <c r="CR626" s="1" t="s">
        <v>6284</v>
      </c>
      <c r="CS626" s="1" t="s">
        <v>5342</v>
      </c>
      <c r="CT626">
        <v>1614.2</v>
      </c>
      <c r="CU626" s="1" t="s">
        <v>5214</v>
      </c>
      <c r="CV626" s="1" t="s">
        <v>6285</v>
      </c>
      <c r="CW626">
        <v>60.3</v>
      </c>
      <c r="CX626">
        <v>58.2</v>
      </c>
      <c r="CY626">
        <v>55.6</v>
      </c>
      <c r="CZ626" s="1" t="s">
        <v>1459</v>
      </c>
      <c r="DA626">
        <v>1</v>
      </c>
      <c r="DB626" t="s">
        <v>114</v>
      </c>
      <c r="DC626">
        <v>48</v>
      </c>
      <c r="DD626" s="1" t="s">
        <v>6286</v>
      </c>
      <c r="DE626" s="1" t="s">
        <v>6287</v>
      </c>
      <c r="DF626" t="str">
        <f>_xlfn.XLOOKUP(Table1[[#This Row],[Player ID]],Table2[feed_id],Table2[trade_status])</f>
        <v>free_agent</v>
      </c>
      <c r="DG626">
        <f>_xlfn.NUMBERVALUE(Table1[[#This Row],[predicted]])</f>
        <v>42.526873741772498</v>
      </c>
    </row>
    <row r="627" spans="1:111" hidden="1" x14ac:dyDescent="0.25">
      <c r="A627">
        <v>131560</v>
      </c>
      <c r="B627">
        <v>9215</v>
      </c>
      <c r="C627" t="s">
        <v>6288</v>
      </c>
      <c r="D627" t="s">
        <v>422</v>
      </c>
      <c r="E627">
        <v>2025</v>
      </c>
      <c r="F627">
        <v>290085</v>
      </c>
      <c r="G627" t="s">
        <v>1422</v>
      </c>
      <c r="H627" t="s">
        <v>6289</v>
      </c>
      <c r="I627" t="s">
        <v>712</v>
      </c>
      <c r="J627">
        <v>4</v>
      </c>
      <c r="K627">
        <v>41</v>
      </c>
      <c r="L627">
        <v>46</v>
      </c>
      <c r="M627">
        <v>54</v>
      </c>
      <c r="N627">
        <v>36</v>
      </c>
      <c r="O627">
        <v>48</v>
      </c>
      <c r="P627">
        <v>7</v>
      </c>
      <c r="Q627">
        <v>4</v>
      </c>
      <c r="R627">
        <v>4</v>
      </c>
      <c r="S627">
        <v>1</v>
      </c>
      <c r="T627">
        <v>0</v>
      </c>
      <c r="U627">
        <v>2</v>
      </c>
      <c r="V627">
        <v>2</v>
      </c>
      <c r="W627">
        <v>0</v>
      </c>
      <c r="X627">
        <v>0</v>
      </c>
      <c r="Y627" t="s">
        <v>113</v>
      </c>
      <c r="Z627" t="s">
        <v>226</v>
      </c>
      <c r="AA627" t="s">
        <v>6290</v>
      </c>
      <c r="AD627">
        <v>358000</v>
      </c>
      <c r="AE627">
        <v>0</v>
      </c>
      <c r="AH627" t="s">
        <v>181</v>
      </c>
      <c r="AI627">
        <v>15</v>
      </c>
      <c r="AJ627">
        <v>16</v>
      </c>
      <c r="AK627">
        <v>61.69</v>
      </c>
      <c r="AL627">
        <v>0</v>
      </c>
      <c r="AM627">
        <v>0</v>
      </c>
      <c r="AN627">
        <v>0.3</v>
      </c>
      <c r="AO627">
        <v>0.09</v>
      </c>
      <c r="AS627">
        <v>5</v>
      </c>
      <c r="AT627">
        <v>0</v>
      </c>
      <c r="AU627">
        <v>3</v>
      </c>
      <c r="AV627">
        <v>63</v>
      </c>
      <c r="AW627">
        <v>76</v>
      </c>
      <c r="AX627">
        <v>221</v>
      </c>
      <c r="AY627">
        <v>1</v>
      </c>
      <c r="AZ627" t="b">
        <v>0</v>
      </c>
      <c r="BA627">
        <v>1727</v>
      </c>
      <c r="BB627">
        <v>1576</v>
      </c>
      <c r="BC627">
        <v>3</v>
      </c>
      <c r="BD627" t="s">
        <v>6291</v>
      </c>
      <c r="BE627">
        <v>99</v>
      </c>
      <c r="BF627">
        <v>0</v>
      </c>
      <c r="BG627">
        <v>71</v>
      </c>
      <c r="BH627">
        <v>0</v>
      </c>
      <c r="BI627" s="1" t="s">
        <v>204</v>
      </c>
      <c r="BJ627" s="1" t="s">
        <v>674</v>
      </c>
      <c r="BK627">
        <v>4</v>
      </c>
      <c r="BL627">
        <v>4.8</v>
      </c>
      <c r="BM627">
        <v>4</v>
      </c>
      <c r="BN627" s="1" t="s">
        <v>781</v>
      </c>
      <c r="BO627" s="1" t="s">
        <v>159</v>
      </c>
      <c r="BP627" s="1" t="s">
        <v>375</v>
      </c>
      <c r="BQ627">
        <v>0</v>
      </c>
      <c r="BR627">
        <v>0</v>
      </c>
      <c r="BS627" s="1" t="s">
        <v>161</v>
      </c>
      <c r="BT627">
        <v>0.8</v>
      </c>
      <c r="BU627">
        <v>1</v>
      </c>
      <c r="BV627" s="1" t="s">
        <v>238</v>
      </c>
      <c r="BW627">
        <v>0</v>
      </c>
      <c r="BX627">
        <v>0</v>
      </c>
      <c r="BY627">
        <v>0</v>
      </c>
      <c r="BZ627">
        <v>6.6666666666666596E-2</v>
      </c>
      <c r="CA627">
        <v>0</v>
      </c>
      <c r="CB627">
        <v>0</v>
      </c>
      <c r="CC627">
        <v>0.3</v>
      </c>
      <c r="CD627">
        <v>0.3</v>
      </c>
      <c r="CE627">
        <v>0.09</v>
      </c>
      <c r="CF627">
        <v>0.09</v>
      </c>
      <c r="CG627" s="1" t="s">
        <v>125</v>
      </c>
      <c r="CH627" s="1" t="s">
        <v>237</v>
      </c>
      <c r="CI627" s="1" t="s">
        <v>129</v>
      </c>
      <c r="CJ627" s="1" t="s">
        <v>231</v>
      </c>
      <c r="CK627">
        <v>3</v>
      </c>
      <c r="CL627" s="1" t="s">
        <v>275</v>
      </c>
      <c r="CM627" s="1" t="s">
        <v>1406</v>
      </c>
      <c r="CN627" s="1" t="s">
        <v>517</v>
      </c>
      <c r="CO627">
        <v>76</v>
      </c>
      <c r="CP627" s="1" t="s">
        <v>789</v>
      </c>
      <c r="CQ627" s="1" t="s">
        <v>6292</v>
      </c>
      <c r="CR627">
        <v>254.6</v>
      </c>
      <c r="CS627">
        <v>1529</v>
      </c>
      <c r="CT627">
        <v>1661.4</v>
      </c>
      <c r="CU627" s="1" t="s">
        <v>6293</v>
      </c>
      <c r="CV627" s="1" t="s">
        <v>4646</v>
      </c>
      <c r="CW627">
        <v>55.55</v>
      </c>
      <c r="CX627">
        <v>56.2</v>
      </c>
      <c r="CY627">
        <v>59.4</v>
      </c>
      <c r="CZ627" s="1" t="s">
        <v>1357</v>
      </c>
      <c r="DA627">
        <v>1</v>
      </c>
      <c r="DB627" t="s">
        <v>226</v>
      </c>
      <c r="DC627">
        <v>46</v>
      </c>
      <c r="DD627" s="1" t="s">
        <v>6294</v>
      </c>
      <c r="DE627">
        <v>-34.425268109508998</v>
      </c>
      <c r="DF627" t="str">
        <f>_xlfn.XLOOKUP(Table1[[#This Row],[Player ID]],Table2[feed_id],Table2[trade_status])</f>
        <v>free_agent</v>
      </c>
      <c r="DG627">
        <f>_xlfn.NUMBERVALUE(Table1[[#This Row],[predicted]])</f>
        <v>80.425268109509005</v>
      </c>
    </row>
    <row r="628" spans="1:111" hidden="1" x14ac:dyDescent="0.25">
      <c r="A628">
        <v>131585</v>
      </c>
      <c r="B628">
        <v>9215</v>
      </c>
      <c r="C628" t="s">
        <v>6288</v>
      </c>
      <c r="D628" t="s">
        <v>422</v>
      </c>
      <c r="E628">
        <v>2025</v>
      </c>
      <c r="F628">
        <v>998647</v>
      </c>
      <c r="G628" t="s">
        <v>6295</v>
      </c>
      <c r="H628" t="s">
        <v>5686</v>
      </c>
      <c r="I628" t="s">
        <v>112</v>
      </c>
      <c r="J628">
        <v>5</v>
      </c>
      <c r="K628">
        <v>55</v>
      </c>
      <c r="L628">
        <v>46</v>
      </c>
      <c r="M628">
        <v>43</v>
      </c>
      <c r="N628">
        <v>44</v>
      </c>
      <c r="O628">
        <v>55</v>
      </c>
      <c r="P628">
        <v>7</v>
      </c>
      <c r="Q628">
        <v>1</v>
      </c>
      <c r="R628">
        <v>3</v>
      </c>
      <c r="S628">
        <v>3</v>
      </c>
      <c r="T628">
        <v>12</v>
      </c>
      <c r="U628">
        <v>1</v>
      </c>
      <c r="V628">
        <v>1</v>
      </c>
      <c r="W628">
        <v>0</v>
      </c>
      <c r="X628">
        <v>1</v>
      </c>
      <c r="Y628" t="s">
        <v>113</v>
      </c>
      <c r="Z628" t="s">
        <v>494</v>
      </c>
      <c r="AA628" t="s">
        <v>6296</v>
      </c>
      <c r="AB628" t="s">
        <v>5152</v>
      </c>
      <c r="AC628" t="s">
        <v>6297</v>
      </c>
      <c r="AD628">
        <v>382800</v>
      </c>
      <c r="AE628">
        <v>0</v>
      </c>
      <c r="AH628" t="s">
        <v>274</v>
      </c>
      <c r="AI628">
        <v>46</v>
      </c>
      <c r="AJ628">
        <v>19</v>
      </c>
      <c r="AK628">
        <v>57.68</v>
      </c>
      <c r="AL628">
        <v>0</v>
      </c>
      <c r="AM628">
        <v>0</v>
      </c>
      <c r="AN628">
        <v>0.95</v>
      </c>
      <c r="AO628">
        <v>1.48</v>
      </c>
      <c r="AS628">
        <v>3</v>
      </c>
      <c r="AT628">
        <v>0</v>
      </c>
      <c r="AU628">
        <v>2</v>
      </c>
      <c r="AV628">
        <v>50</v>
      </c>
      <c r="AW628">
        <v>52</v>
      </c>
      <c r="AX628">
        <v>216</v>
      </c>
      <c r="AY628">
        <v>1</v>
      </c>
      <c r="AZ628" t="b">
        <v>1</v>
      </c>
      <c r="BA628">
        <v>1576</v>
      </c>
      <c r="BB628">
        <v>1727</v>
      </c>
      <c r="BC628">
        <v>3</v>
      </c>
      <c r="BD628" t="s">
        <v>6298</v>
      </c>
      <c r="BE628">
        <v>99</v>
      </c>
      <c r="BF628">
        <v>0</v>
      </c>
      <c r="BG628">
        <v>71</v>
      </c>
      <c r="BH628">
        <v>0</v>
      </c>
      <c r="BI628">
        <v>5</v>
      </c>
      <c r="BJ628">
        <v>4.5999999999999996</v>
      </c>
      <c r="BK628" s="1" t="s">
        <v>159</v>
      </c>
      <c r="BL628">
        <v>2.8</v>
      </c>
      <c r="BM628">
        <v>3</v>
      </c>
      <c r="BN628" s="1" t="s">
        <v>140</v>
      </c>
      <c r="BO628" s="1" t="s">
        <v>159</v>
      </c>
      <c r="BP628" s="1" t="s">
        <v>214</v>
      </c>
      <c r="BQ628">
        <v>12</v>
      </c>
      <c r="BR628" s="1" t="s">
        <v>1817</v>
      </c>
      <c r="BS628">
        <v>1</v>
      </c>
      <c r="BT628" s="1" t="s">
        <v>161</v>
      </c>
      <c r="BU628" s="1" t="s">
        <v>128</v>
      </c>
      <c r="BV628" s="1" t="s">
        <v>257</v>
      </c>
      <c r="BW628">
        <v>0</v>
      </c>
      <c r="BX628">
        <v>0.4</v>
      </c>
      <c r="BY628" s="1" t="s">
        <v>129</v>
      </c>
      <c r="BZ628">
        <v>0.4</v>
      </c>
      <c r="CA628">
        <v>0</v>
      </c>
      <c r="CB628">
        <v>0</v>
      </c>
      <c r="CC628">
        <v>0.95</v>
      </c>
      <c r="CD628">
        <v>0.95</v>
      </c>
      <c r="CE628">
        <v>1.48</v>
      </c>
      <c r="CF628">
        <v>1.48</v>
      </c>
      <c r="CG628">
        <v>4</v>
      </c>
      <c r="CH628" s="1" t="s">
        <v>374</v>
      </c>
      <c r="CI628">
        <v>0</v>
      </c>
      <c r="CJ628" s="1" t="s">
        <v>206</v>
      </c>
      <c r="CK628" s="1" t="s">
        <v>159</v>
      </c>
      <c r="CL628">
        <v>2.6</v>
      </c>
      <c r="CM628" s="1" t="s">
        <v>759</v>
      </c>
      <c r="CN628" s="1" t="s">
        <v>6299</v>
      </c>
      <c r="CO628" s="1" t="s">
        <v>195</v>
      </c>
      <c r="CP628">
        <v>65.599999999999994</v>
      </c>
      <c r="CQ628" s="1" t="s">
        <v>3682</v>
      </c>
      <c r="CR628" s="1" t="s">
        <v>3381</v>
      </c>
      <c r="CS628" s="1" t="s">
        <v>6300</v>
      </c>
      <c r="CT628" s="1" t="s">
        <v>594</v>
      </c>
      <c r="CU628" s="1" t="s">
        <v>6301</v>
      </c>
      <c r="CV628">
        <v>1619.8</v>
      </c>
      <c r="CW628">
        <v>57.85</v>
      </c>
      <c r="CX628">
        <v>53.7</v>
      </c>
      <c r="CY628">
        <v>57.6</v>
      </c>
      <c r="CZ628">
        <v>52</v>
      </c>
      <c r="DA628">
        <v>1</v>
      </c>
      <c r="DB628" t="s">
        <v>494</v>
      </c>
      <c r="DC628">
        <v>46</v>
      </c>
      <c r="DD628" s="1" t="s">
        <v>6302</v>
      </c>
      <c r="DE628">
        <v>-24.4128188366636</v>
      </c>
      <c r="DF628" t="str">
        <f>_xlfn.XLOOKUP(Table1[[#This Row],[Player ID]],Table2[feed_id],Table2[trade_status])</f>
        <v>free_agent</v>
      </c>
      <c r="DG628">
        <f>_xlfn.NUMBERVALUE(Table1[[#This Row],[predicted]])</f>
        <v>70.412818836663604</v>
      </c>
    </row>
    <row r="629" spans="1:111" hidden="1" x14ac:dyDescent="0.25">
      <c r="A629">
        <v>131631</v>
      </c>
      <c r="B629">
        <v>9216</v>
      </c>
      <c r="C629" t="s">
        <v>6303</v>
      </c>
      <c r="D629" t="s">
        <v>422</v>
      </c>
      <c r="E629">
        <v>2025</v>
      </c>
      <c r="F629">
        <v>1008230</v>
      </c>
      <c r="G629" t="s">
        <v>740</v>
      </c>
      <c r="H629" t="s">
        <v>6304</v>
      </c>
      <c r="I629" t="s">
        <v>510</v>
      </c>
      <c r="J629">
        <v>5</v>
      </c>
      <c r="K629">
        <v>56</v>
      </c>
      <c r="L629">
        <v>66</v>
      </c>
      <c r="M629">
        <v>43</v>
      </c>
      <c r="N629">
        <v>46</v>
      </c>
      <c r="O629">
        <v>63</v>
      </c>
      <c r="P629">
        <v>8</v>
      </c>
      <c r="Q629">
        <v>5</v>
      </c>
      <c r="R629">
        <v>5</v>
      </c>
      <c r="S629">
        <v>3</v>
      </c>
      <c r="T629">
        <v>0</v>
      </c>
      <c r="U629">
        <v>1</v>
      </c>
      <c r="V629">
        <v>2</v>
      </c>
      <c r="W629">
        <v>0</v>
      </c>
      <c r="X629">
        <v>0</v>
      </c>
      <c r="Y629" t="s">
        <v>113</v>
      </c>
      <c r="Z629" t="s">
        <v>179</v>
      </c>
      <c r="AA629" t="s">
        <v>6305</v>
      </c>
      <c r="AI629">
        <v>9</v>
      </c>
      <c r="AJ629">
        <v>0</v>
      </c>
      <c r="AK629">
        <v>0</v>
      </c>
      <c r="AL629">
        <v>0</v>
      </c>
      <c r="AM629">
        <v>0.04</v>
      </c>
      <c r="AN629">
        <v>0.15</v>
      </c>
      <c r="AO629">
        <v>0.17</v>
      </c>
      <c r="AS629">
        <v>5</v>
      </c>
      <c r="AT629">
        <v>0</v>
      </c>
      <c r="AU629">
        <v>3</v>
      </c>
      <c r="AV629">
        <v>84</v>
      </c>
      <c r="AW629">
        <v>88</v>
      </c>
      <c r="AX629">
        <v>141</v>
      </c>
      <c r="AY629">
        <v>0</v>
      </c>
      <c r="AZ629" t="b">
        <v>0</v>
      </c>
      <c r="BA629">
        <v>1401</v>
      </c>
      <c r="BB629">
        <v>1869</v>
      </c>
      <c r="BC629">
        <v>3</v>
      </c>
      <c r="BD629" t="s">
        <v>6306</v>
      </c>
      <c r="BE629">
        <v>99</v>
      </c>
      <c r="BF629">
        <v>0</v>
      </c>
      <c r="BG629">
        <v>71</v>
      </c>
      <c r="BH629">
        <v>0</v>
      </c>
      <c r="BI629" s="1" t="s">
        <v>397</v>
      </c>
      <c r="BJ629" s="1" t="s">
        <v>358</v>
      </c>
      <c r="BK629">
        <v>5</v>
      </c>
      <c r="BL629" s="1" t="s">
        <v>990</v>
      </c>
      <c r="BM629">
        <v>4</v>
      </c>
      <c r="BN629" s="1" t="s">
        <v>752</v>
      </c>
      <c r="BO629" s="1" t="s">
        <v>169</v>
      </c>
      <c r="BP629" s="1" t="s">
        <v>206</v>
      </c>
      <c r="BQ629">
        <v>0</v>
      </c>
      <c r="BR629">
        <v>0</v>
      </c>
      <c r="BS629" s="1" t="s">
        <v>128</v>
      </c>
      <c r="BT629" s="1" t="s">
        <v>231</v>
      </c>
      <c r="BU629" s="1" t="s">
        <v>126</v>
      </c>
      <c r="BV629">
        <v>1</v>
      </c>
      <c r="BW629">
        <v>0</v>
      </c>
      <c r="BX629">
        <v>0</v>
      </c>
      <c r="BY629">
        <v>0</v>
      </c>
      <c r="BZ629" s="1" t="s">
        <v>213</v>
      </c>
      <c r="CA629">
        <v>0.04</v>
      </c>
      <c r="CB629" s="1" t="s">
        <v>768</v>
      </c>
      <c r="CC629">
        <v>0.15</v>
      </c>
      <c r="CD629">
        <v>0.19</v>
      </c>
      <c r="CE629">
        <v>0.17</v>
      </c>
      <c r="CF629" s="1" t="s">
        <v>938</v>
      </c>
      <c r="CG629">
        <v>4</v>
      </c>
      <c r="CH629" s="1" t="s">
        <v>587</v>
      </c>
      <c r="CI629" s="1" t="s">
        <v>129</v>
      </c>
      <c r="CJ629">
        <v>0.2</v>
      </c>
      <c r="CK629">
        <v>3</v>
      </c>
      <c r="CL629" s="1" t="s">
        <v>159</v>
      </c>
      <c r="CM629">
        <v>87</v>
      </c>
      <c r="CN629" s="1" t="s">
        <v>3034</v>
      </c>
      <c r="CO629" s="1" t="s">
        <v>2738</v>
      </c>
      <c r="CP629" s="1" t="s">
        <v>2365</v>
      </c>
      <c r="CQ629" s="1" t="s">
        <v>6089</v>
      </c>
      <c r="CR629">
        <v>254.8</v>
      </c>
      <c r="CS629" s="1" t="s">
        <v>5215</v>
      </c>
      <c r="CT629" s="1" t="s">
        <v>5418</v>
      </c>
      <c r="CU629" s="1" t="s">
        <v>3969</v>
      </c>
      <c r="CV629" s="1" t="s">
        <v>6307</v>
      </c>
      <c r="CW629">
        <v>65.55</v>
      </c>
      <c r="CX629">
        <v>63.1</v>
      </c>
      <c r="CY629">
        <v>52.8</v>
      </c>
      <c r="CZ629" s="1" t="s">
        <v>195</v>
      </c>
      <c r="DA629">
        <v>1</v>
      </c>
      <c r="DB629" t="s">
        <v>179</v>
      </c>
      <c r="DC629">
        <v>66</v>
      </c>
      <c r="DD629">
        <v>54.8745359130357</v>
      </c>
      <c r="DE629">
        <v>11.1254640869643</v>
      </c>
      <c r="DF629" t="str">
        <f>_xlfn.XLOOKUP(Table1[[#This Row],[Player ID]],Table2[feed_id],Table2[trade_status])</f>
        <v>free_agent</v>
      </c>
      <c r="DG629">
        <f>_xlfn.NUMBERVALUE(Table1[[#This Row],[predicted]])</f>
        <v>54.8745359130357</v>
      </c>
    </row>
    <row r="630" spans="1:111" hidden="1" x14ac:dyDescent="0.25">
      <c r="A630">
        <v>131652</v>
      </c>
      <c r="B630">
        <v>9217</v>
      </c>
      <c r="C630" t="s">
        <v>6308</v>
      </c>
      <c r="D630" t="s">
        <v>422</v>
      </c>
      <c r="E630">
        <v>2025</v>
      </c>
      <c r="F630">
        <v>992128</v>
      </c>
      <c r="G630" t="s">
        <v>1332</v>
      </c>
      <c r="H630" t="s">
        <v>6309</v>
      </c>
      <c r="I630" t="s">
        <v>425</v>
      </c>
      <c r="J630">
        <v>12</v>
      </c>
      <c r="K630">
        <v>67</v>
      </c>
      <c r="L630">
        <v>78</v>
      </c>
      <c r="M630">
        <v>85</v>
      </c>
      <c r="N630">
        <v>58</v>
      </c>
      <c r="O630">
        <v>76</v>
      </c>
      <c r="P630">
        <v>9</v>
      </c>
      <c r="Q630">
        <v>8</v>
      </c>
      <c r="R630">
        <v>7</v>
      </c>
      <c r="S630">
        <v>1</v>
      </c>
      <c r="T630">
        <v>0</v>
      </c>
      <c r="U630">
        <v>1</v>
      </c>
      <c r="V630">
        <v>1</v>
      </c>
      <c r="W630">
        <v>0</v>
      </c>
      <c r="X630">
        <v>1</v>
      </c>
      <c r="Y630" t="s">
        <v>113</v>
      </c>
      <c r="Z630" t="s">
        <v>226</v>
      </c>
      <c r="AA630" t="s">
        <v>6310</v>
      </c>
      <c r="AD630">
        <v>430000</v>
      </c>
      <c r="AE630">
        <v>0</v>
      </c>
      <c r="AH630" t="s">
        <v>181</v>
      </c>
      <c r="AI630">
        <v>3</v>
      </c>
      <c r="AJ630">
        <v>20</v>
      </c>
      <c r="AK630">
        <v>61.9</v>
      </c>
      <c r="AL630">
        <v>0</v>
      </c>
      <c r="AM630">
        <v>0</v>
      </c>
      <c r="AN630">
        <v>0.03</v>
      </c>
      <c r="AO630">
        <v>0.12</v>
      </c>
      <c r="AS630">
        <v>3</v>
      </c>
      <c r="AT630">
        <v>0</v>
      </c>
      <c r="AU630">
        <v>1</v>
      </c>
      <c r="AV630">
        <v>88</v>
      </c>
      <c r="AW630">
        <v>76</v>
      </c>
      <c r="AX630">
        <v>225</v>
      </c>
      <c r="AY630">
        <v>0</v>
      </c>
      <c r="AZ630" t="b">
        <v>0</v>
      </c>
      <c r="BA630">
        <v>1218</v>
      </c>
      <c r="BB630">
        <v>2054</v>
      </c>
      <c r="BC630">
        <v>3</v>
      </c>
      <c r="BD630" t="s">
        <v>6311</v>
      </c>
      <c r="BE630">
        <v>99</v>
      </c>
      <c r="BF630">
        <v>0</v>
      </c>
      <c r="BG630">
        <v>71</v>
      </c>
      <c r="BH630">
        <v>1</v>
      </c>
      <c r="BI630" s="1" t="s">
        <v>276</v>
      </c>
      <c r="BJ630">
        <v>12.6</v>
      </c>
      <c r="BK630">
        <v>6</v>
      </c>
      <c r="BL630" s="1" t="s">
        <v>230</v>
      </c>
      <c r="BM630">
        <v>5</v>
      </c>
      <c r="BN630" s="1" t="s">
        <v>211</v>
      </c>
      <c r="BO630" s="1" t="s">
        <v>128</v>
      </c>
      <c r="BP630" s="1" t="s">
        <v>327</v>
      </c>
      <c r="BQ630">
        <v>0</v>
      </c>
      <c r="BR630">
        <v>0</v>
      </c>
      <c r="BS630" s="1" t="s">
        <v>126</v>
      </c>
      <c r="BT630">
        <v>0.6</v>
      </c>
      <c r="BU630" s="1" t="s">
        <v>126</v>
      </c>
      <c r="BV630">
        <v>0.8</v>
      </c>
      <c r="BW630" s="1" t="s">
        <v>129</v>
      </c>
      <c r="BX630">
        <v>0.2</v>
      </c>
      <c r="BY630" s="1" t="s">
        <v>129</v>
      </c>
      <c r="BZ630" s="1" t="s">
        <v>184</v>
      </c>
      <c r="CA630">
        <v>0</v>
      </c>
      <c r="CB630">
        <v>0</v>
      </c>
      <c r="CC630">
        <v>0.03</v>
      </c>
      <c r="CD630">
        <v>0.03</v>
      </c>
      <c r="CE630">
        <v>0.12</v>
      </c>
      <c r="CF630">
        <v>0.12</v>
      </c>
      <c r="CG630" s="1" t="s">
        <v>125</v>
      </c>
      <c r="CH630">
        <v>3.4</v>
      </c>
      <c r="CI630" s="1" t="s">
        <v>129</v>
      </c>
      <c r="CJ630" s="1" t="s">
        <v>130</v>
      </c>
      <c r="CK630">
        <v>2</v>
      </c>
      <c r="CL630">
        <v>2.2000000000000002</v>
      </c>
      <c r="CM630" s="1" t="s">
        <v>483</v>
      </c>
      <c r="CN630" s="1" t="s">
        <v>1289</v>
      </c>
      <c r="CO630" s="1" t="s">
        <v>772</v>
      </c>
      <c r="CP630" s="1" t="s">
        <v>930</v>
      </c>
      <c r="CQ630">
        <v>350</v>
      </c>
      <c r="CR630" s="1" t="s">
        <v>6312</v>
      </c>
      <c r="CS630">
        <v>1622</v>
      </c>
      <c r="CT630" s="1" t="s">
        <v>4229</v>
      </c>
      <c r="CU630">
        <v>1661</v>
      </c>
      <c r="CV630">
        <v>1656.8</v>
      </c>
      <c r="CW630">
        <v>71.900000000000006</v>
      </c>
      <c r="CX630">
        <v>68.7</v>
      </c>
      <c r="CY630">
        <v>74</v>
      </c>
      <c r="CZ630">
        <v>66</v>
      </c>
      <c r="DA630">
        <v>1</v>
      </c>
      <c r="DB630" t="s">
        <v>226</v>
      </c>
      <c r="DC630">
        <v>78</v>
      </c>
      <c r="DD630">
        <v>94.906779594921105</v>
      </c>
      <c r="DE630">
        <v>-16.906779594921101</v>
      </c>
      <c r="DF630" t="str">
        <f>_xlfn.XLOOKUP(Table1[[#This Row],[Player ID]],Table2[feed_id],Table2[trade_status])</f>
        <v>free_agent</v>
      </c>
      <c r="DG630">
        <f>_xlfn.NUMBERVALUE(Table1[[#This Row],[predicted]])</f>
        <v>94.906779594921105</v>
      </c>
    </row>
    <row r="631" spans="1:111" hidden="1" x14ac:dyDescent="0.25">
      <c r="A631">
        <v>131657</v>
      </c>
      <c r="B631">
        <v>9217</v>
      </c>
      <c r="C631" t="s">
        <v>6308</v>
      </c>
      <c r="D631" t="s">
        <v>422</v>
      </c>
      <c r="E631">
        <v>2025</v>
      </c>
      <c r="F631">
        <v>1004095</v>
      </c>
      <c r="G631" t="s">
        <v>1127</v>
      </c>
      <c r="H631" t="s">
        <v>6313</v>
      </c>
      <c r="I631" t="s">
        <v>425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113</v>
      </c>
      <c r="Z631" t="s">
        <v>114</v>
      </c>
      <c r="AA631" t="s">
        <v>6314</v>
      </c>
      <c r="AB631" t="s">
        <v>116</v>
      </c>
      <c r="AC631" t="s">
        <v>6315</v>
      </c>
      <c r="AH631" t="s">
        <v>155</v>
      </c>
      <c r="AI631">
        <v>12</v>
      </c>
      <c r="AJ631">
        <v>0</v>
      </c>
      <c r="AK631">
        <v>0</v>
      </c>
      <c r="AL631">
        <v>0</v>
      </c>
      <c r="AM631">
        <v>0.71</v>
      </c>
      <c r="AN631">
        <v>0.37</v>
      </c>
      <c r="AO631">
        <v>0.65</v>
      </c>
      <c r="AS631">
        <v>0</v>
      </c>
      <c r="AT631">
        <v>0</v>
      </c>
      <c r="AU631">
        <v>0</v>
      </c>
      <c r="AV631">
        <v>0</v>
      </c>
      <c r="AW631">
        <v>3</v>
      </c>
      <c r="AX631">
        <v>0</v>
      </c>
      <c r="AY631">
        <v>1</v>
      </c>
      <c r="AZ631" t="b">
        <v>1</v>
      </c>
      <c r="BA631">
        <v>1218</v>
      </c>
      <c r="BB631">
        <v>2054</v>
      </c>
      <c r="BC631">
        <v>3</v>
      </c>
      <c r="BD631" t="s">
        <v>6311</v>
      </c>
      <c r="BE631">
        <v>99</v>
      </c>
      <c r="BF631">
        <v>0</v>
      </c>
      <c r="BG631">
        <v>71</v>
      </c>
      <c r="BH631">
        <v>0</v>
      </c>
      <c r="BI631">
        <v>5</v>
      </c>
      <c r="BJ631">
        <v>7.4</v>
      </c>
      <c r="BK631">
        <v>1</v>
      </c>
      <c r="BL631" s="1" t="s">
        <v>140</v>
      </c>
      <c r="BM631">
        <v>2</v>
      </c>
      <c r="BN631" s="1" t="s">
        <v>766</v>
      </c>
      <c r="BO631" s="1" t="s">
        <v>128</v>
      </c>
      <c r="BP631">
        <v>1.4</v>
      </c>
      <c r="BQ631">
        <v>0</v>
      </c>
      <c r="BR631">
        <v>1</v>
      </c>
      <c r="BS631">
        <v>0</v>
      </c>
      <c r="BT631" s="1" t="s">
        <v>238</v>
      </c>
      <c r="BU631" s="1" t="s">
        <v>126</v>
      </c>
      <c r="BV631" s="1" t="s">
        <v>128</v>
      </c>
      <c r="BW631">
        <v>1</v>
      </c>
      <c r="BX631" s="1" t="s">
        <v>126</v>
      </c>
      <c r="BY631" s="1" t="s">
        <v>129</v>
      </c>
      <c r="BZ631" s="1" t="s">
        <v>399</v>
      </c>
      <c r="CA631">
        <v>0.71</v>
      </c>
      <c r="CB631">
        <v>0.71</v>
      </c>
      <c r="CC631">
        <v>0.37</v>
      </c>
      <c r="CD631">
        <v>0.37</v>
      </c>
      <c r="CE631">
        <v>0.65</v>
      </c>
      <c r="CF631">
        <v>0.65</v>
      </c>
      <c r="CG631" s="1" t="s">
        <v>159</v>
      </c>
      <c r="CH631" s="1" t="s">
        <v>990</v>
      </c>
      <c r="CI631">
        <v>0</v>
      </c>
      <c r="CJ631">
        <v>0.2</v>
      </c>
      <c r="CK631">
        <v>2</v>
      </c>
      <c r="CL631">
        <v>2.2000000000000002</v>
      </c>
      <c r="CM631" s="1" t="s">
        <v>2013</v>
      </c>
      <c r="CN631" s="1" t="s">
        <v>6316</v>
      </c>
      <c r="CO631">
        <v>55</v>
      </c>
      <c r="CP631" s="1" t="s">
        <v>1243</v>
      </c>
      <c r="CQ631">
        <v>158</v>
      </c>
      <c r="CR631" s="1" t="s">
        <v>6317</v>
      </c>
      <c r="CS631" s="1" t="s">
        <v>3767</v>
      </c>
      <c r="CT631" s="1" t="s">
        <v>2639</v>
      </c>
      <c r="CU631">
        <v>1523</v>
      </c>
      <c r="CV631" s="1" t="s">
        <v>5077</v>
      </c>
      <c r="CW631">
        <v>62.05</v>
      </c>
      <c r="CX631">
        <v>52.1</v>
      </c>
      <c r="CY631">
        <v>36.799999999999997</v>
      </c>
      <c r="CZ631">
        <v>37</v>
      </c>
      <c r="DA631">
        <v>1</v>
      </c>
      <c r="DB631" t="s">
        <v>114</v>
      </c>
      <c r="DC631">
        <v>0</v>
      </c>
      <c r="DD631" s="1" t="s">
        <v>6318</v>
      </c>
      <c r="DE631">
        <v>-42.511241152152401</v>
      </c>
      <c r="DF631" t="str">
        <f>_xlfn.XLOOKUP(Table1[[#This Row],[Player ID]],Table2[feed_id],Table2[trade_status])</f>
        <v>free_agent</v>
      </c>
      <c r="DG631">
        <f>_xlfn.NUMBERVALUE(Table1[[#This Row],[predicted]])</f>
        <v>42.511241152152401</v>
      </c>
    </row>
    <row r="632" spans="1:111" hidden="1" x14ac:dyDescent="0.25">
      <c r="A632">
        <v>131698</v>
      </c>
      <c r="B632">
        <v>9218</v>
      </c>
      <c r="C632" t="s">
        <v>6319</v>
      </c>
      <c r="D632" t="s">
        <v>422</v>
      </c>
      <c r="E632">
        <v>2025</v>
      </c>
      <c r="F632">
        <v>1002264</v>
      </c>
      <c r="G632" t="s">
        <v>5335</v>
      </c>
      <c r="H632" t="s">
        <v>6320</v>
      </c>
      <c r="I632" t="s">
        <v>152</v>
      </c>
      <c r="J632">
        <v>9</v>
      </c>
      <c r="K632">
        <v>45</v>
      </c>
      <c r="L632">
        <v>41</v>
      </c>
      <c r="M632">
        <v>62</v>
      </c>
      <c r="N632">
        <v>34</v>
      </c>
      <c r="O632">
        <v>51</v>
      </c>
      <c r="P632">
        <v>7</v>
      </c>
      <c r="Q632">
        <v>4</v>
      </c>
      <c r="R632">
        <v>2</v>
      </c>
      <c r="S632">
        <v>4</v>
      </c>
      <c r="T632">
        <v>0</v>
      </c>
      <c r="U632">
        <v>0</v>
      </c>
      <c r="V632">
        <v>2</v>
      </c>
      <c r="W632">
        <v>0</v>
      </c>
      <c r="X632">
        <v>0</v>
      </c>
      <c r="Y632" t="s">
        <v>113</v>
      </c>
      <c r="Z632" t="s">
        <v>114</v>
      </c>
      <c r="AA632" t="s">
        <v>6321</v>
      </c>
      <c r="AB632" t="s">
        <v>877</v>
      </c>
      <c r="AC632" t="s">
        <v>4993</v>
      </c>
      <c r="AH632" t="s">
        <v>181</v>
      </c>
      <c r="AI632">
        <v>11</v>
      </c>
      <c r="AJ632">
        <v>0</v>
      </c>
      <c r="AK632">
        <v>0</v>
      </c>
      <c r="AL632">
        <v>0</v>
      </c>
      <c r="AM632">
        <v>0.22</v>
      </c>
      <c r="AN632">
        <v>0.19</v>
      </c>
      <c r="AO632">
        <v>0.12</v>
      </c>
      <c r="AS632">
        <v>7</v>
      </c>
      <c r="AT632">
        <v>3</v>
      </c>
      <c r="AU632">
        <v>4</v>
      </c>
      <c r="AV632">
        <v>36</v>
      </c>
      <c r="AW632">
        <v>30</v>
      </c>
      <c r="AX632">
        <v>136</v>
      </c>
      <c r="AY632">
        <v>1</v>
      </c>
      <c r="AZ632" t="b">
        <v>1</v>
      </c>
      <c r="BA632">
        <v>1526</v>
      </c>
      <c r="BB632">
        <v>1767</v>
      </c>
      <c r="BC632">
        <v>3</v>
      </c>
      <c r="BD632" t="s">
        <v>6322</v>
      </c>
      <c r="BE632">
        <v>99</v>
      </c>
      <c r="BF632">
        <v>0</v>
      </c>
      <c r="BG632">
        <v>71</v>
      </c>
      <c r="BH632">
        <v>0</v>
      </c>
      <c r="BI632">
        <v>12</v>
      </c>
      <c r="BJ632" s="1" t="s">
        <v>1398</v>
      </c>
      <c r="BK632" s="1" t="s">
        <v>204</v>
      </c>
      <c r="BL632" s="1" t="s">
        <v>729</v>
      </c>
      <c r="BM632">
        <v>4</v>
      </c>
      <c r="BN632">
        <v>2.6</v>
      </c>
      <c r="BO632" s="1" t="s">
        <v>138</v>
      </c>
      <c r="BP632" s="1" t="s">
        <v>990</v>
      </c>
      <c r="BQ632">
        <v>0</v>
      </c>
      <c r="BR632">
        <v>0</v>
      </c>
      <c r="BS632" s="1" t="s">
        <v>129</v>
      </c>
      <c r="BT632" s="1" t="s">
        <v>238</v>
      </c>
      <c r="BU632" s="1" t="s">
        <v>126</v>
      </c>
      <c r="BV632">
        <v>1</v>
      </c>
      <c r="BW632">
        <v>0</v>
      </c>
      <c r="BX632">
        <v>6.6666666666666596E-2</v>
      </c>
      <c r="BY632">
        <v>0</v>
      </c>
      <c r="BZ632" s="1" t="s">
        <v>213</v>
      </c>
      <c r="CA632">
        <v>0.22</v>
      </c>
      <c r="CB632">
        <v>0.67200000000000004</v>
      </c>
      <c r="CC632">
        <v>0.19</v>
      </c>
      <c r="CD632">
        <v>0.85</v>
      </c>
      <c r="CE632">
        <v>0.12</v>
      </c>
      <c r="CF632">
        <v>0.27200000000000002</v>
      </c>
      <c r="CG632" s="1" t="s">
        <v>253</v>
      </c>
      <c r="CH632" s="1" t="s">
        <v>295</v>
      </c>
      <c r="CI632" s="1" t="s">
        <v>138</v>
      </c>
      <c r="CJ632">
        <v>3.6</v>
      </c>
      <c r="CK632">
        <v>3</v>
      </c>
      <c r="CL632" s="1" t="s">
        <v>321</v>
      </c>
      <c r="CM632">
        <v>59</v>
      </c>
      <c r="CN632" s="1" t="s">
        <v>1725</v>
      </c>
      <c r="CO632" s="1" t="s">
        <v>2742</v>
      </c>
      <c r="CP632">
        <v>57.8</v>
      </c>
      <c r="CQ632" s="1" t="s">
        <v>6323</v>
      </c>
      <c r="CR632" s="1" t="s">
        <v>6324</v>
      </c>
      <c r="CS632" s="1" t="s">
        <v>5833</v>
      </c>
      <c r="CT632" s="1" t="s">
        <v>873</v>
      </c>
      <c r="CU632">
        <v>1553</v>
      </c>
      <c r="CV632">
        <v>1585</v>
      </c>
      <c r="CW632">
        <v>65.95</v>
      </c>
      <c r="CX632">
        <v>69.5</v>
      </c>
      <c r="CY632">
        <v>75.400000000000006</v>
      </c>
      <c r="CZ632" s="1" t="s">
        <v>263</v>
      </c>
      <c r="DA632">
        <v>1</v>
      </c>
      <c r="DB632" t="s">
        <v>114</v>
      </c>
      <c r="DC632">
        <v>41</v>
      </c>
      <c r="DD632" s="1" t="s">
        <v>6325</v>
      </c>
      <c r="DE632">
        <v>-12.033375712438</v>
      </c>
      <c r="DF632" t="str">
        <f>_xlfn.XLOOKUP(Table1[[#This Row],[Player ID]],Table2[feed_id],Table2[trade_status])</f>
        <v>free_agent</v>
      </c>
      <c r="DG632">
        <f>_xlfn.NUMBERVALUE(Table1[[#This Row],[predicted]])</f>
        <v>53.033375712438001</v>
      </c>
    </row>
    <row r="633" spans="1:111" hidden="1" x14ac:dyDescent="0.25">
      <c r="A633">
        <v>131747</v>
      </c>
      <c r="B633">
        <v>9219</v>
      </c>
      <c r="C633" t="s">
        <v>6326</v>
      </c>
      <c r="D633" t="s">
        <v>422</v>
      </c>
      <c r="E633">
        <v>2025</v>
      </c>
      <c r="F633">
        <v>997846</v>
      </c>
      <c r="G633" t="s">
        <v>3352</v>
      </c>
      <c r="H633" t="s">
        <v>6327</v>
      </c>
      <c r="I633" t="s">
        <v>201</v>
      </c>
      <c r="J633">
        <v>2</v>
      </c>
      <c r="K633">
        <v>25</v>
      </c>
      <c r="L633">
        <v>29</v>
      </c>
      <c r="M633">
        <v>34</v>
      </c>
      <c r="N633">
        <v>20</v>
      </c>
      <c r="O633">
        <v>24</v>
      </c>
      <c r="P633">
        <v>3</v>
      </c>
      <c r="Q633">
        <v>0</v>
      </c>
      <c r="R633">
        <v>4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113</v>
      </c>
      <c r="Z633" t="s">
        <v>226</v>
      </c>
      <c r="AA633" t="s">
        <v>6328</v>
      </c>
      <c r="AB633" t="s">
        <v>3571</v>
      </c>
      <c r="AC633" t="s">
        <v>4081</v>
      </c>
      <c r="AD633">
        <v>435200</v>
      </c>
      <c r="AE633">
        <v>0</v>
      </c>
      <c r="AH633" t="s">
        <v>181</v>
      </c>
      <c r="AI633">
        <v>26</v>
      </c>
      <c r="AJ633">
        <v>17</v>
      </c>
      <c r="AK633">
        <v>65</v>
      </c>
      <c r="AL633">
        <v>0</v>
      </c>
      <c r="AM633">
        <v>0</v>
      </c>
      <c r="AN633">
        <v>0.43</v>
      </c>
      <c r="AO633">
        <v>0.23</v>
      </c>
      <c r="AS633">
        <v>0</v>
      </c>
      <c r="AT633">
        <v>0</v>
      </c>
      <c r="AU633">
        <v>0</v>
      </c>
      <c r="AV633">
        <v>100</v>
      </c>
      <c r="AW633">
        <v>32</v>
      </c>
      <c r="AX633">
        <v>62</v>
      </c>
      <c r="AY633">
        <v>0</v>
      </c>
      <c r="AZ633" t="b">
        <v>0</v>
      </c>
      <c r="BA633">
        <v>1363</v>
      </c>
      <c r="BB633">
        <v>1914</v>
      </c>
      <c r="BC633">
        <v>3</v>
      </c>
      <c r="BD633" t="s">
        <v>6329</v>
      </c>
      <c r="BE633">
        <v>99</v>
      </c>
      <c r="BF633">
        <v>0</v>
      </c>
      <c r="BG633">
        <v>71</v>
      </c>
      <c r="BH633">
        <v>0</v>
      </c>
      <c r="BI633" s="1" t="s">
        <v>449</v>
      </c>
      <c r="BJ633">
        <v>11.8</v>
      </c>
      <c r="BK633">
        <v>1</v>
      </c>
      <c r="BL633" s="1" t="s">
        <v>566</v>
      </c>
      <c r="BM633">
        <v>2</v>
      </c>
      <c r="BN633" s="1" t="s">
        <v>160</v>
      </c>
      <c r="BO633" s="1" t="s">
        <v>129</v>
      </c>
      <c r="BP633" s="1" t="s">
        <v>238</v>
      </c>
      <c r="BQ633">
        <v>0</v>
      </c>
      <c r="BR633">
        <v>0</v>
      </c>
      <c r="BS633" s="1" t="s">
        <v>129</v>
      </c>
      <c r="BT633" s="1" t="s">
        <v>184</v>
      </c>
      <c r="BU633">
        <v>0</v>
      </c>
      <c r="BV633" s="1" t="s">
        <v>184</v>
      </c>
      <c r="BW633">
        <v>0</v>
      </c>
      <c r="BX633">
        <v>0</v>
      </c>
      <c r="BY633" s="1" t="s">
        <v>129</v>
      </c>
      <c r="BZ633">
        <v>0.2</v>
      </c>
      <c r="CA633">
        <v>0</v>
      </c>
      <c r="CB633">
        <v>0</v>
      </c>
      <c r="CC633">
        <v>0.43</v>
      </c>
      <c r="CD633">
        <v>0.43</v>
      </c>
      <c r="CE633">
        <v>0.23</v>
      </c>
      <c r="CF633">
        <v>0.23</v>
      </c>
      <c r="CG633" s="1" t="s">
        <v>161</v>
      </c>
      <c r="CH633" s="1" t="s">
        <v>169</v>
      </c>
      <c r="CI633" s="1" t="s">
        <v>129</v>
      </c>
      <c r="CJ633">
        <v>0.4</v>
      </c>
      <c r="CK633">
        <v>0</v>
      </c>
      <c r="CL633" s="1" t="s">
        <v>275</v>
      </c>
      <c r="CM633" s="1" t="s">
        <v>239</v>
      </c>
      <c r="CN633" s="1" t="s">
        <v>1053</v>
      </c>
      <c r="CO633">
        <v>40</v>
      </c>
      <c r="CP633">
        <v>68</v>
      </c>
      <c r="CQ633">
        <v>189</v>
      </c>
      <c r="CR633" s="1" t="s">
        <v>4013</v>
      </c>
      <c r="CS633" s="1" t="s">
        <v>2491</v>
      </c>
      <c r="CT633" s="1" t="s">
        <v>6330</v>
      </c>
      <c r="CU633" s="1" t="s">
        <v>6331</v>
      </c>
      <c r="CV633">
        <v>1526.2</v>
      </c>
      <c r="CW633">
        <v>54.75</v>
      </c>
      <c r="CX633">
        <v>40.5</v>
      </c>
      <c r="CY633">
        <v>35.200000000000003</v>
      </c>
      <c r="CZ633" s="1" t="s">
        <v>6332</v>
      </c>
      <c r="DA633">
        <v>1</v>
      </c>
      <c r="DB633" t="s">
        <v>226</v>
      </c>
      <c r="DC633">
        <v>29</v>
      </c>
      <c r="DD633">
        <v>74.868354381069906</v>
      </c>
      <c r="DE633">
        <v>-45.868354381069899</v>
      </c>
      <c r="DF633" t="str">
        <f>_xlfn.XLOOKUP(Table1[[#This Row],[Player ID]],Table2[feed_id],Table2[trade_status])</f>
        <v>free_agent</v>
      </c>
      <c r="DG633">
        <f>_xlfn.NUMBERVALUE(Table1[[#This Row],[predicted]])</f>
        <v>74.868354381069906</v>
      </c>
    </row>
    <row r="634" spans="1:111" hidden="1" x14ac:dyDescent="0.25">
      <c r="A634">
        <v>131811</v>
      </c>
      <c r="B634">
        <v>9220</v>
      </c>
      <c r="C634" t="s">
        <v>6333</v>
      </c>
      <c r="D634" t="s">
        <v>422</v>
      </c>
      <c r="E634">
        <v>2025</v>
      </c>
      <c r="F634">
        <v>298281</v>
      </c>
      <c r="G634" t="s">
        <v>1235</v>
      </c>
      <c r="H634" t="s">
        <v>6334</v>
      </c>
      <c r="I634" t="s">
        <v>291</v>
      </c>
      <c r="J634">
        <v>4</v>
      </c>
      <c r="K634">
        <v>40</v>
      </c>
      <c r="L634">
        <v>48</v>
      </c>
      <c r="M634">
        <v>29</v>
      </c>
      <c r="N634">
        <v>36</v>
      </c>
      <c r="O634">
        <v>48</v>
      </c>
      <c r="P634">
        <v>6</v>
      </c>
      <c r="Q634">
        <v>4</v>
      </c>
      <c r="R634">
        <v>5</v>
      </c>
      <c r="S634">
        <v>1</v>
      </c>
      <c r="T634">
        <v>0</v>
      </c>
      <c r="U634">
        <v>1</v>
      </c>
      <c r="V634">
        <v>2</v>
      </c>
      <c r="W634">
        <v>0</v>
      </c>
      <c r="X634">
        <v>0</v>
      </c>
      <c r="Y634" t="s">
        <v>113</v>
      </c>
      <c r="Z634" t="s">
        <v>778</v>
      </c>
      <c r="AA634" t="s">
        <v>6335</v>
      </c>
      <c r="AB634" t="s">
        <v>1074</v>
      </c>
      <c r="AC634" t="s">
        <v>6336</v>
      </c>
      <c r="AD634">
        <v>426000</v>
      </c>
      <c r="AE634">
        <v>0</v>
      </c>
      <c r="AH634" t="s">
        <v>181</v>
      </c>
      <c r="AI634">
        <v>8</v>
      </c>
      <c r="AJ634">
        <v>11</v>
      </c>
      <c r="AK634">
        <v>59.82</v>
      </c>
      <c r="AL634">
        <v>0</v>
      </c>
      <c r="AM634">
        <v>0</v>
      </c>
      <c r="AN634">
        <v>0.28999999999999998</v>
      </c>
      <c r="AO634">
        <v>0.78</v>
      </c>
      <c r="AS634">
        <v>2</v>
      </c>
      <c r="AT634">
        <v>0</v>
      </c>
      <c r="AU634">
        <v>3</v>
      </c>
      <c r="AV634">
        <v>90</v>
      </c>
      <c r="AW634">
        <v>79</v>
      </c>
      <c r="AX634">
        <v>184</v>
      </c>
      <c r="AY634">
        <v>1</v>
      </c>
      <c r="AZ634" t="b">
        <v>1</v>
      </c>
      <c r="BA634">
        <v>1793</v>
      </c>
      <c r="BB634">
        <v>1508</v>
      </c>
      <c r="BC634">
        <v>3</v>
      </c>
      <c r="BD634" t="s">
        <v>6337</v>
      </c>
      <c r="BE634">
        <v>99</v>
      </c>
      <c r="BF634">
        <v>0</v>
      </c>
      <c r="BG634">
        <v>71</v>
      </c>
      <c r="BH634">
        <v>0</v>
      </c>
      <c r="BI634">
        <v>8</v>
      </c>
      <c r="BJ634" s="1" t="s">
        <v>294</v>
      </c>
      <c r="BK634">
        <v>5</v>
      </c>
      <c r="BL634" s="1" t="s">
        <v>1092</v>
      </c>
      <c r="BM634">
        <v>6</v>
      </c>
      <c r="BN634">
        <v>6.4</v>
      </c>
      <c r="BO634">
        <v>2</v>
      </c>
      <c r="BP634">
        <v>1.2</v>
      </c>
      <c r="BQ634">
        <v>0</v>
      </c>
      <c r="BR634">
        <v>0</v>
      </c>
      <c r="BS634" s="1" t="s">
        <v>128</v>
      </c>
      <c r="BT634" s="1" t="s">
        <v>130</v>
      </c>
      <c r="BU634">
        <v>2</v>
      </c>
      <c r="BV634">
        <v>1.2</v>
      </c>
      <c r="BW634">
        <v>0</v>
      </c>
      <c r="BX634">
        <v>6.6666666666666596E-2</v>
      </c>
      <c r="BY634">
        <v>0</v>
      </c>
      <c r="BZ634">
        <v>0</v>
      </c>
      <c r="CA634">
        <v>0</v>
      </c>
      <c r="CB634">
        <v>0</v>
      </c>
      <c r="CC634">
        <v>0.28999999999999998</v>
      </c>
      <c r="CD634">
        <v>0.28999999999999998</v>
      </c>
      <c r="CE634">
        <v>0.78</v>
      </c>
      <c r="CF634">
        <v>0.78</v>
      </c>
      <c r="CG634">
        <v>2</v>
      </c>
      <c r="CH634" s="1" t="s">
        <v>752</v>
      </c>
      <c r="CI634">
        <v>0</v>
      </c>
      <c r="CJ634">
        <v>0.2</v>
      </c>
      <c r="CK634" s="1" t="s">
        <v>159</v>
      </c>
      <c r="CL634">
        <v>2.2000000000000002</v>
      </c>
      <c r="CM634" s="1" t="s">
        <v>1028</v>
      </c>
      <c r="CN634" s="1" t="s">
        <v>3392</v>
      </c>
      <c r="CO634" s="1" t="s">
        <v>268</v>
      </c>
      <c r="CP634" s="1" t="s">
        <v>4105</v>
      </c>
      <c r="CQ634" s="1" t="s">
        <v>6338</v>
      </c>
      <c r="CR634">
        <v>233</v>
      </c>
      <c r="CS634" s="1" t="s">
        <v>4163</v>
      </c>
      <c r="CT634" s="1" t="s">
        <v>1653</v>
      </c>
      <c r="CU634">
        <v>1625</v>
      </c>
      <c r="CV634" s="1" t="s">
        <v>6339</v>
      </c>
      <c r="CW634">
        <v>74.55</v>
      </c>
      <c r="CX634">
        <v>67.099999999999994</v>
      </c>
      <c r="CY634">
        <v>61</v>
      </c>
      <c r="CZ634" s="1" t="s">
        <v>1979</v>
      </c>
      <c r="DA634">
        <v>1</v>
      </c>
      <c r="DB634" t="s">
        <v>778</v>
      </c>
      <c r="DC634">
        <v>48</v>
      </c>
      <c r="DD634" s="1" t="s">
        <v>6340</v>
      </c>
      <c r="DE634">
        <v>-32.471923849667498</v>
      </c>
      <c r="DF634" t="str">
        <f>_xlfn.XLOOKUP(Table1[[#This Row],[Player ID]],Table2[feed_id],Table2[trade_status])</f>
        <v>free_agent</v>
      </c>
      <c r="DG634">
        <f>_xlfn.NUMBERVALUE(Table1[[#This Row],[predicted]])</f>
        <v>80.471923849667505</v>
      </c>
    </row>
    <row r="635" spans="1:111" hidden="1" x14ac:dyDescent="0.25">
      <c r="A635">
        <v>131837</v>
      </c>
      <c r="B635">
        <v>9221</v>
      </c>
      <c r="C635" t="s">
        <v>6341</v>
      </c>
      <c r="D635" t="s">
        <v>422</v>
      </c>
      <c r="E635">
        <v>2025</v>
      </c>
      <c r="F635">
        <v>1009410</v>
      </c>
      <c r="G635" t="s">
        <v>3213</v>
      </c>
      <c r="H635" t="s">
        <v>794</v>
      </c>
      <c r="I635" t="s">
        <v>178</v>
      </c>
      <c r="J635">
        <v>1</v>
      </c>
      <c r="K635">
        <v>12</v>
      </c>
      <c r="L635">
        <v>19</v>
      </c>
      <c r="M635">
        <v>14</v>
      </c>
      <c r="N635">
        <v>10</v>
      </c>
      <c r="O635">
        <v>15</v>
      </c>
      <c r="P635">
        <v>2</v>
      </c>
      <c r="Q635">
        <v>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113</v>
      </c>
      <c r="Z635" t="s">
        <v>114</v>
      </c>
      <c r="AA635" t="s">
        <v>6342</v>
      </c>
      <c r="AB635" t="s">
        <v>116</v>
      </c>
      <c r="AC635" t="s">
        <v>6343</v>
      </c>
      <c r="AH635" t="s">
        <v>181</v>
      </c>
      <c r="AI635">
        <v>31</v>
      </c>
      <c r="AJ635">
        <v>0</v>
      </c>
      <c r="AK635">
        <v>0</v>
      </c>
      <c r="AL635">
        <v>0</v>
      </c>
      <c r="AM635">
        <v>0.49</v>
      </c>
      <c r="AN635">
        <v>0.1</v>
      </c>
      <c r="AO635">
        <v>0.39</v>
      </c>
      <c r="AS635">
        <v>2</v>
      </c>
      <c r="AT635">
        <v>0</v>
      </c>
      <c r="AU635">
        <v>0</v>
      </c>
      <c r="AV635">
        <v>80</v>
      </c>
      <c r="AW635">
        <v>34</v>
      </c>
      <c r="AX635">
        <v>66</v>
      </c>
      <c r="AY635">
        <v>1</v>
      </c>
      <c r="AZ635" t="b">
        <v>1</v>
      </c>
      <c r="BA635">
        <v>1622</v>
      </c>
      <c r="BB635">
        <v>1665</v>
      </c>
      <c r="BC635">
        <v>3</v>
      </c>
      <c r="BD635" t="s">
        <v>6344</v>
      </c>
      <c r="BE635">
        <v>99</v>
      </c>
      <c r="BF635">
        <v>0</v>
      </c>
      <c r="BG635">
        <v>71</v>
      </c>
      <c r="BH635">
        <v>0</v>
      </c>
      <c r="BI635">
        <v>5</v>
      </c>
      <c r="BJ635" s="1" t="s">
        <v>295</v>
      </c>
      <c r="BK635">
        <v>4</v>
      </c>
      <c r="BL635" s="1" t="s">
        <v>124</v>
      </c>
      <c r="BM635">
        <v>1</v>
      </c>
      <c r="BN635">
        <v>3.6</v>
      </c>
      <c r="BO635" s="1" t="s">
        <v>138</v>
      </c>
      <c r="BP635" s="1" t="s">
        <v>170</v>
      </c>
      <c r="BQ635">
        <v>0</v>
      </c>
      <c r="BR635">
        <v>0</v>
      </c>
      <c r="BS635" s="1" t="s">
        <v>126</v>
      </c>
      <c r="BT635" s="1" t="s">
        <v>162</v>
      </c>
      <c r="BU635" s="1" t="s">
        <v>128</v>
      </c>
      <c r="BV635">
        <v>0.8</v>
      </c>
      <c r="BW635">
        <v>0</v>
      </c>
      <c r="BX635">
        <v>6.6666666666666596E-2</v>
      </c>
      <c r="BY635">
        <v>0</v>
      </c>
      <c r="BZ635">
        <v>0</v>
      </c>
      <c r="CA635">
        <v>0.49</v>
      </c>
      <c r="CB635">
        <v>0.49</v>
      </c>
      <c r="CC635">
        <v>0.1</v>
      </c>
      <c r="CD635">
        <v>0.1</v>
      </c>
      <c r="CE635">
        <v>0.39</v>
      </c>
      <c r="CF635">
        <v>0.39</v>
      </c>
      <c r="CG635" s="1" t="s">
        <v>211</v>
      </c>
      <c r="CH635" s="1" t="s">
        <v>781</v>
      </c>
      <c r="CI635" s="1" t="s">
        <v>129</v>
      </c>
      <c r="CJ635" s="1" t="s">
        <v>128</v>
      </c>
      <c r="CK635" s="1" t="s">
        <v>161</v>
      </c>
      <c r="CL635" s="1" t="s">
        <v>159</v>
      </c>
      <c r="CM635" s="1" t="s">
        <v>994</v>
      </c>
      <c r="CN635" s="1" t="s">
        <v>1177</v>
      </c>
      <c r="CO635" s="1" t="s">
        <v>822</v>
      </c>
      <c r="CP635" s="1" t="s">
        <v>968</v>
      </c>
      <c r="CQ635">
        <v>123</v>
      </c>
      <c r="CR635" s="1" t="s">
        <v>6345</v>
      </c>
      <c r="CS635" s="1" t="s">
        <v>1769</v>
      </c>
      <c r="CT635" s="1" t="s">
        <v>6346</v>
      </c>
      <c r="CU635">
        <v>1699</v>
      </c>
      <c r="CV635" s="1" t="s">
        <v>6347</v>
      </c>
      <c r="CW635">
        <v>59.2</v>
      </c>
      <c r="CX635">
        <v>60.6</v>
      </c>
      <c r="CY635">
        <v>58.4</v>
      </c>
      <c r="CZ635" s="1" t="s">
        <v>1100</v>
      </c>
      <c r="DA635">
        <v>1</v>
      </c>
      <c r="DB635" t="s">
        <v>114</v>
      </c>
      <c r="DC635">
        <v>19</v>
      </c>
      <c r="DD635" s="1" t="s">
        <v>6348</v>
      </c>
      <c r="DE635">
        <v>-21.968307256136601</v>
      </c>
      <c r="DF635" t="str">
        <f>_xlfn.XLOOKUP(Table1[[#This Row],[Player ID]],Table2[feed_id],Table2[trade_status])</f>
        <v>free_agent</v>
      </c>
      <c r="DG635">
        <f>_xlfn.NUMBERVALUE(Table1[[#This Row],[predicted]])</f>
        <v>40.968307256136598</v>
      </c>
    </row>
    <row r="636" spans="1:111" hidden="1" x14ac:dyDescent="0.25">
      <c r="A636">
        <v>131846</v>
      </c>
      <c r="B636">
        <v>9221</v>
      </c>
      <c r="C636" t="s">
        <v>6341</v>
      </c>
      <c r="D636" t="s">
        <v>422</v>
      </c>
      <c r="E636">
        <v>2025</v>
      </c>
      <c r="F636">
        <v>996765</v>
      </c>
      <c r="G636" t="s">
        <v>776</v>
      </c>
      <c r="H636" t="s">
        <v>6349</v>
      </c>
      <c r="I636" t="s">
        <v>338</v>
      </c>
      <c r="J636">
        <v>9</v>
      </c>
      <c r="K636">
        <v>69</v>
      </c>
      <c r="L636">
        <v>69</v>
      </c>
      <c r="M636">
        <v>32</v>
      </c>
      <c r="N636">
        <v>54</v>
      </c>
      <c r="O636">
        <v>77</v>
      </c>
      <c r="P636">
        <v>15</v>
      </c>
      <c r="Q636">
        <v>4</v>
      </c>
      <c r="R636">
        <v>4</v>
      </c>
      <c r="S636">
        <v>2</v>
      </c>
      <c r="T636">
        <v>0</v>
      </c>
      <c r="U636">
        <v>0</v>
      </c>
      <c r="V636">
        <v>2</v>
      </c>
      <c r="W636">
        <v>0</v>
      </c>
      <c r="X636">
        <v>2</v>
      </c>
      <c r="Y636" t="s">
        <v>113</v>
      </c>
      <c r="Z636" t="s">
        <v>778</v>
      </c>
      <c r="AA636" t="s">
        <v>6350</v>
      </c>
      <c r="AB636" t="s">
        <v>861</v>
      </c>
      <c r="AC636" t="s">
        <v>6351</v>
      </c>
      <c r="AH636" t="s">
        <v>155</v>
      </c>
      <c r="AI636">
        <v>11</v>
      </c>
      <c r="AJ636">
        <v>0</v>
      </c>
      <c r="AK636">
        <v>0</v>
      </c>
      <c r="AL636">
        <v>0</v>
      </c>
      <c r="AM636">
        <v>0.44</v>
      </c>
      <c r="AN636">
        <v>0.3</v>
      </c>
      <c r="AO636">
        <v>0.9</v>
      </c>
      <c r="AS636">
        <v>8</v>
      </c>
      <c r="AT636">
        <v>1</v>
      </c>
      <c r="AU636">
        <v>3</v>
      </c>
      <c r="AV636">
        <v>63</v>
      </c>
      <c r="AW636">
        <v>84</v>
      </c>
      <c r="AX636">
        <v>399</v>
      </c>
      <c r="AY636">
        <v>0</v>
      </c>
      <c r="AZ636" t="b">
        <v>1</v>
      </c>
      <c r="BA636">
        <v>1665</v>
      </c>
      <c r="BB636">
        <v>1622</v>
      </c>
      <c r="BC636">
        <v>3</v>
      </c>
      <c r="BD636" t="s">
        <v>6352</v>
      </c>
      <c r="BE636">
        <v>99</v>
      </c>
      <c r="BF636">
        <v>0</v>
      </c>
      <c r="BG636">
        <v>71</v>
      </c>
      <c r="BH636">
        <v>0</v>
      </c>
      <c r="BI636" s="1" t="s">
        <v>545</v>
      </c>
      <c r="BJ636">
        <v>10.8</v>
      </c>
      <c r="BK636">
        <v>5</v>
      </c>
      <c r="BL636" s="1" t="s">
        <v>766</v>
      </c>
      <c r="BM636" s="1" t="s">
        <v>159</v>
      </c>
      <c r="BN636" s="1" t="s">
        <v>766</v>
      </c>
      <c r="BO636">
        <v>1</v>
      </c>
      <c r="BP636" s="1" t="s">
        <v>298</v>
      </c>
      <c r="BQ636">
        <v>0</v>
      </c>
      <c r="BR636">
        <v>0</v>
      </c>
      <c r="BS636">
        <v>1</v>
      </c>
      <c r="BT636" s="1" t="s">
        <v>128</v>
      </c>
      <c r="BU636" s="1" t="s">
        <v>159</v>
      </c>
      <c r="BV636" s="1" t="s">
        <v>127</v>
      </c>
      <c r="BW636" s="1" t="s">
        <v>129</v>
      </c>
      <c r="BX636" s="1" t="s">
        <v>161</v>
      </c>
      <c r="BY636">
        <v>1</v>
      </c>
      <c r="BZ636">
        <v>1.4</v>
      </c>
      <c r="CA636">
        <v>0.44</v>
      </c>
      <c r="CB636">
        <v>0.44</v>
      </c>
      <c r="CC636">
        <v>0.3</v>
      </c>
      <c r="CD636">
        <v>0.3</v>
      </c>
      <c r="CE636">
        <v>0.9</v>
      </c>
      <c r="CF636">
        <v>0.9</v>
      </c>
      <c r="CG636" s="1" t="s">
        <v>253</v>
      </c>
      <c r="CH636" s="1" t="s">
        <v>397</v>
      </c>
      <c r="CI636">
        <v>1</v>
      </c>
      <c r="CJ636">
        <v>1.8</v>
      </c>
      <c r="CK636">
        <v>4</v>
      </c>
      <c r="CL636" s="1" t="s">
        <v>322</v>
      </c>
      <c r="CM636">
        <v>73</v>
      </c>
      <c r="CN636" s="1" t="s">
        <v>6353</v>
      </c>
      <c r="CO636" s="1" t="s">
        <v>142</v>
      </c>
      <c r="CP636">
        <v>81.599999999999994</v>
      </c>
      <c r="CQ636" s="1" t="s">
        <v>5550</v>
      </c>
      <c r="CR636" s="1" t="s">
        <v>6354</v>
      </c>
      <c r="CS636" s="1" t="s">
        <v>3457</v>
      </c>
      <c r="CT636">
        <v>1678.4</v>
      </c>
      <c r="CU636">
        <v>1666</v>
      </c>
      <c r="CV636">
        <v>1606.2</v>
      </c>
      <c r="CW636">
        <v>72.05</v>
      </c>
      <c r="CX636">
        <v>75.5</v>
      </c>
      <c r="CY636">
        <v>51.8</v>
      </c>
      <c r="CZ636" s="1" t="s">
        <v>1969</v>
      </c>
      <c r="DA636">
        <v>1</v>
      </c>
      <c r="DB636" t="s">
        <v>778</v>
      </c>
      <c r="DC636">
        <v>69</v>
      </c>
      <c r="DD636" s="1" t="s">
        <v>6355</v>
      </c>
      <c r="DE636">
        <v>-12.2109328838911</v>
      </c>
      <c r="DF636" t="str">
        <f>_xlfn.XLOOKUP(Table1[[#This Row],[Player ID]],Table2[feed_id],Table2[trade_status])</f>
        <v>free_agent</v>
      </c>
      <c r="DG636">
        <f>_xlfn.NUMBERVALUE(Table1[[#This Row],[predicted]])</f>
        <v>81.210932883891104</v>
      </c>
    </row>
    <row r="637" spans="1:111" hidden="1" x14ac:dyDescent="0.25">
      <c r="A637">
        <v>131862</v>
      </c>
      <c r="B637">
        <v>9222</v>
      </c>
      <c r="C637" t="s">
        <v>6356</v>
      </c>
      <c r="D637" t="s">
        <v>1155</v>
      </c>
      <c r="E637">
        <v>2025</v>
      </c>
      <c r="F637">
        <v>1006103</v>
      </c>
      <c r="G637" t="s">
        <v>6357</v>
      </c>
      <c r="H637" t="s">
        <v>6358</v>
      </c>
      <c r="I637" t="s">
        <v>619</v>
      </c>
      <c r="J637">
        <v>19</v>
      </c>
      <c r="K637">
        <v>100</v>
      </c>
      <c r="L637">
        <v>84</v>
      </c>
      <c r="M637">
        <v>128</v>
      </c>
      <c r="N637">
        <v>79</v>
      </c>
      <c r="O637">
        <v>106</v>
      </c>
      <c r="P637">
        <v>11</v>
      </c>
      <c r="Q637">
        <v>12</v>
      </c>
      <c r="R637">
        <v>7</v>
      </c>
      <c r="S637">
        <v>5</v>
      </c>
      <c r="T637">
        <v>0</v>
      </c>
      <c r="U637">
        <v>1</v>
      </c>
      <c r="V637">
        <v>0</v>
      </c>
      <c r="W637">
        <v>0</v>
      </c>
      <c r="X637">
        <v>1</v>
      </c>
      <c r="Y637" t="s">
        <v>113</v>
      </c>
      <c r="Z637" t="s">
        <v>339</v>
      </c>
      <c r="AA637" t="s">
        <v>860</v>
      </c>
      <c r="AB637" t="s">
        <v>877</v>
      </c>
      <c r="AC637" t="s">
        <v>1814</v>
      </c>
      <c r="AH637" t="s">
        <v>118</v>
      </c>
      <c r="AI637">
        <v>6</v>
      </c>
      <c r="AJ637">
        <v>0</v>
      </c>
      <c r="AK637">
        <v>0</v>
      </c>
      <c r="AL637">
        <v>0</v>
      </c>
      <c r="AM637">
        <v>0.84</v>
      </c>
      <c r="AN637">
        <v>0.56000000000000005</v>
      </c>
      <c r="AO637">
        <v>0.89</v>
      </c>
      <c r="AS637">
        <v>10</v>
      </c>
      <c r="AT637">
        <v>3</v>
      </c>
      <c r="AU637">
        <v>3</v>
      </c>
      <c r="AV637">
        <v>69</v>
      </c>
      <c r="AW637">
        <v>77</v>
      </c>
      <c r="AX637">
        <v>293</v>
      </c>
      <c r="AY637">
        <v>0</v>
      </c>
      <c r="AZ637" t="b">
        <v>0</v>
      </c>
      <c r="BA637">
        <v>1543</v>
      </c>
      <c r="BB637">
        <v>1748</v>
      </c>
      <c r="BC637">
        <v>4</v>
      </c>
      <c r="BD637" t="s">
        <v>6359</v>
      </c>
      <c r="BE637">
        <v>98</v>
      </c>
      <c r="BF637">
        <v>0</v>
      </c>
      <c r="BG637">
        <v>73</v>
      </c>
      <c r="BH637">
        <v>1</v>
      </c>
      <c r="BI637">
        <v>13</v>
      </c>
      <c r="BJ637" s="1" t="s">
        <v>395</v>
      </c>
      <c r="BK637" s="1" t="s">
        <v>5109</v>
      </c>
      <c r="BL637" s="1" t="s">
        <v>1816</v>
      </c>
      <c r="BM637" s="1" t="s">
        <v>449</v>
      </c>
      <c r="BN637" s="1" t="s">
        <v>211</v>
      </c>
      <c r="BO637" s="1" t="s">
        <v>397</v>
      </c>
      <c r="BP637" s="1" t="s">
        <v>624</v>
      </c>
      <c r="BQ637">
        <v>0</v>
      </c>
      <c r="BR637">
        <v>0</v>
      </c>
      <c r="BS637">
        <v>1</v>
      </c>
      <c r="BT637" s="1" t="s">
        <v>327</v>
      </c>
      <c r="BU637">
        <v>1</v>
      </c>
      <c r="BV637">
        <v>1.6</v>
      </c>
      <c r="BW637" s="1" t="s">
        <v>128</v>
      </c>
      <c r="BX637" s="1" t="s">
        <v>238</v>
      </c>
      <c r="BY637" s="1" t="s">
        <v>128</v>
      </c>
      <c r="BZ637" s="1" t="s">
        <v>238</v>
      </c>
      <c r="CA637">
        <v>0.84</v>
      </c>
      <c r="CB637">
        <v>0.84</v>
      </c>
      <c r="CC637">
        <v>0.56000000000000005</v>
      </c>
      <c r="CD637">
        <v>0.56000000000000005</v>
      </c>
      <c r="CE637">
        <v>0.89</v>
      </c>
      <c r="CF637">
        <v>0.89</v>
      </c>
      <c r="CG637" s="1" t="s">
        <v>395</v>
      </c>
      <c r="CH637" s="1" t="s">
        <v>2030</v>
      </c>
      <c r="CI637">
        <v>5</v>
      </c>
      <c r="CJ637">
        <v>4.5999999999999996</v>
      </c>
      <c r="CK637" s="1" t="s">
        <v>211</v>
      </c>
      <c r="CL637" s="1" t="s">
        <v>436</v>
      </c>
      <c r="CM637">
        <v>69</v>
      </c>
      <c r="CN637">
        <v>70</v>
      </c>
      <c r="CO637" s="1" t="s">
        <v>261</v>
      </c>
      <c r="CP637">
        <v>78.400000000000006</v>
      </c>
      <c r="CQ637">
        <v>375</v>
      </c>
      <c r="CR637">
        <v>355.2</v>
      </c>
      <c r="CS637">
        <v>1568</v>
      </c>
      <c r="CT637">
        <v>1644.2</v>
      </c>
      <c r="CU637" s="1" t="s">
        <v>6360</v>
      </c>
      <c r="CV637" s="1" t="s">
        <v>6361</v>
      </c>
      <c r="CW637">
        <v>97.15</v>
      </c>
      <c r="CX637">
        <v>95.4</v>
      </c>
      <c r="CY637">
        <v>97.2</v>
      </c>
      <c r="CZ637" s="1" t="s">
        <v>3692</v>
      </c>
      <c r="DA637">
        <v>1</v>
      </c>
      <c r="DB637" t="s">
        <v>339</v>
      </c>
      <c r="DC637">
        <v>84</v>
      </c>
      <c r="DD637" s="1" t="s">
        <v>6362</v>
      </c>
      <c r="DE637">
        <v>-13.182051654177799</v>
      </c>
      <c r="DF637" t="e">
        <f>_xlfn.XLOOKUP(Table1[[#This Row],[Player ID]],Table2[feed_id],Table2[trade_status])</f>
        <v>#N/A</v>
      </c>
      <c r="DG637">
        <f>_xlfn.NUMBERVALUE(Table1[[#This Row],[predicted]])</f>
        <v>97.182051654177798</v>
      </c>
    </row>
    <row r="638" spans="1:111" hidden="1" x14ac:dyDescent="0.25">
      <c r="A638">
        <v>131873</v>
      </c>
      <c r="B638">
        <v>9222</v>
      </c>
      <c r="C638" t="s">
        <v>6356</v>
      </c>
      <c r="D638" t="s">
        <v>1155</v>
      </c>
      <c r="E638">
        <v>2025</v>
      </c>
      <c r="F638">
        <v>1011954</v>
      </c>
      <c r="G638" t="s">
        <v>740</v>
      </c>
      <c r="H638" t="s">
        <v>6363</v>
      </c>
      <c r="I638" t="s">
        <v>619</v>
      </c>
      <c r="J638">
        <v>11</v>
      </c>
      <c r="K638">
        <v>67</v>
      </c>
      <c r="L638">
        <v>79</v>
      </c>
      <c r="M638">
        <v>81</v>
      </c>
      <c r="N638">
        <v>57</v>
      </c>
      <c r="O638">
        <v>69</v>
      </c>
      <c r="P638">
        <v>8</v>
      </c>
      <c r="Q638">
        <v>4</v>
      </c>
      <c r="R638">
        <v>2</v>
      </c>
      <c r="S638">
        <v>2</v>
      </c>
      <c r="T638">
        <v>21</v>
      </c>
      <c r="U638">
        <v>3</v>
      </c>
      <c r="V638">
        <v>1</v>
      </c>
      <c r="W638">
        <v>0</v>
      </c>
      <c r="X638">
        <v>0</v>
      </c>
      <c r="Y638" t="s">
        <v>113</v>
      </c>
      <c r="Z638" t="s">
        <v>602</v>
      </c>
      <c r="AA638" t="s">
        <v>6364</v>
      </c>
      <c r="AH638" t="s">
        <v>274</v>
      </c>
      <c r="AI638">
        <v>24</v>
      </c>
      <c r="AJ638">
        <v>0</v>
      </c>
      <c r="AK638">
        <v>0</v>
      </c>
      <c r="AL638">
        <v>0</v>
      </c>
      <c r="AM638">
        <v>0.13</v>
      </c>
      <c r="AN638">
        <v>0.08</v>
      </c>
      <c r="AO638">
        <v>0.26</v>
      </c>
      <c r="AS638">
        <v>5</v>
      </c>
      <c r="AT638">
        <v>1</v>
      </c>
      <c r="AU638">
        <v>1</v>
      </c>
      <c r="AV638">
        <v>100</v>
      </c>
      <c r="AW638">
        <v>79</v>
      </c>
      <c r="AX638">
        <v>177</v>
      </c>
      <c r="AY638">
        <v>0</v>
      </c>
      <c r="AZ638" t="b">
        <v>0</v>
      </c>
      <c r="BA638">
        <v>1543</v>
      </c>
      <c r="BB638">
        <v>1748</v>
      </c>
      <c r="BC638">
        <v>4</v>
      </c>
      <c r="BD638" t="s">
        <v>6359</v>
      </c>
      <c r="BE638">
        <v>98</v>
      </c>
      <c r="BF638">
        <v>0</v>
      </c>
      <c r="BG638">
        <v>73</v>
      </c>
      <c r="BH638">
        <v>1</v>
      </c>
      <c r="BI638" s="1" t="s">
        <v>294</v>
      </c>
      <c r="BJ638">
        <v>6.8</v>
      </c>
      <c r="BK638" s="1" t="s">
        <v>169</v>
      </c>
      <c r="BL638" s="1" t="s">
        <v>256</v>
      </c>
      <c r="BM638" s="1" t="s">
        <v>159</v>
      </c>
      <c r="BN638">
        <v>2.4</v>
      </c>
      <c r="BO638" s="1" t="s">
        <v>159</v>
      </c>
      <c r="BP638" s="1" t="s">
        <v>214</v>
      </c>
      <c r="BQ638" s="1" t="s">
        <v>6063</v>
      </c>
      <c r="BR638" s="1" t="s">
        <v>6365</v>
      </c>
      <c r="BS638">
        <v>1</v>
      </c>
      <c r="BT638" s="1" t="s">
        <v>399</v>
      </c>
      <c r="BU638" s="1" t="s">
        <v>128</v>
      </c>
      <c r="BV638">
        <v>0.2</v>
      </c>
      <c r="BW638">
        <v>0</v>
      </c>
      <c r="BX638">
        <v>6.6666666666666596E-2</v>
      </c>
      <c r="BY638" s="1" t="s">
        <v>129</v>
      </c>
      <c r="BZ638">
        <v>0.2</v>
      </c>
      <c r="CA638">
        <v>0.13</v>
      </c>
      <c r="CB638" s="1" t="s">
        <v>1588</v>
      </c>
      <c r="CC638">
        <v>0.08</v>
      </c>
      <c r="CD638" s="1" t="s">
        <v>6366</v>
      </c>
      <c r="CE638">
        <v>0.26</v>
      </c>
      <c r="CF638" s="1" t="s">
        <v>6367</v>
      </c>
      <c r="CG638">
        <v>5</v>
      </c>
      <c r="CH638" s="1" t="s">
        <v>229</v>
      </c>
      <c r="CI638" s="1" t="s">
        <v>169</v>
      </c>
      <c r="CJ638">
        <v>2.2000000000000002</v>
      </c>
      <c r="CK638" s="1" t="s">
        <v>128</v>
      </c>
      <c r="CL638">
        <v>1.2</v>
      </c>
      <c r="CM638" s="1" t="s">
        <v>1080</v>
      </c>
      <c r="CN638">
        <v>71.2</v>
      </c>
      <c r="CO638" s="1" t="s">
        <v>417</v>
      </c>
      <c r="CP638" s="1" t="s">
        <v>6368</v>
      </c>
      <c r="CQ638">
        <v>226</v>
      </c>
      <c r="CR638">
        <v>177.6</v>
      </c>
      <c r="CS638">
        <v>1568</v>
      </c>
      <c r="CT638" s="1" t="s">
        <v>6369</v>
      </c>
      <c r="CU638" s="1" t="s">
        <v>6360</v>
      </c>
      <c r="CV638" s="1" t="s">
        <v>2199</v>
      </c>
      <c r="CW638">
        <v>64.349999999999994</v>
      </c>
      <c r="CX638">
        <v>73.5</v>
      </c>
      <c r="CY638">
        <v>74.599999999999994</v>
      </c>
      <c r="CZ638">
        <v>75</v>
      </c>
      <c r="DA638">
        <v>1</v>
      </c>
      <c r="DB638" t="s">
        <v>602</v>
      </c>
      <c r="DC638">
        <v>79</v>
      </c>
      <c r="DD638">
        <v>77.2141457146232</v>
      </c>
      <c r="DE638">
        <v>1.7858542853768</v>
      </c>
      <c r="DF638" t="str">
        <f>_xlfn.XLOOKUP(Table1[[#This Row],[Player ID]],Table2[feed_id],Table2[trade_status])</f>
        <v>free_agent</v>
      </c>
      <c r="DG638">
        <f>_xlfn.NUMBERVALUE(Table1[[#This Row],[predicted]])</f>
        <v>77.2141457146232</v>
      </c>
    </row>
    <row r="639" spans="1:111" hidden="1" x14ac:dyDescent="0.25">
      <c r="A639">
        <v>131904</v>
      </c>
      <c r="B639">
        <v>9222</v>
      </c>
      <c r="C639" t="s">
        <v>6356</v>
      </c>
      <c r="D639" t="s">
        <v>1155</v>
      </c>
      <c r="E639">
        <v>2025</v>
      </c>
      <c r="F639">
        <v>998529</v>
      </c>
      <c r="G639" t="s">
        <v>600</v>
      </c>
      <c r="H639" t="s">
        <v>6370</v>
      </c>
      <c r="I639" t="s">
        <v>425</v>
      </c>
      <c r="J639">
        <v>2</v>
      </c>
      <c r="K639">
        <v>26</v>
      </c>
      <c r="L639">
        <v>35</v>
      </c>
      <c r="M639">
        <v>20</v>
      </c>
      <c r="N639">
        <v>23</v>
      </c>
      <c r="O639">
        <v>30</v>
      </c>
      <c r="P639">
        <v>3</v>
      </c>
      <c r="Q639">
        <v>2</v>
      </c>
      <c r="R639">
        <v>1</v>
      </c>
      <c r="S639">
        <v>1</v>
      </c>
      <c r="T639">
        <v>9</v>
      </c>
      <c r="U639">
        <v>0</v>
      </c>
      <c r="V639">
        <v>1</v>
      </c>
      <c r="W639">
        <v>0</v>
      </c>
      <c r="X639">
        <v>0</v>
      </c>
      <c r="Y639" t="s">
        <v>113</v>
      </c>
      <c r="Z639" t="s">
        <v>5152</v>
      </c>
      <c r="AA639" t="s">
        <v>6371</v>
      </c>
      <c r="AB639" t="s">
        <v>116</v>
      </c>
      <c r="AC639" t="s">
        <v>6372</v>
      </c>
      <c r="AH639" t="s">
        <v>274</v>
      </c>
      <c r="AI639">
        <v>13</v>
      </c>
      <c r="AJ639">
        <v>0</v>
      </c>
      <c r="AK639">
        <v>0</v>
      </c>
      <c r="AL639">
        <v>0</v>
      </c>
      <c r="AM639">
        <v>1.06</v>
      </c>
      <c r="AN639">
        <v>1.1599999999999999</v>
      </c>
      <c r="AO639">
        <v>1.61</v>
      </c>
      <c r="AS639">
        <v>3</v>
      </c>
      <c r="AT639">
        <v>1</v>
      </c>
      <c r="AU639">
        <v>2</v>
      </c>
      <c r="AV639">
        <v>80</v>
      </c>
      <c r="AW639">
        <v>60</v>
      </c>
      <c r="AX639">
        <v>38</v>
      </c>
      <c r="AY639">
        <v>1</v>
      </c>
      <c r="AZ639" t="b">
        <v>1</v>
      </c>
      <c r="BA639">
        <v>1748</v>
      </c>
      <c r="BB639">
        <v>1543</v>
      </c>
      <c r="BC639">
        <v>4</v>
      </c>
      <c r="BD639" t="s">
        <v>6373</v>
      </c>
      <c r="BE639">
        <v>98</v>
      </c>
      <c r="BF639">
        <v>0</v>
      </c>
      <c r="BG639">
        <v>73</v>
      </c>
      <c r="BH639">
        <v>0</v>
      </c>
      <c r="BI639" s="1" t="s">
        <v>449</v>
      </c>
      <c r="BJ639">
        <v>5.8</v>
      </c>
      <c r="BK639" s="1" t="s">
        <v>169</v>
      </c>
      <c r="BL639" s="1" t="s">
        <v>990</v>
      </c>
      <c r="BM639" s="1" t="s">
        <v>159</v>
      </c>
      <c r="BN639" s="1" t="s">
        <v>169</v>
      </c>
      <c r="BO639" s="1" t="s">
        <v>161</v>
      </c>
      <c r="BP639" s="1" t="s">
        <v>237</v>
      </c>
      <c r="BQ639" s="1" t="s">
        <v>6374</v>
      </c>
      <c r="BR639">
        <v>24</v>
      </c>
      <c r="BS639" s="1" t="s">
        <v>128</v>
      </c>
      <c r="BT639" s="1" t="s">
        <v>126</v>
      </c>
      <c r="BU639">
        <v>2</v>
      </c>
      <c r="BV639">
        <v>1.6</v>
      </c>
      <c r="BW639" s="1" t="s">
        <v>129</v>
      </c>
      <c r="BX639" s="1" t="s">
        <v>128</v>
      </c>
      <c r="BY639" s="1" t="s">
        <v>128</v>
      </c>
      <c r="BZ639" s="1" t="s">
        <v>231</v>
      </c>
      <c r="CA639">
        <v>1.06</v>
      </c>
      <c r="CB639">
        <v>0.93200000000000005</v>
      </c>
      <c r="CC639">
        <v>1.1599999999999999</v>
      </c>
      <c r="CD639">
        <v>1.036</v>
      </c>
      <c r="CE639">
        <v>1.61</v>
      </c>
      <c r="CF639" s="1" t="s">
        <v>6375</v>
      </c>
      <c r="CG639">
        <v>4</v>
      </c>
      <c r="CH639">
        <v>5.4</v>
      </c>
      <c r="CI639" s="1" t="s">
        <v>169</v>
      </c>
      <c r="CJ639" s="1" t="s">
        <v>431</v>
      </c>
      <c r="CK639">
        <v>3</v>
      </c>
      <c r="CL639" s="1" t="s">
        <v>431</v>
      </c>
      <c r="CM639" s="1" t="s">
        <v>1459</v>
      </c>
      <c r="CN639" s="1" t="s">
        <v>172</v>
      </c>
      <c r="CO639" s="1" t="s">
        <v>1080</v>
      </c>
      <c r="CP639" s="1" t="s">
        <v>3911</v>
      </c>
      <c r="CQ639" s="1" t="s">
        <v>1123</v>
      </c>
      <c r="CR639" s="1" t="s">
        <v>6376</v>
      </c>
      <c r="CS639">
        <v>1547</v>
      </c>
      <c r="CT639" s="1" t="s">
        <v>6377</v>
      </c>
      <c r="CU639" s="1" t="s">
        <v>6378</v>
      </c>
      <c r="CV639">
        <v>1662.2</v>
      </c>
      <c r="CW639">
        <v>77</v>
      </c>
      <c r="CX639">
        <v>78.599999999999994</v>
      </c>
      <c r="CY639">
        <v>65.400000000000006</v>
      </c>
      <c r="CZ639" s="1" t="s">
        <v>171</v>
      </c>
      <c r="DA639">
        <v>1</v>
      </c>
      <c r="DB639" t="s">
        <v>5152</v>
      </c>
      <c r="DC639">
        <v>35</v>
      </c>
      <c r="DD639" s="1" t="s">
        <v>6379</v>
      </c>
      <c r="DE639">
        <v>-45.442065659667698</v>
      </c>
      <c r="DF639" t="str">
        <f>_xlfn.XLOOKUP(Table1[[#This Row],[Player ID]],Table2[feed_id],Table2[trade_status])</f>
        <v>free_agent</v>
      </c>
      <c r="DG639">
        <f>_xlfn.NUMBERVALUE(Table1[[#This Row],[predicted]])</f>
        <v>80.442065659667705</v>
      </c>
    </row>
    <row r="640" spans="1:111" hidden="1" x14ac:dyDescent="0.25">
      <c r="A640">
        <v>131925</v>
      </c>
      <c r="B640">
        <v>9223</v>
      </c>
      <c r="C640" t="s">
        <v>6380</v>
      </c>
      <c r="D640" t="s">
        <v>1155</v>
      </c>
      <c r="E640">
        <v>2025</v>
      </c>
      <c r="F640">
        <v>1002795</v>
      </c>
      <c r="G640" t="s">
        <v>2755</v>
      </c>
      <c r="H640" t="s">
        <v>1605</v>
      </c>
      <c r="I640" t="s">
        <v>249</v>
      </c>
      <c r="J640">
        <v>2</v>
      </c>
      <c r="K640">
        <v>37</v>
      </c>
      <c r="L640">
        <v>39</v>
      </c>
      <c r="M640">
        <v>48</v>
      </c>
      <c r="N640">
        <v>29</v>
      </c>
      <c r="O640">
        <v>39</v>
      </c>
      <c r="P640">
        <v>6</v>
      </c>
      <c r="Q640">
        <v>3</v>
      </c>
      <c r="R640">
        <v>3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113</v>
      </c>
      <c r="Z640" t="s">
        <v>226</v>
      </c>
      <c r="AA640" t="s">
        <v>6381</v>
      </c>
      <c r="AB640" t="s">
        <v>3571</v>
      </c>
      <c r="AC640" t="s">
        <v>4081</v>
      </c>
      <c r="AH640" t="s">
        <v>181</v>
      </c>
      <c r="AI640">
        <v>37</v>
      </c>
      <c r="AJ640">
        <v>0</v>
      </c>
      <c r="AK640">
        <v>0</v>
      </c>
      <c r="AL640">
        <v>0</v>
      </c>
      <c r="AM640">
        <v>0.49</v>
      </c>
      <c r="AN640">
        <v>0.32</v>
      </c>
      <c r="AO640">
        <v>0.11</v>
      </c>
      <c r="AS640">
        <v>2</v>
      </c>
      <c r="AT640">
        <v>0</v>
      </c>
      <c r="AU640">
        <v>0</v>
      </c>
      <c r="AV640">
        <v>88</v>
      </c>
      <c r="AW640">
        <v>55</v>
      </c>
      <c r="AX640">
        <v>202</v>
      </c>
      <c r="AY640">
        <v>0</v>
      </c>
      <c r="AZ640" t="b">
        <v>0</v>
      </c>
      <c r="BA640">
        <v>1735</v>
      </c>
      <c r="BB640">
        <v>1545</v>
      </c>
      <c r="BC640">
        <v>4</v>
      </c>
      <c r="BD640" t="s">
        <v>6382</v>
      </c>
      <c r="BE640">
        <v>98</v>
      </c>
      <c r="BF640">
        <v>0</v>
      </c>
      <c r="BG640">
        <v>73</v>
      </c>
      <c r="BH640">
        <v>0</v>
      </c>
      <c r="BI640" s="1" t="s">
        <v>397</v>
      </c>
      <c r="BJ640">
        <v>10</v>
      </c>
      <c r="BK640" s="1" t="s">
        <v>126</v>
      </c>
      <c r="BL640" s="1" t="s">
        <v>237</v>
      </c>
      <c r="BM640" s="1" t="s">
        <v>138</v>
      </c>
      <c r="BN640">
        <v>3.6</v>
      </c>
      <c r="BO640" s="1" t="s">
        <v>128</v>
      </c>
      <c r="BP640" s="1" t="s">
        <v>275</v>
      </c>
      <c r="BQ640">
        <v>0</v>
      </c>
      <c r="BR640">
        <v>0</v>
      </c>
      <c r="BS640">
        <v>0</v>
      </c>
      <c r="BT640" s="1" t="s">
        <v>238</v>
      </c>
      <c r="BU640" s="1" t="s">
        <v>128</v>
      </c>
      <c r="BV640" s="1" t="s">
        <v>128</v>
      </c>
      <c r="BW640">
        <v>0</v>
      </c>
      <c r="BX640">
        <v>6.6666666666666596E-2</v>
      </c>
      <c r="BY640" s="1" t="s">
        <v>129</v>
      </c>
      <c r="BZ640" s="1" t="s">
        <v>213</v>
      </c>
      <c r="CA640">
        <v>0.49</v>
      </c>
      <c r="CB640">
        <v>0.49</v>
      </c>
      <c r="CC640">
        <v>0.32</v>
      </c>
      <c r="CD640">
        <v>0.32</v>
      </c>
      <c r="CE640">
        <v>0.11</v>
      </c>
      <c r="CF640">
        <v>0.11</v>
      </c>
      <c r="CG640" s="1" t="s">
        <v>126</v>
      </c>
      <c r="CH640">
        <v>2.8</v>
      </c>
      <c r="CI640">
        <v>0</v>
      </c>
      <c r="CJ640" s="1" t="s">
        <v>129</v>
      </c>
      <c r="CK640">
        <v>2</v>
      </c>
      <c r="CL640" s="1" t="s">
        <v>375</v>
      </c>
      <c r="CM640" s="1" t="s">
        <v>649</v>
      </c>
      <c r="CN640" s="1" t="s">
        <v>1340</v>
      </c>
      <c r="CO640">
        <v>58</v>
      </c>
      <c r="CP640">
        <v>76.8</v>
      </c>
      <c r="CQ640">
        <v>176</v>
      </c>
      <c r="CR640">
        <v>279.60000000000002</v>
      </c>
      <c r="CS640" s="1" t="s">
        <v>6383</v>
      </c>
      <c r="CT640">
        <v>1662.6</v>
      </c>
      <c r="CU640" s="1" t="s">
        <v>4957</v>
      </c>
      <c r="CV640">
        <v>1620.6</v>
      </c>
      <c r="CW640">
        <v>59.6</v>
      </c>
      <c r="CX640">
        <v>46.5</v>
      </c>
      <c r="CY640">
        <v>32.200000000000003</v>
      </c>
      <c r="CZ640" s="1" t="s">
        <v>4067</v>
      </c>
      <c r="DA640">
        <v>1</v>
      </c>
      <c r="DB640" t="s">
        <v>226</v>
      </c>
      <c r="DC640">
        <v>39</v>
      </c>
      <c r="DD640" s="1" t="s">
        <v>6384</v>
      </c>
      <c r="DE640">
        <v>-41.598284180960597</v>
      </c>
      <c r="DF640" t="str">
        <f>_xlfn.XLOOKUP(Table1[[#This Row],[Player ID]],Table2[feed_id],Table2[trade_status])</f>
        <v>free_agent</v>
      </c>
      <c r="DG640">
        <f>_xlfn.NUMBERVALUE(Table1[[#This Row],[predicted]])</f>
        <v>80.598284180960604</v>
      </c>
    </row>
    <row r="641" spans="1:111" hidden="1" x14ac:dyDescent="0.25">
      <c r="A641">
        <v>131926</v>
      </c>
      <c r="B641">
        <v>9223</v>
      </c>
      <c r="C641" t="s">
        <v>6380</v>
      </c>
      <c r="D641" t="s">
        <v>1155</v>
      </c>
      <c r="E641">
        <v>2025</v>
      </c>
      <c r="F641">
        <v>1017255</v>
      </c>
      <c r="G641" t="s">
        <v>5966</v>
      </c>
      <c r="H641" t="s">
        <v>6385</v>
      </c>
      <c r="I641" t="s">
        <v>249</v>
      </c>
      <c r="J641">
        <v>1</v>
      </c>
      <c r="K641">
        <v>21</v>
      </c>
      <c r="L641">
        <v>33</v>
      </c>
      <c r="M641">
        <v>29</v>
      </c>
      <c r="N641">
        <v>18</v>
      </c>
      <c r="O641">
        <v>27</v>
      </c>
      <c r="P641">
        <v>5</v>
      </c>
      <c r="Q641">
        <v>2</v>
      </c>
      <c r="R641">
        <v>1</v>
      </c>
      <c r="S641">
        <v>1</v>
      </c>
      <c r="T641">
        <v>0</v>
      </c>
      <c r="U641">
        <v>1</v>
      </c>
      <c r="V641">
        <v>2</v>
      </c>
      <c r="W641">
        <v>0</v>
      </c>
      <c r="X641">
        <v>0</v>
      </c>
      <c r="Y641" t="s">
        <v>113</v>
      </c>
      <c r="Z641" t="s">
        <v>861</v>
      </c>
      <c r="AA641" t="s">
        <v>6386</v>
      </c>
      <c r="AH641" t="s">
        <v>155</v>
      </c>
      <c r="AI641">
        <v>44</v>
      </c>
      <c r="AJ641">
        <v>0</v>
      </c>
      <c r="AK641">
        <v>0</v>
      </c>
      <c r="AL641">
        <v>0</v>
      </c>
      <c r="AM641">
        <v>0.04</v>
      </c>
      <c r="AN641">
        <v>0.05</v>
      </c>
      <c r="AO641">
        <v>0.09</v>
      </c>
      <c r="AS641">
        <v>4</v>
      </c>
      <c r="AT641">
        <v>1</v>
      </c>
      <c r="AU641">
        <v>2</v>
      </c>
      <c r="AV641">
        <v>57</v>
      </c>
      <c r="AW641">
        <v>61</v>
      </c>
      <c r="AX641">
        <v>167</v>
      </c>
      <c r="AY641">
        <v>1</v>
      </c>
      <c r="AZ641" t="b">
        <v>0</v>
      </c>
      <c r="BA641">
        <v>1735</v>
      </c>
      <c r="BB641">
        <v>1545</v>
      </c>
      <c r="BC641">
        <v>4</v>
      </c>
      <c r="BD641" t="s">
        <v>6382</v>
      </c>
      <c r="BE641">
        <v>98</v>
      </c>
      <c r="BF641">
        <v>0</v>
      </c>
      <c r="BG641">
        <v>73</v>
      </c>
      <c r="BH641">
        <v>0</v>
      </c>
      <c r="BI641" s="1" t="s">
        <v>160</v>
      </c>
      <c r="BJ641" s="1" t="s">
        <v>124</v>
      </c>
      <c r="BK641" s="1" t="s">
        <v>126</v>
      </c>
      <c r="BL641" s="1" t="s">
        <v>140</v>
      </c>
      <c r="BM641" s="1" t="s">
        <v>161</v>
      </c>
      <c r="BN641" s="1" t="s">
        <v>159</v>
      </c>
      <c r="BO641">
        <v>3</v>
      </c>
      <c r="BP641">
        <v>2.6</v>
      </c>
      <c r="BQ641">
        <v>0</v>
      </c>
      <c r="BR641">
        <v>0</v>
      </c>
      <c r="BS641">
        <v>1</v>
      </c>
      <c r="BT641" s="1" t="s">
        <v>130</v>
      </c>
      <c r="BU641">
        <v>1</v>
      </c>
      <c r="BV641" s="1" t="s">
        <v>130</v>
      </c>
      <c r="BW641">
        <v>0</v>
      </c>
      <c r="BX641">
        <v>0.6</v>
      </c>
      <c r="BY641">
        <v>0</v>
      </c>
      <c r="BZ641" s="1" t="s">
        <v>231</v>
      </c>
      <c r="CA641">
        <v>0.04</v>
      </c>
      <c r="CB641">
        <v>0.04</v>
      </c>
      <c r="CC641">
        <v>0.05</v>
      </c>
      <c r="CD641">
        <v>0.05</v>
      </c>
      <c r="CE641">
        <v>0.09</v>
      </c>
      <c r="CF641">
        <v>0.09</v>
      </c>
      <c r="CG641" s="1" t="s">
        <v>125</v>
      </c>
      <c r="CH641">
        <v>4</v>
      </c>
      <c r="CI641" s="1" t="s">
        <v>128</v>
      </c>
      <c r="CJ641" s="1" t="s">
        <v>231</v>
      </c>
      <c r="CK641" s="1" t="s">
        <v>159</v>
      </c>
      <c r="CL641" s="1" t="s">
        <v>161</v>
      </c>
      <c r="CM641" s="1" t="s">
        <v>4096</v>
      </c>
      <c r="CN641">
        <v>58.8</v>
      </c>
      <c r="CO641" s="1" t="s">
        <v>1176</v>
      </c>
      <c r="CP641" s="1" t="s">
        <v>2872</v>
      </c>
      <c r="CQ641" s="1" t="s">
        <v>6387</v>
      </c>
      <c r="CR641">
        <v>162.4</v>
      </c>
      <c r="CS641" s="1" t="s">
        <v>6159</v>
      </c>
      <c r="CT641">
        <v>1702.6</v>
      </c>
      <c r="CU641" s="1" t="s">
        <v>2474</v>
      </c>
      <c r="CV641" s="1" t="s">
        <v>5453</v>
      </c>
      <c r="CW641">
        <v>48.5</v>
      </c>
      <c r="CX641">
        <v>49.5</v>
      </c>
      <c r="CY641">
        <v>39.799999999999997</v>
      </c>
      <c r="CZ641" s="1" t="s">
        <v>4076</v>
      </c>
      <c r="DA641">
        <v>1</v>
      </c>
      <c r="DB641" t="s">
        <v>861</v>
      </c>
      <c r="DC641">
        <v>33</v>
      </c>
      <c r="DD641" s="1" t="s">
        <v>6388</v>
      </c>
      <c r="DE641">
        <v>-21.304460465025699</v>
      </c>
      <c r="DF641" t="str">
        <f>_xlfn.XLOOKUP(Table1[[#This Row],[Player ID]],Table2[feed_id],Table2[trade_status])</f>
        <v>free_agent</v>
      </c>
      <c r="DG641">
        <f>_xlfn.NUMBERVALUE(Table1[[#This Row],[predicted]])</f>
        <v>54.304460465025699</v>
      </c>
    </row>
    <row r="642" spans="1:111" hidden="1" x14ac:dyDescent="0.25">
      <c r="A642">
        <v>131947</v>
      </c>
      <c r="B642">
        <v>9223</v>
      </c>
      <c r="C642" t="s">
        <v>6380</v>
      </c>
      <c r="D642" t="s">
        <v>1155</v>
      </c>
      <c r="E642">
        <v>2025</v>
      </c>
      <c r="F642">
        <v>1005000</v>
      </c>
      <c r="G642" t="s">
        <v>6389</v>
      </c>
      <c r="H642" t="s">
        <v>6390</v>
      </c>
      <c r="I642" t="s">
        <v>712</v>
      </c>
      <c r="J642">
        <v>9</v>
      </c>
      <c r="K642">
        <v>38</v>
      </c>
      <c r="L642">
        <v>52</v>
      </c>
      <c r="M642">
        <v>30</v>
      </c>
      <c r="N642">
        <v>35</v>
      </c>
      <c r="O642">
        <v>51</v>
      </c>
      <c r="P642">
        <v>5</v>
      </c>
      <c r="Q642">
        <v>6</v>
      </c>
      <c r="R642">
        <v>1</v>
      </c>
      <c r="S642">
        <v>3</v>
      </c>
      <c r="T642">
        <v>0</v>
      </c>
      <c r="U642">
        <v>2</v>
      </c>
      <c r="V642">
        <v>4</v>
      </c>
      <c r="W642">
        <v>1</v>
      </c>
      <c r="X642">
        <v>0</v>
      </c>
      <c r="Y642" t="s">
        <v>113</v>
      </c>
      <c r="Z642" t="s">
        <v>525</v>
      </c>
      <c r="AA642" t="s">
        <v>6391</v>
      </c>
      <c r="AH642" t="s">
        <v>155</v>
      </c>
      <c r="AI642">
        <v>23</v>
      </c>
      <c r="AJ642">
        <v>0</v>
      </c>
      <c r="AK642">
        <v>0</v>
      </c>
      <c r="AL642">
        <v>0</v>
      </c>
      <c r="AM642">
        <v>0.18</v>
      </c>
      <c r="AN642">
        <v>7.0000000000000007E-2</v>
      </c>
      <c r="AO642">
        <v>0.1</v>
      </c>
      <c r="AS642">
        <v>6</v>
      </c>
      <c r="AT642">
        <v>0</v>
      </c>
      <c r="AU642">
        <v>5</v>
      </c>
      <c r="AV642">
        <v>81</v>
      </c>
      <c r="AW642">
        <v>76</v>
      </c>
      <c r="AX642">
        <v>144</v>
      </c>
      <c r="AY642">
        <v>1</v>
      </c>
      <c r="AZ642" t="b">
        <v>0</v>
      </c>
      <c r="BA642">
        <v>1545</v>
      </c>
      <c r="BB642">
        <v>1735</v>
      </c>
      <c r="BC642">
        <v>4</v>
      </c>
      <c r="BD642" t="s">
        <v>6392</v>
      </c>
      <c r="BE642">
        <v>98</v>
      </c>
      <c r="BF642">
        <v>0</v>
      </c>
      <c r="BG642">
        <v>73</v>
      </c>
      <c r="BH642">
        <v>0</v>
      </c>
      <c r="BI642" s="1" t="s">
        <v>204</v>
      </c>
      <c r="BJ642">
        <v>5.4</v>
      </c>
      <c r="BK642">
        <v>7</v>
      </c>
      <c r="BL642">
        <v>5.2</v>
      </c>
      <c r="BM642" s="1" t="s">
        <v>169</v>
      </c>
      <c r="BN642" s="1" t="s">
        <v>140</v>
      </c>
      <c r="BO642" s="1" t="s">
        <v>159</v>
      </c>
      <c r="BP642" s="1" t="s">
        <v>275</v>
      </c>
      <c r="BQ642">
        <v>0</v>
      </c>
      <c r="BR642">
        <v>0</v>
      </c>
      <c r="BS642" s="1" t="s">
        <v>161</v>
      </c>
      <c r="BT642">
        <v>0.6</v>
      </c>
      <c r="BU642">
        <v>2</v>
      </c>
      <c r="BV642" s="1" t="s">
        <v>162</v>
      </c>
      <c r="BW642" s="1" t="s">
        <v>161</v>
      </c>
      <c r="BX642" s="1" t="s">
        <v>231</v>
      </c>
      <c r="BY642" s="1" t="s">
        <v>129</v>
      </c>
      <c r="BZ642" s="1" t="s">
        <v>129</v>
      </c>
      <c r="CA642">
        <v>0.18</v>
      </c>
      <c r="CB642">
        <v>0.18</v>
      </c>
      <c r="CC642">
        <v>7.0000000000000007E-2</v>
      </c>
      <c r="CD642">
        <v>7.0000000000000007E-2</v>
      </c>
      <c r="CE642">
        <v>0.1</v>
      </c>
      <c r="CF642">
        <v>0.1</v>
      </c>
      <c r="CG642" s="1" t="s">
        <v>253</v>
      </c>
      <c r="CH642">
        <v>4</v>
      </c>
      <c r="CI642" s="1" t="s">
        <v>129</v>
      </c>
      <c r="CJ642">
        <v>0.2</v>
      </c>
      <c r="CK642">
        <v>3</v>
      </c>
      <c r="CL642" s="1" t="s">
        <v>214</v>
      </c>
      <c r="CM642" s="1" t="s">
        <v>483</v>
      </c>
      <c r="CN642" s="1" t="s">
        <v>1928</v>
      </c>
      <c r="CO642">
        <v>78</v>
      </c>
      <c r="CP642" s="1" t="s">
        <v>1471</v>
      </c>
      <c r="CQ642" s="1" t="s">
        <v>6393</v>
      </c>
      <c r="CR642" s="1" t="s">
        <v>6394</v>
      </c>
      <c r="CS642">
        <v>1647</v>
      </c>
      <c r="CT642" s="1" t="s">
        <v>3934</v>
      </c>
      <c r="CU642" s="1" t="s">
        <v>3472</v>
      </c>
      <c r="CV642" s="1" t="s">
        <v>6137</v>
      </c>
      <c r="CW642">
        <v>51.35</v>
      </c>
      <c r="CX642">
        <v>55.3</v>
      </c>
      <c r="CY642">
        <v>62.6</v>
      </c>
      <c r="CZ642" s="1" t="s">
        <v>755</v>
      </c>
      <c r="DA642">
        <v>1</v>
      </c>
      <c r="DB642" t="s">
        <v>525</v>
      </c>
      <c r="DC642">
        <v>52</v>
      </c>
      <c r="DD642" s="1" t="s">
        <v>6395</v>
      </c>
      <c r="DE642">
        <v>-3.8780380233755198</v>
      </c>
      <c r="DF642" t="str">
        <f>_xlfn.XLOOKUP(Table1[[#This Row],[Player ID]],Table2[feed_id],Table2[trade_status])</f>
        <v>free_agent</v>
      </c>
      <c r="DG642">
        <f>_xlfn.NUMBERVALUE(Table1[[#This Row],[predicted]])</f>
        <v>55.878038023375503</v>
      </c>
    </row>
    <row r="643" spans="1:111" hidden="1" x14ac:dyDescent="0.25">
      <c r="A643">
        <v>131966</v>
      </c>
      <c r="B643">
        <v>9224</v>
      </c>
      <c r="C643" t="s">
        <v>6396</v>
      </c>
      <c r="D643" t="s">
        <v>1155</v>
      </c>
      <c r="E643">
        <v>2025</v>
      </c>
      <c r="F643">
        <v>296351</v>
      </c>
      <c r="G643" t="s">
        <v>1127</v>
      </c>
      <c r="H643" t="s">
        <v>6397</v>
      </c>
      <c r="I643" t="s">
        <v>291</v>
      </c>
      <c r="J643">
        <v>4</v>
      </c>
      <c r="K643">
        <v>47</v>
      </c>
      <c r="L643">
        <v>49</v>
      </c>
      <c r="M643">
        <v>58</v>
      </c>
      <c r="N643">
        <v>38</v>
      </c>
      <c r="O643">
        <v>54</v>
      </c>
      <c r="P643">
        <v>5</v>
      </c>
      <c r="Q643">
        <v>9</v>
      </c>
      <c r="R643">
        <v>2</v>
      </c>
      <c r="S643">
        <v>2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113</v>
      </c>
      <c r="Z643" t="s">
        <v>525</v>
      </c>
      <c r="AA643" t="s">
        <v>6398</v>
      </c>
      <c r="AH643" t="s">
        <v>118</v>
      </c>
      <c r="AI643">
        <v>14</v>
      </c>
      <c r="AJ643">
        <v>0</v>
      </c>
      <c r="AK643">
        <v>0</v>
      </c>
      <c r="AL643">
        <v>0</v>
      </c>
      <c r="AM643">
        <v>24.45</v>
      </c>
      <c r="AN643">
        <v>23.11</v>
      </c>
      <c r="AO643">
        <v>3.23</v>
      </c>
      <c r="AS643">
        <v>5</v>
      </c>
      <c r="AT643">
        <v>1</v>
      </c>
      <c r="AU643">
        <v>2</v>
      </c>
      <c r="AV643">
        <v>78</v>
      </c>
      <c r="AW643">
        <v>90</v>
      </c>
      <c r="AX643">
        <v>179</v>
      </c>
      <c r="AY643">
        <v>1</v>
      </c>
      <c r="AZ643" t="b">
        <v>0</v>
      </c>
      <c r="BA643">
        <v>1743</v>
      </c>
      <c r="BB643">
        <v>1538</v>
      </c>
      <c r="BC643">
        <v>4</v>
      </c>
      <c r="BD643" t="s">
        <v>6399</v>
      </c>
      <c r="BE643">
        <v>98</v>
      </c>
      <c r="BF643">
        <v>0</v>
      </c>
      <c r="BG643">
        <v>73</v>
      </c>
      <c r="BH643">
        <v>0</v>
      </c>
      <c r="BI643" s="1" t="s">
        <v>137</v>
      </c>
      <c r="BJ643" s="1" t="s">
        <v>864</v>
      </c>
      <c r="BK643">
        <v>9</v>
      </c>
      <c r="BL643">
        <v>6.8</v>
      </c>
      <c r="BM643" s="1" t="s">
        <v>138</v>
      </c>
      <c r="BN643">
        <v>5</v>
      </c>
      <c r="BO643" s="1" t="s">
        <v>126</v>
      </c>
      <c r="BP643" s="1" t="s">
        <v>275</v>
      </c>
      <c r="BQ643">
        <v>0</v>
      </c>
      <c r="BR643">
        <v>0</v>
      </c>
      <c r="BS643">
        <v>0</v>
      </c>
      <c r="BT643" s="1" t="s">
        <v>128</v>
      </c>
      <c r="BU643">
        <v>0</v>
      </c>
      <c r="BV643" s="1" t="s">
        <v>184</v>
      </c>
      <c r="BW643" s="1" t="s">
        <v>129</v>
      </c>
      <c r="BX643" s="1" t="s">
        <v>184</v>
      </c>
      <c r="BY643" s="1" t="s">
        <v>129</v>
      </c>
      <c r="BZ643" s="1" t="s">
        <v>238</v>
      </c>
      <c r="CA643">
        <v>24.45</v>
      </c>
      <c r="CB643">
        <v>24.45</v>
      </c>
      <c r="CC643">
        <v>23.11</v>
      </c>
      <c r="CD643">
        <v>23.11</v>
      </c>
      <c r="CE643">
        <v>3.23</v>
      </c>
      <c r="CF643">
        <v>3.23</v>
      </c>
      <c r="CG643" s="1" t="s">
        <v>449</v>
      </c>
      <c r="CH643" s="1" t="s">
        <v>436</v>
      </c>
      <c r="CI643" s="1" t="s">
        <v>161</v>
      </c>
      <c r="CJ643">
        <v>0.8</v>
      </c>
      <c r="CK643">
        <v>2</v>
      </c>
      <c r="CL643" s="1" t="s">
        <v>375</v>
      </c>
      <c r="CM643">
        <v>78</v>
      </c>
      <c r="CN643">
        <v>68.400000000000006</v>
      </c>
      <c r="CO643" s="1" t="s">
        <v>552</v>
      </c>
      <c r="CP643">
        <v>73.400000000000006</v>
      </c>
      <c r="CQ643" s="1" t="s">
        <v>6400</v>
      </c>
      <c r="CR643" s="1" t="s">
        <v>6323</v>
      </c>
      <c r="CS643" s="1" t="s">
        <v>2188</v>
      </c>
      <c r="CT643" s="1" t="s">
        <v>2270</v>
      </c>
      <c r="CU643" s="1" t="s">
        <v>4075</v>
      </c>
      <c r="CV643" s="1" t="s">
        <v>243</v>
      </c>
      <c r="CW643">
        <v>65.8</v>
      </c>
      <c r="CX643">
        <v>58.9</v>
      </c>
      <c r="CY643">
        <v>62.8</v>
      </c>
      <c r="CZ643">
        <v>69</v>
      </c>
      <c r="DA643">
        <v>1</v>
      </c>
      <c r="DB643" t="s">
        <v>525</v>
      </c>
      <c r="DC643">
        <v>49</v>
      </c>
      <c r="DD643" s="1" t="s">
        <v>6401</v>
      </c>
      <c r="DE643">
        <v>-17.768631033424199</v>
      </c>
      <c r="DF643" t="str">
        <f>_xlfn.XLOOKUP(Table1[[#This Row],[Player ID]],Table2[feed_id],Table2[trade_status])</f>
        <v>free_agent</v>
      </c>
      <c r="DG643">
        <f>_xlfn.NUMBERVALUE(Table1[[#This Row],[predicted]])</f>
        <v>66.768631033424199</v>
      </c>
    </row>
    <row r="644" spans="1:111" hidden="1" x14ac:dyDescent="0.25">
      <c r="A644">
        <v>131994</v>
      </c>
      <c r="B644">
        <v>9224</v>
      </c>
      <c r="C644" t="s">
        <v>6396</v>
      </c>
      <c r="D644" t="s">
        <v>1155</v>
      </c>
      <c r="E644">
        <v>2025</v>
      </c>
      <c r="F644">
        <v>297456</v>
      </c>
      <c r="G644" t="s">
        <v>740</v>
      </c>
      <c r="H644" t="s">
        <v>6402</v>
      </c>
      <c r="I644" t="s">
        <v>524</v>
      </c>
      <c r="J644">
        <v>2</v>
      </c>
      <c r="K644">
        <v>30</v>
      </c>
      <c r="L644">
        <v>32</v>
      </c>
      <c r="M644">
        <v>25</v>
      </c>
      <c r="N644">
        <v>25</v>
      </c>
      <c r="O644">
        <v>34</v>
      </c>
      <c r="P644">
        <v>3</v>
      </c>
      <c r="Q644">
        <v>5</v>
      </c>
      <c r="R644">
        <v>2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1</v>
      </c>
      <c r="Y644" t="s">
        <v>113</v>
      </c>
      <c r="Z644" t="s">
        <v>525</v>
      </c>
      <c r="AA644" t="s">
        <v>6403</v>
      </c>
      <c r="AB644" t="s">
        <v>116</v>
      </c>
      <c r="AC644" t="s">
        <v>2670</v>
      </c>
      <c r="AD644">
        <v>371100</v>
      </c>
      <c r="AE644">
        <v>0</v>
      </c>
      <c r="AH644" t="s">
        <v>155</v>
      </c>
      <c r="AI644">
        <v>7</v>
      </c>
      <c r="AJ644">
        <v>21</v>
      </c>
      <c r="AK644">
        <v>64.62</v>
      </c>
      <c r="AL644">
        <v>0</v>
      </c>
      <c r="AM644">
        <v>0</v>
      </c>
      <c r="AN644">
        <v>0.08</v>
      </c>
      <c r="AO644">
        <v>0.06</v>
      </c>
      <c r="AS644">
        <v>3</v>
      </c>
      <c r="AT644">
        <v>1</v>
      </c>
      <c r="AU644">
        <v>1</v>
      </c>
      <c r="AV644">
        <v>75</v>
      </c>
      <c r="AW644">
        <v>57</v>
      </c>
      <c r="AX644">
        <v>121</v>
      </c>
      <c r="AY644">
        <v>1</v>
      </c>
      <c r="AZ644" t="b">
        <v>1</v>
      </c>
      <c r="BA644">
        <v>1538</v>
      </c>
      <c r="BB644">
        <v>1743</v>
      </c>
      <c r="BC644">
        <v>4</v>
      </c>
      <c r="BD644" t="s">
        <v>6404</v>
      </c>
      <c r="BE644">
        <v>98</v>
      </c>
      <c r="BF644">
        <v>0</v>
      </c>
      <c r="BG644">
        <v>73</v>
      </c>
      <c r="BH644">
        <v>0</v>
      </c>
      <c r="BI644">
        <v>5</v>
      </c>
      <c r="BJ644" s="1" t="s">
        <v>205</v>
      </c>
      <c r="BK644">
        <v>8</v>
      </c>
      <c r="BL644" s="1" t="s">
        <v>729</v>
      </c>
      <c r="BM644" s="1" t="s">
        <v>126</v>
      </c>
      <c r="BN644" s="1" t="s">
        <v>304</v>
      </c>
      <c r="BO644">
        <v>3</v>
      </c>
      <c r="BP644" s="1" t="s">
        <v>189</v>
      </c>
      <c r="BQ644">
        <v>0</v>
      </c>
      <c r="BR644">
        <v>0</v>
      </c>
      <c r="BS644">
        <v>1</v>
      </c>
      <c r="BT644">
        <v>0.8</v>
      </c>
      <c r="BU644">
        <v>0</v>
      </c>
      <c r="BV644">
        <v>0.8</v>
      </c>
      <c r="BW644">
        <v>0</v>
      </c>
      <c r="BX644">
        <v>0.4</v>
      </c>
      <c r="BY644" s="1" t="s">
        <v>128</v>
      </c>
      <c r="BZ644">
        <v>0.4</v>
      </c>
      <c r="CA644">
        <v>0</v>
      </c>
      <c r="CB644">
        <v>0</v>
      </c>
      <c r="CC644">
        <v>0.08</v>
      </c>
      <c r="CD644">
        <v>0.08</v>
      </c>
      <c r="CE644">
        <v>0.06</v>
      </c>
      <c r="CF644">
        <v>0.06</v>
      </c>
      <c r="CG644" s="1" t="s">
        <v>124</v>
      </c>
      <c r="CH644">
        <v>4.8</v>
      </c>
      <c r="CI644">
        <v>1</v>
      </c>
      <c r="CJ644" s="1" t="s">
        <v>399</v>
      </c>
      <c r="CK644" s="1" t="s">
        <v>126</v>
      </c>
      <c r="CL644" s="1" t="s">
        <v>275</v>
      </c>
      <c r="CM644" s="1" t="s">
        <v>1176</v>
      </c>
      <c r="CN644">
        <v>74.2</v>
      </c>
      <c r="CO644" s="1" t="s">
        <v>1080</v>
      </c>
      <c r="CP644" s="1" t="s">
        <v>1753</v>
      </c>
      <c r="CQ644" s="1" t="s">
        <v>5435</v>
      </c>
      <c r="CR644" s="1" t="s">
        <v>6405</v>
      </c>
      <c r="CS644" s="1" t="s">
        <v>6406</v>
      </c>
      <c r="CT644" s="1" t="s">
        <v>6407</v>
      </c>
      <c r="CU644">
        <v>1472</v>
      </c>
      <c r="CV644" s="1" t="s">
        <v>6408</v>
      </c>
      <c r="CW644">
        <v>53.7</v>
      </c>
      <c r="CX644">
        <v>61.6</v>
      </c>
      <c r="CY644">
        <v>56.4</v>
      </c>
      <c r="CZ644" s="1" t="s">
        <v>1291</v>
      </c>
      <c r="DA644">
        <v>1</v>
      </c>
      <c r="DB644" t="s">
        <v>525</v>
      </c>
      <c r="DC644">
        <v>32</v>
      </c>
      <c r="DD644" s="1" t="s">
        <v>6409</v>
      </c>
      <c r="DE644">
        <v>-23.797631925987901</v>
      </c>
      <c r="DF644" t="str">
        <f>_xlfn.XLOOKUP(Table1[[#This Row],[Player ID]],Table2[feed_id],Table2[trade_status])</f>
        <v>free_agent</v>
      </c>
      <c r="DG644">
        <f>_xlfn.NUMBERVALUE(Table1[[#This Row],[predicted]])</f>
        <v>55.797631925987901</v>
      </c>
    </row>
    <row r="645" spans="1:111" hidden="1" x14ac:dyDescent="0.25">
      <c r="A645">
        <v>132037</v>
      </c>
      <c r="B645">
        <v>9225</v>
      </c>
      <c r="C645" t="s">
        <v>6410</v>
      </c>
      <c r="D645" t="s">
        <v>1155</v>
      </c>
      <c r="E645">
        <v>2025</v>
      </c>
      <c r="F645">
        <v>1008478</v>
      </c>
      <c r="G645" t="s">
        <v>6411</v>
      </c>
      <c r="H645" t="s">
        <v>6412</v>
      </c>
      <c r="I645" t="s">
        <v>317</v>
      </c>
      <c r="J645">
        <v>3</v>
      </c>
      <c r="K645">
        <v>36</v>
      </c>
      <c r="L645">
        <v>34</v>
      </c>
      <c r="M645">
        <v>27</v>
      </c>
      <c r="N645">
        <v>27</v>
      </c>
      <c r="O645">
        <v>37</v>
      </c>
      <c r="P645">
        <v>5</v>
      </c>
      <c r="Q645">
        <v>3</v>
      </c>
      <c r="R645">
        <v>2</v>
      </c>
      <c r="S645">
        <v>2</v>
      </c>
      <c r="T645">
        <v>0</v>
      </c>
      <c r="U645">
        <v>0</v>
      </c>
      <c r="V645">
        <v>0</v>
      </c>
      <c r="W645">
        <v>0</v>
      </c>
      <c r="X645">
        <v>1</v>
      </c>
      <c r="Y645" t="s">
        <v>113</v>
      </c>
      <c r="Z645" t="s">
        <v>525</v>
      </c>
      <c r="AA645" t="s">
        <v>6413</v>
      </c>
      <c r="AH645" t="s">
        <v>181</v>
      </c>
      <c r="AI645">
        <v>7</v>
      </c>
      <c r="AJ645">
        <v>0</v>
      </c>
      <c r="AK645">
        <v>0</v>
      </c>
      <c r="AL645">
        <v>0</v>
      </c>
      <c r="AM645">
        <v>0.09</v>
      </c>
      <c r="AN645">
        <v>0.19</v>
      </c>
      <c r="AO645">
        <v>0.12</v>
      </c>
      <c r="AS645">
        <v>4</v>
      </c>
      <c r="AT645">
        <v>0</v>
      </c>
      <c r="AU645">
        <v>0</v>
      </c>
      <c r="AV645">
        <v>50</v>
      </c>
      <c r="AW645">
        <v>73</v>
      </c>
      <c r="AX645">
        <v>130</v>
      </c>
      <c r="AY645">
        <v>0</v>
      </c>
      <c r="AZ645" t="b">
        <v>0</v>
      </c>
      <c r="BA645">
        <v>1845</v>
      </c>
      <c r="BB645">
        <v>1462</v>
      </c>
      <c r="BC645">
        <v>4</v>
      </c>
      <c r="BD645" t="s">
        <v>6414</v>
      </c>
      <c r="BE645">
        <v>98</v>
      </c>
      <c r="BF645">
        <v>0</v>
      </c>
      <c r="BG645">
        <v>73</v>
      </c>
      <c r="BH645">
        <v>0</v>
      </c>
      <c r="BI645">
        <v>8</v>
      </c>
      <c r="BJ645">
        <v>7.4</v>
      </c>
      <c r="BK645" s="1" t="s">
        <v>138</v>
      </c>
      <c r="BL645">
        <v>3</v>
      </c>
      <c r="BM645">
        <v>2</v>
      </c>
      <c r="BN645">
        <v>3</v>
      </c>
      <c r="BO645" s="1" t="s">
        <v>138</v>
      </c>
      <c r="BP645">
        <v>3.4</v>
      </c>
      <c r="BQ645">
        <v>0</v>
      </c>
      <c r="BR645">
        <v>0</v>
      </c>
      <c r="BS645" s="1" t="s">
        <v>126</v>
      </c>
      <c r="BT645" s="1" t="s">
        <v>399</v>
      </c>
      <c r="BU645">
        <v>0</v>
      </c>
      <c r="BV645" s="1" t="s">
        <v>129</v>
      </c>
      <c r="BW645" s="1" t="s">
        <v>129</v>
      </c>
      <c r="BX645" s="1" t="s">
        <v>298</v>
      </c>
      <c r="BY645" s="1" t="s">
        <v>126</v>
      </c>
      <c r="BZ645" s="1" t="s">
        <v>128</v>
      </c>
      <c r="CA645">
        <v>0.09</v>
      </c>
      <c r="CB645">
        <v>0.09</v>
      </c>
      <c r="CC645">
        <v>0.19</v>
      </c>
      <c r="CD645">
        <v>0.19</v>
      </c>
      <c r="CE645">
        <v>0.12</v>
      </c>
      <c r="CF645">
        <v>0.12</v>
      </c>
      <c r="CG645" s="1" t="s">
        <v>397</v>
      </c>
      <c r="CH645" s="1" t="s">
        <v>436</v>
      </c>
      <c r="CI645" s="1" t="s">
        <v>128</v>
      </c>
      <c r="CJ645" s="1" t="s">
        <v>129</v>
      </c>
      <c r="CK645">
        <v>1</v>
      </c>
      <c r="CL645" s="1" t="s">
        <v>304</v>
      </c>
      <c r="CM645" s="1" t="s">
        <v>417</v>
      </c>
      <c r="CN645" s="1" t="s">
        <v>2511</v>
      </c>
      <c r="CO645">
        <v>73</v>
      </c>
      <c r="CP645" s="1" t="s">
        <v>2873</v>
      </c>
      <c r="CQ645">
        <v>273</v>
      </c>
      <c r="CR645" s="1" t="s">
        <v>6415</v>
      </c>
      <c r="CS645">
        <v>1433</v>
      </c>
      <c r="CT645">
        <v>1465.2</v>
      </c>
      <c r="CU645">
        <v>1852</v>
      </c>
      <c r="CV645">
        <v>1810.2</v>
      </c>
      <c r="CW645">
        <v>59.1</v>
      </c>
      <c r="CX645">
        <v>64</v>
      </c>
      <c r="CY645">
        <v>58.4</v>
      </c>
      <c r="CZ645" s="1" t="s">
        <v>609</v>
      </c>
      <c r="DA645">
        <v>1</v>
      </c>
      <c r="DB645" t="s">
        <v>525</v>
      </c>
      <c r="DC645">
        <v>34</v>
      </c>
      <c r="DD645" s="1" t="s">
        <v>6416</v>
      </c>
      <c r="DE645">
        <v>-26.492716406185899</v>
      </c>
      <c r="DF645" t="str">
        <f>_xlfn.XLOOKUP(Table1[[#This Row],[Player ID]],Table2[feed_id],Table2[trade_status])</f>
        <v>free_agent</v>
      </c>
      <c r="DG645">
        <f>_xlfn.NUMBERVALUE(Table1[[#This Row],[predicted]])</f>
        <v>60.492716406185899</v>
      </c>
    </row>
    <row r="646" spans="1:111" hidden="1" x14ac:dyDescent="0.25">
      <c r="A646">
        <v>132045</v>
      </c>
      <c r="B646">
        <v>9226</v>
      </c>
      <c r="C646" t="s">
        <v>6417</v>
      </c>
      <c r="D646" t="s">
        <v>1155</v>
      </c>
      <c r="E646">
        <v>2025</v>
      </c>
      <c r="F646">
        <v>1008550</v>
      </c>
      <c r="G646" t="s">
        <v>2115</v>
      </c>
      <c r="H646" t="s">
        <v>6418</v>
      </c>
      <c r="I646" t="s">
        <v>391</v>
      </c>
      <c r="J646">
        <v>15</v>
      </c>
      <c r="K646">
        <v>83</v>
      </c>
      <c r="L646">
        <v>103</v>
      </c>
      <c r="M646">
        <v>100</v>
      </c>
      <c r="N646">
        <v>71</v>
      </c>
      <c r="O646">
        <v>96</v>
      </c>
      <c r="P646">
        <v>10</v>
      </c>
      <c r="Q646">
        <v>14</v>
      </c>
      <c r="R646">
        <v>3</v>
      </c>
      <c r="S646">
        <v>2</v>
      </c>
      <c r="T646">
        <v>0</v>
      </c>
      <c r="U646">
        <v>2</v>
      </c>
      <c r="V646">
        <v>1</v>
      </c>
      <c r="W646">
        <v>1</v>
      </c>
      <c r="X646">
        <v>3</v>
      </c>
      <c r="Y646" t="s">
        <v>113</v>
      </c>
      <c r="Z646" t="s">
        <v>4765</v>
      </c>
      <c r="AA646" t="s">
        <v>6419</v>
      </c>
      <c r="AB646" t="s">
        <v>877</v>
      </c>
      <c r="AC646" t="s">
        <v>6420</v>
      </c>
      <c r="AH646" t="s">
        <v>181</v>
      </c>
      <c r="AI646">
        <v>12</v>
      </c>
      <c r="AJ646">
        <v>0</v>
      </c>
      <c r="AK646">
        <v>0</v>
      </c>
      <c r="AL646">
        <v>0</v>
      </c>
      <c r="AM646">
        <v>0.49</v>
      </c>
      <c r="AN646">
        <v>0.77</v>
      </c>
      <c r="AO646">
        <v>1.1599999999999999</v>
      </c>
      <c r="AS646">
        <v>17</v>
      </c>
      <c r="AT646">
        <v>5</v>
      </c>
      <c r="AU646">
        <v>4</v>
      </c>
      <c r="AV646">
        <v>62</v>
      </c>
      <c r="AW646">
        <v>79</v>
      </c>
      <c r="AX646">
        <v>461</v>
      </c>
      <c r="AY646">
        <v>0</v>
      </c>
      <c r="AZ646" t="b">
        <v>0</v>
      </c>
      <c r="BA646">
        <v>1558</v>
      </c>
      <c r="BB646">
        <v>1723</v>
      </c>
      <c r="BC646">
        <v>4</v>
      </c>
      <c r="BD646" t="s">
        <v>6421</v>
      </c>
      <c r="BE646">
        <v>98</v>
      </c>
      <c r="BF646">
        <v>1</v>
      </c>
      <c r="BG646">
        <v>73</v>
      </c>
      <c r="BH646">
        <v>1</v>
      </c>
      <c r="BI646" s="1" t="s">
        <v>157</v>
      </c>
      <c r="BJ646" s="1" t="s">
        <v>1587</v>
      </c>
      <c r="BK646" s="1" t="s">
        <v>356</v>
      </c>
      <c r="BL646" s="1" t="s">
        <v>157</v>
      </c>
      <c r="BM646">
        <v>3</v>
      </c>
      <c r="BN646">
        <v>2.6</v>
      </c>
      <c r="BO646" s="1" t="s">
        <v>125</v>
      </c>
      <c r="BP646" s="1" t="s">
        <v>565</v>
      </c>
      <c r="BQ646">
        <v>0</v>
      </c>
      <c r="BR646">
        <v>0</v>
      </c>
      <c r="BS646" s="1" t="s">
        <v>161</v>
      </c>
      <c r="BT646">
        <v>1.4</v>
      </c>
      <c r="BU646" s="1" t="s">
        <v>159</v>
      </c>
      <c r="BV646">
        <v>1.2</v>
      </c>
      <c r="BW646" s="1" t="s">
        <v>128</v>
      </c>
      <c r="BX646">
        <v>0.4</v>
      </c>
      <c r="BY646" s="1" t="s">
        <v>126</v>
      </c>
      <c r="BZ646" s="1" t="s">
        <v>231</v>
      </c>
      <c r="CA646">
        <v>0.49</v>
      </c>
      <c r="CB646">
        <v>0.49</v>
      </c>
      <c r="CC646">
        <v>0.77</v>
      </c>
      <c r="CD646">
        <v>0.77</v>
      </c>
      <c r="CE646">
        <v>1.1599999999999999</v>
      </c>
      <c r="CF646">
        <v>1.1599999999999999</v>
      </c>
      <c r="CG646">
        <v>12</v>
      </c>
      <c r="CH646" s="1" t="s">
        <v>1239</v>
      </c>
      <c r="CI646">
        <v>4</v>
      </c>
      <c r="CJ646" s="1" t="s">
        <v>990</v>
      </c>
      <c r="CK646" s="1" t="s">
        <v>160</v>
      </c>
      <c r="CL646" s="1" t="s">
        <v>255</v>
      </c>
      <c r="CM646">
        <v>66</v>
      </c>
      <c r="CN646">
        <v>75.400000000000006</v>
      </c>
      <c r="CO646" s="1" t="s">
        <v>930</v>
      </c>
      <c r="CP646">
        <v>70.2</v>
      </c>
      <c r="CQ646" s="1" t="s">
        <v>6422</v>
      </c>
      <c r="CR646">
        <v>306.60000000000002</v>
      </c>
      <c r="CS646" s="1" t="s">
        <v>2707</v>
      </c>
      <c r="CT646" s="1" t="s">
        <v>6423</v>
      </c>
      <c r="CU646" s="1" t="s">
        <v>1205</v>
      </c>
      <c r="CV646" s="1" t="s">
        <v>6424</v>
      </c>
      <c r="CW646">
        <v>93.15</v>
      </c>
      <c r="CX646">
        <v>83.9</v>
      </c>
      <c r="CY646">
        <v>82.8</v>
      </c>
      <c r="CZ646" s="1" t="s">
        <v>1491</v>
      </c>
      <c r="DA646">
        <v>1</v>
      </c>
      <c r="DB646" t="s">
        <v>4765</v>
      </c>
      <c r="DC646">
        <v>103</v>
      </c>
      <c r="DD646" s="1" t="s">
        <v>6425</v>
      </c>
      <c r="DE646" s="1" t="s">
        <v>6426</v>
      </c>
      <c r="DF646" t="str">
        <f>_xlfn.XLOOKUP(Table1[[#This Row],[Player ID]],Table2[feed_id],Table2[trade_status])</f>
        <v>free_agent</v>
      </c>
      <c r="DG646">
        <f>_xlfn.NUMBERVALUE(Table1[[#This Row],[predicted]])</f>
        <v>91.8833761407042</v>
      </c>
    </row>
    <row r="647" spans="1:111" hidden="1" x14ac:dyDescent="0.25">
      <c r="A647">
        <v>132046</v>
      </c>
      <c r="B647">
        <v>9226</v>
      </c>
      <c r="C647" t="s">
        <v>6417</v>
      </c>
      <c r="D647" t="s">
        <v>1155</v>
      </c>
      <c r="E647">
        <v>2025</v>
      </c>
      <c r="F647">
        <v>1007124</v>
      </c>
      <c r="G647" t="s">
        <v>3352</v>
      </c>
      <c r="H647" t="s">
        <v>6427</v>
      </c>
      <c r="I647" t="s">
        <v>391</v>
      </c>
      <c r="J647">
        <v>20</v>
      </c>
      <c r="K647">
        <v>82</v>
      </c>
      <c r="L647">
        <v>78</v>
      </c>
      <c r="M647">
        <v>111</v>
      </c>
      <c r="N647">
        <v>59</v>
      </c>
      <c r="O647">
        <v>84</v>
      </c>
      <c r="P647">
        <v>11</v>
      </c>
      <c r="Q647">
        <v>6</v>
      </c>
      <c r="R647">
        <v>4</v>
      </c>
      <c r="S647">
        <v>7</v>
      </c>
      <c r="T647">
        <v>0</v>
      </c>
      <c r="U647">
        <v>0</v>
      </c>
      <c r="V647">
        <v>1</v>
      </c>
      <c r="W647">
        <v>0</v>
      </c>
      <c r="X647">
        <v>0</v>
      </c>
      <c r="Y647" t="s">
        <v>113</v>
      </c>
      <c r="Z647" t="s">
        <v>877</v>
      </c>
      <c r="AA647" t="s">
        <v>6428</v>
      </c>
      <c r="AD647">
        <v>155900</v>
      </c>
      <c r="AE647">
        <v>0</v>
      </c>
      <c r="AH647" t="s">
        <v>118</v>
      </c>
      <c r="AI647">
        <v>11</v>
      </c>
      <c r="AJ647">
        <v>2</v>
      </c>
      <c r="AK647">
        <v>67.5</v>
      </c>
      <c r="AL647">
        <v>0</v>
      </c>
      <c r="AM647">
        <v>0</v>
      </c>
      <c r="AN647">
        <v>0.14000000000000001</v>
      </c>
      <c r="AO647">
        <v>0.19</v>
      </c>
      <c r="AS647">
        <v>2</v>
      </c>
      <c r="AT647">
        <v>2</v>
      </c>
      <c r="AU647">
        <v>4</v>
      </c>
      <c r="AV647">
        <v>82</v>
      </c>
      <c r="AW647">
        <v>82</v>
      </c>
      <c r="AX647">
        <v>406</v>
      </c>
      <c r="AY647">
        <v>0</v>
      </c>
      <c r="AZ647" t="b">
        <v>0</v>
      </c>
      <c r="BA647">
        <v>1558</v>
      </c>
      <c r="BB647">
        <v>1723</v>
      </c>
      <c r="BC647">
        <v>4</v>
      </c>
      <c r="BD647" t="s">
        <v>6421</v>
      </c>
      <c r="BE647">
        <v>98</v>
      </c>
      <c r="BF647">
        <v>0</v>
      </c>
      <c r="BG647">
        <v>73</v>
      </c>
      <c r="BH647">
        <v>1</v>
      </c>
      <c r="BI647" s="1" t="s">
        <v>977</v>
      </c>
      <c r="BJ647" s="1" t="s">
        <v>545</v>
      </c>
      <c r="BK647" s="1" t="s">
        <v>137</v>
      </c>
      <c r="BL647">
        <v>11</v>
      </c>
      <c r="BM647" s="1" t="s">
        <v>138</v>
      </c>
      <c r="BN647" s="1" t="s">
        <v>255</v>
      </c>
      <c r="BO647">
        <v>8</v>
      </c>
      <c r="BP647" s="1" t="s">
        <v>124</v>
      </c>
      <c r="BQ647" s="1" t="s">
        <v>129</v>
      </c>
      <c r="BR647">
        <v>1.4</v>
      </c>
      <c r="BS647" s="1" t="s">
        <v>129</v>
      </c>
      <c r="BT647">
        <v>1</v>
      </c>
      <c r="BU647">
        <v>1</v>
      </c>
      <c r="BV647" s="1" t="s">
        <v>257</v>
      </c>
      <c r="BW647">
        <v>0</v>
      </c>
      <c r="BX647">
        <v>6.6666666666666596E-2</v>
      </c>
      <c r="BY647" s="1" t="s">
        <v>129</v>
      </c>
      <c r="BZ647" s="1" t="s">
        <v>213</v>
      </c>
      <c r="CA647">
        <v>0</v>
      </c>
      <c r="CB647">
        <v>0</v>
      </c>
      <c r="CC647">
        <v>0.14000000000000001</v>
      </c>
      <c r="CD647">
        <v>0.14000000000000001</v>
      </c>
      <c r="CE647">
        <v>0.19</v>
      </c>
      <c r="CF647">
        <v>0.19</v>
      </c>
      <c r="CG647" s="1" t="s">
        <v>449</v>
      </c>
      <c r="CH647">
        <v>8.1999999999999993</v>
      </c>
      <c r="CI647" s="1" t="s">
        <v>138</v>
      </c>
      <c r="CJ647" s="1" t="s">
        <v>499</v>
      </c>
      <c r="CK647">
        <v>4</v>
      </c>
      <c r="CL647" s="1" t="s">
        <v>321</v>
      </c>
      <c r="CM647" s="1" t="s">
        <v>417</v>
      </c>
      <c r="CN647" s="1" t="s">
        <v>753</v>
      </c>
      <c r="CO647" s="1" t="s">
        <v>930</v>
      </c>
      <c r="CP647" s="1" t="s">
        <v>3657</v>
      </c>
      <c r="CQ647" s="1" t="s">
        <v>6429</v>
      </c>
      <c r="CR647">
        <v>240.8</v>
      </c>
      <c r="CS647" s="1" t="s">
        <v>2707</v>
      </c>
      <c r="CT647">
        <v>1763</v>
      </c>
      <c r="CU647" s="1" t="s">
        <v>1205</v>
      </c>
      <c r="CV647" s="1" t="s">
        <v>6430</v>
      </c>
      <c r="CW647">
        <v>76.8</v>
      </c>
      <c r="CX647">
        <v>77.3</v>
      </c>
      <c r="CY647">
        <v>84.2</v>
      </c>
      <c r="CZ647" s="1" t="s">
        <v>683</v>
      </c>
      <c r="DA647">
        <v>1</v>
      </c>
      <c r="DB647" t="s">
        <v>877</v>
      </c>
      <c r="DC647">
        <v>78</v>
      </c>
      <c r="DD647" s="1" t="s">
        <v>6431</v>
      </c>
      <c r="DE647" s="1" t="s">
        <v>6432</v>
      </c>
      <c r="DF647" t="str">
        <f>_xlfn.XLOOKUP(Table1[[#This Row],[Player ID]],Table2[feed_id],Table2[trade_status])</f>
        <v>waiver</v>
      </c>
      <c r="DG647">
        <f>_xlfn.NUMBERVALUE(Table1[[#This Row],[predicted]])</f>
        <v>62.470144009661901</v>
      </c>
    </row>
    <row r="648" spans="1:111" hidden="1" x14ac:dyDescent="0.25">
      <c r="A648">
        <v>132079</v>
      </c>
      <c r="B648">
        <v>9226</v>
      </c>
      <c r="C648" t="s">
        <v>6417</v>
      </c>
      <c r="D648" t="s">
        <v>1155</v>
      </c>
      <c r="E648">
        <v>2025</v>
      </c>
      <c r="F648">
        <v>291969</v>
      </c>
      <c r="G648" t="s">
        <v>3503</v>
      </c>
      <c r="H648" t="s">
        <v>6433</v>
      </c>
      <c r="I648" t="s">
        <v>1089</v>
      </c>
      <c r="J648">
        <v>7</v>
      </c>
      <c r="K648">
        <v>47</v>
      </c>
      <c r="L648">
        <v>53</v>
      </c>
      <c r="M648">
        <v>24</v>
      </c>
      <c r="N648">
        <v>37</v>
      </c>
      <c r="O648">
        <v>57</v>
      </c>
      <c r="P648">
        <v>10</v>
      </c>
      <c r="Q648">
        <v>5</v>
      </c>
      <c r="R648">
        <v>1</v>
      </c>
      <c r="S648">
        <v>3</v>
      </c>
      <c r="T648">
        <v>0</v>
      </c>
      <c r="U648">
        <v>1</v>
      </c>
      <c r="V648">
        <v>3</v>
      </c>
      <c r="W648">
        <v>0</v>
      </c>
      <c r="X648">
        <v>0</v>
      </c>
      <c r="Y648" t="s">
        <v>113</v>
      </c>
      <c r="Z648" t="s">
        <v>525</v>
      </c>
      <c r="AA648" t="s">
        <v>6434</v>
      </c>
      <c r="AD648">
        <v>680200</v>
      </c>
      <c r="AE648">
        <v>0</v>
      </c>
      <c r="AH648" t="s">
        <v>118</v>
      </c>
      <c r="AI648">
        <v>3</v>
      </c>
      <c r="AJ648">
        <v>20</v>
      </c>
      <c r="AK648">
        <v>108.3</v>
      </c>
      <c r="AL648">
        <v>0</v>
      </c>
      <c r="AM648">
        <v>0</v>
      </c>
      <c r="AN648">
        <v>0.77</v>
      </c>
      <c r="AO648">
        <v>0.84</v>
      </c>
      <c r="AS648">
        <v>5</v>
      </c>
      <c r="AT648">
        <v>1</v>
      </c>
      <c r="AU648">
        <v>6</v>
      </c>
      <c r="AV648">
        <v>66</v>
      </c>
      <c r="AW648">
        <v>83</v>
      </c>
      <c r="AX648">
        <v>199</v>
      </c>
      <c r="AY648">
        <v>0</v>
      </c>
      <c r="AZ648" t="b">
        <v>0</v>
      </c>
      <c r="BA648">
        <v>1723</v>
      </c>
      <c r="BB648">
        <v>1558</v>
      </c>
      <c r="BC648">
        <v>4</v>
      </c>
      <c r="BD648" t="s">
        <v>6435</v>
      </c>
      <c r="BE648">
        <v>98</v>
      </c>
      <c r="BF648">
        <v>0</v>
      </c>
      <c r="BG648">
        <v>73</v>
      </c>
      <c r="BH648">
        <v>0</v>
      </c>
      <c r="BI648">
        <v>8</v>
      </c>
      <c r="BJ648" s="1" t="s">
        <v>1761</v>
      </c>
      <c r="BK648">
        <v>5</v>
      </c>
      <c r="BL648" s="1" t="s">
        <v>448</v>
      </c>
      <c r="BM648">
        <v>2</v>
      </c>
      <c r="BN648" s="1" t="s">
        <v>206</v>
      </c>
      <c r="BO648" s="1" t="s">
        <v>159</v>
      </c>
      <c r="BP648" s="1" t="s">
        <v>431</v>
      </c>
      <c r="BQ648">
        <v>0</v>
      </c>
      <c r="BR648">
        <v>0</v>
      </c>
      <c r="BS648" s="1" t="s">
        <v>128</v>
      </c>
      <c r="BT648" s="1" t="s">
        <v>399</v>
      </c>
      <c r="BU648">
        <v>1</v>
      </c>
      <c r="BV648" s="1" t="s">
        <v>257</v>
      </c>
      <c r="BW648">
        <v>1</v>
      </c>
      <c r="BX648" s="1" t="s">
        <v>231</v>
      </c>
      <c r="BY648">
        <v>0</v>
      </c>
      <c r="BZ648" s="1" t="s">
        <v>129</v>
      </c>
      <c r="CA648">
        <v>0</v>
      </c>
      <c r="CB648">
        <v>0</v>
      </c>
      <c r="CC648">
        <v>0.77</v>
      </c>
      <c r="CD648">
        <v>0.77</v>
      </c>
      <c r="CE648">
        <v>0.84</v>
      </c>
      <c r="CF648">
        <v>0.84</v>
      </c>
      <c r="CG648" s="1" t="s">
        <v>211</v>
      </c>
      <c r="CH648">
        <v>6.2</v>
      </c>
      <c r="CI648" s="1" t="s">
        <v>161</v>
      </c>
      <c r="CJ648">
        <v>3.4</v>
      </c>
      <c r="CK648" s="1" t="s">
        <v>169</v>
      </c>
      <c r="CL648" s="1" t="s">
        <v>189</v>
      </c>
      <c r="CM648">
        <v>77</v>
      </c>
      <c r="CN648" s="1" t="s">
        <v>6436</v>
      </c>
      <c r="CO648">
        <v>83</v>
      </c>
      <c r="CP648" s="1" t="s">
        <v>701</v>
      </c>
      <c r="CQ648">
        <v>160</v>
      </c>
      <c r="CR648" s="1" t="s">
        <v>6437</v>
      </c>
      <c r="CS648" s="1" t="s">
        <v>2925</v>
      </c>
      <c r="CT648" s="1" t="s">
        <v>3500</v>
      </c>
      <c r="CU648">
        <v>1628</v>
      </c>
      <c r="CV648" s="1" t="s">
        <v>6438</v>
      </c>
      <c r="CW648">
        <v>75.75</v>
      </c>
      <c r="CX648">
        <v>57.1</v>
      </c>
      <c r="CY648">
        <v>50.2</v>
      </c>
      <c r="CZ648" s="1" t="s">
        <v>333</v>
      </c>
      <c r="DA648">
        <v>1</v>
      </c>
      <c r="DB648" t="s">
        <v>525</v>
      </c>
      <c r="DC648">
        <v>53</v>
      </c>
      <c r="DD648" s="1" t="s">
        <v>6439</v>
      </c>
      <c r="DE648">
        <v>-17.5519600676202</v>
      </c>
      <c r="DF648" t="str">
        <f>_xlfn.XLOOKUP(Table1[[#This Row],[Player ID]],Table2[feed_id],Table2[trade_status])</f>
        <v>free_agent</v>
      </c>
      <c r="DG648">
        <f>_xlfn.NUMBERVALUE(Table1[[#This Row],[predicted]])</f>
        <v>70.5519600676202</v>
      </c>
    </row>
    <row r="649" spans="1:111" hidden="1" x14ac:dyDescent="0.25">
      <c r="A649">
        <v>132082</v>
      </c>
      <c r="B649">
        <v>9226</v>
      </c>
      <c r="C649" t="s">
        <v>6417</v>
      </c>
      <c r="D649" t="s">
        <v>1155</v>
      </c>
      <c r="E649">
        <v>2025</v>
      </c>
      <c r="F649">
        <v>290314</v>
      </c>
      <c r="G649" t="s">
        <v>1658</v>
      </c>
      <c r="H649" t="s">
        <v>6440</v>
      </c>
      <c r="I649" t="s">
        <v>1089</v>
      </c>
      <c r="J649">
        <v>4</v>
      </c>
      <c r="K649">
        <v>36</v>
      </c>
      <c r="L649">
        <v>47</v>
      </c>
      <c r="M649">
        <v>31</v>
      </c>
      <c r="N649">
        <v>31</v>
      </c>
      <c r="O649">
        <v>40</v>
      </c>
      <c r="P649">
        <v>3</v>
      </c>
      <c r="Q649">
        <v>5</v>
      </c>
      <c r="R649">
        <v>0</v>
      </c>
      <c r="S649">
        <v>2</v>
      </c>
      <c r="T649">
        <v>10</v>
      </c>
      <c r="U649">
        <v>2</v>
      </c>
      <c r="V649">
        <v>1</v>
      </c>
      <c r="W649">
        <v>0</v>
      </c>
      <c r="X649">
        <v>0</v>
      </c>
      <c r="Y649" t="s">
        <v>113</v>
      </c>
      <c r="Z649" t="s">
        <v>602</v>
      </c>
      <c r="AA649" t="s">
        <v>6441</v>
      </c>
      <c r="AD649">
        <v>211400</v>
      </c>
      <c r="AE649">
        <v>0</v>
      </c>
      <c r="AH649" t="s">
        <v>181</v>
      </c>
      <c r="AI649">
        <v>25</v>
      </c>
      <c r="AJ649">
        <v>6</v>
      </c>
      <c r="AK649">
        <v>42.5</v>
      </c>
      <c r="AL649">
        <v>0</v>
      </c>
      <c r="AM649">
        <v>0</v>
      </c>
      <c r="AN649">
        <v>0.09</v>
      </c>
      <c r="AO649">
        <v>0.15</v>
      </c>
      <c r="AS649">
        <v>5</v>
      </c>
      <c r="AT649">
        <v>2</v>
      </c>
      <c r="AU649">
        <v>2</v>
      </c>
      <c r="AV649">
        <v>75</v>
      </c>
      <c r="AW649">
        <v>60</v>
      </c>
      <c r="AX649">
        <v>103</v>
      </c>
      <c r="AY649">
        <v>1</v>
      </c>
      <c r="AZ649" t="b">
        <v>0</v>
      </c>
      <c r="BA649">
        <v>1723</v>
      </c>
      <c r="BB649">
        <v>1558</v>
      </c>
      <c r="BC649">
        <v>4</v>
      </c>
      <c r="BD649" t="s">
        <v>6435</v>
      </c>
      <c r="BE649">
        <v>98</v>
      </c>
      <c r="BF649">
        <v>0</v>
      </c>
      <c r="BG649">
        <v>73</v>
      </c>
      <c r="BH649">
        <v>0</v>
      </c>
      <c r="BI649" s="1" t="s">
        <v>397</v>
      </c>
      <c r="BJ649">
        <v>3.8</v>
      </c>
      <c r="BK649" s="1" t="s">
        <v>138</v>
      </c>
      <c r="BL649">
        <v>3.8</v>
      </c>
      <c r="BM649" s="1" t="s">
        <v>129</v>
      </c>
      <c r="BN649" s="1" t="s">
        <v>327</v>
      </c>
      <c r="BO649" s="1" t="s">
        <v>211</v>
      </c>
      <c r="BP649" s="1" t="s">
        <v>373</v>
      </c>
      <c r="BQ649">
        <v>12</v>
      </c>
      <c r="BR649">
        <v>12.6</v>
      </c>
      <c r="BS649" s="1" t="s">
        <v>126</v>
      </c>
      <c r="BT649" s="1" t="s">
        <v>130</v>
      </c>
      <c r="BU649" s="1" t="s">
        <v>169</v>
      </c>
      <c r="BV649" s="1" t="s">
        <v>257</v>
      </c>
      <c r="BW649" s="1" t="s">
        <v>129</v>
      </c>
      <c r="BX649">
        <v>0.2</v>
      </c>
      <c r="BY649">
        <v>0</v>
      </c>
      <c r="BZ649">
        <v>0.4</v>
      </c>
      <c r="CA649">
        <v>0</v>
      </c>
      <c r="CB649">
        <v>0</v>
      </c>
      <c r="CC649">
        <v>0.09</v>
      </c>
      <c r="CD649" s="1" t="s">
        <v>6442</v>
      </c>
      <c r="CE649">
        <v>0.15</v>
      </c>
      <c r="CF649" s="1" t="s">
        <v>6443</v>
      </c>
      <c r="CG649" s="1" t="s">
        <v>449</v>
      </c>
      <c r="CH649" s="1" t="s">
        <v>160</v>
      </c>
      <c r="CI649" s="1" t="s">
        <v>169</v>
      </c>
      <c r="CJ649">
        <v>1.4</v>
      </c>
      <c r="CK649">
        <v>4</v>
      </c>
      <c r="CL649">
        <v>2.4</v>
      </c>
      <c r="CM649" s="1" t="s">
        <v>609</v>
      </c>
      <c r="CN649">
        <v>62.2</v>
      </c>
      <c r="CO649">
        <v>71</v>
      </c>
      <c r="CP649">
        <v>68.400000000000006</v>
      </c>
      <c r="CQ649">
        <v>168</v>
      </c>
      <c r="CR649">
        <v>101.4</v>
      </c>
      <c r="CS649" s="1" t="s">
        <v>2925</v>
      </c>
      <c r="CT649" s="1" t="s">
        <v>6444</v>
      </c>
      <c r="CU649">
        <v>1628</v>
      </c>
      <c r="CV649" s="1" t="s">
        <v>6445</v>
      </c>
      <c r="CW649">
        <v>46.05</v>
      </c>
      <c r="CX649">
        <v>56.1</v>
      </c>
      <c r="CY649">
        <v>63.2</v>
      </c>
      <c r="CZ649" s="1" t="s">
        <v>759</v>
      </c>
      <c r="DA649">
        <v>1</v>
      </c>
      <c r="DB649" t="s">
        <v>602</v>
      </c>
      <c r="DC649">
        <v>47</v>
      </c>
      <c r="DD649" s="1" t="s">
        <v>6446</v>
      </c>
      <c r="DE649">
        <v>-18.602445202805701</v>
      </c>
      <c r="DF649" t="str">
        <f>_xlfn.XLOOKUP(Table1[[#This Row],[Player ID]],Table2[feed_id],Table2[trade_status])</f>
        <v>free_agent</v>
      </c>
      <c r="DG649">
        <f>_xlfn.NUMBERVALUE(Table1[[#This Row],[predicted]])</f>
        <v>65.602445202805697</v>
      </c>
    </row>
    <row r="650" spans="1:111" hidden="1" x14ac:dyDescent="0.25">
      <c r="A650">
        <v>132106</v>
      </c>
      <c r="B650">
        <v>9227</v>
      </c>
      <c r="C650" t="s">
        <v>6447</v>
      </c>
      <c r="D650" t="s">
        <v>1155</v>
      </c>
      <c r="E650">
        <v>2025</v>
      </c>
      <c r="F650">
        <v>1017051</v>
      </c>
      <c r="G650" t="s">
        <v>1318</v>
      </c>
      <c r="H650" t="s">
        <v>6448</v>
      </c>
      <c r="I650" t="s">
        <v>510</v>
      </c>
      <c r="J650">
        <v>2</v>
      </c>
      <c r="K650">
        <v>27</v>
      </c>
      <c r="L650">
        <v>26</v>
      </c>
      <c r="M650">
        <v>36</v>
      </c>
      <c r="N650">
        <v>21</v>
      </c>
      <c r="O650">
        <v>27</v>
      </c>
      <c r="P650">
        <v>4</v>
      </c>
      <c r="Q650">
        <v>1</v>
      </c>
      <c r="R650">
        <v>3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113</v>
      </c>
      <c r="Z650" t="s">
        <v>114</v>
      </c>
      <c r="AA650" t="s">
        <v>6449</v>
      </c>
      <c r="AB650" t="s">
        <v>116</v>
      </c>
      <c r="AC650" t="s">
        <v>2703</v>
      </c>
      <c r="AH650" t="s">
        <v>155</v>
      </c>
      <c r="AI650">
        <v>8</v>
      </c>
      <c r="AJ650">
        <v>0</v>
      </c>
      <c r="AK650">
        <v>0</v>
      </c>
      <c r="AL650">
        <v>0</v>
      </c>
      <c r="AM650">
        <v>6.69</v>
      </c>
      <c r="AN650">
        <v>1.44</v>
      </c>
      <c r="AO650">
        <v>4.71</v>
      </c>
      <c r="AS650">
        <v>0</v>
      </c>
      <c r="AT650">
        <v>0</v>
      </c>
      <c r="AU650">
        <v>1</v>
      </c>
      <c r="AV650">
        <v>80</v>
      </c>
      <c r="AW650">
        <v>14</v>
      </c>
      <c r="AX650">
        <v>122</v>
      </c>
      <c r="AY650">
        <v>1</v>
      </c>
      <c r="AZ650" t="b">
        <v>1</v>
      </c>
      <c r="BA650">
        <v>1536</v>
      </c>
      <c r="BB650">
        <v>1746</v>
      </c>
      <c r="BC650">
        <v>4</v>
      </c>
      <c r="BD650" t="s">
        <v>6450</v>
      </c>
      <c r="BE650">
        <v>98</v>
      </c>
      <c r="BF650">
        <v>0</v>
      </c>
      <c r="BG650">
        <v>73</v>
      </c>
      <c r="BH650">
        <v>0</v>
      </c>
      <c r="BI650" s="1" t="s">
        <v>977</v>
      </c>
      <c r="BJ650" s="1" t="s">
        <v>674</v>
      </c>
      <c r="BK650" s="1" t="s">
        <v>211</v>
      </c>
      <c r="BL650" s="1" t="s">
        <v>587</v>
      </c>
      <c r="BM650" s="1" t="s">
        <v>449</v>
      </c>
      <c r="BN650">
        <v>3.6</v>
      </c>
      <c r="BO650">
        <v>1</v>
      </c>
      <c r="BP650" s="1" t="s">
        <v>322</v>
      </c>
      <c r="BQ650">
        <v>0</v>
      </c>
      <c r="BR650">
        <v>0</v>
      </c>
      <c r="BS650">
        <v>0</v>
      </c>
      <c r="BT650" s="1" t="s">
        <v>129</v>
      </c>
      <c r="BU650" s="1" t="s">
        <v>128</v>
      </c>
      <c r="BV650">
        <v>0.8</v>
      </c>
      <c r="BW650">
        <v>2</v>
      </c>
      <c r="BX650">
        <v>1.6</v>
      </c>
      <c r="BY650" s="1" t="s">
        <v>126</v>
      </c>
      <c r="BZ650" s="1" t="s">
        <v>162</v>
      </c>
      <c r="CA650">
        <v>6.69</v>
      </c>
      <c r="CB650">
        <v>6.69</v>
      </c>
      <c r="CC650">
        <v>1.44</v>
      </c>
      <c r="CD650">
        <v>1.44</v>
      </c>
      <c r="CE650">
        <v>4.71</v>
      </c>
      <c r="CF650">
        <v>4.71</v>
      </c>
      <c r="CG650" s="1" t="s">
        <v>125</v>
      </c>
      <c r="CH650">
        <v>4.5999999999999996</v>
      </c>
      <c r="CI650" s="1" t="s">
        <v>126</v>
      </c>
      <c r="CJ650" s="1" t="s">
        <v>162</v>
      </c>
      <c r="CK650">
        <v>2</v>
      </c>
      <c r="CL650" s="1" t="s">
        <v>255</v>
      </c>
      <c r="CM650" s="1" t="s">
        <v>754</v>
      </c>
      <c r="CN650" s="1" t="s">
        <v>1471</v>
      </c>
      <c r="CO650">
        <v>58</v>
      </c>
      <c r="CP650" s="1" t="s">
        <v>1460</v>
      </c>
      <c r="CQ650" s="1" t="s">
        <v>6451</v>
      </c>
      <c r="CR650" s="1" t="s">
        <v>6400</v>
      </c>
      <c r="CS650" s="1" t="s">
        <v>6452</v>
      </c>
      <c r="CT650">
        <v>1698.4</v>
      </c>
      <c r="CU650">
        <v>1457</v>
      </c>
      <c r="CV650" s="1" t="s">
        <v>769</v>
      </c>
      <c r="CW650">
        <v>66.55</v>
      </c>
      <c r="CX650">
        <v>68</v>
      </c>
      <c r="CY650">
        <v>64.599999999999994</v>
      </c>
      <c r="CZ650" s="1" t="s">
        <v>215</v>
      </c>
      <c r="DA650">
        <v>1</v>
      </c>
      <c r="DB650" t="s">
        <v>114</v>
      </c>
      <c r="DC650">
        <v>26</v>
      </c>
      <c r="DD650" s="1" t="s">
        <v>6453</v>
      </c>
      <c r="DE650">
        <v>-23.470671913838899</v>
      </c>
      <c r="DF650" t="str">
        <f>_xlfn.XLOOKUP(Table1[[#This Row],[Player ID]],Table2[feed_id],Table2[trade_status])</f>
        <v>free_agent</v>
      </c>
      <c r="DG650">
        <f>_xlfn.NUMBERVALUE(Table1[[#This Row],[predicted]])</f>
        <v>49.470671913838899</v>
      </c>
    </row>
    <row r="651" spans="1:111" hidden="1" x14ac:dyDescent="0.25">
      <c r="A651">
        <v>132128</v>
      </c>
      <c r="B651">
        <v>9227</v>
      </c>
      <c r="C651" t="s">
        <v>6447</v>
      </c>
      <c r="D651" t="s">
        <v>1155</v>
      </c>
      <c r="E651">
        <v>2025</v>
      </c>
      <c r="F651">
        <v>1012829</v>
      </c>
      <c r="G651" t="s">
        <v>2115</v>
      </c>
      <c r="H651" t="s">
        <v>4059</v>
      </c>
      <c r="I651" t="s">
        <v>813</v>
      </c>
      <c r="J651">
        <v>4</v>
      </c>
      <c r="K651">
        <v>42</v>
      </c>
      <c r="L651">
        <v>48</v>
      </c>
      <c r="M651">
        <v>36</v>
      </c>
      <c r="N651">
        <v>34</v>
      </c>
      <c r="O651">
        <v>48</v>
      </c>
      <c r="P651">
        <v>4</v>
      </c>
      <c r="Q651">
        <v>8</v>
      </c>
      <c r="R651">
        <v>2</v>
      </c>
      <c r="S651">
        <v>2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113</v>
      </c>
      <c r="Z651" t="s">
        <v>877</v>
      </c>
      <c r="AA651" t="s">
        <v>6454</v>
      </c>
      <c r="AH651" t="s">
        <v>118</v>
      </c>
      <c r="AI651">
        <v>29</v>
      </c>
      <c r="AJ651">
        <v>0</v>
      </c>
      <c r="AK651">
        <v>0</v>
      </c>
      <c r="AL651">
        <v>0</v>
      </c>
      <c r="AM651">
        <v>0.04</v>
      </c>
      <c r="AN651">
        <v>0.13</v>
      </c>
      <c r="AO651">
        <v>0.16</v>
      </c>
      <c r="AS651">
        <v>6</v>
      </c>
      <c r="AT651">
        <v>3</v>
      </c>
      <c r="AU651">
        <v>3</v>
      </c>
      <c r="AV651">
        <v>75</v>
      </c>
      <c r="AW651">
        <v>69</v>
      </c>
      <c r="AX651">
        <v>167</v>
      </c>
      <c r="AY651">
        <v>1</v>
      </c>
      <c r="AZ651" t="b">
        <v>0</v>
      </c>
      <c r="BA651">
        <v>1746</v>
      </c>
      <c r="BB651">
        <v>1536</v>
      </c>
      <c r="BC651">
        <v>4</v>
      </c>
      <c r="BD651" t="s">
        <v>6455</v>
      </c>
      <c r="BE651">
        <v>98</v>
      </c>
      <c r="BF651">
        <v>0</v>
      </c>
      <c r="BG651">
        <v>73</v>
      </c>
      <c r="BH651">
        <v>0</v>
      </c>
      <c r="BI651">
        <v>3</v>
      </c>
      <c r="BJ651" s="1" t="s">
        <v>205</v>
      </c>
      <c r="BK651">
        <v>8</v>
      </c>
      <c r="BL651" s="1" t="s">
        <v>396</v>
      </c>
      <c r="BM651" s="1" t="s">
        <v>159</v>
      </c>
      <c r="BN651">
        <v>2.2000000000000002</v>
      </c>
      <c r="BO651" s="1" t="s">
        <v>125</v>
      </c>
      <c r="BP651">
        <v>4.5999999999999996</v>
      </c>
      <c r="BQ651">
        <v>0</v>
      </c>
      <c r="BR651">
        <v>0</v>
      </c>
      <c r="BS651" s="1" t="s">
        <v>129</v>
      </c>
      <c r="BT651">
        <v>0.8</v>
      </c>
      <c r="BU651" s="1" t="s">
        <v>129</v>
      </c>
      <c r="BV651" s="1" t="s">
        <v>238</v>
      </c>
      <c r="BW651">
        <v>0</v>
      </c>
      <c r="BX651" s="1" t="s">
        <v>213</v>
      </c>
      <c r="BY651">
        <v>0</v>
      </c>
      <c r="BZ651">
        <v>0</v>
      </c>
      <c r="CA651">
        <v>0.04</v>
      </c>
      <c r="CB651" s="1" t="s">
        <v>6456</v>
      </c>
      <c r="CC651">
        <v>0.13</v>
      </c>
      <c r="CD651" s="1" t="s">
        <v>6457</v>
      </c>
      <c r="CE651">
        <v>0.16</v>
      </c>
      <c r="CF651" s="1" t="s">
        <v>6458</v>
      </c>
      <c r="CG651">
        <v>5</v>
      </c>
      <c r="CH651" s="1" t="s">
        <v>1092</v>
      </c>
      <c r="CI651" s="1" t="s">
        <v>159</v>
      </c>
      <c r="CJ651" s="1" t="s">
        <v>255</v>
      </c>
      <c r="CK651" s="1" t="s">
        <v>161</v>
      </c>
      <c r="CL651" s="1" t="s">
        <v>161</v>
      </c>
      <c r="CM651" s="1" t="s">
        <v>1110</v>
      </c>
      <c r="CN651">
        <v>79.400000000000006</v>
      </c>
      <c r="CO651">
        <v>58</v>
      </c>
      <c r="CP651">
        <v>66.8</v>
      </c>
      <c r="CQ651" s="1" t="s">
        <v>3004</v>
      </c>
      <c r="CR651">
        <v>144.80000000000001</v>
      </c>
      <c r="CS651" s="1" t="s">
        <v>3825</v>
      </c>
      <c r="CT651" s="1" t="s">
        <v>6459</v>
      </c>
      <c r="CU651">
        <v>1628</v>
      </c>
      <c r="CV651" s="1" t="s">
        <v>6460</v>
      </c>
      <c r="CW651">
        <v>62.6</v>
      </c>
      <c r="CX651">
        <v>63.9</v>
      </c>
      <c r="CY651">
        <v>65.8</v>
      </c>
      <c r="CZ651" s="1" t="s">
        <v>649</v>
      </c>
      <c r="DA651">
        <v>1</v>
      </c>
      <c r="DB651" t="s">
        <v>877</v>
      </c>
      <c r="DC651">
        <v>48</v>
      </c>
      <c r="DD651" s="1" t="s">
        <v>6461</v>
      </c>
      <c r="DE651" s="1" t="s">
        <v>6462</v>
      </c>
      <c r="DF651" t="str">
        <f>_xlfn.XLOOKUP(Table1[[#This Row],[Player ID]],Table2[feed_id],Table2[trade_status])</f>
        <v>free_agent</v>
      </c>
      <c r="DG651">
        <f>_xlfn.NUMBERVALUE(Table1[[#This Row],[predicted]])</f>
        <v>47.1954307444203</v>
      </c>
    </row>
    <row r="652" spans="1:111" hidden="1" x14ac:dyDescent="0.25">
      <c r="A652">
        <v>132134</v>
      </c>
      <c r="B652">
        <v>9228</v>
      </c>
      <c r="C652" t="s">
        <v>6463</v>
      </c>
      <c r="D652" t="s">
        <v>1155</v>
      </c>
      <c r="E652">
        <v>2025</v>
      </c>
      <c r="F652">
        <v>294859</v>
      </c>
      <c r="G652" t="s">
        <v>1196</v>
      </c>
      <c r="H652" t="s">
        <v>6464</v>
      </c>
      <c r="I652" t="s">
        <v>582</v>
      </c>
      <c r="J652">
        <v>13</v>
      </c>
      <c r="K652">
        <v>67</v>
      </c>
      <c r="L652">
        <v>103</v>
      </c>
      <c r="M652">
        <v>90</v>
      </c>
      <c r="N652">
        <v>57</v>
      </c>
      <c r="O652">
        <v>75</v>
      </c>
      <c r="P652">
        <v>12</v>
      </c>
      <c r="Q652">
        <v>3</v>
      </c>
      <c r="R652">
        <v>9</v>
      </c>
      <c r="S652">
        <v>1</v>
      </c>
      <c r="T652">
        <v>0</v>
      </c>
      <c r="U652">
        <v>0</v>
      </c>
      <c r="V652">
        <v>2</v>
      </c>
      <c r="W652">
        <v>0</v>
      </c>
      <c r="X652">
        <v>0</v>
      </c>
      <c r="Y652" t="s">
        <v>113</v>
      </c>
      <c r="Z652" t="s">
        <v>114</v>
      </c>
      <c r="AA652" t="s">
        <v>6465</v>
      </c>
      <c r="AB652" t="s">
        <v>179</v>
      </c>
      <c r="AC652" t="s">
        <v>6466</v>
      </c>
      <c r="AH652" t="s">
        <v>181</v>
      </c>
      <c r="AI652">
        <v>20</v>
      </c>
      <c r="AJ652">
        <v>0</v>
      </c>
      <c r="AK652">
        <v>0</v>
      </c>
      <c r="AL652">
        <v>0</v>
      </c>
      <c r="AM652">
        <v>0.35</v>
      </c>
      <c r="AN652">
        <v>0.34</v>
      </c>
      <c r="AO652">
        <v>0.44</v>
      </c>
      <c r="AS652">
        <v>4</v>
      </c>
      <c r="AT652">
        <v>0</v>
      </c>
      <c r="AU652">
        <v>3</v>
      </c>
      <c r="AV652">
        <v>93</v>
      </c>
      <c r="AW652">
        <v>57</v>
      </c>
      <c r="AX652">
        <v>249</v>
      </c>
      <c r="AY652">
        <v>1</v>
      </c>
      <c r="AZ652" t="b">
        <v>1</v>
      </c>
      <c r="BA652">
        <v>1837</v>
      </c>
      <c r="BB652">
        <v>1451</v>
      </c>
      <c r="BC652">
        <v>4</v>
      </c>
      <c r="BD652" t="s">
        <v>6467</v>
      </c>
      <c r="BE652">
        <v>98</v>
      </c>
      <c r="BF652">
        <v>1</v>
      </c>
      <c r="BG652">
        <v>73</v>
      </c>
      <c r="BH652">
        <v>1</v>
      </c>
      <c r="BI652" s="1" t="s">
        <v>1829</v>
      </c>
      <c r="BJ652" s="1" t="s">
        <v>123</v>
      </c>
      <c r="BK652" s="1" t="s">
        <v>124</v>
      </c>
      <c r="BL652" s="1" t="s">
        <v>963</v>
      </c>
      <c r="BM652" s="1" t="s">
        <v>211</v>
      </c>
      <c r="BN652" s="1" t="s">
        <v>449</v>
      </c>
      <c r="BO652" s="1" t="s">
        <v>126</v>
      </c>
      <c r="BP652">
        <v>1.4</v>
      </c>
      <c r="BQ652">
        <v>0</v>
      </c>
      <c r="BR652" s="1" t="s">
        <v>213</v>
      </c>
      <c r="BS652" s="1" t="s">
        <v>129</v>
      </c>
      <c r="BT652">
        <v>0.6</v>
      </c>
      <c r="BU652">
        <v>1</v>
      </c>
      <c r="BV652" s="1" t="s">
        <v>238</v>
      </c>
      <c r="BW652">
        <v>0</v>
      </c>
      <c r="BX652">
        <v>6.6666666666666596E-2</v>
      </c>
      <c r="BY652">
        <v>0</v>
      </c>
      <c r="BZ652">
        <v>6.6666666666666596E-2</v>
      </c>
      <c r="CA652">
        <v>0.35</v>
      </c>
      <c r="CB652">
        <v>0.35</v>
      </c>
      <c r="CC652">
        <v>0.34</v>
      </c>
      <c r="CD652">
        <v>0.34</v>
      </c>
      <c r="CE652">
        <v>0.44</v>
      </c>
      <c r="CF652">
        <v>0.44</v>
      </c>
      <c r="CG652">
        <v>4</v>
      </c>
      <c r="CH652" s="1" t="s">
        <v>898</v>
      </c>
      <c r="CI652">
        <v>0</v>
      </c>
      <c r="CJ652">
        <v>0.2</v>
      </c>
      <c r="CK652" s="1" t="s">
        <v>159</v>
      </c>
      <c r="CL652">
        <v>2</v>
      </c>
      <c r="CM652">
        <v>82</v>
      </c>
      <c r="CN652" s="1" t="s">
        <v>5930</v>
      </c>
      <c r="CO652" s="1" t="s">
        <v>755</v>
      </c>
      <c r="CP652">
        <v>82.4</v>
      </c>
      <c r="CQ652">
        <v>334</v>
      </c>
      <c r="CR652">
        <v>466.8</v>
      </c>
      <c r="CS652" s="1" t="s">
        <v>6468</v>
      </c>
      <c r="CT652" s="1" t="s">
        <v>532</v>
      </c>
      <c r="CU652" s="1" t="s">
        <v>6469</v>
      </c>
      <c r="CV652">
        <v>1815</v>
      </c>
      <c r="CW652">
        <v>106.4</v>
      </c>
      <c r="CX652">
        <v>107.5</v>
      </c>
      <c r="CY652">
        <v>106.6</v>
      </c>
      <c r="CZ652" s="1" t="s">
        <v>1619</v>
      </c>
      <c r="DA652">
        <v>1</v>
      </c>
      <c r="DB652" t="s">
        <v>114</v>
      </c>
      <c r="DC652">
        <v>103</v>
      </c>
      <c r="DD652" s="1" t="s">
        <v>6470</v>
      </c>
      <c r="DE652" s="1" t="s">
        <v>6471</v>
      </c>
      <c r="DF652" t="e">
        <f>_xlfn.XLOOKUP(Table1[[#This Row],[Player ID]],Table2[feed_id],Table2[trade_status])</f>
        <v>#N/A</v>
      </c>
      <c r="DG652">
        <f>_xlfn.NUMBERVALUE(Table1[[#This Row],[predicted]])</f>
        <v>78.097247116689601</v>
      </c>
    </row>
    <row r="653" spans="1:111" hidden="1" x14ac:dyDescent="0.25">
      <c r="A653">
        <v>132147</v>
      </c>
      <c r="B653">
        <v>9228</v>
      </c>
      <c r="C653" t="s">
        <v>6463</v>
      </c>
      <c r="D653" t="s">
        <v>1155</v>
      </c>
      <c r="E653">
        <v>2025</v>
      </c>
      <c r="F653">
        <v>1023496</v>
      </c>
      <c r="G653" t="s">
        <v>5462</v>
      </c>
      <c r="H653" t="s">
        <v>6472</v>
      </c>
      <c r="I653" t="s">
        <v>582</v>
      </c>
      <c r="J653">
        <v>4</v>
      </c>
      <c r="K653">
        <v>38</v>
      </c>
      <c r="L653">
        <v>30</v>
      </c>
      <c r="M653">
        <v>46</v>
      </c>
      <c r="N653">
        <v>34</v>
      </c>
      <c r="O653">
        <v>45</v>
      </c>
      <c r="P653">
        <v>4</v>
      </c>
      <c r="Q653">
        <v>7</v>
      </c>
      <c r="R653">
        <v>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113</v>
      </c>
      <c r="Z653" t="s">
        <v>525</v>
      </c>
      <c r="AA653" t="s">
        <v>6201</v>
      </c>
      <c r="AH653" t="s">
        <v>118</v>
      </c>
      <c r="AI653">
        <v>13</v>
      </c>
      <c r="AJ653">
        <v>0</v>
      </c>
      <c r="AK653">
        <v>0</v>
      </c>
      <c r="AL653">
        <v>0</v>
      </c>
      <c r="AM653">
        <v>0.22</v>
      </c>
      <c r="AN653">
        <v>0.14000000000000001</v>
      </c>
      <c r="AO653">
        <v>0.32</v>
      </c>
      <c r="AS653">
        <v>3</v>
      </c>
      <c r="AT653">
        <v>1</v>
      </c>
      <c r="AU653">
        <v>2</v>
      </c>
      <c r="AV653">
        <v>81</v>
      </c>
      <c r="AW653">
        <v>85</v>
      </c>
      <c r="AX653">
        <v>184</v>
      </c>
      <c r="AY653">
        <v>0</v>
      </c>
      <c r="AZ653" t="b">
        <v>0</v>
      </c>
      <c r="BA653">
        <v>1837</v>
      </c>
      <c r="BB653">
        <v>1451</v>
      </c>
      <c r="BC653">
        <v>4</v>
      </c>
      <c r="BD653" t="s">
        <v>6467</v>
      </c>
      <c r="BE653">
        <v>98</v>
      </c>
      <c r="BF653">
        <v>0</v>
      </c>
      <c r="BG653">
        <v>73</v>
      </c>
      <c r="BH653">
        <v>0</v>
      </c>
      <c r="BI653">
        <v>3</v>
      </c>
      <c r="BJ653" s="1" t="s">
        <v>205</v>
      </c>
      <c r="BK653">
        <v>5</v>
      </c>
      <c r="BL653" s="1" t="s">
        <v>963</v>
      </c>
      <c r="BM653" s="1" t="s">
        <v>161</v>
      </c>
      <c r="BN653" s="1" t="s">
        <v>255</v>
      </c>
      <c r="BO653">
        <v>1</v>
      </c>
      <c r="BP653" s="1" t="s">
        <v>214</v>
      </c>
      <c r="BQ653">
        <v>0</v>
      </c>
      <c r="BR653">
        <v>0</v>
      </c>
      <c r="BS653">
        <v>0</v>
      </c>
      <c r="BT653" s="1" t="s">
        <v>184</v>
      </c>
      <c r="BU653" s="1" t="s">
        <v>129</v>
      </c>
      <c r="BV653">
        <v>0.4</v>
      </c>
      <c r="BW653">
        <v>0</v>
      </c>
      <c r="BX653">
        <v>0.2</v>
      </c>
      <c r="BY653" s="1" t="s">
        <v>129</v>
      </c>
      <c r="BZ653" s="1" t="s">
        <v>128</v>
      </c>
      <c r="CA653">
        <v>0.22</v>
      </c>
      <c r="CB653">
        <v>0.6</v>
      </c>
      <c r="CC653">
        <v>0.14000000000000001</v>
      </c>
      <c r="CD653" s="1" t="s">
        <v>6473</v>
      </c>
      <c r="CE653">
        <v>0.32</v>
      </c>
      <c r="CF653" s="1" t="s">
        <v>6474</v>
      </c>
      <c r="CG653" s="1" t="s">
        <v>169</v>
      </c>
      <c r="CH653">
        <v>4</v>
      </c>
      <c r="CI653" s="1" t="s">
        <v>128</v>
      </c>
      <c r="CJ653" s="1" t="s">
        <v>128</v>
      </c>
      <c r="CK653">
        <v>2</v>
      </c>
      <c r="CL653" s="1" t="s">
        <v>327</v>
      </c>
      <c r="CM653" s="1" t="s">
        <v>305</v>
      </c>
      <c r="CN653">
        <v>72.2</v>
      </c>
      <c r="CO653" s="1" t="s">
        <v>239</v>
      </c>
      <c r="CP653" s="1" t="s">
        <v>994</v>
      </c>
      <c r="CQ653">
        <v>112</v>
      </c>
      <c r="CR653" s="1" t="s">
        <v>6475</v>
      </c>
      <c r="CS653" s="1" t="s">
        <v>6468</v>
      </c>
      <c r="CT653" s="1" t="s">
        <v>6476</v>
      </c>
      <c r="CU653" s="1" t="s">
        <v>6469</v>
      </c>
      <c r="CV653">
        <v>1755.8</v>
      </c>
      <c r="CW653">
        <v>47.3</v>
      </c>
      <c r="CX653">
        <v>42.9</v>
      </c>
      <c r="CY653">
        <v>34.799999999999997</v>
      </c>
      <c r="CZ653" s="1" t="s">
        <v>4085</v>
      </c>
      <c r="DA653">
        <v>1</v>
      </c>
      <c r="DB653" t="s">
        <v>525</v>
      </c>
      <c r="DC653">
        <v>30</v>
      </c>
      <c r="DD653" s="1" t="s">
        <v>6477</v>
      </c>
      <c r="DE653">
        <v>-20.586074806757001</v>
      </c>
      <c r="DF653" t="str">
        <f>_xlfn.XLOOKUP(Table1[[#This Row],[Player ID]],Table2[feed_id],Table2[trade_status])</f>
        <v>free_agent</v>
      </c>
      <c r="DG653">
        <f>_xlfn.NUMBERVALUE(Table1[[#This Row],[predicted]])</f>
        <v>50.586074806756997</v>
      </c>
    </row>
    <row r="654" spans="1:111" hidden="1" x14ac:dyDescent="0.25">
      <c r="A654">
        <v>132166</v>
      </c>
      <c r="B654">
        <v>9228</v>
      </c>
      <c r="C654" t="s">
        <v>6463</v>
      </c>
      <c r="D654" t="s">
        <v>1155</v>
      </c>
      <c r="E654">
        <v>2025</v>
      </c>
      <c r="F654">
        <v>1020250</v>
      </c>
      <c r="G654" t="s">
        <v>6478</v>
      </c>
      <c r="H654" t="s">
        <v>6479</v>
      </c>
      <c r="I654" t="s">
        <v>178</v>
      </c>
      <c r="J654">
        <v>8</v>
      </c>
      <c r="K654">
        <v>61</v>
      </c>
      <c r="L654">
        <v>80</v>
      </c>
      <c r="M654">
        <v>44</v>
      </c>
      <c r="N654">
        <v>53</v>
      </c>
      <c r="O654">
        <v>73</v>
      </c>
      <c r="P654">
        <v>8</v>
      </c>
      <c r="Q654">
        <v>10</v>
      </c>
      <c r="R654">
        <v>5</v>
      </c>
      <c r="S654">
        <v>1</v>
      </c>
      <c r="T654">
        <v>0</v>
      </c>
      <c r="U654">
        <v>0</v>
      </c>
      <c r="V654">
        <v>1</v>
      </c>
      <c r="W654">
        <v>0</v>
      </c>
      <c r="X654">
        <v>1</v>
      </c>
      <c r="Y654" t="s">
        <v>113</v>
      </c>
      <c r="Z654" t="s">
        <v>877</v>
      </c>
      <c r="AA654" t="s">
        <v>4913</v>
      </c>
      <c r="AH654" t="s">
        <v>118</v>
      </c>
      <c r="AI654">
        <v>28</v>
      </c>
      <c r="AJ654">
        <v>0</v>
      </c>
      <c r="AK654">
        <v>0</v>
      </c>
      <c r="AL654">
        <v>0</v>
      </c>
      <c r="AM654">
        <v>0.71</v>
      </c>
      <c r="AN654">
        <v>0.69</v>
      </c>
      <c r="AO654">
        <v>0.54</v>
      </c>
      <c r="AS654">
        <v>6</v>
      </c>
      <c r="AT654">
        <v>4</v>
      </c>
      <c r="AU654">
        <v>1</v>
      </c>
      <c r="AV654">
        <v>83</v>
      </c>
      <c r="AW654">
        <v>65</v>
      </c>
      <c r="AX654">
        <v>223</v>
      </c>
      <c r="AY654">
        <v>0</v>
      </c>
      <c r="AZ654" t="b">
        <v>0</v>
      </c>
      <c r="BA654">
        <v>1451</v>
      </c>
      <c r="BB654">
        <v>1837</v>
      </c>
      <c r="BC654">
        <v>4</v>
      </c>
      <c r="BD654" t="s">
        <v>6480</v>
      </c>
      <c r="BE654">
        <v>98</v>
      </c>
      <c r="BF654">
        <v>0</v>
      </c>
      <c r="BG654">
        <v>73</v>
      </c>
      <c r="BH654">
        <v>1</v>
      </c>
      <c r="BI654" s="1" t="s">
        <v>253</v>
      </c>
      <c r="BJ654">
        <v>7.2</v>
      </c>
      <c r="BK654" s="1" t="s">
        <v>183</v>
      </c>
      <c r="BL654" s="1" t="s">
        <v>680</v>
      </c>
      <c r="BM654" s="1" t="s">
        <v>138</v>
      </c>
      <c r="BN654">
        <v>3.4</v>
      </c>
      <c r="BO654">
        <v>2</v>
      </c>
      <c r="BP654">
        <v>2.8</v>
      </c>
      <c r="BQ654">
        <v>0</v>
      </c>
      <c r="BR654">
        <v>0</v>
      </c>
      <c r="BS654">
        <v>1</v>
      </c>
      <c r="BT654" s="1" t="s">
        <v>399</v>
      </c>
      <c r="BU654" s="1" t="s">
        <v>126</v>
      </c>
      <c r="BV654" s="1" t="s">
        <v>298</v>
      </c>
      <c r="BW654">
        <v>0</v>
      </c>
      <c r="BX654">
        <v>6.6666666666666596E-2</v>
      </c>
      <c r="BY654" s="1" t="s">
        <v>128</v>
      </c>
      <c r="BZ654">
        <v>0.2</v>
      </c>
      <c r="CA654">
        <v>0.71</v>
      </c>
      <c r="CB654">
        <v>1.0900000000000001</v>
      </c>
      <c r="CC654">
        <v>0.69</v>
      </c>
      <c r="CD654">
        <v>0.89</v>
      </c>
      <c r="CE654">
        <v>0.54</v>
      </c>
      <c r="CF654">
        <v>1.1000000000000001</v>
      </c>
      <c r="CG654">
        <v>4</v>
      </c>
      <c r="CH654" s="1" t="s">
        <v>212</v>
      </c>
      <c r="CI654">
        <v>2</v>
      </c>
      <c r="CJ654" s="1" t="s">
        <v>304</v>
      </c>
      <c r="CK654" s="1" t="s">
        <v>159</v>
      </c>
      <c r="CL654">
        <v>2.4</v>
      </c>
      <c r="CM654">
        <v>67</v>
      </c>
      <c r="CN654">
        <v>66.2</v>
      </c>
      <c r="CO654">
        <v>59</v>
      </c>
      <c r="CP654" s="1" t="s">
        <v>195</v>
      </c>
      <c r="CQ654" s="1" t="s">
        <v>6481</v>
      </c>
      <c r="CR654">
        <v>212.6</v>
      </c>
      <c r="CS654" s="1" t="s">
        <v>1403</v>
      </c>
      <c r="CT654">
        <v>1648</v>
      </c>
      <c r="CU654">
        <v>1585</v>
      </c>
      <c r="CV654">
        <v>1632.6</v>
      </c>
      <c r="CW654">
        <v>47.3</v>
      </c>
      <c r="CX654">
        <v>42.7</v>
      </c>
      <c r="CY654">
        <v>42.2</v>
      </c>
      <c r="CZ654">
        <v>56</v>
      </c>
      <c r="DA654">
        <v>1</v>
      </c>
      <c r="DB654" t="s">
        <v>877</v>
      </c>
      <c r="DC654">
        <v>80</v>
      </c>
      <c r="DD654" s="1" t="s">
        <v>6482</v>
      </c>
      <c r="DE654" s="1" t="s">
        <v>6483</v>
      </c>
      <c r="DF654" t="str">
        <f>_xlfn.XLOOKUP(Table1[[#This Row],[Player ID]],Table2[feed_id],Table2[trade_status])</f>
        <v>free_agent</v>
      </c>
      <c r="DG654">
        <f>_xlfn.NUMBERVALUE(Table1[[#This Row],[predicted]])</f>
        <v>40.663810847252599</v>
      </c>
    </row>
    <row r="655" spans="1:111" hidden="1" x14ac:dyDescent="0.25">
      <c r="A655">
        <v>132176</v>
      </c>
      <c r="B655">
        <v>9229</v>
      </c>
      <c r="C655" t="s">
        <v>6484</v>
      </c>
      <c r="D655" t="s">
        <v>1183</v>
      </c>
      <c r="E655">
        <v>2025</v>
      </c>
      <c r="F655">
        <v>1000860</v>
      </c>
      <c r="G655" t="s">
        <v>4008</v>
      </c>
      <c r="H655" t="s">
        <v>6485</v>
      </c>
      <c r="I655" t="s">
        <v>112</v>
      </c>
      <c r="J655">
        <v>31</v>
      </c>
      <c r="K655">
        <v>107</v>
      </c>
      <c r="L655">
        <v>117</v>
      </c>
      <c r="M655">
        <v>139</v>
      </c>
      <c r="N655">
        <v>84</v>
      </c>
      <c r="O655">
        <v>109</v>
      </c>
      <c r="P655">
        <v>11</v>
      </c>
      <c r="Q655">
        <v>7</v>
      </c>
      <c r="R655">
        <v>7</v>
      </c>
      <c r="S655">
        <v>7</v>
      </c>
      <c r="T655">
        <v>0</v>
      </c>
      <c r="U655">
        <v>1</v>
      </c>
      <c r="V655">
        <v>1</v>
      </c>
      <c r="W655">
        <v>2</v>
      </c>
      <c r="X655">
        <v>1</v>
      </c>
      <c r="Y655" t="s">
        <v>113</v>
      </c>
      <c r="Z655" t="s">
        <v>6486</v>
      </c>
      <c r="AA655" t="s">
        <v>6487</v>
      </c>
      <c r="AB655" t="s">
        <v>525</v>
      </c>
      <c r="AC655" t="s">
        <v>6488</v>
      </c>
      <c r="AI655">
        <v>8</v>
      </c>
      <c r="AJ655">
        <v>0</v>
      </c>
      <c r="AK655">
        <v>0</v>
      </c>
      <c r="AL655">
        <v>0</v>
      </c>
      <c r="AM655">
        <v>1.1100000000000001</v>
      </c>
      <c r="AN655">
        <v>1.21</v>
      </c>
      <c r="AO655">
        <v>1.47</v>
      </c>
      <c r="AS655">
        <v>7</v>
      </c>
      <c r="AT655">
        <v>2</v>
      </c>
      <c r="AU655">
        <v>5</v>
      </c>
      <c r="AV655">
        <v>61</v>
      </c>
      <c r="AW655">
        <v>84</v>
      </c>
      <c r="AX655">
        <v>419</v>
      </c>
      <c r="AY655">
        <v>0</v>
      </c>
      <c r="AZ655" t="b">
        <v>0</v>
      </c>
      <c r="BA655">
        <v>1581</v>
      </c>
      <c r="BB655">
        <v>1719</v>
      </c>
      <c r="BC655">
        <v>5</v>
      </c>
      <c r="BD655" t="s">
        <v>6489</v>
      </c>
      <c r="BE655">
        <v>100</v>
      </c>
      <c r="BF655">
        <v>1</v>
      </c>
      <c r="BG655">
        <v>72</v>
      </c>
      <c r="BH655">
        <v>1</v>
      </c>
      <c r="BI655">
        <v>9</v>
      </c>
      <c r="BJ655">
        <v>7.4</v>
      </c>
      <c r="BK655" s="1" t="s">
        <v>545</v>
      </c>
      <c r="BL655" s="1" t="s">
        <v>429</v>
      </c>
      <c r="BM655" s="1" t="s">
        <v>124</v>
      </c>
      <c r="BN655" s="1" t="s">
        <v>990</v>
      </c>
      <c r="BO655">
        <v>7</v>
      </c>
      <c r="BP655" s="1" t="s">
        <v>256</v>
      </c>
      <c r="BQ655">
        <v>0</v>
      </c>
      <c r="BR655">
        <v>0</v>
      </c>
      <c r="BS655" s="1" t="s">
        <v>161</v>
      </c>
      <c r="BT655">
        <v>0.8</v>
      </c>
      <c r="BU655">
        <v>1</v>
      </c>
      <c r="BV655" s="1" t="s">
        <v>399</v>
      </c>
      <c r="BW655" s="1" t="s">
        <v>161</v>
      </c>
      <c r="BX655" s="1" t="s">
        <v>257</v>
      </c>
      <c r="BY655" s="1" t="s">
        <v>128</v>
      </c>
      <c r="BZ655">
        <v>1</v>
      </c>
      <c r="CA655">
        <v>1.1100000000000001</v>
      </c>
      <c r="CB655">
        <v>1.1100000000000001</v>
      </c>
      <c r="CC655">
        <v>1.21</v>
      </c>
      <c r="CD655">
        <v>1.21</v>
      </c>
      <c r="CE655">
        <v>1.47</v>
      </c>
      <c r="CF655">
        <v>1.47</v>
      </c>
      <c r="CG655" s="1" t="s">
        <v>183</v>
      </c>
      <c r="CH655" s="1" t="s">
        <v>781</v>
      </c>
      <c r="CI655" s="1" t="s">
        <v>161</v>
      </c>
      <c r="CJ655">
        <v>1</v>
      </c>
      <c r="CK655" s="1" t="s">
        <v>138</v>
      </c>
      <c r="CL655" s="1" t="s">
        <v>528</v>
      </c>
      <c r="CM655">
        <v>75</v>
      </c>
      <c r="CN655">
        <v>62.8</v>
      </c>
      <c r="CO655">
        <v>83</v>
      </c>
      <c r="CP655" s="1" t="s">
        <v>928</v>
      </c>
      <c r="CQ655" s="1" t="s">
        <v>6490</v>
      </c>
      <c r="CR655" s="1" t="s">
        <v>6491</v>
      </c>
      <c r="CS655">
        <v>1762</v>
      </c>
      <c r="CT655">
        <v>1632.8</v>
      </c>
      <c r="CU655" s="1" t="s">
        <v>2999</v>
      </c>
      <c r="CV655">
        <v>1650.8</v>
      </c>
      <c r="CW655">
        <v>66.5</v>
      </c>
      <c r="CX655">
        <v>72.2</v>
      </c>
      <c r="CY655">
        <v>78.400000000000006</v>
      </c>
      <c r="CZ655" s="1" t="s">
        <v>6492</v>
      </c>
      <c r="DA655">
        <v>1</v>
      </c>
      <c r="DB655" t="s">
        <v>6486</v>
      </c>
      <c r="DC655">
        <v>117</v>
      </c>
      <c r="DD655" s="1" t="s">
        <v>6493</v>
      </c>
      <c r="DE655" s="1" t="s">
        <v>6494</v>
      </c>
      <c r="DF655" t="e">
        <f>_xlfn.XLOOKUP(Table1[[#This Row],[Player ID]],Table2[feed_id],Table2[trade_status])</f>
        <v>#N/A</v>
      </c>
      <c r="DG655">
        <f>_xlfn.NUMBERVALUE(Table1[[#This Row],[predicted]])</f>
        <v>70.850654209422601</v>
      </c>
    </row>
    <row r="656" spans="1:111" hidden="1" x14ac:dyDescent="0.25">
      <c r="A656">
        <v>132181</v>
      </c>
      <c r="B656">
        <v>9229</v>
      </c>
      <c r="C656" t="s">
        <v>6484</v>
      </c>
      <c r="D656" t="s">
        <v>1183</v>
      </c>
      <c r="E656">
        <v>2025</v>
      </c>
      <c r="F656">
        <v>994295</v>
      </c>
      <c r="G656" t="s">
        <v>4512</v>
      </c>
      <c r="H656" t="s">
        <v>6495</v>
      </c>
      <c r="I656" t="s">
        <v>112</v>
      </c>
      <c r="J656">
        <v>9</v>
      </c>
      <c r="K656">
        <v>80</v>
      </c>
      <c r="L656">
        <v>103</v>
      </c>
      <c r="M656">
        <v>103</v>
      </c>
      <c r="N656">
        <v>61</v>
      </c>
      <c r="O656">
        <v>85</v>
      </c>
      <c r="P656">
        <v>17</v>
      </c>
      <c r="Q656">
        <v>6</v>
      </c>
      <c r="R656">
        <v>4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1</v>
      </c>
      <c r="Y656" t="s">
        <v>113</v>
      </c>
      <c r="Z656" t="s">
        <v>6496</v>
      </c>
      <c r="AA656" t="s">
        <v>6497</v>
      </c>
      <c r="AB656" t="s">
        <v>6498</v>
      </c>
      <c r="AC656" t="s">
        <v>6499</v>
      </c>
      <c r="AD656">
        <v>442200</v>
      </c>
      <c r="AE656">
        <v>0</v>
      </c>
      <c r="AH656" t="s">
        <v>181</v>
      </c>
      <c r="AI656">
        <v>9</v>
      </c>
      <c r="AJ656">
        <v>21</v>
      </c>
      <c r="AK656">
        <v>72.709999999999994</v>
      </c>
      <c r="AL656">
        <v>0</v>
      </c>
      <c r="AM656">
        <v>0</v>
      </c>
      <c r="AN656">
        <v>4.45</v>
      </c>
      <c r="AO656">
        <v>1.96</v>
      </c>
      <c r="AS656">
        <v>7</v>
      </c>
      <c r="AT656">
        <v>2</v>
      </c>
      <c r="AU656">
        <v>0</v>
      </c>
      <c r="AV656">
        <v>69</v>
      </c>
      <c r="AW656">
        <v>81</v>
      </c>
      <c r="AX656">
        <v>463</v>
      </c>
      <c r="AY656">
        <v>1</v>
      </c>
      <c r="AZ656" t="b">
        <v>0</v>
      </c>
      <c r="BA656">
        <v>1581</v>
      </c>
      <c r="BB656">
        <v>1719</v>
      </c>
      <c r="BC656">
        <v>5</v>
      </c>
      <c r="BD656" t="s">
        <v>6489</v>
      </c>
      <c r="BE656">
        <v>100</v>
      </c>
      <c r="BF656">
        <v>1</v>
      </c>
      <c r="BG656">
        <v>72</v>
      </c>
      <c r="BH656">
        <v>1</v>
      </c>
      <c r="BI656" s="1" t="s">
        <v>122</v>
      </c>
      <c r="BJ656" s="1" t="s">
        <v>1609</v>
      </c>
      <c r="BK656">
        <v>8</v>
      </c>
      <c r="BL656" s="1" t="s">
        <v>680</v>
      </c>
      <c r="BM656">
        <v>3</v>
      </c>
      <c r="BN656" s="1" t="s">
        <v>160</v>
      </c>
      <c r="BO656" s="1" t="s">
        <v>169</v>
      </c>
      <c r="BP656" s="1" t="s">
        <v>640</v>
      </c>
      <c r="BQ656">
        <v>0</v>
      </c>
      <c r="BR656">
        <v>0</v>
      </c>
      <c r="BS656" s="1" t="s">
        <v>129</v>
      </c>
      <c r="BT656" s="1" t="s">
        <v>162</v>
      </c>
      <c r="BU656" s="1" t="s">
        <v>128</v>
      </c>
      <c r="BV656" s="1" t="s">
        <v>238</v>
      </c>
      <c r="BW656" s="1" t="s">
        <v>129</v>
      </c>
      <c r="BX656">
        <v>0.2</v>
      </c>
      <c r="BY656" s="1" t="s">
        <v>129</v>
      </c>
      <c r="BZ656">
        <v>0.2</v>
      </c>
      <c r="CA656">
        <v>0</v>
      </c>
      <c r="CB656">
        <v>0</v>
      </c>
      <c r="CC656">
        <v>4.45</v>
      </c>
      <c r="CD656">
        <v>4.45</v>
      </c>
      <c r="CE656">
        <v>1.96</v>
      </c>
      <c r="CF656">
        <v>1.96</v>
      </c>
      <c r="CG656" s="1" t="s">
        <v>397</v>
      </c>
      <c r="CH656" s="1" t="s">
        <v>449</v>
      </c>
      <c r="CI656" s="1" t="s">
        <v>126</v>
      </c>
      <c r="CJ656">
        <v>1.2</v>
      </c>
      <c r="CK656" s="1" t="s">
        <v>161</v>
      </c>
      <c r="CL656">
        <v>2</v>
      </c>
      <c r="CM656">
        <v>81</v>
      </c>
      <c r="CN656" s="1" t="s">
        <v>1753</v>
      </c>
      <c r="CO656" s="1" t="s">
        <v>1258</v>
      </c>
      <c r="CP656">
        <v>82.4</v>
      </c>
      <c r="CQ656">
        <v>339</v>
      </c>
      <c r="CR656">
        <v>439.6</v>
      </c>
      <c r="CS656">
        <v>1762</v>
      </c>
      <c r="CT656" s="1" t="s">
        <v>6500</v>
      </c>
      <c r="CU656" s="1" t="s">
        <v>2999</v>
      </c>
      <c r="CV656" s="1" t="s">
        <v>6501</v>
      </c>
      <c r="CW656">
        <v>105.6</v>
      </c>
      <c r="CX656">
        <v>102.4</v>
      </c>
      <c r="CY656">
        <v>108.4</v>
      </c>
      <c r="CZ656" s="1" t="s">
        <v>3333</v>
      </c>
      <c r="DA656">
        <v>1</v>
      </c>
      <c r="DB656" t="s">
        <v>6496</v>
      </c>
      <c r="DC656">
        <v>103</v>
      </c>
      <c r="DD656" s="1" t="s">
        <v>6502</v>
      </c>
      <c r="DE656" s="1" t="s">
        <v>6503</v>
      </c>
      <c r="DF656" t="e">
        <f>_xlfn.XLOOKUP(Table1[[#This Row],[Player ID]],Table2[feed_id],Table2[trade_status])</f>
        <v>#N/A</v>
      </c>
      <c r="DG656">
        <f>_xlfn.NUMBERVALUE(Table1[[#This Row],[predicted]])</f>
        <v>87.800544025374194</v>
      </c>
    </row>
    <row r="657" spans="1:111" hidden="1" x14ac:dyDescent="0.25">
      <c r="A657">
        <v>132192</v>
      </c>
      <c r="B657">
        <v>9229</v>
      </c>
      <c r="C657" t="s">
        <v>6484</v>
      </c>
      <c r="D657" t="s">
        <v>1183</v>
      </c>
      <c r="E657">
        <v>2025</v>
      </c>
      <c r="F657">
        <v>994185</v>
      </c>
      <c r="G657" t="s">
        <v>2755</v>
      </c>
      <c r="H657" t="s">
        <v>6504</v>
      </c>
      <c r="I657" t="s">
        <v>112</v>
      </c>
      <c r="J657">
        <v>10</v>
      </c>
      <c r="K657">
        <v>41</v>
      </c>
      <c r="L657">
        <v>79</v>
      </c>
      <c r="M657">
        <v>53</v>
      </c>
      <c r="N657">
        <v>38</v>
      </c>
      <c r="O657">
        <v>51</v>
      </c>
      <c r="P657">
        <v>5</v>
      </c>
      <c r="Q657">
        <v>3</v>
      </c>
      <c r="R657">
        <v>3</v>
      </c>
      <c r="S657">
        <v>2</v>
      </c>
      <c r="T657">
        <v>0</v>
      </c>
      <c r="U657">
        <v>0</v>
      </c>
      <c r="V657">
        <v>3</v>
      </c>
      <c r="W657">
        <v>2</v>
      </c>
      <c r="X657">
        <v>0</v>
      </c>
      <c r="Y657" t="s">
        <v>113</v>
      </c>
      <c r="Z657" t="s">
        <v>877</v>
      </c>
      <c r="AA657" t="s">
        <v>6505</v>
      </c>
      <c r="AB657" t="s">
        <v>116</v>
      </c>
      <c r="AC657" t="s">
        <v>6506</v>
      </c>
      <c r="AD657">
        <v>564000</v>
      </c>
      <c r="AE657">
        <v>0</v>
      </c>
      <c r="AH657" t="s">
        <v>118</v>
      </c>
      <c r="AI657">
        <v>2</v>
      </c>
      <c r="AJ657">
        <v>16</v>
      </c>
      <c r="AK657">
        <v>82.69</v>
      </c>
      <c r="AL657">
        <v>0</v>
      </c>
      <c r="AM657">
        <v>0</v>
      </c>
      <c r="AN657">
        <v>2.46</v>
      </c>
      <c r="AO657">
        <v>2.13</v>
      </c>
      <c r="AS657">
        <v>5</v>
      </c>
      <c r="AT657">
        <v>0</v>
      </c>
      <c r="AU657">
        <v>3</v>
      </c>
      <c r="AV657">
        <v>87</v>
      </c>
      <c r="AW657">
        <v>62</v>
      </c>
      <c r="AX657">
        <v>204</v>
      </c>
      <c r="AY657">
        <v>1</v>
      </c>
      <c r="AZ657" t="b">
        <v>1</v>
      </c>
      <c r="BA657">
        <v>1581</v>
      </c>
      <c r="BB657">
        <v>1719</v>
      </c>
      <c r="BC657">
        <v>5</v>
      </c>
      <c r="BD657" t="s">
        <v>6489</v>
      </c>
      <c r="BE657">
        <v>100</v>
      </c>
      <c r="BF657">
        <v>0</v>
      </c>
      <c r="BG657">
        <v>72</v>
      </c>
      <c r="BH657">
        <v>1</v>
      </c>
      <c r="BI657">
        <v>7</v>
      </c>
      <c r="BJ657" s="1" t="s">
        <v>342</v>
      </c>
      <c r="BK657" s="1" t="s">
        <v>160</v>
      </c>
      <c r="BL657" s="1" t="s">
        <v>303</v>
      </c>
      <c r="BM657" s="1" t="s">
        <v>138</v>
      </c>
      <c r="BN657">
        <v>3.8</v>
      </c>
      <c r="BO657" s="1" t="s">
        <v>159</v>
      </c>
      <c r="BP657">
        <v>3.4</v>
      </c>
      <c r="BQ657">
        <v>0</v>
      </c>
      <c r="BR657">
        <v>0</v>
      </c>
      <c r="BS657">
        <v>1</v>
      </c>
      <c r="BT657" s="1" t="s">
        <v>127</v>
      </c>
      <c r="BU657" s="1" t="s">
        <v>126</v>
      </c>
      <c r="BV657" s="1" t="s">
        <v>161</v>
      </c>
      <c r="BW657" s="1" t="s">
        <v>126</v>
      </c>
      <c r="BX657">
        <v>0.8</v>
      </c>
      <c r="BY657" s="1" t="s">
        <v>126</v>
      </c>
      <c r="BZ657">
        <v>0.8</v>
      </c>
      <c r="CA657">
        <v>0</v>
      </c>
      <c r="CB657" s="1" t="s">
        <v>6507</v>
      </c>
      <c r="CC657">
        <v>2.46</v>
      </c>
      <c r="CD657">
        <v>2.46</v>
      </c>
      <c r="CE657">
        <v>2.13</v>
      </c>
      <c r="CF657">
        <v>2.13</v>
      </c>
      <c r="CG657" s="1" t="s">
        <v>449</v>
      </c>
      <c r="CH657" s="1" t="s">
        <v>1239</v>
      </c>
      <c r="CI657" s="1" t="s">
        <v>129</v>
      </c>
      <c r="CJ657">
        <v>3.6</v>
      </c>
      <c r="CK657">
        <v>2</v>
      </c>
      <c r="CL657" s="1" t="s">
        <v>230</v>
      </c>
      <c r="CM657" s="1" t="s">
        <v>930</v>
      </c>
      <c r="CN657" s="1" t="s">
        <v>3525</v>
      </c>
      <c r="CO657">
        <v>66</v>
      </c>
      <c r="CP657">
        <v>80.2</v>
      </c>
      <c r="CQ657" s="1" t="s">
        <v>6508</v>
      </c>
      <c r="CR657">
        <v>365</v>
      </c>
      <c r="CS657" s="1" t="s">
        <v>3171</v>
      </c>
      <c r="CT657" s="1" t="s">
        <v>6509</v>
      </c>
      <c r="CU657" s="1" t="s">
        <v>557</v>
      </c>
      <c r="CV657">
        <v>1712.4</v>
      </c>
      <c r="CW657">
        <v>82.5</v>
      </c>
      <c r="CX657">
        <v>84.5</v>
      </c>
      <c r="CY657">
        <v>79.2</v>
      </c>
      <c r="CZ657" s="1" t="s">
        <v>261</v>
      </c>
      <c r="DA657">
        <v>1</v>
      </c>
      <c r="DB657" t="s">
        <v>877</v>
      </c>
      <c r="DC657">
        <v>79</v>
      </c>
      <c r="DD657" s="1" t="s">
        <v>6510</v>
      </c>
      <c r="DE657" s="1" t="s">
        <v>6511</v>
      </c>
      <c r="DF657" t="e">
        <f>_xlfn.XLOOKUP(Table1[[#This Row],[Player ID]],Table2[feed_id],Table2[trade_status])</f>
        <v>#N/A</v>
      </c>
      <c r="DG657">
        <f>_xlfn.NUMBERVALUE(Table1[[#This Row],[predicted]])</f>
        <v>59.932391179255099</v>
      </c>
    </row>
    <row r="658" spans="1:111" hidden="1" x14ac:dyDescent="0.25">
      <c r="A658">
        <v>132202</v>
      </c>
      <c r="B658">
        <v>9229</v>
      </c>
      <c r="C658" t="s">
        <v>6484</v>
      </c>
      <c r="D658" t="s">
        <v>1183</v>
      </c>
      <c r="E658">
        <v>2025</v>
      </c>
      <c r="F658">
        <v>296294</v>
      </c>
      <c r="G658" t="s">
        <v>6512</v>
      </c>
      <c r="H658" t="s">
        <v>6513</v>
      </c>
      <c r="I658" t="s">
        <v>249</v>
      </c>
      <c r="J658">
        <v>21</v>
      </c>
      <c r="K658">
        <v>104</v>
      </c>
      <c r="L658">
        <v>123</v>
      </c>
      <c r="M658">
        <v>85</v>
      </c>
      <c r="N658">
        <v>83</v>
      </c>
      <c r="O658">
        <v>117</v>
      </c>
      <c r="P658">
        <v>11</v>
      </c>
      <c r="Q658">
        <v>19</v>
      </c>
      <c r="R658">
        <v>4</v>
      </c>
      <c r="S658">
        <v>5</v>
      </c>
      <c r="T658">
        <v>0</v>
      </c>
      <c r="U658">
        <v>1</v>
      </c>
      <c r="V658">
        <v>0</v>
      </c>
      <c r="W658">
        <v>0</v>
      </c>
      <c r="X658">
        <v>0</v>
      </c>
      <c r="Y658" t="s">
        <v>113</v>
      </c>
      <c r="Z658" t="s">
        <v>339</v>
      </c>
      <c r="AA658" t="s">
        <v>1827</v>
      </c>
      <c r="AB658" t="s">
        <v>525</v>
      </c>
      <c r="AC658" t="s">
        <v>3957</v>
      </c>
      <c r="AH658" t="s">
        <v>118</v>
      </c>
      <c r="AI658">
        <v>13</v>
      </c>
      <c r="AJ658">
        <v>0</v>
      </c>
      <c r="AK658">
        <v>0</v>
      </c>
      <c r="AL658">
        <v>0</v>
      </c>
      <c r="AM658">
        <v>0.22</v>
      </c>
      <c r="AN658">
        <v>0.44</v>
      </c>
      <c r="AO658">
        <v>0.4</v>
      </c>
      <c r="AS658">
        <v>12</v>
      </c>
      <c r="AT658">
        <v>3</v>
      </c>
      <c r="AU658">
        <v>1</v>
      </c>
      <c r="AV658">
        <v>56</v>
      </c>
      <c r="AW658">
        <v>84</v>
      </c>
      <c r="AX658">
        <v>235</v>
      </c>
      <c r="AY658">
        <v>0</v>
      </c>
      <c r="AZ658" t="b">
        <v>0</v>
      </c>
      <c r="BA658">
        <v>1719</v>
      </c>
      <c r="BB658">
        <v>1581</v>
      </c>
      <c r="BC658">
        <v>5</v>
      </c>
      <c r="BD658" t="s">
        <v>6514</v>
      </c>
      <c r="BE658">
        <v>100</v>
      </c>
      <c r="BF658">
        <v>1</v>
      </c>
      <c r="BG658">
        <v>72</v>
      </c>
      <c r="BH658">
        <v>1</v>
      </c>
      <c r="BI658" s="1" t="s">
        <v>977</v>
      </c>
      <c r="BJ658" s="1" t="s">
        <v>276</v>
      </c>
      <c r="BK658" s="1" t="s">
        <v>137</v>
      </c>
      <c r="BL658" s="1" t="s">
        <v>1159</v>
      </c>
      <c r="BM658">
        <v>3</v>
      </c>
      <c r="BN658">
        <v>5</v>
      </c>
      <c r="BO658" s="1" t="s">
        <v>138</v>
      </c>
      <c r="BP658">
        <v>2.4</v>
      </c>
      <c r="BQ658">
        <v>0</v>
      </c>
      <c r="BR658">
        <v>0</v>
      </c>
      <c r="BS658" s="1" t="s">
        <v>161</v>
      </c>
      <c r="BT658">
        <v>0.8</v>
      </c>
      <c r="BU658">
        <v>1</v>
      </c>
      <c r="BV658">
        <v>0.8</v>
      </c>
      <c r="BW658">
        <v>0</v>
      </c>
      <c r="BX658" s="1" t="s">
        <v>238</v>
      </c>
      <c r="BY658">
        <v>0</v>
      </c>
      <c r="BZ658">
        <v>0.4</v>
      </c>
      <c r="CA658">
        <v>0.22</v>
      </c>
      <c r="CB658">
        <v>0.22</v>
      </c>
      <c r="CC658">
        <v>0.44</v>
      </c>
      <c r="CD658">
        <v>0.44</v>
      </c>
      <c r="CE658">
        <v>0.4</v>
      </c>
      <c r="CF658">
        <v>0.4</v>
      </c>
      <c r="CG658">
        <v>6</v>
      </c>
      <c r="CH658">
        <v>7</v>
      </c>
      <c r="CI658">
        <v>1</v>
      </c>
      <c r="CJ658" s="1" t="s">
        <v>257</v>
      </c>
      <c r="CK658" s="1" t="s">
        <v>138</v>
      </c>
      <c r="CL658" s="1" t="s">
        <v>321</v>
      </c>
      <c r="CM658" s="1" t="s">
        <v>1861</v>
      </c>
      <c r="CN658" s="1" t="s">
        <v>558</v>
      </c>
      <c r="CO658" s="1" t="s">
        <v>1123</v>
      </c>
      <c r="CP658">
        <v>84.8</v>
      </c>
      <c r="CQ658">
        <v>282</v>
      </c>
      <c r="CR658" s="1" t="s">
        <v>6515</v>
      </c>
      <c r="CS658">
        <v>1539</v>
      </c>
      <c r="CT658">
        <v>1641.6</v>
      </c>
      <c r="CU658">
        <v>1750</v>
      </c>
      <c r="CV658">
        <v>1639.2</v>
      </c>
      <c r="CW658">
        <v>83.35</v>
      </c>
      <c r="CX658">
        <v>74</v>
      </c>
      <c r="CY658">
        <v>63.4</v>
      </c>
      <c r="CZ658">
        <v>59</v>
      </c>
      <c r="DA658">
        <v>1</v>
      </c>
      <c r="DB658" t="s">
        <v>339</v>
      </c>
      <c r="DC658">
        <v>123</v>
      </c>
      <c r="DD658" s="1" t="s">
        <v>6516</v>
      </c>
      <c r="DE658" s="1" t="s">
        <v>6517</v>
      </c>
      <c r="DF658" t="str">
        <f>_xlfn.XLOOKUP(Table1[[#This Row],[Player ID]],Table2[feed_id],Table2[trade_status])</f>
        <v>free_agent</v>
      </c>
      <c r="DG658">
        <f>_xlfn.NUMBERVALUE(Table1[[#This Row],[predicted]])</f>
        <v>82.053962646352105</v>
      </c>
    </row>
    <row r="659" spans="1:111" hidden="1" x14ac:dyDescent="0.25">
      <c r="A659">
        <v>132211</v>
      </c>
      <c r="B659">
        <v>9229</v>
      </c>
      <c r="C659" t="s">
        <v>6484</v>
      </c>
      <c r="D659" t="s">
        <v>1183</v>
      </c>
      <c r="E659">
        <v>2025</v>
      </c>
      <c r="F659">
        <v>997316</v>
      </c>
      <c r="G659" t="s">
        <v>2975</v>
      </c>
      <c r="H659" t="s">
        <v>3007</v>
      </c>
      <c r="I659" t="s">
        <v>249</v>
      </c>
      <c r="J659">
        <v>11</v>
      </c>
      <c r="K659">
        <v>64</v>
      </c>
      <c r="L659">
        <v>67</v>
      </c>
      <c r="M659">
        <v>63</v>
      </c>
      <c r="N659">
        <v>49</v>
      </c>
      <c r="O659">
        <v>64</v>
      </c>
      <c r="P659">
        <v>5</v>
      </c>
      <c r="Q659">
        <v>5</v>
      </c>
      <c r="R659">
        <v>4</v>
      </c>
      <c r="S659">
        <v>5</v>
      </c>
      <c r="T659">
        <v>7</v>
      </c>
      <c r="U659">
        <v>0</v>
      </c>
      <c r="V659">
        <v>0</v>
      </c>
      <c r="W659">
        <v>0</v>
      </c>
      <c r="X659">
        <v>0</v>
      </c>
      <c r="Y659" t="s">
        <v>113</v>
      </c>
      <c r="Z659" t="s">
        <v>987</v>
      </c>
      <c r="AA659" t="s">
        <v>6518</v>
      </c>
      <c r="AH659" t="s">
        <v>181</v>
      </c>
      <c r="AI659">
        <v>33</v>
      </c>
      <c r="AJ659">
        <v>0</v>
      </c>
      <c r="AK659">
        <v>0</v>
      </c>
      <c r="AL659">
        <v>0</v>
      </c>
      <c r="AM659">
        <v>0.27</v>
      </c>
      <c r="AN659">
        <v>0.09</v>
      </c>
      <c r="AO659">
        <v>0.11</v>
      </c>
      <c r="AS659">
        <v>2</v>
      </c>
      <c r="AT659">
        <v>1</v>
      </c>
      <c r="AU659">
        <v>1</v>
      </c>
      <c r="AV659">
        <v>60</v>
      </c>
      <c r="AW659">
        <v>79</v>
      </c>
      <c r="AX659">
        <v>56</v>
      </c>
      <c r="AY659">
        <v>0</v>
      </c>
      <c r="AZ659" t="b">
        <v>0</v>
      </c>
      <c r="BA659">
        <v>1719</v>
      </c>
      <c r="BB659">
        <v>1581</v>
      </c>
      <c r="BC659">
        <v>5</v>
      </c>
      <c r="BD659" t="s">
        <v>6514</v>
      </c>
      <c r="BE659">
        <v>100</v>
      </c>
      <c r="BF659">
        <v>0</v>
      </c>
      <c r="BG659">
        <v>72</v>
      </c>
      <c r="BH659">
        <v>0</v>
      </c>
      <c r="BI659">
        <v>5</v>
      </c>
      <c r="BJ659" s="1" t="s">
        <v>253</v>
      </c>
      <c r="BK659" s="1" t="s">
        <v>125</v>
      </c>
      <c r="BL659" s="1" t="s">
        <v>211</v>
      </c>
      <c r="BM659" s="1" t="s">
        <v>211</v>
      </c>
      <c r="BN659">
        <v>5.2</v>
      </c>
      <c r="BO659" s="1" t="s">
        <v>138</v>
      </c>
      <c r="BP659" s="1" t="s">
        <v>304</v>
      </c>
      <c r="BQ659" s="1" t="s">
        <v>204</v>
      </c>
      <c r="BR659" s="1" t="s">
        <v>587</v>
      </c>
      <c r="BS659" s="1" t="s">
        <v>129</v>
      </c>
      <c r="BT659" s="1" t="s">
        <v>238</v>
      </c>
      <c r="BU659" s="1" t="s">
        <v>128</v>
      </c>
      <c r="BV659" s="1" t="s">
        <v>128</v>
      </c>
      <c r="BW659" s="1" t="s">
        <v>128</v>
      </c>
      <c r="BX659">
        <v>0.2</v>
      </c>
      <c r="BY659" s="1" t="s">
        <v>129</v>
      </c>
      <c r="BZ659" s="1" t="s">
        <v>184</v>
      </c>
      <c r="CA659">
        <v>0.27</v>
      </c>
      <c r="CB659" s="1" t="s">
        <v>6519</v>
      </c>
      <c r="CC659">
        <v>0.09</v>
      </c>
      <c r="CD659" s="1" t="s">
        <v>2931</v>
      </c>
      <c r="CE659">
        <v>0.11</v>
      </c>
      <c r="CF659">
        <v>0.14199999999999999</v>
      </c>
      <c r="CG659" s="1" t="s">
        <v>159</v>
      </c>
      <c r="CH659">
        <v>3.8</v>
      </c>
      <c r="CI659" s="1" t="s">
        <v>129</v>
      </c>
      <c r="CJ659" s="1" t="s">
        <v>231</v>
      </c>
      <c r="CK659">
        <v>2</v>
      </c>
      <c r="CL659" s="1" t="s">
        <v>206</v>
      </c>
      <c r="CM659">
        <v>53</v>
      </c>
      <c r="CN659">
        <v>66.8</v>
      </c>
      <c r="CO659" s="1" t="s">
        <v>437</v>
      </c>
      <c r="CP659" s="1" t="s">
        <v>6520</v>
      </c>
      <c r="CQ659" s="1" t="s">
        <v>6521</v>
      </c>
      <c r="CR659" s="1" t="s">
        <v>6522</v>
      </c>
      <c r="CS659">
        <v>1539</v>
      </c>
      <c r="CT659" s="1" t="s">
        <v>853</v>
      </c>
      <c r="CU659">
        <v>1750</v>
      </c>
      <c r="CV659" s="1" t="s">
        <v>504</v>
      </c>
      <c r="CW659">
        <v>63</v>
      </c>
      <c r="CX659">
        <v>60.1</v>
      </c>
      <c r="CY659">
        <v>67.599999999999994</v>
      </c>
      <c r="CZ659" s="1" t="s">
        <v>759</v>
      </c>
      <c r="DA659">
        <v>1</v>
      </c>
      <c r="DB659" t="s">
        <v>987</v>
      </c>
      <c r="DC659">
        <v>67</v>
      </c>
      <c r="DD659" s="1" t="s">
        <v>6523</v>
      </c>
      <c r="DE659">
        <v>-10.237012601257099</v>
      </c>
      <c r="DF659" t="str">
        <f>_xlfn.XLOOKUP(Table1[[#This Row],[Player ID]],Table2[feed_id],Table2[trade_status])</f>
        <v>free_agent</v>
      </c>
      <c r="DG659">
        <f>_xlfn.NUMBERVALUE(Table1[[#This Row],[predicted]])</f>
        <v>77.237012601257106</v>
      </c>
    </row>
    <row r="660" spans="1:111" hidden="1" x14ac:dyDescent="0.25">
      <c r="A660">
        <v>132219</v>
      </c>
      <c r="B660">
        <v>9229</v>
      </c>
      <c r="C660" t="s">
        <v>6484</v>
      </c>
      <c r="D660" t="s">
        <v>1183</v>
      </c>
      <c r="E660">
        <v>2025</v>
      </c>
      <c r="F660">
        <v>1021353</v>
      </c>
      <c r="G660" t="s">
        <v>1658</v>
      </c>
      <c r="H660" t="s">
        <v>6524</v>
      </c>
      <c r="I660" t="s">
        <v>249</v>
      </c>
      <c r="J660">
        <v>1</v>
      </c>
      <c r="K660">
        <v>10</v>
      </c>
      <c r="L660">
        <v>15</v>
      </c>
      <c r="M660">
        <v>14</v>
      </c>
      <c r="N660">
        <v>6</v>
      </c>
      <c r="O660">
        <v>9</v>
      </c>
      <c r="P660">
        <v>0</v>
      </c>
      <c r="Q660">
        <v>1</v>
      </c>
      <c r="R660">
        <v>0</v>
      </c>
      <c r="S660">
        <v>2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113</v>
      </c>
      <c r="Z660" t="s">
        <v>114</v>
      </c>
      <c r="AA660" t="s">
        <v>6525</v>
      </c>
      <c r="AB660" t="s">
        <v>116</v>
      </c>
      <c r="AC660" t="s">
        <v>6526</v>
      </c>
      <c r="AI660">
        <v>2</v>
      </c>
      <c r="AJ660">
        <v>0</v>
      </c>
      <c r="AK660">
        <v>0</v>
      </c>
      <c r="AL660">
        <v>0</v>
      </c>
      <c r="AM660">
        <v>0</v>
      </c>
      <c r="AN660">
        <v>0.19</v>
      </c>
      <c r="AO660">
        <v>0.43</v>
      </c>
      <c r="AS660">
        <v>1</v>
      </c>
      <c r="AT660">
        <v>0</v>
      </c>
      <c r="AU660">
        <v>0</v>
      </c>
      <c r="AV660">
        <v>0</v>
      </c>
      <c r="AW660">
        <v>15</v>
      </c>
      <c r="AX660">
        <v>-2</v>
      </c>
      <c r="AY660">
        <v>1</v>
      </c>
      <c r="AZ660" t="b">
        <v>1</v>
      </c>
      <c r="BA660">
        <v>1719</v>
      </c>
      <c r="BB660">
        <v>1581</v>
      </c>
      <c r="BC660">
        <v>5</v>
      </c>
      <c r="BD660" t="s">
        <v>6514</v>
      </c>
      <c r="BE660">
        <v>100</v>
      </c>
      <c r="BF660">
        <v>0</v>
      </c>
      <c r="BG660">
        <v>72</v>
      </c>
      <c r="BH660">
        <v>0</v>
      </c>
      <c r="BI660" s="1" t="s">
        <v>211</v>
      </c>
      <c r="BJ660" s="1" t="s">
        <v>1066</v>
      </c>
      <c r="BK660" s="1" t="s">
        <v>138</v>
      </c>
      <c r="BL660" s="1" t="s">
        <v>230</v>
      </c>
      <c r="BM660" s="1" t="s">
        <v>159</v>
      </c>
      <c r="BN660">
        <v>3.8</v>
      </c>
      <c r="BO660" s="1" t="s">
        <v>169</v>
      </c>
      <c r="BP660" s="1" t="s">
        <v>431</v>
      </c>
      <c r="BQ660">
        <v>0</v>
      </c>
      <c r="BR660">
        <v>0</v>
      </c>
      <c r="BS660" s="1" t="s">
        <v>128</v>
      </c>
      <c r="BT660" s="1" t="s">
        <v>130</v>
      </c>
      <c r="BU660" s="1" t="s">
        <v>128</v>
      </c>
      <c r="BV660" s="1" t="s">
        <v>130</v>
      </c>
      <c r="BW660">
        <v>0</v>
      </c>
      <c r="BX660" s="1" t="s">
        <v>213</v>
      </c>
      <c r="BY660">
        <v>0</v>
      </c>
      <c r="BZ660">
        <v>0</v>
      </c>
      <c r="CA660">
        <v>0</v>
      </c>
      <c r="CB660">
        <v>0</v>
      </c>
      <c r="CC660">
        <v>0.19</v>
      </c>
      <c r="CD660">
        <v>0.19</v>
      </c>
      <c r="CE660">
        <v>0.43</v>
      </c>
      <c r="CF660">
        <v>0.43</v>
      </c>
      <c r="CG660" s="1" t="s">
        <v>125</v>
      </c>
      <c r="CH660" s="1" t="s">
        <v>211</v>
      </c>
      <c r="CI660" s="1" t="s">
        <v>161</v>
      </c>
      <c r="CJ660" s="1" t="s">
        <v>399</v>
      </c>
      <c r="CK660" s="1" t="s">
        <v>128</v>
      </c>
      <c r="CL660">
        <v>1.6</v>
      </c>
      <c r="CM660">
        <v>49</v>
      </c>
      <c r="CN660" s="1" t="s">
        <v>2500</v>
      </c>
      <c r="CO660" s="1" t="s">
        <v>1459</v>
      </c>
      <c r="CP660">
        <v>77.599999999999994</v>
      </c>
      <c r="CQ660">
        <v>106</v>
      </c>
      <c r="CR660" s="1" t="s">
        <v>6527</v>
      </c>
      <c r="CS660">
        <v>1539</v>
      </c>
      <c r="CT660" s="1" t="s">
        <v>1473</v>
      </c>
      <c r="CU660">
        <v>1750</v>
      </c>
      <c r="CV660" s="1" t="s">
        <v>5510</v>
      </c>
      <c r="CW660">
        <v>58.85</v>
      </c>
      <c r="CX660">
        <v>56.4</v>
      </c>
      <c r="CY660">
        <v>52</v>
      </c>
      <c r="CZ660" s="1" t="s">
        <v>999</v>
      </c>
      <c r="DA660">
        <v>1</v>
      </c>
      <c r="DB660" t="s">
        <v>114</v>
      </c>
      <c r="DC660">
        <v>15</v>
      </c>
      <c r="DD660" s="1" t="s">
        <v>6528</v>
      </c>
      <c r="DE660">
        <v>-25.244023467134301</v>
      </c>
      <c r="DF660" t="str">
        <f>_xlfn.XLOOKUP(Table1[[#This Row],[Player ID]],Table2[feed_id],Table2[trade_status])</f>
        <v>free_agent</v>
      </c>
      <c r="DG660">
        <f>_xlfn.NUMBERVALUE(Table1[[#This Row],[predicted]])</f>
        <v>40.244023467134298</v>
      </c>
    </row>
    <row r="661" spans="1:111" hidden="1" x14ac:dyDescent="0.25">
      <c r="A661">
        <v>132223</v>
      </c>
      <c r="B661">
        <v>9230</v>
      </c>
      <c r="C661" t="s">
        <v>6529</v>
      </c>
      <c r="D661" t="s">
        <v>1183</v>
      </c>
      <c r="E661">
        <v>2025</v>
      </c>
      <c r="F661">
        <v>291800</v>
      </c>
      <c r="G661" t="s">
        <v>776</v>
      </c>
      <c r="H661" t="s">
        <v>763</v>
      </c>
      <c r="I661" t="s">
        <v>1061</v>
      </c>
      <c r="J661">
        <v>19</v>
      </c>
      <c r="K661">
        <v>108</v>
      </c>
      <c r="L661">
        <v>118</v>
      </c>
      <c r="M661">
        <v>142</v>
      </c>
      <c r="N661">
        <v>85</v>
      </c>
      <c r="O661">
        <v>108</v>
      </c>
      <c r="P661">
        <v>21</v>
      </c>
      <c r="Q661">
        <v>3</v>
      </c>
      <c r="R661">
        <v>11</v>
      </c>
      <c r="S661">
        <v>1</v>
      </c>
      <c r="T661">
        <v>0</v>
      </c>
      <c r="U661">
        <v>2</v>
      </c>
      <c r="V661">
        <v>0</v>
      </c>
      <c r="W661">
        <v>0</v>
      </c>
      <c r="X661">
        <v>0</v>
      </c>
      <c r="Y661" t="s">
        <v>113</v>
      </c>
      <c r="Z661" t="s">
        <v>1757</v>
      </c>
      <c r="AA661" t="s">
        <v>6530</v>
      </c>
      <c r="AB661" t="s">
        <v>1074</v>
      </c>
      <c r="AC661" t="s">
        <v>6531</v>
      </c>
      <c r="AD661">
        <v>391100</v>
      </c>
      <c r="AE661">
        <v>0</v>
      </c>
      <c r="AH661" t="s">
        <v>181</v>
      </c>
      <c r="AI661">
        <v>44</v>
      </c>
      <c r="AJ661">
        <v>20</v>
      </c>
      <c r="AK661">
        <v>77.8</v>
      </c>
      <c r="AL661">
        <v>0</v>
      </c>
      <c r="AM661">
        <v>0</v>
      </c>
      <c r="AN661">
        <v>27.62</v>
      </c>
      <c r="AO661">
        <v>18.38</v>
      </c>
      <c r="AS661">
        <v>5</v>
      </c>
      <c r="AT661">
        <v>0</v>
      </c>
      <c r="AU661">
        <v>1</v>
      </c>
      <c r="AV661">
        <v>91</v>
      </c>
      <c r="AW661">
        <v>80</v>
      </c>
      <c r="AX661">
        <v>437</v>
      </c>
      <c r="AY661">
        <v>1</v>
      </c>
      <c r="AZ661" t="b">
        <v>1</v>
      </c>
      <c r="BA661">
        <v>1409</v>
      </c>
      <c r="BB661">
        <v>1892</v>
      </c>
      <c r="BC661">
        <v>5</v>
      </c>
      <c r="BD661" t="s">
        <v>6532</v>
      </c>
      <c r="BE661">
        <v>100</v>
      </c>
      <c r="BF661">
        <v>1</v>
      </c>
      <c r="BG661">
        <v>72</v>
      </c>
      <c r="BH661">
        <v>1</v>
      </c>
      <c r="BI661" s="1" t="s">
        <v>6374</v>
      </c>
      <c r="BJ661" s="1" t="s">
        <v>4883</v>
      </c>
      <c r="BK661" s="1" t="s">
        <v>138</v>
      </c>
      <c r="BL661" s="1" t="s">
        <v>1092</v>
      </c>
      <c r="BM661">
        <v>9</v>
      </c>
      <c r="BN661" s="1" t="s">
        <v>168</v>
      </c>
      <c r="BO661" s="1" t="s">
        <v>126</v>
      </c>
      <c r="BP661" s="1" t="s">
        <v>237</v>
      </c>
      <c r="BQ661">
        <v>0</v>
      </c>
      <c r="BR661">
        <v>0</v>
      </c>
      <c r="BS661" s="1" t="s">
        <v>161</v>
      </c>
      <c r="BT661">
        <v>1.2</v>
      </c>
      <c r="BU661" s="1" t="s">
        <v>126</v>
      </c>
      <c r="BV661" s="1" t="s">
        <v>162</v>
      </c>
      <c r="BW661">
        <v>0</v>
      </c>
      <c r="BX661">
        <v>6.6666666666666596E-2</v>
      </c>
      <c r="BY661">
        <v>0</v>
      </c>
      <c r="BZ661" s="1" t="s">
        <v>213</v>
      </c>
      <c r="CA661">
        <v>0</v>
      </c>
      <c r="CB661">
        <v>0</v>
      </c>
      <c r="CC661">
        <v>27.62</v>
      </c>
      <c r="CD661">
        <v>27.62</v>
      </c>
      <c r="CE661">
        <v>18.38</v>
      </c>
      <c r="CF661">
        <v>18.38</v>
      </c>
      <c r="CG661">
        <v>7</v>
      </c>
      <c r="CH661" s="1" t="s">
        <v>1442</v>
      </c>
      <c r="CI661" s="1" t="s">
        <v>129</v>
      </c>
      <c r="CJ661" s="1" t="s">
        <v>322</v>
      </c>
      <c r="CK661">
        <v>3</v>
      </c>
      <c r="CL661" s="1" t="s">
        <v>528</v>
      </c>
      <c r="CM661" s="1" t="s">
        <v>2738</v>
      </c>
      <c r="CN661" s="1" t="s">
        <v>2762</v>
      </c>
      <c r="CO661" s="1" t="s">
        <v>930</v>
      </c>
      <c r="CP661">
        <v>75</v>
      </c>
      <c r="CQ661" s="1" t="s">
        <v>6533</v>
      </c>
      <c r="CR661">
        <v>410.6</v>
      </c>
      <c r="CS661">
        <v>1759</v>
      </c>
      <c r="CT661" s="1" t="s">
        <v>6534</v>
      </c>
      <c r="CU661" s="1" t="s">
        <v>6535</v>
      </c>
      <c r="CV661" s="1" t="s">
        <v>2575</v>
      </c>
      <c r="CW661">
        <v>96.75</v>
      </c>
      <c r="CX661">
        <v>102.9</v>
      </c>
      <c r="CY661">
        <v>93.6</v>
      </c>
      <c r="CZ661" s="1" t="s">
        <v>3692</v>
      </c>
      <c r="DA661">
        <v>1</v>
      </c>
      <c r="DB661" t="s">
        <v>1757</v>
      </c>
      <c r="DC661">
        <v>118</v>
      </c>
      <c r="DD661" s="1" t="s">
        <v>6536</v>
      </c>
      <c r="DE661" s="1" t="s">
        <v>6537</v>
      </c>
      <c r="DF661" t="e">
        <f>_xlfn.XLOOKUP(Table1[[#This Row],[Player ID]],Table2[feed_id],Table2[trade_status])</f>
        <v>#N/A</v>
      </c>
      <c r="DG661">
        <f>_xlfn.NUMBERVALUE(Table1[[#This Row],[predicted]])</f>
        <v>95.191708461620706</v>
      </c>
    </row>
    <row r="662" spans="1:111" hidden="1" x14ac:dyDescent="0.25">
      <c r="A662">
        <v>132239</v>
      </c>
      <c r="B662">
        <v>9230</v>
      </c>
      <c r="C662" t="s">
        <v>6529</v>
      </c>
      <c r="D662" t="s">
        <v>1183</v>
      </c>
      <c r="E662">
        <v>2025</v>
      </c>
      <c r="F662">
        <v>1000937</v>
      </c>
      <c r="G662" t="s">
        <v>1127</v>
      </c>
      <c r="H662" t="s">
        <v>1249</v>
      </c>
      <c r="I662" t="s">
        <v>1061</v>
      </c>
      <c r="J662">
        <v>8</v>
      </c>
      <c r="K662">
        <v>46</v>
      </c>
      <c r="L662">
        <v>51</v>
      </c>
      <c r="M662">
        <v>59</v>
      </c>
      <c r="N662">
        <v>39</v>
      </c>
      <c r="O662">
        <v>48</v>
      </c>
      <c r="P662">
        <v>7</v>
      </c>
      <c r="Q662">
        <v>3</v>
      </c>
      <c r="R662">
        <v>6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 t="s">
        <v>113</v>
      </c>
      <c r="Z662" t="s">
        <v>114</v>
      </c>
      <c r="AA662" t="s">
        <v>6538</v>
      </c>
      <c r="AB662" t="s">
        <v>116</v>
      </c>
      <c r="AC662" t="s">
        <v>6539</v>
      </c>
      <c r="AD662">
        <v>370300</v>
      </c>
      <c r="AE662">
        <v>0</v>
      </c>
      <c r="AH662" t="s">
        <v>181</v>
      </c>
      <c r="AI662">
        <v>38</v>
      </c>
      <c r="AJ662">
        <v>20</v>
      </c>
      <c r="AK662">
        <v>54.75</v>
      </c>
      <c r="AL662">
        <v>0</v>
      </c>
      <c r="AM662">
        <v>0</v>
      </c>
      <c r="AN662">
        <v>0.2</v>
      </c>
      <c r="AO662">
        <v>0.28999999999999998</v>
      </c>
      <c r="AS662">
        <v>4</v>
      </c>
      <c r="AT662">
        <v>0</v>
      </c>
      <c r="AU662">
        <v>1</v>
      </c>
      <c r="AV662">
        <v>90</v>
      </c>
      <c r="AW662">
        <v>40</v>
      </c>
      <c r="AX662">
        <v>149</v>
      </c>
      <c r="AY662">
        <v>1</v>
      </c>
      <c r="AZ662" t="b">
        <v>1</v>
      </c>
      <c r="BA662">
        <v>1409</v>
      </c>
      <c r="BB662">
        <v>1892</v>
      </c>
      <c r="BC662">
        <v>5</v>
      </c>
      <c r="BD662" t="s">
        <v>6532</v>
      </c>
      <c r="BE662">
        <v>100</v>
      </c>
      <c r="BF662">
        <v>0</v>
      </c>
      <c r="BG662">
        <v>72</v>
      </c>
      <c r="BH662">
        <v>0</v>
      </c>
      <c r="BI662">
        <v>13</v>
      </c>
      <c r="BJ662" s="1" t="s">
        <v>2030</v>
      </c>
      <c r="BK662" s="1" t="s">
        <v>138</v>
      </c>
      <c r="BL662">
        <v>2.8</v>
      </c>
      <c r="BM662">
        <v>10</v>
      </c>
      <c r="BN662">
        <v>7.2</v>
      </c>
      <c r="BO662" s="1" t="s">
        <v>128</v>
      </c>
      <c r="BP662" s="1" t="s">
        <v>206</v>
      </c>
      <c r="BQ662">
        <v>0</v>
      </c>
      <c r="BR662">
        <v>0</v>
      </c>
      <c r="BS662" s="1" t="s">
        <v>161</v>
      </c>
      <c r="BT662" s="1" t="s">
        <v>127</v>
      </c>
      <c r="BU662" s="1" t="s">
        <v>129</v>
      </c>
      <c r="BV662" s="1" t="s">
        <v>129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0.2</v>
      </c>
      <c r="CD662">
        <v>0.2</v>
      </c>
      <c r="CE662">
        <v>0.28999999999999998</v>
      </c>
      <c r="CF662">
        <v>0.28999999999999998</v>
      </c>
      <c r="CG662" s="1" t="s">
        <v>253</v>
      </c>
      <c r="CH662" s="1" t="s">
        <v>260</v>
      </c>
      <c r="CI662">
        <v>0</v>
      </c>
      <c r="CJ662" s="1" t="s">
        <v>213</v>
      </c>
      <c r="CK662">
        <v>3</v>
      </c>
      <c r="CL662" s="1" t="s">
        <v>327</v>
      </c>
      <c r="CM662" s="1" t="s">
        <v>306</v>
      </c>
      <c r="CN662">
        <v>82</v>
      </c>
      <c r="CO662" s="1" t="s">
        <v>350</v>
      </c>
      <c r="CP662" s="1" t="s">
        <v>1014</v>
      </c>
      <c r="CQ662">
        <v>176</v>
      </c>
      <c r="CR662">
        <v>170.2</v>
      </c>
      <c r="CS662">
        <v>1754</v>
      </c>
      <c r="CT662" s="1" t="s">
        <v>6540</v>
      </c>
      <c r="CU662" s="1" t="s">
        <v>4743</v>
      </c>
      <c r="CV662" s="1" t="s">
        <v>1807</v>
      </c>
      <c r="CW662">
        <v>72.95</v>
      </c>
      <c r="CX662">
        <v>78.099999999999994</v>
      </c>
      <c r="CY662">
        <v>70</v>
      </c>
      <c r="CZ662" s="1" t="s">
        <v>968</v>
      </c>
      <c r="DA662">
        <v>1</v>
      </c>
      <c r="DB662" t="s">
        <v>114</v>
      </c>
      <c r="DC662">
        <v>51</v>
      </c>
      <c r="DD662" s="1" t="s">
        <v>6541</v>
      </c>
      <c r="DE662">
        <v>-5.3650739007842096</v>
      </c>
      <c r="DF662" t="e">
        <f>_xlfn.XLOOKUP(Table1[[#This Row],[Player ID]],Table2[feed_id],Table2[trade_status])</f>
        <v>#N/A</v>
      </c>
      <c r="DG662">
        <f>_xlfn.NUMBERVALUE(Table1[[#This Row],[predicted]])</f>
        <v>56.365073900784203</v>
      </c>
    </row>
    <row r="663" spans="1:111" hidden="1" x14ac:dyDescent="0.25">
      <c r="A663">
        <v>132283</v>
      </c>
      <c r="B663">
        <v>9231</v>
      </c>
      <c r="C663" t="s">
        <v>6542</v>
      </c>
      <c r="D663" t="s">
        <v>1183</v>
      </c>
      <c r="E663">
        <v>2025</v>
      </c>
      <c r="F663">
        <v>1008454</v>
      </c>
      <c r="G663" t="s">
        <v>3651</v>
      </c>
      <c r="H663" t="s">
        <v>6543</v>
      </c>
      <c r="I663" t="s">
        <v>524</v>
      </c>
      <c r="J663">
        <v>2</v>
      </c>
      <c r="K663">
        <v>37</v>
      </c>
      <c r="L663">
        <v>32</v>
      </c>
      <c r="M663">
        <v>50</v>
      </c>
      <c r="N663">
        <v>27</v>
      </c>
      <c r="O663">
        <v>38</v>
      </c>
      <c r="P663">
        <v>6</v>
      </c>
      <c r="Q663">
        <v>2</v>
      </c>
      <c r="R663">
        <v>1</v>
      </c>
      <c r="S663">
        <v>3</v>
      </c>
      <c r="T663">
        <v>0</v>
      </c>
      <c r="U663">
        <v>1</v>
      </c>
      <c r="V663">
        <v>1</v>
      </c>
      <c r="W663">
        <v>0</v>
      </c>
      <c r="X663">
        <v>2</v>
      </c>
      <c r="Y663" t="s">
        <v>113</v>
      </c>
      <c r="Z663" t="s">
        <v>114</v>
      </c>
      <c r="AA663" t="s">
        <v>6544</v>
      </c>
      <c r="AB663" t="s">
        <v>525</v>
      </c>
      <c r="AC663" t="s">
        <v>6545</v>
      </c>
      <c r="AH663" t="s">
        <v>181</v>
      </c>
      <c r="AI663">
        <v>35</v>
      </c>
      <c r="AJ663">
        <v>0</v>
      </c>
      <c r="AK663">
        <v>0</v>
      </c>
      <c r="AL663">
        <v>0</v>
      </c>
      <c r="AM663">
        <v>2.44</v>
      </c>
      <c r="AN663">
        <v>1.1499999999999999</v>
      </c>
      <c r="AO663">
        <v>1.1200000000000001</v>
      </c>
      <c r="AS663">
        <v>4</v>
      </c>
      <c r="AT663">
        <v>0</v>
      </c>
      <c r="AU663">
        <v>2</v>
      </c>
      <c r="AV663">
        <v>50</v>
      </c>
      <c r="AW663">
        <v>70</v>
      </c>
      <c r="AX663">
        <v>232</v>
      </c>
      <c r="AY663">
        <v>1</v>
      </c>
      <c r="AZ663" t="b">
        <v>1</v>
      </c>
      <c r="BA663">
        <v>1649</v>
      </c>
      <c r="BB663">
        <v>1626</v>
      </c>
      <c r="BC663">
        <v>5</v>
      </c>
      <c r="BD663" t="s">
        <v>6546</v>
      </c>
      <c r="BE663">
        <v>100</v>
      </c>
      <c r="BF663">
        <v>0</v>
      </c>
      <c r="BG663">
        <v>72</v>
      </c>
      <c r="BH663">
        <v>0</v>
      </c>
      <c r="BI663" s="1" t="s">
        <v>253</v>
      </c>
      <c r="BJ663">
        <v>10.4</v>
      </c>
      <c r="BK663" s="1" t="s">
        <v>124</v>
      </c>
      <c r="BL663" s="1" t="s">
        <v>160</v>
      </c>
      <c r="BM663" s="1" t="s">
        <v>138</v>
      </c>
      <c r="BN663">
        <v>4.4000000000000004</v>
      </c>
      <c r="BO663" s="1" t="s">
        <v>138</v>
      </c>
      <c r="BP663">
        <v>2.4</v>
      </c>
      <c r="BQ663">
        <v>0</v>
      </c>
      <c r="BR663">
        <v>0</v>
      </c>
      <c r="BS663" s="1" t="s">
        <v>129</v>
      </c>
      <c r="BT663">
        <v>0.8</v>
      </c>
      <c r="BU663" s="1" t="s">
        <v>128</v>
      </c>
      <c r="BV663">
        <v>0.6</v>
      </c>
      <c r="BW663">
        <v>0</v>
      </c>
      <c r="BX663">
        <v>0</v>
      </c>
      <c r="BY663" s="1" t="s">
        <v>128</v>
      </c>
      <c r="BZ663" s="1" t="s">
        <v>213</v>
      </c>
      <c r="CA663">
        <v>2.44</v>
      </c>
      <c r="CB663" s="1" t="s">
        <v>6547</v>
      </c>
      <c r="CC663">
        <v>1.1499999999999999</v>
      </c>
      <c r="CD663" s="1" t="s">
        <v>6548</v>
      </c>
      <c r="CE663">
        <v>1.1200000000000001</v>
      </c>
      <c r="CF663" s="1" t="s">
        <v>6549</v>
      </c>
      <c r="CG663" s="1" t="s">
        <v>125</v>
      </c>
      <c r="CH663">
        <v>4.2</v>
      </c>
      <c r="CI663" s="1" t="s">
        <v>129</v>
      </c>
      <c r="CJ663">
        <v>0.2</v>
      </c>
      <c r="CK663" s="1" t="s">
        <v>126</v>
      </c>
      <c r="CL663">
        <v>2.2000000000000002</v>
      </c>
      <c r="CM663" s="1" t="s">
        <v>1615</v>
      </c>
      <c r="CN663">
        <v>73</v>
      </c>
      <c r="CO663">
        <v>77</v>
      </c>
      <c r="CP663">
        <v>77.8</v>
      </c>
      <c r="CQ663" s="1" t="s">
        <v>6550</v>
      </c>
      <c r="CR663">
        <v>307.2</v>
      </c>
      <c r="CS663" s="1" t="s">
        <v>6114</v>
      </c>
      <c r="CT663" s="1" t="s">
        <v>3457</v>
      </c>
      <c r="CU663">
        <v>1518</v>
      </c>
      <c r="CV663" s="1" t="s">
        <v>6551</v>
      </c>
      <c r="CW663">
        <v>64.599999999999994</v>
      </c>
      <c r="CX663">
        <v>56.7</v>
      </c>
      <c r="CY663">
        <v>59</v>
      </c>
      <c r="CZ663" s="1" t="s">
        <v>1926</v>
      </c>
      <c r="DA663">
        <v>1</v>
      </c>
      <c r="DB663" t="s">
        <v>114</v>
      </c>
      <c r="DC663">
        <v>32</v>
      </c>
      <c r="DD663" s="1" t="s">
        <v>6552</v>
      </c>
      <c r="DE663">
        <v>-13.876321658539799</v>
      </c>
      <c r="DF663" t="str">
        <f>_xlfn.XLOOKUP(Table1[[#This Row],[Player ID]],Table2[feed_id],Table2[trade_status])</f>
        <v>free_agent</v>
      </c>
      <c r="DG663">
        <f>_xlfn.NUMBERVALUE(Table1[[#This Row],[predicted]])</f>
        <v>45.876321658539801</v>
      </c>
    </row>
    <row r="664" spans="1:111" hidden="1" x14ac:dyDescent="0.25">
      <c r="A664">
        <v>132305</v>
      </c>
      <c r="B664">
        <v>9231</v>
      </c>
      <c r="C664" t="s">
        <v>6542</v>
      </c>
      <c r="D664" t="s">
        <v>1183</v>
      </c>
      <c r="E664">
        <v>2025</v>
      </c>
      <c r="F664">
        <v>1000998</v>
      </c>
      <c r="G664" t="s">
        <v>1658</v>
      </c>
      <c r="H664" t="s">
        <v>1635</v>
      </c>
      <c r="I664" t="s">
        <v>510</v>
      </c>
      <c r="J664">
        <v>4</v>
      </c>
      <c r="K664">
        <v>48</v>
      </c>
      <c r="L664">
        <v>58</v>
      </c>
      <c r="M664">
        <v>30</v>
      </c>
      <c r="N664">
        <v>38</v>
      </c>
      <c r="O664">
        <v>53</v>
      </c>
      <c r="P664">
        <v>8</v>
      </c>
      <c r="Q664">
        <v>5</v>
      </c>
      <c r="R664">
        <v>2</v>
      </c>
      <c r="S664">
        <v>2</v>
      </c>
      <c r="T664">
        <v>0</v>
      </c>
      <c r="U664">
        <v>1</v>
      </c>
      <c r="V664">
        <v>1</v>
      </c>
      <c r="W664">
        <v>0</v>
      </c>
      <c r="X664">
        <v>2</v>
      </c>
      <c r="Y664" t="s">
        <v>113</v>
      </c>
      <c r="Z664" t="s">
        <v>861</v>
      </c>
      <c r="AA664" t="s">
        <v>4277</v>
      </c>
      <c r="AD664">
        <v>298500</v>
      </c>
      <c r="AE664">
        <v>0</v>
      </c>
      <c r="AH664" t="s">
        <v>155</v>
      </c>
      <c r="AI664">
        <v>4</v>
      </c>
      <c r="AJ664">
        <v>11</v>
      </c>
      <c r="AK664">
        <v>49.36</v>
      </c>
      <c r="AL664">
        <v>0</v>
      </c>
      <c r="AM664">
        <v>0</v>
      </c>
      <c r="AN664">
        <v>0.15</v>
      </c>
      <c r="AO664">
        <v>7.0000000000000007E-2</v>
      </c>
      <c r="AS664">
        <v>6</v>
      </c>
      <c r="AT664">
        <v>3</v>
      </c>
      <c r="AU664">
        <v>2</v>
      </c>
      <c r="AV664">
        <v>61</v>
      </c>
      <c r="AW664">
        <v>64</v>
      </c>
      <c r="AX664">
        <v>204</v>
      </c>
      <c r="AY664">
        <v>1</v>
      </c>
      <c r="AZ664" t="b">
        <v>0</v>
      </c>
      <c r="BA664">
        <v>1626</v>
      </c>
      <c r="BB664">
        <v>1649</v>
      </c>
      <c r="BC664">
        <v>5</v>
      </c>
      <c r="BD664" t="s">
        <v>6553</v>
      </c>
      <c r="BE664">
        <v>100</v>
      </c>
      <c r="BF664">
        <v>0</v>
      </c>
      <c r="BG664">
        <v>72</v>
      </c>
      <c r="BH664">
        <v>0</v>
      </c>
      <c r="BI664">
        <v>7</v>
      </c>
      <c r="BJ664" s="1" t="s">
        <v>429</v>
      </c>
      <c r="BK664">
        <v>7</v>
      </c>
      <c r="BL664">
        <v>6.2</v>
      </c>
      <c r="BM664" s="1" t="s">
        <v>159</v>
      </c>
      <c r="BN664" s="1" t="s">
        <v>140</v>
      </c>
      <c r="BO664">
        <v>3</v>
      </c>
      <c r="BP664" s="1" t="s">
        <v>125</v>
      </c>
      <c r="BQ664">
        <v>0</v>
      </c>
      <c r="BR664">
        <v>0</v>
      </c>
      <c r="BS664" s="1" t="s">
        <v>161</v>
      </c>
      <c r="BT664">
        <v>1.2</v>
      </c>
      <c r="BU664" s="1" t="s">
        <v>129</v>
      </c>
      <c r="BV664" s="1" t="s">
        <v>128</v>
      </c>
      <c r="BW664">
        <v>0</v>
      </c>
      <c r="BX664" s="1" t="s">
        <v>231</v>
      </c>
      <c r="BY664" s="1" t="s">
        <v>128</v>
      </c>
      <c r="BZ664" s="1" t="s">
        <v>238</v>
      </c>
      <c r="CA664">
        <v>0</v>
      </c>
      <c r="CB664">
        <v>0</v>
      </c>
      <c r="CC664">
        <v>0.15</v>
      </c>
      <c r="CD664">
        <v>0.15</v>
      </c>
      <c r="CE664">
        <v>7.0000000000000007E-2</v>
      </c>
      <c r="CF664">
        <v>7.0000000000000007E-2</v>
      </c>
      <c r="CG664" s="1" t="s">
        <v>253</v>
      </c>
      <c r="CH664" s="1" t="s">
        <v>139</v>
      </c>
      <c r="CI664" s="1" t="s">
        <v>125</v>
      </c>
      <c r="CJ664" s="1" t="s">
        <v>298</v>
      </c>
      <c r="CK664">
        <v>2</v>
      </c>
      <c r="CL664" s="1" t="s">
        <v>375</v>
      </c>
      <c r="CM664" s="1" t="s">
        <v>759</v>
      </c>
      <c r="CN664" s="1" t="s">
        <v>3309</v>
      </c>
      <c r="CO664">
        <v>71</v>
      </c>
      <c r="CP664">
        <v>73.400000000000006</v>
      </c>
      <c r="CQ664">
        <v>177</v>
      </c>
      <c r="CR664">
        <v>183.4</v>
      </c>
      <c r="CS664" s="1" t="s">
        <v>6554</v>
      </c>
      <c r="CT664">
        <v>1653.2</v>
      </c>
      <c r="CU664" s="1" t="s">
        <v>5833</v>
      </c>
      <c r="CV664" s="1" t="s">
        <v>6555</v>
      </c>
      <c r="CW664">
        <v>60.5</v>
      </c>
      <c r="CX664">
        <v>58.5</v>
      </c>
      <c r="CY664">
        <v>57.6</v>
      </c>
      <c r="CZ664" s="1" t="s">
        <v>1857</v>
      </c>
      <c r="DA664">
        <v>1</v>
      </c>
      <c r="DB664" t="s">
        <v>861</v>
      </c>
      <c r="DC664">
        <v>58</v>
      </c>
      <c r="DD664" s="1" t="s">
        <v>6556</v>
      </c>
      <c r="DE664">
        <v>-8.5108461569546403</v>
      </c>
      <c r="DF664" t="str">
        <f>_xlfn.XLOOKUP(Table1[[#This Row],[Player ID]],Table2[feed_id],Table2[trade_status])</f>
        <v>free_agent</v>
      </c>
      <c r="DG664">
        <f>_xlfn.NUMBERVALUE(Table1[[#This Row],[predicted]])</f>
        <v>66.510846156954599</v>
      </c>
    </row>
    <row r="665" spans="1:111" hidden="1" x14ac:dyDescent="0.25">
      <c r="A665">
        <v>132373</v>
      </c>
      <c r="B665">
        <v>9233</v>
      </c>
      <c r="C665" t="s">
        <v>6557</v>
      </c>
      <c r="D665" t="s">
        <v>1183</v>
      </c>
      <c r="E665">
        <v>2025</v>
      </c>
      <c r="F665">
        <v>1006058</v>
      </c>
      <c r="G665" t="s">
        <v>6558</v>
      </c>
      <c r="H665" t="s">
        <v>1394</v>
      </c>
      <c r="I665" t="s">
        <v>813</v>
      </c>
      <c r="J665">
        <v>4</v>
      </c>
      <c r="K665">
        <v>41</v>
      </c>
      <c r="L665">
        <v>26</v>
      </c>
      <c r="M665">
        <v>52</v>
      </c>
      <c r="N665">
        <v>36</v>
      </c>
      <c r="O665">
        <v>48</v>
      </c>
      <c r="P665">
        <v>7</v>
      </c>
      <c r="Q665">
        <v>5</v>
      </c>
      <c r="R665">
        <v>4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 t="s">
        <v>113</v>
      </c>
      <c r="Z665" t="s">
        <v>525</v>
      </c>
      <c r="AA665" t="s">
        <v>6559</v>
      </c>
      <c r="AH665" t="s">
        <v>181</v>
      </c>
      <c r="AI665">
        <v>8</v>
      </c>
      <c r="AJ665">
        <v>0</v>
      </c>
      <c r="AK665">
        <v>0</v>
      </c>
      <c r="AL665">
        <v>0</v>
      </c>
      <c r="AM665">
        <v>0.35</v>
      </c>
      <c r="AN665">
        <v>0.16</v>
      </c>
      <c r="AO665">
        <v>0.44</v>
      </c>
      <c r="AS665">
        <v>1</v>
      </c>
      <c r="AT665">
        <v>0</v>
      </c>
      <c r="AU665">
        <v>2</v>
      </c>
      <c r="AV665">
        <v>58</v>
      </c>
      <c r="AW665">
        <v>79</v>
      </c>
      <c r="AX665">
        <v>197</v>
      </c>
      <c r="AY665">
        <v>0</v>
      </c>
      <c r="AZ665" t="b">
        <v>0</v>
      </c>
      <c r="BA665">
        <v>1598</v>
      </c>
      <c r="BB665">
        <v>1643</v>
      </c>
      <c r="BC665">
        <v>5</v>
      </c>
      <c r="BD665" t="s">
        <v>6560</v>
      </c>
      <c r="BE665">
        <v>100</v>
      </c>
      <c r="BF665">
        <v>0</v>
      </c>
      <c r="BG665">
        <v>72</v>
      </c>
      <c r="BH665">
        <v>0</v>
      </c>
      <c r="BI665" s="1" t="s">
        <v>137</v>
      </c>
      <c r="BJ665">
        <v>13</v>
      </c>
      <c r="BK665">
        <v>5</v>
      </c>
      <c r="BL665">
        <v>6.4</v>
      </c>
      <c r="BM665" s="1" t="s">
        <v>397</v>
      </c>
      <c r="BN665">
        <v>4.5999999999999996</v>
      </c>
      <c r="BO665" s="1" t="s">
        <v>128</v>
      </c>
      <c r="BP665" s="1" t="s">
        <v>322</v>
      </c>
      <c r="BQ665">
        <v>0</v>
      </c>
      <c r="BR665">
        <v>0</v>
      </c>
      <c r="BS665" s="1" t="s">
        <v>129</v>
      </c>
      <c r="BT665" s="1" t="s">
        <v>238</v>
      </c>
      <c r="BU665" s="1" t="s">
        <v>126</v>
      </c>
      <c r="BV665" s="1" t="s">
        <v>238</v>
      </c>
      <c r="BW665" s="1" t="s">
        <v>129</v>
      </c>
      <c r="BX665">
        <v>0.4</v>
      </c>
      <c r="BY665" s="1" t="s">
        <v>129</v>
      </c>
      <c r="BZ665" s="1" t="s">
        <v>213</v>
      </c>
      <c r="CA665">
        <v>0.35</v>
      </c>
      <c r="CB665">
        <v>0.35</v>
      </c>
      <c r="CC665">
        <v>0.16</v>
      </c>
      <c r="CD665">
        <v>0.16</v>
      </c>
      <c r="CE665">
        <v>0.44</v>
      </c>
      <c r="CF665">
        <v>0.44</v>
      </c>
      <c r="CG665" s="1" t="s">
        <v>161</v>
      </c>
      <c r="CH665">
        <v>5.8</v>
      </c>
      <c r="CI665">
        <v>0</v>
      </c>
      <c r="CJ665">
        <v>1</v>
      </c>
      <c r="CK665">
        <v>2</v>
      </c>
      <c r="CL665" s="1" t="s">
        <v>322</v>
      </c>
      <c r="CM665">
        <v>82</v>
      </c>
      <c r="CN665" s="1" t="s">
        <v>1406</v>
      </c>
      <c r="CO665" s="1" t="s">
        <v>1110</v>
      </c>
      <c r="CP665" s="1" t="s">
        <v>406</v>
      </c>
      <c r="CQ665" s="1" t="s">
        <v>6561</v>
      </c>
      <c r="CR665">
        <v>437.4</v>
      </c>
      <c r="CS665" s="1" t="s">
        <v>2080</v>
      </c>
      <c r="CT665" s="1" t="s">
        <v>6562</v>
      </c>
      <c r="CU665" s="1" t="s">
        <v>2785</v>
      </c>
      <c r="CV665">
        <v>1643.6</v>
      </c>
      <c r="CW665">
        <v>72.900000000000006</v>
      </c>
      <c r="CX665">
        <v>75.599999999999994</v>
      </c>
      <c r="CY665">
        <v>57.4</v>
      </c>
      <c r="CZ665" s="1" t="s">
        <v>1926</v>
      </c>
      <c r="DA665">
        <v>1</v>
      </c>
      <c r="DB665" t="s">
        <v>525</v>
      </c>
      <c r="DC665">
        <v>26</v>
      </c>
      <c r="DD665" s="1" t="s">
        <v>6563</v>
      </c>
      <c r="DE665">
        <v>-40.528917337894597</v>
      </c>
      <c r="DF665" t="str">
        <f>_xlfn.XLOOKUP(Table1[[#This Row],[Player ID]],Table2[feed_id],Table2[trade_status])</f>
        <v>free_agent</v>
      </c>
      <c r="DG665">
        <f>_xlfn.NUMBERVALUE(Table1[[#This Row],[predicted]])</f>
        <v>66.528917337894597</v>
      </c>
    </row>
    <row r="666" spans="1:111" hidden="1" x14ac:dyDescent="0.25">
      <c r="A666">
        <v>132388</v>
      </c>
      <c r="B666">
        <v>9233</v>
      </c>
      <c r="C666" t="s">
        <v>6557</v>
      </c>
      <c r="D666" t="s">
        <v>1183</v>
      </c>
      <c r="E666">
        <v>2025</v>
      </c>
      <c r="F666">
        <v>1008091</v>
      </c>
      <c r="G666" t="s">
        <v>1087</v>
      </c>
      <c r="H666" t="s">
        <v>6564</v>
      </c>
      <c r="I666" t="s">
        <v>338</v>
      </c>
      <c r="J666">
        <v>17</v>
      </c>
      <c r="K666">
        <v>67</v>
      </c>
      <c r="L666">
        <v>85</v>
      </c>
      <c r="M666">
        <v>55</v>
      </c>
      <c r="N666">
        <v>60</v>
      </c>
      <c r="O666">
        <v>71</v>
      </c>
      <c r="P666">
        <v>7</v>
      </c>
      <c r="Q666">
        <v>1</v>
      </c>
      <c r="R666">
        <v>5</v>
      </c>
      <c r="S666">
        <v>2</v>
      </c>
      <c r="T666">
        <v>1</v>
      </c>
      <c r="U666">
        <v>1</v>
      </c>
      <c r="V666">
        <v>2</v>
      </c>
      <c r="W666">
        <v>4</v>
      </c>
      <c r="X666">
        <v>1</v>
      </c>
      <c r="Y666" t="s">
        <v>113</v>
      </c>
      <c r="Z666" t="s">
        <v>656</v>
      </c>
      <c r="AA666" t="s">
        <v>6565</v>
      </c>
      <c r="AH666" t="s">
        <v>155</v>
      </c>
      <c r="AI666">
        <v>36</v>
      </c>
      <c r="AJ666">
        <v>0</v>
      </c>
      <c r="AK666">
        <v>0</v>
      </c>
      <c r="AL666">
        <v>0</v>
      </c>
      <c r="AM666">
        <v>0.18</v>
      </c>
      <c r="AN666">
        <v>0.17</v>
      </c>
      <c r="AO666">
        <v>0.27</v>
      </c>
      <c r="AS666">
        <v>5</v>
      </c>
      <c r="AT666">
        <v>1</v>
      </c>
      <c r="AU666">
        <v>2</v>
      </c>
      <c r="AV666">
        <v>62</v>
      </c>
      <c r="AW666">
        <v>77</v>
      </c>
      <c r="AX666">
        <v>128</v>
      </c>
      <c r="AY666">
        <v>1</v>
      </c>
      <c r="AZ666" t="b">
        <v>0</v>
      </c>
      <c r="BA666">
        <v>1643</v>
      </c>
      <c r="BB666">
        <v>1598</v>
      </c>
      <c r="BC666">
        <v>5</v>
      </c>
      <c r="BD666" t="s">
        <v>6566</v>
      </c>
      <c r="BE666">
        <v>100</v>
      </c>
      <c r="BF666">
        <v>0</v>
      </c>
      <c r="BG666">
        <v>72</v>
      </c>
      <c r="BH666">
        <v>1</v>
      </c>
      <c r="BI666">
        <v>6</v>
      </c>
      <c r="BJ666" s="1" t="s">
        <v>260</v>
      </c>
      <c r="BK666">
        <v>2</v>
      </c>
      <c r="BL666">
        <v>2.8</v>
      </c>
      <c r="BM666" s="1" t="s">
        <v>160</v>
      </c>
      <c r="BN666" s="1" t="s">
        <v>766</v>
      </c>
      <c r="BO666">
        <v>2</v>
      </c>
      <c r="BP666" s="1" t="s">
        <v>566</v>
      </c>
      <c r="BQ666" s="1" t="s">
        <v>169</v>
      </c>
      <c r="BR666">
        <v>1</v>
      </c>
      <c r="BS666" s="1" t="s">
        <v>129</v>
      </c>
      <c r="BT666">
        <v>1.2</v>
      </c>
      <c r="BU666" s="1" t="s">
        <v>161</v>
      </c>
      <c r="BV666" s="1" t="s">
        <v>399</v>
      </c>
      <c r="BW666">
        <v>2</v>
      </c>
      <c r="BX666">
        <v>1.4</v>
      </c>
      <c r="BY666">
        <v>1</v>
      </c>
      <c r="BZ666" s="1" t="s">
        <v>127</v>
      </c>
      <c r="CA666">
        <v>0.18</v>
      </c>
      <c r="CB666">
        <v>0.18</v>
      </c>
      <c r="CC666">
        <v>0.17</v>
      </c>
      <c r="CD666">
        <v>0.17</v>
      </c>
      <c r="CE666">
        <v>0.27</v>
      </c>
      <c r="CF666">
        <v>0.27</v>
      </c>
      <c r="CG666" s="1" t="s">
        <v>125</v>
      </c>
      <c r="CH666">
        <v>4.4000000000000004</v>
      </c>
      <c r="CI666" s="1" t="s">
        <v>129</v>
      </c>
      <c r="CJ666" s="1" t="s">
        <v>184</v>
      </c>
      <c r="CK666" s="1" t="s">
        <v>159</v>
      </c>
      <c r="CL666" s="1" t="s">
        <v>375</v>
      </c>
      <c r="CM666">
        <v>58</v>
      </c>
      <c r="CN666" s="1" t="s">
        <v>6368</v>
      </c>
      <c r="CO666">
        <v>76</v>
      </c>
      <c r="CP666" s="1" t="s">
        <v>2079</v>
      </c>
      <c r="CQ666">
        <v>117</v>
      </c>
      <c r="CR666">
        <v>146.80000000000001</v>
      </c>
      <c r="CS666" s="1" t="s">
        <v>6567</v>
      </c>
      <c r="CT666" s="1" t="s">
        <v>6568</v>
      </c>
      <c r="CU666">
        <v>1647</v>
      </c>
      <c r="CV666" s="1" t="s">
        <v>439</v>
      </c>
      <c r="CW666">
        <v>63.45</v>
      </c>
      <c r="CX666">
        <v>61.2</v>
      </c>
      <c r="CY666">
        <v>57.6</v>
      </c>
      <c r="CZ666">
        <v>61</v>
      </c>
      <c r="DA666">
        <v>1</v>
      </c>
      <c r="DB666" t="s">
        <v>656</v>
      </c>
      <c r="DC666">
        <v>85</v>
      </c>
      <c r="DD666" s="1" t="s">
        <v>6569</v>
      </c>
      <c r="DE666" s="1" t="s">
        <v>6570</v>
      </c>
      <c r="DF666" t="str">
        <f>_xlfn.XLOOKUP(Table1[[#This Row],[Player ID]],Table2[feed_id],Table2[trade_status])</f>
        <v>free_agent</v>
      </c>
      <c r="DG666">
        <f>_xlfn.NUMBERVALUE(Table1[[#This Row],[predicted]])</f>
        <v>64.189768935223597</v>
      </c>
    </row>
    <row r="667" spans="1:111" hidden="1" x14ac:dyDescent="0.25">
      <c r="A667">
        <v>132414</v>
      </c>
      <c r="B667">
        <v>9234</v>
      </c>
      <c r="C667" t="s">
        <v>6571</v>
      </c>
      <c r="D667" t="s">
        <v>1183</v>
      </c>
      <c r="E667">
        <v>2025</v>
      </c>
      <c r="F667">
        <v>1002251</v>
      </c>
      <c r="G667" t="s">
        <v>1019</v>
      </c>
      <c r="H667" t="s">
        <v>6572</v>
      </c>
      <c r="I667" t="s">
        <v>1089</v>
      </c>
      <c r="J667">
        <v>3</v>
      </c>
      <c r="K667">
        <v>50</v>
      </c>
      <c r="L667">
        <v>80</v>
      </c>
      <c r="M667">
        <v>63</v>
      </c>
      <c r="N667">
        <v>40</v>
      </c>
      <c r="O667">
        <v>55</v>
      </c>
      <c r="P667">
        <v>8</v>
      </c>
      <c r="Q667">
        <v>6</v>
      </c>
      <c r="R667">
        <v>3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1</v>
      </c>
      <c r="Y667" t="s">
        <v>113</v>
      </c>
      <c r="Z667" t="s">
        <v>525</v>
      </c>
      <c r="AA667" t="s">
        <v>6573</v>
      </c>
      <c r="AB667" t="s">
        <v>116</v>
      </c>
      <c r="AC667" t="s">
        <v>6574</v>
      </c>
      <c r="AD667">
        <v>262500</v>
      </c>
      <c r="AE667">
        <v>0</v>
      </c>
      <c r="AH667" t="s">
        <v>155</v>
      </c>
      <c r="AI667">
        <v>16</v>
      </c>
      <c r="AJ667">
        <v>7</v>
      </c>
      <c r="AK667">
        <v>41.86</v>
      </c>
      <c r="AL667">
        <v>0</v>
      </c>
      <c r="AM667">
        <v>0</v>
      </c>
      <c r="AN667">
        <v>0.12</v>
      </c>
      <c r="AO667">
        <v>0.18</v>
      </c>
      <c r="AS667">
        <v>3</v>
      </c>
      <c r="AT667">
        <v>2</v>
      </c>
      <c r="AU667">
        <v>0</v>
      </c>
      <c r="AV667">
        <v>64</v>
      </c>
      <c r="AW667">
        <v>56</v>
      </c>
      <c r="AX667">
        <v>204</v>
      </c>
      <c r="AY667">
        <v>1</v>
      </c>
      <c r="AZ667" t="b">
        <v>1</v>
      </c>
      <c r="BA667">
        <v>1246</v>
      </c>
      <c r="BB667">
        <v>2051</v>
      </c>
      <c r="BC667">
        <v>5</v>
      </c>
      <c r="BD667" t="s">
        <v>6575</v>
      </c>
      <c r="BE667">
        <v>100</v>
      </c>
      <c r="BF667">
        <v>0</v>
      </c>
      <c r="BG667">
        <v>72</v>
      </c>
      <c r="BH667">
        <v>1</v>
      </c>
      <c r="BI667">
        <v>5</v>
      </c>
      <c r="BJ667" s="1" t="s">
        <v>1008</v>
      </c>
      <c r="BK667" s="1" t="s">
        <v>253</v>
      </c>
      <c r="BL667" s="1" t="s">
        <v>1079</v>
      </c>
      <c r="BM667">
        <v>2</v>
      </c>
      <c r="BN667" s="1" t="s">
        <v>431</v>
      </c>
      <c r="BO667" s="1" t="s">
        <v>159</v>
      </c>
      <c r="BP667" s="1" t="s">
        <v>205</v>
      </c>
      <c r="BQ667">
        <v>0</v>
      </c>
      <c r="BR667">
        <v>0</v>
      </c>
      <c r="BS667" s="1" t="s">
        <v>129</v>
      </c>
      <c r="BT667" s="1" t="s">
        <v>162</v>
      </c>
      <c r="BU667">
        <v>0</v>
      </c>
      <c r="BV667" s="1" t="s">
        <v>231</v>
      </c>
      <c r="BW667">
        <v>0</v>
      </c>
      <c r="BX667" s="1" t="s">
        <v>130</v>
      </c>
      <c r="BY667" s="1" t="s">
        <v>129</v>
      </c>
      <c r="BZ667">
        <v>0.6</v>
      </c>
      <c r="CA667">
        <v>0</v>
      </c>
      <c r="CB667">
        <v>0</v>
      </c>
      <c r="CC667">
        <v>0.12</v>
      </c>
      <c r="CD667">
        <v>0.12</v>
      </c>
      <c r="CE667">
        <v>0.18</v>
      </c>
      <c r="CF667">
        <v>0.18</v>
      </c>
      <c r="CG667" s="1" t="s">
        <v>125</v>
      </c>
      <c r="CH667">
        <v>6.6</v>
      </c>
      <c r="CI667">
        <v>2</v>
      </c>
      <c r="CJ667">
        <v>2.8</v>
      </c>
      <c r="CK667" s="1" t="s">
        <v>129</v>
      </c>
      <c r="CL667" s="1" t="s">
        <v>140</v>
      </c>
      <c r="CM667" s="1" t="s">
        <v>968</v>
      </c>
      <c r="CN667" s="1" t="s">
        <v>1693</v>
      </c>
      <c r="CO667">
        <v>58</v>
      </c>
      <c r="CP667" s="1" t="s">
        <v>1840</v>
      </c>
      <c r="CQ667" s="1" t="s">
        <v>6576</v>
      </c>
      <c r="CR667" s="1" t="s">
        <v>6577</v>
      </c>
      <c r="CS667">
        <v>1743</v>
      </c>
      <c r="CT667">
        <v>1738.8</v>
      </c>
      <c r="CU667" s="1" t="s">
        <v>2069</v>
      </c>
      <c r="CV667">
        <v>1547</v>
      </c>
      <c r="CW667">
        <v>86.9</v>
      </c>
      <c r="CX667">
        <v>92.2</v>
      </c>
      <c r="CY667">
        <v>71.400000000000006</v>
      </c>
      <c r="CZ667" s="1" t="s">
        <v>1459</v>
      </c>
      <c r="DA667">
        <v>1</v>
      </c>
      <c r="DB667" t="s">
        <v>525</v>
      </c>
      <c r="DC667">
        <v>80</v>
      </c>
      <c r="DD667" s="1" t="s">
        <v>6578</v>
      </c>
      <c r="DE667" s="1" t="s">
        <v>6579</v>
      </c>
      <c r="DF667" t="e">
        <f>_xlfn.XLOOKUP(Table1[[#This Row],[Player ID]],Table2[feed_id],Table2[trade_status])</f>
        <v>#N/A</v>
      </c>
      <c r="DG667">
        <f>_xlfn.NUMBERVALUE(Table1[[#This Row],[predicted]])</f>
        <v>76.540583338848506</v>
      </c>
    </row>
    <row r="668" spans="1:111" hidden="1" x14ac:dyDescent="0.25">
      <c r="A668">
        <v>132422</v>
      </c>
      <c r="B668">
        <v>9234</v>
      </c>
      <c r="C668" t="s">
        <v>6571</v>
      </c>
      <c r="D668" t="s">
        <v>1183</v>
      </c>
      <c r="E668">
        <v>2025</v>
      </c>
      <c r="F668">
        <v>1006135</v>
      </c>
      <c r="G668" t="s">
        <v>580</v>
      </c>
      <c r="H668" t="s">
        <v>6580</v>
      </c>
      <c r="I668" t="s">
        <v>1089</v>
      </c>
      <c r="J668">
        <v>2</v>
      </c>
      <c r="K668">
        <v>25</v>
      </c>
      <c r="L668">
        <v>23</v>
      </c>
      <c r="M668">
        <v>33</v>
      </c>
      <c r="N668">
        <v>20</v>
      </c>
      <c r="O668">
        <v>30</v>
      </c>
      <c r="P668">
        <v>3</v>
      </c>
      <c r="Q668">
        <v>4</v>
      </c>
      <c r="R668">
        <v>1</v>
      </c>
      <c r="S668">
        <v>2</v>
      </c>
      <c r="T668">
        <v>0</v>
      </c>
      <c r="U668">
        <v>0</v>
      </c>
      <c r="V668">
        <v>1</v>
      </c>
      <c r="W668">
        <v>0</v>
      </c>
      <c r="X668">
        <v>0</v>
      </c>
      <c r="Y668" t="s">
        <v>113</v>
      </c>
      <c r="Z668" t="s">
        <v>525</v>
      </c>
      <c r="AA668" t="s">
        <v>6581</v>
      </c>
      <c r="AB668" t="s">
        <v>3571</v>
      </c>
      <c r="AC668" t="s">
        <v>4081</v>
      </c>
      <c r="AH668" t="s">
        <v>118</v>
      </c>
      <c r="AI668">
        <v>33</v>
      </c>
      <c r="AJ668">
        <v>0</v>
      </c>
      <c r="AK668">
        <v>0</v>
      </c>
      <c r="AL668">
        <v>0</v>
      </c>
      <c r="AM668">
        <v>0.04</v>
      </c>
      <c r="AN668">
        <v>0.05</v>
      </c>
      <c r="AO668">
        <v>0.09</v>
      </c>
      <c r="AS668">
        <v>5</v>
      </c>
      <c r="AT668">
        <v>2</v>
      </c>
      <c r="AU668">
        <v>3</v>
      </c>
      <c r="AV668">
        <v>71</v>
      </c>
      <c r="AW668">
        <v>31</v>
      </c>
      <c r="AX668">
        <v>111</v>
      </c>
      <c r="AY668">
        <v>0</v>
      </c>
      <c r="AZ668" t="b">
        <v>0</v>
      </c>
      <c r="BA668">
        <v>1246</v>
      </c>
      <c r="BB668">
        <v>2051</v>
      </c>
      <c r="BC668">
        <v>5</v>
      </c>
      <c r="BD668" t="s">
        <v>6575</v>
      </c>
      <c r="BE668">
        <v>100</v>
      </c>
      <c r="BF668">
        <v>0</v>
      </c>
      <c r="BG668">
        <v>72</v>
      </c>
      <c r="BH668">
        <v>0</v>
      </c>
      <c r="BI668" s="1" t="s">
        <v>449</v>
      </c>
      <c r="BJ668" s="1" t="s">
        <v>680</v>
      </c>
      <c r="BK668" s="1" t="s">
        <v>160</v>
      </c>
      <c r="BL668" s="1" t="s">
        <v>189</v>
      </c>
      <c r="BM668" s="1" t="s">
        <v>126</v>
      </c>
      <c r="BN668" s="1" t="s">
        <v>375</v>
      </c>
      <c r="BO668" s="1" t="s">
        <v>161</v>
      </c>
      <c r="BP668" s="1" t="s">
        <v>322</v>
      </c>
      <c r="BQ668">
        <v>0</v>
      </c>
      <c r="BR668">
        <v>0</v>
      </c>
      <c r="BS668">
        <v>0</v>
      </c>
      <c r="BT668" s="1" t="s">
        <v>238</v>
      </c>
      <c r="BU668" s="1" t="s">
        <v>128</v>
      </c>
      <c r="BV668" s="1" t="s">
        <v>127</v>
      </c>
      <c r="BW668">
        <v>0</v>
      </c>
      <c r="BX668" s="1" t="s">
        <v>238</v>
      </c>
      <c r="BY668" s="1" t="s">
        <v>128</v>
      </c>
      <c r="BZ668" s="1" t="s">
        <v>231</v>
      </c>
      <c r="CA668">
        <v>0.04</v>
      </c>
      <c r="CB668">
        <v>0.04</v>
      </c>
      <c r="CC668">
        <v>0.05</v>
      </c>
      <c r="CD668">
        <v>0.05</v>
      </c>
      <c r="CE668">
        <v>0.09</v>
      </c>
      <c r="CF668">
        <v>0.09</v>
      </c>
      <c r="CG668" s="1" t="s">
        <v>160</v>
      </c>
      <c r="CH668">
        <v>4.2</v>
      </c>
      <c r="CI668">
        <v>1</v>
      </c>
      <c r="CJ668" s="1" t="s">
        <v>128</v>
      </c>
      <c r="CK668" s="1" t="s">
        <v>125</v>
      </c>
      <c r="CL668" s="1" t="s">
        <v>169</v>
      </c>
      <c r="CM668" s="1" t="s">
        <v>2259</v>
      </c>
      <c r="CN668" s="1" t="s">
        <v>171</v>
      </c>
      <c r="CO668" s="1" t="s">
        <v>2490</v>
      </c>
      <c r="CP668" s="1" t="s">
        <v>141</v>
      </c>
      <c r="CQ668" s="1" t="s">
        <v>6582</v>
      </c>
      <c r="CR668">
        <v>220.2</v>
      </c>
      <c r="CS668">
        <v>1743</v>
      </c>
      <c r="CT668">
        <v>1712.6</v>
      </c>
      <c r="CU668" s="1" t="s">
        <v>2069</v>
      </c>
      <c r="CV668">
        <v>1573.2</v>
      </c>
      <c r="CW668">
        <v>49.35</v>
      </c>
      <c r="CX668">
        <v>38.5</v>
      </c>
      <c r="CY668">
        <v>39.4</v>
      </c>
      <c r="CZ668">
        <v>29</v>
      </c>
      <c r="DA668">
        <v>1</v>
      </c>
      <c r="DB668" t="s">
        <v>525</v>
      </c>
      <c r="DC668">
        <v>23</v>
      </c>
      <c r="DD668" s="1" t="s">
        <v>6583</v>
      </c>
      <c r="DE668">
        <v>-29.7140231236177</v>
      </c>
      <c r="DF668" t="str">
        <f>_xlfn.XLOOKUP(Table1[[#This Row],[Player ID]],Table2[feed_id],Table2[trade_status])</f>
        <v>free_agent</v>
      </c>
      <c r="DG668">
        <f>_xlfn.NUMBERVALUE(Table1[[#This Row],[predicted]])</f>
        <v>52.7140231236177</v>
      </c>
    </row>
    <row r="669" spans="1:111" hidden="1" x14ac:dyDescent="0.25">
      <c r="A669">
        <v>132427</v>
      </c>
      <c r="B669">
        <v>9234</v>
      </c>
      <c r="C669" t="s">
        <v>6571</v>
      </c>
      <c r="D669" t="s">
        <v>1183</v>
      </c>
      <c r="E669">
        <v>2025</v>
      </c>
      <c r="F669">
        <v>1020371</v>
      </c>
      <c r="G669" t="s">
        <v>1127</v>
      </c>
      <c r="H669" t="s">
        <v>3370</v>
      </c>
      <c r="I669" t="s">
        <v>582</v>
      </c>
      <c r="J669">
        <v>13</v>
      </c>
      <c r="K669">
        <v>66</v>
      </c>
      <c r="L669">
        <v>62</v>
      </c>
      <c r="M669">
        <v>47</v>
      </c>
      <c r="N669">
        <v>57</v>
      </c>
      <c r="O669">
        <v>71</v>
      </c>
      <c r="P669">
        <v>9</v>
      </c>
      <c r="Q669">
        <v>2</v>
      </c>
      <c r="R669">
        <v>4</v>
      </c>
      <c r="S669">
        <v>2</v>
      </c>
      <c r="T669">
        <v>8</v>
      </c>
      <c r="U669">
        <v>1</v>
      </c>
      <c r="V669">
        <v>2</v>
      </c>
      <c r="W669">
        <v>2</v>
      </c>
      <c r="X669">
        <v>0</v>
      </c>
      <c r="Y669" t="s">
        <v>113</v>
      </c>
      <c r="Z669" t="s">
        <v>6584</v>
      </c>
      <c r="AA669" t="s">
        <v>6585</v>
      </c>
      <c r="AH669" t="s">
        <v>274</v>
      </c>
      <c r="AI669">
        <v>34</v>
      </c>
      <c r="AJ669">
        <v>0</v>
      </c>
      <c r="AK669">
        <v>0</v>
      </c>
      <c r="AL669">
        <v>0</v>
      </c>
      <c r="AM669">
        <v>0.04</v>
      </c>
      <c r="AN669">
        <v>0.04</v>
      </c>
      <c r="AO669">
        <v>0.06</v>
      </c>
      <c r="AS669">
        <v>6</v>
      </c>
      <c r="AT669">
        <v>2</v>
      </c>
      <c r="AU669">
        <v>3</v>
      </c>
      <c r="AV669">
        <v>54</v>
      </c>
      <c r="AW669">
        <v>77</v>
      </c>
      <c r="AX669">
        <v>261</v>
      </c>
      <c r="AY669">
        <v>0</v>
      </c>
      <c r="AZ669" t="b">
        <v>0</v>
      </c>
      <c r="BA669">
        <v>2051</v>
      </c>
      <c r="BB669">
        <v>1246</v>
      </c>
      <c r="BC669">
        <v>5</v>
      </c>
      <c r="BD669" t="s">
        <v>6586</v>
      </c>
      <c r="BE669">
        <v>100</v>
      </c>
      <c r="BF669">
        <v>0</v>
      </c>
      <c r="BG669">
        <v>72</v>
      </c>
      <c r="BH669">
        <v>0</v>
      </c>
      <c r="BI669">
        <v>7</v>
      </c>
      <c r="BJ669" s="1" t="s">
        <v>374</v>
      </c>
      <c r="BK669">
        <v>4</v>
      </c>
      <c r="BL669" s="1" t="s">
        <v>211</v>
      </c>
      <c r="BM669" s="1" t="s">
        <v>211</v>
      </c>
      <c r="BN669" s="1" t="s">
        <v>140</v>
      </c>
      <c r="BO669" s="1" t="s">
        <v>159</v>
      </c>
      <c r="BP669" s="1" t="s">
        <v>322</v>
      </c>
      <c r="BQ669" s="1" t="s">
        <v>449</v>
      </c>
      <c r="BR669">
        <v>5</v>
      </c>
      <c r="BS669" s="1" t="s">
        <v>128</v>
      </c>
      <c r="BT669">
        <v>0.8</v>
      </c>
      <c r="BU669" s="1" t="s">
        <v>161</v>
      </c>
      <c r="BV669">
        <v>1</v>
      </c>
      <c r="BW669">
        <v>1</v>
      </c>
      <c r="BX669">
        <v>1</v>
      </c>
      <c r="BY669">
        <v>0</v>
      </c>
      <c r="BZ669">
        <v>0.2</v>
      </c>
      <c r="CA669">
        <v>0.04</v>
      </c>
      <c r="CB669">
        <v>0.04</v>
      </c>
      <c r="CC669">
        <v>0.04</v>
      </c>
      <c r="CD669">
        <v>0.04</v>
      </c>
      <c r="CE669">
        <v>0.06</v>
      </c>
      <c r="CF669">
        <v>0.06</v>
      </c>
      <c r="CG669" s="1" t="s">
        <v>211</v>
      </c>
      <c r="CH669" s="1" t="s">
        <v>781</v>
      </c>
      <c r="CI669" s="1" t="s">
        <v>126</v>
      </c>
      <c r="CJ669" s="1" t="s">
        <v>304</v>
      </c>
      <c r="CK669">
        <v>2</v>
      </c>
      <c r="CL669">
        <v>1.4</v>
      </c>
      <c r="CM669">
        <v>73</v>
      </c>
      <c r="CN669" s="1" t="s">
        <v>366</v>
      </c>
      <c r="CO669">
        <v>78</v>
      </c>
      <c r="CP669">
        <v>68.599999999999994</v>
      </c>
      <c r="CQ669">
        <v>193</v>
      </c>
      <c r="CR669">
        <v>148.4</v>
      </c>
      <c r="CS669">
        <v>1324</v>
      </c>
      <c r="CT669" s="1" t="s">
        <v>6587</v>
      </c>
      <c r="CU669">
        <v>1918</v>
      </c>
      <c r="CV669" s="1" t="s">
        <v>2454</v>
      </c>
      <c r="CW669">
        <v>55.6</v>
      </c>
      <c r="CX669">
        <v>58.4</v>
      </c>
      <c r="CY669">
        <v>52.6</v>
      </c>
      <c r="CZ669" s="1" t="s">
        <v>1459</v>
      </c>
      <c r="DA669">
        <v>1</v>
      </c>
      <c r="DB669" t="s">
        <v>6584</v>
      </c>
      <c r="DC669">
        <v>62</v>
      </c>
      <c r="DD669">
        <v>65.978443018461206</v>
      </c>
      <c r="DE669">
        <v>-3.9784430184612001</v>
      </c>
      <c r="DF669" t="str">
        <f>_xlfn.XLOOKUP(Table1[[#This Row],[Player ID]],Table2[feed_id],Table2[trade_status])</f>
        <v>free_agent</v>
      </c>
      <c r="DG669">
        <f>_xlfn.NUMBERVALUE(Table1[[#This Row],[predicted]])</f>
        <v>65.978443018461206</v>
      </c>
    </row>
    <row r="670" spans="1:111" hidden="1" x14ac:dyDescent="0.25">
      <c r="A670">
        <v>132440</v>
      </c>
      <c r="B670">
        <v>9234</v>
      </c>
      <c r="C670" t="s">
        <v>6571</v>
      </c>
      <c r="D670" t="s">
        <v>1183</v>
      </c>
      <c r="E670">
        <v>2025</v>
      </c>
      <c r="F670">
        <v>295898</v>
      </c>
      <c r="G670" t="s">
        <v>1918</v>
      </c>
      <c r="H670" t="s">
        <v>1786</v>
      </c>
      <c r="I670" t="s">
        <v>582</v>
      </c>
      <c r="J670">
        <v>2</v>
      </c>
      <c r="K670">
        <v>38</v>
      </c>
      <c r="L670">
        <v>57</v>
      </c>
      <c r="M670">
        <v>32</v>
      </c>
      <c r="N670">
        <v>33</v>
      </c>
      <c r="O670">
        <v>48</v>
      </c>
      <c r="P670">
        <v>3</v>
      </c>
      <c r="Q670">
        <v>11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113</v>
      </c>
      <c r="Z670" t="s">
        <v>6588</v>
      </c>
      <c r="AA670" t="s">
        <v>6589</v>
      </c>
      <c r="AB670" t="s">
        <v>877</v>
      </c>
      <c r="AC670" t="s">
        <v>3583</v>
      </c>
      <c r="AD670">
        <v>587600</v>
      </c>
      <c r="AE670">
        <v>0</v>
      </c>
      <c r="AH670" t="s">
        <v>118</v>
      </c>
      <c r="AI670">
        <v>11</v>
      </c>
      <c r="AJ670">
        <v>21</v>
      </c>
      <c r="AK670">
        <v>86</v>
      </c>
      <c r="AL670">
        <v>0</v>
      </c>
      <c r="AM670">
        <v>0</v>
      </c>
      <c r="AN670">
        <v>0.46</v>
      </c>
      <c r="AO670">
        <v>0.95</v>
      </c>
      <c r="AS670">
        <v>10</v>
      </c>
      <c r="AT670">
        <v>4</v>
      </c>
      <c r="AU670">
        <v>1</v>
      </c>
      <c r="AV670">
        <v>85</v>
      </c>
      <c r="AW670">
        <v>85</v>
      </c>
      <c r="AX670">
        <v>91</v>
      </c>
      <c r="AY670">
        <v>0</v>
      </c>
      <c r="AZ670" t="b">
        <v>0</v>
      </c>
      <c r="BA670">
        <v>2051</v>
      </c>
      <c r="BB670">
        <v>1246</v>
      </c>
      <c r="BC670">
        <v>5</v>
      </c>
      <c r="BD670" t="s">
        <v>6586</v>
      </c>
      <c r="BE670">
        <v>100</v>
      </c>
      <c r="BF670">
        <v>0</v>
      </c>
      <c r="BG670">
        <v>72</v>
      </c>
      <c r="BH670">
        <v>0</v>
      </c>
      <c r="BI670">
        <v>10</v>
      </c>
      <c r="BJ670" s="1" t="s">
        <v>356</v>
      </c>
      <c r="BK670" s="1" t="s">
        <v>1008</v>
      </c>
      <c r="BL670">
        <v>12</v>
      </c>
      <c r="BM670">
        <v>3</v>
      </c>
      <c r="BN670">
        <v>2.8</v>
      </c>
      <c r="BO670" s="1" t="s">
        <v>159</v>
      </c>
      <c r="BP670" s="1" t="s">
        <v>212</v>
      </c>
      <c r="BQ670">
        <v>0</v>
      </c>
      <c r="BR670">
        <v>0</v>
      </c>
      <c r="BS670">
        <v>0</v>
      </c>
      <c r="BT670">
        <v>0.8</v>
      </c>
      <c r="BU670">
        <v>1</v>
      </c>
      <c r="BV670" s="1" t="s">
        <v>206</v>
      </c>
      <c r="BW670">
        <v>0</v>
      </c>
      <c r="BX670" s="1" t="s">
        <v>213</v>
      </c>
      <c r="BY670" s="1" t="s">
        <v>128</v>
      </c>
      <c r="BZ670" s="1" t="s">
        <v>238</v>
      </c>
      <c r="CA670">
        <v>0</v>
      </c>
      <c r="CB670">
        <v>0</v>
      </c>
      <c r="CC670">
        <v>0.46</v>
      </c>
      <c r="CD670">
        <v>0.46</v>
      </c>
      <c r="CE670">
        <v>0.95</v>
      </c>
      <c r="CF670">
        <v>0.95</v>
      </c>
      <c r="CG670">
        <v>10</v>
      </c>
      <c r="CH670">
        <v>11.4</v>
      </c>
      <c r="CI670" s="1" t="s">
        <v>160</v>
      </c>
      <c r="CJ670">
        <v>5.2</v>
      </c>
      <c r="CK670" s="1" t="s">
        <v>125</v>
      </c>
      <c r="CL670" s="1" t="s">
        <v>230</v>
      </c>
      <c r="CM670" s="1" t="s">
        <v>822</v>
      </c>
      <c r="CN670" s="1" t="s">
        <v>5330</v>
      </c>
      <c r="CO670">
        <v>80</v>
      </c>
      <c r="CP670">
        <v>81</v>
      </c>
      <c r="CQ670" s="1" t="s">
        <v>6590</v>
      </c>
      <c r="CR670">
        <v>327.2</v>
      </c>
      <c r="CS670" s="1" t="s">
        <v>6591</v>
      </c>
      <c r="CT670">
        <v>1442.8</v>
      </c>
      <c r="CU670">
        <v>1934</v>
      </c>
      <c r="CV670" s="1" t="s">
        <v>6592</v>
      </c>
      <c r="CW670">
        <v>91.6</v>
      </c>
      <c r="CX670">
        <v>88.8</v>
      </c>
      <c r="CY670">
        <v>76.599999999999994</v>
      </c>
      <c r="CZ670">
        <v>80</v>
      </c>
      <c r="DA670">
        <v>1</v>
      </c>
      <c r="DB670" t="s">
        <v>6588</v>
      </c>
      <c r="DC670">
        <v>57</v>
      </c>
      <c r="DD670" s="1" t="s">
        <v>6593</v>
      </c>
      <c r="DE670">
        <v>-32.512471970647802</v>
      </c>
      <c r="DF670" t="str">
        <f>_xlfn.XLOOKUP(Table1[[#This Row],[Player ID]],Table2[feed_id],Table2[trade_status])</f>
        <v>waiver</v>
      </c>
      <c r="DG670">
        <f>_xlfn.NUMBERVALUE(Table1[[#This Row],[predicted]])</f>
        <v>89.512471970647795</v>
      </c>
    </row>
    <row r="671" spans="1:111" hidden="1" x14ac:dyDescent="0.25">
      <c r="A671">
        <v>132442</v>
      </c>
      <c r="B671">
        <v>9234</v>
      </c>
      <c r="C671" t="s">
        <v>6571</v>
      </c>
      <c r="D671" t="s">
        <v>1183</v>
      </c>
      <c r="E671">
        <v>2025</v>
      </c>
      <c r="F671">
        <v>993820</v>
      </c>
      <c r="G671" t="s">
        <v>776</v>
      </c>
      <c r="H671" t="s">
        <v>6594</v>
      </c>
      <c r="I671" t="s">
        <v>582</v>
      </c>
      <c r="J671">
        <v>4</v>
      </c>
      <c r="K671">
        <v>36</v>
      </c>
      <c r="L671">
        <v>23</v>
      </c>
      <c r="M671">
        <v>25</v>
      </c>
      <c r="N671">
        <v>33</v>
      </c>
      <c r="O671">
        <v>45</v>
      </c>
      <c r="P671">
        <v>5</v>
      </c>
      <c r="Q671">
        <v>6</v>
      </c>
      <c r="R671">
        <v>4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 t="s">
        <v>113</v>
      </c>
      <c r="Z671" t="s">
        <v>226</v>
      </c>
      <c r="AA671" t="s">
        <v>6595</v>
      </c>
      <c r="AH671" t="s">
        <v>181</v>
      </c>
      <c r="AI671">
        <v>28</v>
      </c>
      <c r="AJ671">
        <v>0</v>
      </c>
      <c r="AK671">
        <v>0</v>
      </c>
      <c r="AL671">
        <v>0</v>
      </c>
      <c r="AM671">
        <v>0</v>
      </c>
      <c r="AN671">
        <v>0.03</v>
      </c>
      <c r="AO671">
        <v>0.1</v>
      </c>
      <c r="AS671">
        <v>4</v>
      </c>
      <c r="AT671">
        <v>0</v>
      </c>
      <c r="AU671">
        <v>3</v>
      </c>
      <c r="AV671">
        <v>72</v>
      </c>
      <c r="AW671">
        <v>81</v>
      </c>
      <c r="AX671">
        <v>59</v>
      </c>
      <c r="AY671">
        <v>0</v>
      </c>
      <c r="AZ671" t="b">
        <v>0</v>
      </c>
      <c r="BA671">
        <v>2051</v>
      </c>
      <c r="BB671">
        <v>1246</v>
      </c>
      <c r="BC671">
        <v>5</v>
      </c>
      <c r="BD671" t="s">
        <v>6586</v>
      </c>
      <c r="BE671">
        <v>100</v>
      </c>
      <c r="BF671">
        <v>0</v>
      </c>
      <c r="BG671">
        <v>72</v>
      </c>
      <c r="BH671">
        <v>0</v>
      </c>
      <c r="BI671">
        <v>5</v>
      </c>
      <c r="BJ671" s="1" t="s">
        <v>158</v>
      </c>
      <c r="BK671" s="1" t="s">
        <v>253</v>
      </c>
      <c r="BL671" s="1" t="s">
        <v>964</v>
      </c>
      <c r="BM671" s="1" t="s">
        <v>138</v>
      </c>
      <c r="BN671" s="1" t="s">
        <v>230</v>
      </c>
      <c r="BO671">
        <v>2</v>
      </c>
      <c r="BP671" s="1" t="s">
        <v>373</v>
      </c>
      <c r="BQ671">
        <v>0</v>
      </c>
      <c r="BR671">
        <v>0</v>
      </c>
      <c r="BS671">
        <v>0</v>
      </c>
      <c r="BT671" s="1" t="s">
        <v>231</v>
      </c>
      <c r="BU671">
        <v>1</v>
      </c>
      <c r="BV671" s="1" t="s">
        <v>399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0.03</v>
      </c>
      <c r="CD671">
        <v>0.03</v>
      </c>
      <c r="CE671">
        <v>0.1</v>
      </c>
      <c r="CF671">
        <v>0.1</v>
      </c>
      <c r="CG671">
        <v>4</v>
      </c>
      <c r="CH671">
        <v>4.4000000000000004</v>
      </c>
      <c r="CI671" s="1" t="s">
        <v>129</v>
      </c>
      <c r="CJ671">
        <v>0.6</v>
      </c>
      <c r="CK671" s="1" t="s">
        <v>138</v>
      </c>
      <c r="CL671">
        <v>2.6</v>
      </c>
      <c r="CM671">
        <v>70</v>
      </c>
      <c r="CN671" s="1" t="s">
        <v>4490</v>
      </c>
      <c r="CO671" s="1" t="s">
        <v>968</v>
      </c>
      <c r="CP671" s="1" t="s">
        <v>1110</v>
      </c>
      <c r="CQ671" s="1" t="s">
        <v>6596</v>
      </c>
      <c r="CR671" s="1" t="s">
        <v>6597</v>
      </c>
      <c r="CS671" s="1" t="s">
        <v>6591</v>
      </c>
      <c r="CT671" s="1" t="s">
        <v>6598</v>
      </c>
      <c r="CU671">
        <v>1934</v>
      </c>
      <c r="CV671" s="1" t="s">
        <v>6599</v>
      </c>
      <c r="CW671">
        <v>64.150000000000006</v>
      </c>
      <c r="CX671">
        <v>62.9</v>
      </c>
      <c r="CY671">
        <v>55.4</v>
      </c>
      <c r="CZ671">
        <v>38</v>
      </c>
      <c r="DA671">
        <v>1</v>
      </c>
      <c r="DB671" t="s">
        <v>226</v>
      </c>
      <c r="DC671">
        <v>23</v>
      </c>
      <c r="DD671">
        <v>87.165237025670095</v>
      </c>
      <c r="DE671">
        <v>-64.165237025670095</v>
      </c>
      <c r="DF671" t="str">
        <f>_xlfn.XLOOKUP(Table1[[#This Row],[Player ID]],Table2[feed_id],Table2[trade_status])</f>
        <v>free_agent</v>
      </c>
      <c r="DG671">
        <f>_xlfn.NUMBERVALUE(Table1[[#This Row],[predicted]])</f>
        <v>87.165237025670095</v>
      </c>
    </row>
    <row r="672" spans="1:111" hidden="1" x14ac:dyDescent="0.25">
      <c r="A672">
        <v>132443</v>
      </c>
      <c r="B672">
        <v>9234</v>
      </c>
      <c r="C672" t="s">
        <v>6571</v>
      </c>
      <c r="D672" t="s">
        <v>1183</v>
      </c>
      <c r="E672">
        <v>2025</v>
      </c>
      <c r="F672">
        <v>1013511</v>
      </c>
      <c r="G672" t="s">
        <v>4269</v>
      </c>
      <c r="H672" t="s">
        <v>6600</v>
      </c>
      <c r="I672" t="s">
        <v>582</v>
      </c>
      <c r="J672">
        <v>2</v>
      </c>
      <c r="K672">
        <v>27</v>
      </c>
      <c r="L672">
        <v>35</v>
      </c>
      <c r="M672">
        <v>22</v>
      </c>
      <c r="N672">
        <v>20</v>
      </c>
      <c r="O672">
        <v>28</v>
      </c>
      <c r="P672">
        <v>3</v>
      </c>
      <c r="Q672">
        <v>4</v>
      </c>
      <c r="R672">
        <v>0</v>
      </c>
      <c r="S672">
        <v>2</v>
      </c>
      <c r="T672">
        <v>0</v>
      </c>
      <c r="U672">
        <v>1</v>
      </c>
      <c r="V672">
        <v>0</v>
      </c>
      <c r="W672">
        <v>0</v>
      </c>
      <c r="X672">
        <v>1</v>
      </c>
      <c r="Y672" t="s">
        <v>113</v>
      </c>
      <c r="Z672" t="s">
        <v>861</v>
      </c>
      <c r="AA672" t="s">
        <v>6601</v>
      </c>
      <c r="AH672" t="s">
        <v>155</v>
      </c>
      <c r="AI672">
        <v>10</v>
      </c>
      <c r="AJ672">
        <v>0</v>
      </c>
      <c r="AK672">
        <v>0</v>
      </c>
      <c r="AL672">
        <v>0</v>
      </c>
      <c r="AM672">
        <v>0.35</v>
      </c>
      <c r="AN672">
        <v>0.15</v>
      </c>
      <c r="AO672">
        <v>0.42</v>
      </c>
      <c r="AS672">
        <v>6</v>
      </c>
      <c r="AT672">
        <v>2</v>
      </c>
      <c r="AU672">
        <v>0</v>
      </c>
      <c r="AV672">
        <v>71</v>
      </c>
      <c r="AW672">
        <v>82</v>
      </c>
      <c r="AX672">
        <v>4</v>
      </c>
      <c r="AY672">
        <v>0</v>
      </c>
      <c r="AZ672" t="b">
        <v>0</v>
      </c>
      <c r="BA672">
        <v>2051</v>
      </c>
      <c r="BB672">
        <v>1246</v>
      </c>
      <c r="BC672">
        <v>5</v>
      </c>
      <c r="BD672" t="s">
        <v>6586</v>
      </c>
      <c r="BE672">
        <v>100</v>
      </c>
      <c r="BF672">
        <v>0</v>
      </c>
      <c r="BG672">
        <v>72</v>
      </c>
      <c r="BH672">
        <v>0</v>
      </c>
      <c r="BI672">
        <v>4</v>
      </c>
      <c r="BJ672">
        <v>3.8</v>
      </c>
      <c r="BK672" s="1" t="s">
        <v>138</v>
      </c>
      <c r="BL672">
        <v>4.8</v>
      </c>
      <c r="BM672" s="1" t="s">
        <v>161</v>
      </c>
      <c r="BN672">
        <v>1.8</v>
      </c>
      <c r="BO672" s="1" t="s">
        <v>126</v>
      </c>
      <c r="BP672">
        <v>2</v>
      </c>
      <c r="BQ672">
        <v>0</v>
      </c>
      <c r="BR672">
        <v>0</v>
      </c>
      <c r="BS672" s="1" t="s">
        <v>126</v>
      </c>
      <c r="BT672" s="1" t="s">
        <v>128</v>
      </c>
      <c r="BU672">
        <v>1</v>
      </c>
      <c r="BV672" s="1" t="s">
        <v>128</v>
      </c>
      <c r="BW672">
        <v>1</v>
      </c>
      <c r="BX672" s="1" t="s">
        <v>184</v>
      </c>
      <c r="BY672" s="1" t="s">
        <v>129</v>
      </c>
      <c r="BZ672" s="1" t="s">
        <v>129</v>
      </c>
      <c r="CA672">
        <v>0.35</v>
      </c>
      <c r="CB672" s="1" t="s">
        <v>6602</v>
      </c>
      <c r="CC672">
        <v>0.15</v>
      </c>
      <c r="CD672">
        <v>0.184</v>
      </c>
      <c r="CE672">
        <v>0.42</v>
      </c>
      <c r="CF672">
        <v>0.42399999999999999</v>
      </c>
      <c r="CG672" s="1" t="s">
        <v>125</v>
      </c>
      <c r="CH672" s="1" t="s">
        <v>256</v>
      </c>
      <c r="CI672" s="1" t="s">
        <v>126</v>
      </c>
      <c r="CJ672" s="1" t="s">
        <v>127</v>
      </c>
      <c r="CK672">
        <v>2</v>
      </c>
      <c r="CL672" s="1" t="s">
        <v>566</v>
      </c>
      <c r="CM672" s="1" t="s">
        <v>142</v>
      </c>
      <c r="CN672">
        <v>70.8</v>
      </c>
      <c r="CO672" s="1" t="s">
        <v>755</v>
      </c>
      <c r="CP672" s="1" t="s">
        <v>2673</v>
      </c>
      <c r="CQ672">
        <v>77</v>
      </c>
      <c r="CR672">
        <v>119</v>
      </c>
      <c r="CS672" s="1" t="s">
        <v>6591</v>
      </c>
      <c r="CT672">
        <v>1454.8</v>
      </c>
      <c r="CU672">
        <v>1934</v>
      </c>
      <c r="CV672" s="1" t="s">
        <v>6603</v>
      </c>
      <c r="CW672">
        <v>43.85</v>
      </c>
      <c r="CX672">
        <v>39.299999999999997</v>
      </c>
      <c r="CY672">
        <v>39.799999999999997</v>
      </c>
      <c r="CZ672" s="1" t="s">
        <v>999</v>
      </c>
      <c r="DA672">
        <v>1</v>
      </c>
      <c r="DB672" t="s">
        <v>861</v>
      </c>
      <c r="DC672">
        <v>35</v>
      </c>
      <c r="DD672" s="1" t="s">
        <v>6604</v>
      </c>
      <c r="DE672">
        <v>-16.305523366364</v>
      </c>
      <c r="DF672" t="str">
        <f>_xlfn.XLOOKUP(Table1[[#This Row],[Player ID]],Table2[feed_id],Table2[trade_status])</f>
        <v>free_agent</v>
      </c>
      <c r="DG672">
        <f>_xlfn.NUMBERVALUE(Table1[[#This Row],[predicted]])</f>
        <v>51.305523366364</v>
      </c>
    </row>
    <row r="673" spans="1:111" hidden="1" x14ac:dyDescent="0.25">
      <c r="A673">
        <v>132466</v>
      </c>
      <c r="B673">
        <v>9235</v>
      </c>
      <c r="C673" t="s">
        <v>6605</v>
      </c>
      <c r="D673" t="s">
        <v>1183</v>
      </c>
      <c r="E673">
        <v>2025</v>
      </c>
      <c r="F673">
        <v>991930</v>
      </c>
      <c r="G673" t="s">
        <v>3105</v>
      </c>
      <c r="H673" t="s">
        <v>6606</v>
      </c>
      <c r="I673" t="s">
        <v>425</v>
      </c>
      <c r="J673">
        <v>2</v>
      </c>
      <c r="K673">
        <v>24</v>
      </c>
      <c r="L673">
        <v>31</v>
      </c>
      <c r="M673">
        <v>29</v>
      </c>
      <c r="N673">
        <v>19</v>
      </c>
      <c r="O673">
        <v>27</v>
      </c>
      <c r="P673">
        <v>1</v>
      </c>
      <c r="Q673">
        <v>6</v>
      </c>
      <c r="R673">
        <v>0</v>
      </c>
      <c r="S673">
        <v>2</v>
      </c>
      <c r="T673">
        <v>0</v>
      </c>
      <c r="U673">
        <v>1</v>
      </c>
      <c r="V673">
        <v>0</v>
      </c>
      <c r="W673">
        <v>0</v>
      </c>
      <c r="X673">
        <v>0</v>
      </c>
      <c r="Y673" t="s">
        <v>113</v>
      </c>
      <c r="Z673" t="s">
        <v>6496</v>
      </c>
      <c r="AA673" t="s">
        <v>6607</v>
      </c>
      <c r="AB673" t="s">
        <v>861</v>
      </c>
      <c r="AC673" t="s">
        <v>4661</v>
      </c>
      <c r="AD673">
        <v>393500</v>
      </c>
      <c r="AE673">
        <v>0</v>
      </c>
      <c r="AH673" t="s">
        <v>181</v>
      </c>
      <c r="AI673">
        <v>33</v>
      </c>
      <c r="AJ673">
        <v>20</v>
      </c>
      <c r="AK673">
        <v>72.75</v>
      </c>
      <c r="AL673">
        <v>0</v>
      </c>
      <c r="AM673">
        <v>0</v>
      </c>
      <c r="AN673">
        <v>0.13</v>
      </c>
      <c r="AO673">
        <v>0.11</v>
      </c>
      <c r="AS673">
        <v>5</v>
      </c>
      <c r="AT673">
        <v>1</v>
      </c>
      <c r="AU673">
        <v>1</v>
      </c>
      <c r="AV673">
        <v>71</v>
      </c>
      <c r="AW673">
        <v>77</v>
      </c>
      <c r="AX673">
        <v>33</v>
      </c>
      <c r="AY673">
        <v>0</v>
      </c>
      <c r="AZ673" t="b">
        <v>0</v>
      </c>
      <c r="BA673">
        <v>1645</v>
      </c>
      <c r="BB673">
        <v>1640</v>
      </c>
      <c r="BC673">
        <v>5</v>
      </c>
      <c r="BD673" t="s">
        <v>6608</v>
      </c>
      <c r="BE673">
        <v>100</v>
      </c>
      <c r="BF673">
        <v>0</v>
      </c>
      <c r="BG673">
        <v>72</v>
      </c>
      <c r="BH673">
        <v>0</v>
      </c>
      <c r="BI673">
        <v>9</v>
      </c>
      <c r="BJ673" s="1" t="s">
        <v>1442</v>
      </c>
      <c r="BK673" s="1" t="s">
        <v>211</v>
      </c>
      <c r="BL673" s="1" t="s">
        <v>321</v>
      </c>
      <c r="BM673" s="1" t="s">
        <v>169</v>
      </c>
      <c r="BN673">
        <v>2.6</v>
      </c>
      <c r="BO673">
        <v>2</v>
      </c>
      <c r="BP673" s="1" t="s">
        <v>373</v>
      </c>
      <c r="BQ673">
        <v>0</v>
      </c>
      <c r="BR673">
        <v>0</v>
      </c>
      <c r="BS673" s="1" t="s">
        <v>128</v>
      </c>
      <c r="BT673" s="1" t="s">
        <v>399</v>
      </c>
      <c r="BU673">
        <v>0</v>
      </c>
      <c r="BV673">
        <v>0.4</v>
      </c>
      <c r="BW673">
        <v>1</v>
      </c>
      <c r="BX673">
        <v>1</v>
      </c>
      <c r="BY673" s="1" t="s">
        <v>129</v>
      </c>
      <c r="BZ673" s="1" t="s">
        <v>129</v>
      </c>
      <c r="CA673">
        <v>0</v>
      </c>
      <c r="CB673">
        <v>0</v>
      </c>
      <c r="CC673">
        <v>0.13</v>
      </c>
      <c r="CD673">
        <v>0.13</v>
      </c>
      <c r="CE673">
        <v>0.11</v>
      </c>
      <c r="CF673">
        <v>0.11</v>
      </c>
      <c r="CG673">
        <v>5</v>
      </c>
      <c r="CH673" s="1" t="s">
        <v>416</v>
      </c>
      <c r="CI673" s="1" t="s">
        <v>128</v>
      </c>
      <c r="CJ673">
        <v>0.6</v>
      </c>
      <c r="CK673" s="1" t="s">
        <v>161</v>
      </c>
      <c r="CL673">
        <v>2.2000000000000002</v>
      </c>
      <c r="CM673">
        <v>73</v>
      </c>
      <c r="CN673" s="1" t="s">
        <v>5981</v>
      </c>
      <c r="CO673" s="1" t="s">
        <v>1258</v>
      </c>
      <c r="CP673" s="1" t="s">
        <v>1460</v>
      </c>
      <c r="CQ673" s="1" t="s">
        <v>6609</v>
      </c>
      <c r="CR673" s="1" t="s">
        <v>6610</v>
      </c>
      <c r="CS673" s="1" t="s">
        <v>6611</v>
      </c>
      <c r="CT673">
        <v>1682.6</v>
      </c>
      <c r="CU673">
        <v>1537</v>
      </c>
      <c r="CV673">
        <v>1605.8</v>
      </c>
      <c r="CW673">
        <v>62.25</v>
      </c>
      <c r="CX673">
        <v>68.400000000000006</v>
      </c>
      <c r="CY673">
        <v>60</v>
      </c>
      <c r="CZ673">
        <v>77</v>
      </c>
      <c r="DA673">
        <v>1</v>
      </c>
      <c r="DB673" t="s">
        <v>6496</v>
      </c>
      <c r="DC673">
        <v>31</v>
      </c>
      <c r="DD673" s="1" t="s">
        <v>6612</v>
      </c>
      <c r="DE673">
        <v>-26.660103828269001</v>
      </c>
      <c r="DF673" t="str">
        <f>_xlfn.XLOOKUP(Table1[[#This Row],[Player ID]],Table2[feed_id],Table2[trade_status])</f>
        <v>free_agent</v>
      </c>
      <c r="DG673">
        <f>_xlfn.NUMBERVALUE(Table1[[#This Row],[predicted]])</f>
        <v>57.660103828269001</v>
      </c>
    </row>
    <row r="674" spans="1:111" hidden="1" x14ac:dyDescent="0.25">
      <c r="A674">
        <v>132496</v>
      </c>
      <c r="B674">
        <v>9236</v>
      </c>
      <c r="C674" t="s">
        <v>6613</v>
      </c>
      <c r="D674" t="s">
        <v>1183</v>
      </c>
      <c r="E674">
        <v>2025</v>
      </c>
      <c r="F674">
        <v>1009399</v>
      </c>
      <c r="G674" t="s">
        <v>176</v>
      </c>
      <c r="H674" t="s">
        <v>2003</v>
      </c>
      <c r="I674" t="s">
        <v>178</v>
      </c>
      <c r="J674">
        <v>26</v>
      </c>
      <c r="K674">
        <v>74</v>
      </c>
      <c r="L674">
        <v>115</v>
      </c>
      <c r="M674">
        <v>81</v>
      </c>
      <c r="N674">
        <v>73</v>
      </c>
      <c r="O674">
        <v>90</v>
      </c>
      <c r="P674">
        <v>5</v>
      </c>
      <c r="Q674">
        <v>11</v>
      </c>
      <c r="R674">
        <v>2</v>
      </c>
      <c r="S674">
        <v>0</v>
      </c>
      <c r="T674">
        <v>30</v>
      </c>
      <c r="U674">
        <v>1</v>
      </c>
      <c r="V674">
        <v>2</v>
      </c>
      <c r="W674">
        <v>1</v>
      </c>
      <c r="X674">
        <v>0</v>
      </c>
      <c r="Y674" t="s">
        <v>113</v>
      </c>
      <c r="Z674" t="s">
        <v>114</v>
      </c>
      <c r="AA674" t="s">
        <v>6614</v>
      </c>
      <c r="AB674" t="s">
        <v>5152</v>
      </c>
      <c r="AC674" t="s">
        <v>6297</v>
      </c>
      <c r="AH674" t="s">
        <v>274</v>
      </c>
      <c r="AI674">
        <v>9</v>
      </c>
      <c r="AJ674">
        <v>0</v>
      </c>
      <c r="AK674">
        <v>0</v>
      </c>
      <c r="AL674">
        <v>0</v>
      </c>
      <c r="AM674">
        <v>21.12</v>
      </c>
      <c r="AN674">
        <v>18.93</v>
      </c>
      <c r="AO674">
        <v>7.06</v>
      </c>
      <c r="AS674">
        <v>7</v>
      </c>
      <c r="AT674">
        <v>3</v>
      </c>
      <c r="AU674">
        <v>2</v>
      </c>
      <c r="AV674">
        <v>93</v>
      </c>
      <c r="AW674">
        <v>59</v>
      </c>
      <c r="AX674">
        <v>140</v>
      </c>
      <c r="AY674">
        <v>1</v>
      </c>
      <c r="AZ674" t="b">
        <v>1</v>
      </c>
      <c r="BA674">
        <v>1582</v>
      </c>
      <c r="BB674">
        <v>1708</v>
      </c>
      <c r="BC674">
        <v>5</v>
      </c>
      <c r="BD674" t="s">
        <v>6615</v>
      </c>
      <c r="BE674">
        <v>100</v>
      </c>
      <c r="BF674">
        <v>1</v>
      </c>
      <c r="BG674">
        <v>72</v>
      </c>
      <c r="BH674">
        <v>1</v>
      </c>
      <c r="BI674">
        <v>6</v>
      </c>
      <c r="BJ674" s="1" t="s">
        <v>124</v>
      </c>
      <c r="BK674" s="1" t="s">
        <v>276</v>
      </c>
      <c r="BL674">
        <v>9.1999999999999993</v>
      </c>
      <c r="BM674" s="1" t="s">
        <v>138</v>
      </c>
      <c r="BN674" s="1" t="s">
        <v>373</v>
      </c>
      <c r="BO674" s="1" t="s">
        <v>159</v>
      </c>
      <c r="BP674" s="1" t="s">
        <v>640</v>
      </c>
      <c r="BQ674">
        <v>31</v>
      </c>
      <c r="BR674" s="1" t="s">
        <v>6616</v>
      </c>
      <c r="BS674" s="1" t="s">
        <v>128</v>
      </c>
      <c r="BT674" s="1" t="s">
        <v>257</v>
      </c>
      <c r="BU674" s="1" t="s">
        <v>161</v>
      </c>
      <c r="BV674" s="1" t="s">
        <v>327</v>
      </c>
      <c r="BW674">
        <v>1</v>
      </c>
      <c r="BX674" s="1" t="s">
        <v>399</v>
      </c>
      <c r="BY674">
        <v>0</v>
      </c>
      <c r="BZ674" s="1" t="s">
        <v>238</v>
      </c>
      <c r="CA674">
        <v>21.12</v>
      </c>
      <c r="CB674">
        <v>21.12</v>
      </c>
      <c r="CC674">
        <v>18.93</v>
      </c>
      <c r="CD674">
        <v>18.93</v>
      </c>
      <c r="CE674">
        <v>7.06</v>
      </c>
      <c r="CF674">
        <v>7.06</v>
      </c>
      <c r="CG674">
        <v>7</v>
      </c>
      <c r="CH674" s="1" t="s">
        <v>183</v>
      </c>
      <c r="CI674" s="1" t="s">
        <v>159</v>
      </c>
      <c r="CJ674" s="1" t="s">
        <v>170</v>
      </c>
      <c r="CK674" s="1" t="s">
        <v>169</v>
      </c>
      <c r="CL674">
        <v>2.8</v>
      </c>
      <c r="CM674">
        <v>80</v>
      </c>
      <c r="CN674">
        <v>71.400000000000006</v>
      </c>
      <c r="CO674" s="1" t="s">
        <v>261</v>
      </c>
      <c r="CP674">
        <v>79.8</v>
      </c>
      <c r="CQ674" s="1" t="s">
        <v>4376</v>
      </c>
      <c r="CR674" s="1" t="s">
        <v>6617</v>
      </c>
      <c r="CS674" s="1" t="s">
        <v>4475</v>
      </c>
      <c r="CT674" s="1" t="s">
        <v>6618</v>
      </c>
      <c r="CU674" s="1" t="s">
        <v>6619</v>
      </c>
      <c r="CV674">
        <v>1627.4</v>
      </c>
      <c r="CW674">
        <v>96.2</v>
      </c>
      <c r="CX674">
        <v>94</v>
      </c>
      <c r="CY674">
        <v>111.6</v>
      </c>
      <c r="CZ674" s="1" t="s">
        <v>3682</v>
      </c>
      <c r="DA674">
        <v>1</v>
      </c>
      <c r="DB674" t="s">
        <v>114</v>
      </c>
      <c r="DC674">
        <v>115</v>
      </c>
      <c r="DD674" s="1" t="s">
        <v>6620</v>
      </c>
      <c r="DE674" s="1" t="s">
        <v>6621</v>
      </c>
      <c r="DF674" t="e">
        <f>_xlfn.XLOOKUP(Table1[[#This Row],[Player ID]],Table2[feed_id],Table2[trade_status])</f>
        <v>#N/A</v>
      </c>
      <c r="DG674">
        <f>_xlfn.NUMBERVALUE(Table1[[#This Row],[predicted]])</f>
        <v>72.747156268891501</v>
      </c>
    </row>
    <row r="675" spans="1:111" hidden="1" x14ac:dyDescent="0.25">
      <c r="A675">
        <v>132499</v>
      </c>
      <c r="B675">
        <v>9236</v>
      </c>
      <c r="C675" t="s">
        <v>6613</v>
      </c>
      <c r="D675" t="s">
        <v>1183</v>
      </c>
      <c r="E675">
        <v>2025</v>
      </c>
      <c r="F675">
        <v>1013220</v>
      </c>
      <c r="G675" t="s">
        <v>508</v>
      </c>
      <c r="H675" t="s">
        <v>6622</v>
      </c>
      <c r="I675" t="s">
        <v>178</v>
      </c>
      <c r="J675">
        <v>15</v>
      </c>
      <c r="K675">
        <v>65</v>
      </c>
      <c r="L675">
        <v>46</v>
      </c>
      <c r="M675">
        <v>90</v>
      </c>
      <c r="N675">
        <v>47</v>
      </c>
      <c r="O675">
        <v>67</v>
      </c>
      <c r="P675">
        <v>8</v>
      </c>
      <c r="Q675">
        <v>4</v>
      </c>
      <c r="R675">
        <v>3</v>
      </c>
      <c r="S675">
        <v>7</v>
      </c>
      <c r="T675">
        <v>0</v>
      </c>
      <c r="U675">
        <v>1</v>
      </c>
      <c r="V675">
        <v>2</v>
      </c>
      <c r="W675">
        <v>0</v>
      </c>
      <c r="X675">
        <v>1</v>
      </c>
      <c r="Y675" t="s">
        <v>113</v>
      </c>
      <c r="Z675" t="s">
        <v>114</v>
      </c>
      <c r="AA675" t="s">
        <v>6623</v>
      </c>
      <c r="AB675" t="s">
        <v>525</v>
      </c>
      <c r="AC675" t="s">
        <v>6624</v>
      </c>
      <c r="AH675" t="s">
        <v>118</v>
      </c>
      <c r="AI675">
        <v>30</v>
      </c>
      <c r="AJ675">
        <v>0</v>
      </c>
      <c r="AK675">
        <v>0</v>
      </c>
      <c r="AL675">
        <v>0</v>
      </c>
      <c r="AM675">
        <v>0.18</v>
      </c>
      <c r="AN675">
        <v>0.13</v>
      </c>
      <c r="AO675">
        <v>0.18</v>
      </c>
      <c r="AS675">
        <v>3</v>
      </c>
      <c r="AT675">
        <v>2</v>
      </c>
      <c r="AU675">
        <v>4</v>
      </c>
      <c r="AV675">
        <v>50</v>
      </c>
      <c r="AW675">
        <v>55</v>
      </c>
      <c r="AX675">
        <v>268</v>
      </c>
      <c r="AY675">
        <v>1</v>
      </c>
      <c r="AZ675" t="b">
        <v>1</v>
      </c>
      <c r="BA675">
        <v>1582</v>
      </c>
      <c r="BB675">
        <v>1708</v>
      </c>
      <c r="BC675">
        <v>5</v>
      </c>
      <c r="BD675" t="s">
        <v>6615</v>
      </c>
      <c r="BE675">
        <v>100</v>
      </c>
      <c r="BF675">
        <v>0</v>
      </c>
      <c r="BG675">
        <v>72</v>
      </c>
      <c r="BH675">
        <v>0</v>
      </c>
      <c r="BI675" s="1" t="s">
        <v>395</v>
      </c>
      <c r="BJ675" s="1" t="s">
        <v>1426</v>
      </c>
      <c r="BK675">
        <v>7</v>
      </c>
      <c r="BL675" s="1" t="s">
        <v>1092</v>
      </c>
      <c r="BM675" s="1" t="s">
        <v>138</v>
      </c>
      <c r="BN675" s="1" t="s">
        <v>990</v>
      </c>
      <c r="BO675">
        <v>5</v>
      </c>
      <c r="BP675" s="1" t="s">
        <v>140</v>
      </c>
      <c r="BQ675">
        <v>0</v>
      </c>
      <c r="BR675">
        <v>0</v>
      </c>
      <c r="BS675" s="1" t="s">
        <v>161</v>
      </c>
      <c r="BT675" s="1" t="s">
        <v>162</v>
      </c>
      <c r="BU675" s="1" t="s">
        <v>161</v>
      </c>
      <c r="BV675">
        <v>0.8</v>
      </c>
      <c r="BW675" s="1" t="s">
        <v>129</v>
      </c>
      <c r="BX675">
        <v>0.2</v>
      </c>
      <c r="BY675" s="1" t="s">
        <v>129</v>
      </c>
      <c r="BZ675" s="1" t="s">
        <v>213</v>
      </c>
      <c r="CA675">
        <v>0.18</v>
      </c>
      <c r="CB675">
        <v>0.25800000000000001</v>
      </c>
      <c r="CC675">
        <v>0.13</v>
      </c>
      <c r="CD675" s="1" t="s">
        <v>6625</v>
      </c>
      <c r="CE675">
        <v>0.18</v>
      </c>
      <c r="CF675">
        <v>0.51</v>
      </c>
      <c r="CG675">
        <v>8</v>
      </c>
      <c r="CH675" s="1" t="s">
        <v>781</v>
      </c>
      <c r="CI675" s="1" t="s">
        <v>125</v>
      </c>
      <c r="CJ675" s="1" t="s">
        <v>566</v>
      </c>
      <c r="CK675" s="1" t="s">
        <v>211</v>
      </c>
      <c r="CL675" s="1" t="s">
        <v>140</v>
      </c>
      <c r="CM675" s="1" t="s">
        <v>681</v>
      </c>
      <c r="CN675" s="1" t="s">
        <v>5185</v>
      </c>
      <c r="CO675" s="1" t="s">
        <v>822</v>
      </c>
      <c r="CP675" s="1" t="s">
        <v>3111</v>
      </c>
      <c r="CQ675" s="1" t="s">
        <v>6626</v>
      </c>
      <c r="CR675" s="1" t="s">
        <v>6627</v>
      </c>
      <c r="CS675" s="1" t="s">
        <v>4475</v>
      </c>
      <c r="CT675" s="1" t="s">
        <v>4537</v>
      </c>
      <c r="CU675" s="1" t="s">
        <v>6619</v>
      </c>
      <c r="CV675">
        <v>1646.6</v>
      </c>
      <c r="CW675">
        <v>57.85</v>
      </c>
      <c r="CX675">
        <v>63</v>
      </c>
      <c r="CY675">
        <v>83</v>
      </c>
      <c r="CZ675" s="1" t="s">
        <v>1110</v>
      </c>
      <c r="DA675">
        <v>1</v>
      </c>
      <c r="DB675" t="s">
        <v>114</v>
      </c>
      <c r="DC675">
        <v>46</v>
      </c>
      <c r="DD675" s="1" t="s">
        <v>6628</v>
      </c>
      <c r="DE675">
        <v>-2.29458178146001</v>
      </c>
      <c r="DF675" t="str">
        <f>_xlfn.XLOOKUP(Table1[[#This Row],[Player ID]],Table2[feed_id],Table2[trade_status])</f>
        <v>free_agent</v>
      </c>
      <c r="DG675">
        <f>_xlfn.NUMBERVALUE(Table1[[#This Row],[predicted]])</f>
        <v>48.294581781460003</v>
      </c>
    </row>
    <row r="676" spans="1:111" hidden="1" x14ac:dyDescent="0.25">
      <c r="A676">
        <v>132509</v>
      </c>
      <c r="B676">
        <v>9236</v>
      </c>
      <c r="C676" t="s">
        <v>6613</v>
      </c>
      <c r="D676" t="s">
        <v>1183</v>
      </c>
      <c r="E676">
        <v>2025</v>
      </c>
      <c r="F676">
        <v>1020594</v>
      </c>
      <c r="G676" t="s">
        <v>6357</v>
      </c>
      <c r="H676" t="s">
        <v>6629</v>
      </c>
      <c r="I676" t="s">
        <v>178</v>
      </c>
      <c r="J676">
        <v>9</v>
      </c>
      <c r="K676">
        <v>38</v>
      </c>
      <c r="L676">
        <v>37</v>
      </c>
      <c r="M676">
        <v>49</v>
      </c>
      <c r="N676">
        <v>32</v>
      </c>
      <c r="O676">
        <v>42</v>
      </c>
      <c r="P676">
        <v>4</v>
      </c>
      <c r="Q676">
        <v>3</v>
      </c>
      <c r="R676">
        <v>3</v>
      </c>
      <c r="S676">
        <v>2</v>
      </c>
      <c r="T676">
        <v>0</v>
      </c>
      <c r="U676">
        <v>0</v>
      </c>
      <c r="V676">
        <v>1</v>
      </c>
      <c r="W676">
        <v>1</v>
      </c>
      <c r="X676">
        <v>0</v>
      </c>
      <c r="Y676" t="s">
        <v>113</v>
      </c>
      <c r="Z676" t="s">
        <v>656</v>
      </c>
      <c r="AA676" t="s">
        <v>6630</v>
      </c>
      <c r="AH676" t="s">
        <v>155</v>
      </c>
      <c r="AI676">
        <v>24</v>
      </c>
      <c r="AJ676">
        <v>0</v>
      </c>
      <c r="AK676">
        <v>0</v>
      </c>
      <c r="AL676">
        <v>0</v>
      </c>
      <c r="AM676">
        <v>0.57999999999999996</v>
      </c>
      <c r="AN676">
        <v>0.54</v>
      </c>
      <c r="AO676">
        <v>1.22</v>
      </c>
      <c r="AS676">
        <v>3</v>
      </c>
      <c r="AT676">
        <v>0</v>
      </c>
      <c r="AU676">
        <v>2</v>
      </c>
      <c r="AV676">
        <v>42</v>
      </c>
      <c r="AW676">
        <v>87</v>
      </c>
      <c r="AX676">
        <v>58</v>
      </c>
      <c r="AY676">
        <v>0</v>
      </c>
      <c r="AZ676" t="b">
        <v>0</v>
      </c>
      <c r="BA676">
        <v>1582</v>
      </c>
      <c r="BB676">
        <v>1708</v>
      </c>
      <c r="BC676">
        <v>5</v>
      </c>
      <c r="BD676" t="s">
        <v>6615</v>
      </c>
      <c r="BE676">
        <v>100</v>
      </c>
      <c r="BF676">
        <v>0</v>
      </c>
      <c r="BG676">
        <v>72</v>
      </c>
      <c r="BH676">
        <v>0</v>
      </c>
      <c r="BI676" s="1" t="s">
        <v>449</v>
      </c>
      <c r="BJ676">
        <v>6</v>
      </c>
      <c r="BK676">
        <v>3</v>
      </c>
      <c r="BL676" s="1" t="s">
        <v>169</v>
      </c>
      <c r="BM676" s="1" t="s">
        <v>211</v>
      </c>
      <c r="BN676">
        <v>4.2</v>
      </c>
      <c r="BO676" s="1" t="s">
        <v>126</v>
      </c>
      <c r="BP676" s="1" t="s">
        <v>298</v>
      </c>
      <c r="BQ676">
        <v>0</v>
      </c>
      <c r="BR676">
        <v>0</v>
      </c>
      <c r="BS676" s="1" t="s">
        <v>128</v>
      </c>
      <c r="BT676">
        <v>1.2</v>
      </c>
      <c r="BU676" s="1" t="s">
        <v>129</v>
      </c>
      <c r="BV676" s="1" t="s">
        <v>231</v>
      </c>
      <c r="BW676">
        <v>2</v>
      </c>
      <c r="BX676">
        <v>1.6</v>
      </c>
      <c r="BY676" s="1" t="s">
        <v>129</v>
      </c>
      <c r="BZ676" s="1" t="s">
        <v>162</v>
      </c>
      <c r="CA676">
        <v>0.57999999999999996</v>
      </c>
      <c r="CB676">
        <v>0.57999999999999996</v>
      </c>
      <c r="CC676">
        <v>0.54</v>
      </c>
      <c r="CD676">
        <v>0.54</v>
      </c>
      <c r="CE676">
        <v>1.22</v>
      </c>
      <c r="CF676">
        <v>1.22</v>
      </c>
      <c r="CG676">
        <v>3</v>
      </c>
      <c r="CH676" s="1" t="s">
        <v>256</v>
      </c>
      <c r="CI676" s="1" t="s">
        <v>129</v>
      </c>
      <c r="CJ676">
        <v>6.6666666666666596E-2</v>
      </c>
      <c r="CK676">
        <v>1</v>
      </c>
      <c r="CL676" s="1" t="s">
        <v>304</v>
      </c>
      <c r="CM676">
        <v>53</v>
      </c>
      <c r="CN676" s="1" t="s">
        <v>6368</v>
      </c>
      <c r="CO676" s="1" t="s">
        <v>310</v>
      </c>
      <c r="CP676">
        <v>90.2</v>
      </c>
      <c r="CQ676" s="1" t="s">
        <v>3004</v>
      </c>
      <c r="CR676">
        <v>143</v>
      </c>
      <c r="CS676" s="1" t="s">
        <v>4475</v>
      </c>
      <c r="CT676" s="1" t="s">
        <v>6618</v>
      </c>
      <c r="CU676" s="1" t="s">
        <v>6619</v>
      </c>
      <c r="CV676">
        <v>1627.4</v>
      </c>
      <c r="CW676">
        <v>54.85</v>
      </c>
      <c r="CX676">
        <v>56.9</v>
      </c>
      <c r="CY676">
        <v>42.6</v>
      </c>
      <c r="CZ676" s="1" t="s">
        <v>2953</v>
      </c>
      <c r="DA676">
        <v>1</v>
      </c>
      <c r="DB676" t="s">
        <v>656</v>
      </c>
      <c r="DC676">
        <v>37</v>
      </c>
      <c r="DD676" s="1" t="s">
        <v>6631</v>
      </c>
      <c r="DE676">
        <v>-20.861130850561501</v>
      </c>
      <c r="DF676" t="str">
        <f>_xlfn.XLOOKUP(Table1[[#This Row],[Player ID]],Table2[feed_id],Table2[trade_status])</f>
        <v>free_agent</v>
      </c>
      <c r="DG676">
        <f>_xlfn.NUMBERVALUE(Table1[[#This Row],[predicted]])</f>
        <v>57.861130850561501</v>
      </c>
    </row>
    <row r="677" spans="1:111" hidden="1" x14ac:dyDescent="0.25">
      <c r="A677">
        <v>132512</v>
      </c>
      <c r="B677">
        <v>9236</v>
      </c>
      <c r="C677" t="s">
        <v>6613</v>
      </c>
      <c r="D677" t="s">
        <v>1183</v>
      </c>
      <c r="E677">
        <v>2025</v>
      </c>
      <c r="F677">
        <v>993940</v>
      </c>
      <c r="G677" t="s">
        <v>1072</v>
      </c>
      <c r="H677" t="s">
        <v>3362</v>
      </c>
      <c r="I677" t="s">
        <v>178</v>
      </c>
      <c r="J677">
        <v>1</v>
      </c>
      <c r="K677">
        <v>14</v>
      </c>
      <c r="L677">
        <v>18</v>
      </c>
      <c r="M677">
        <v>16</v>
      </c>
      <c r="N677">
        <v>12</v>
      </c>
      <c r="O677">
        <v>18</v>
      </c>
      <c r="P677">
        <v>2</v>
      </c>
      <c r="Q677">
        <v>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113</v>
      </c>
      <c r="Z677" t="s">
        <v>114</v>
      </c>
      <c r="AA677" t="s">
        <v>6632</v>
      </c>
      <c r="AB677" t="s">
        <v>116</v>
      </c>
      <c r="AC677" t="s">
        <v>4341</v>
      </c>
      <c r="AH677" t="s">
        <v>181</v>
      </c>
      <c r="AI677">
        <v>34</v>
      </c>
      <c r="AJ677">
        <v>0</v>
      </c>
      <c r="AK677">
        <v>0</v>
      </c>
      <c r="AL677">
        <v>0</v>
      </c>
      <c r="AM677">
        <v>0.13</v>
      </c>
      <c r="AN677">
        <v>0.1</v>
      </c>
      <c r="AO677">
        <v>0.21</v>
      </c>
      <c r="AS677">
        <v>1</v>
      </c>
      <c r="AT677">
        <v>1</v>
      </c>
      <c r="AU677">
        <v>1</v>
      </c>
      <c r="AV677">
        <v>83</v>
      </c>
      <c r="AW677">
        <v>54</v>
      </c>
      <c r="AX677">
        <v>103</v>
      </c>
      <c r="AY677">
        <v>1</v>
      </c>
      <c r="AZ677" t="b">
        <v>1</v>
      </c>
      <c r="BA677">
        <v>1582</v>
      </c>
      <c r="BB677">
        <v>1708</v>
      </c>
      <c r="BC677">
        <v>5</v>
      </c>
      <c r="BD677" t="s">
        <v>6615</v>
      </c>
      <c r="BE677">
        <v>100</v>
      </c>
      <c r="BF677">
        <v>0</v>
      </c>
      <c r="BG677">
        <v>72</v>
      </c>
      <c r="BH677">
        <v>0</v>
      </c>
      <c r="BI677">
        <v>9</v>
      </c>
      <c r="BJ677" s="1" t="s">
        <v>949</v>
      </c>
      <c r="BK677" s="1" t="s">
        <v>183</v>
      </c>
      <c r="BL677" s="1" t="s">
        <v>898</v>
      </c>
      <c r="BM677">
        <v>2</v>
      </c>
      <c r="BN677" s="1" t="s">
        <v>138</v>
      </c>
      <c r="BO677" s="1" t="s">
        <v>161</v>
      </c>
      <c r="BP677" s="1" t="s">
        <v>275</v>
      </c>
      <c r="BQ677">
        <v>0</v>
      </c>
      <c r="BR677">
        <v>0</v>
      </c>
      <c r="BS677" s="1" t="s">
        <v>129</v>
      </c>
      <c r="BT677">
        <v>0.6</v>
      </c>
      <c r="BU677">
        <v>0</v>
      </c>
      <c r="BV677">
        <v>0.4</v>
      </c>
      <c r="BW677">
        <v>0</v>
      </c>
      <c r="BX677">
        <v>0</v>
      </c>
      <c r="BY677">
        <v>0</v>
      </c>
      <c r="BZ677">
        <v>0</v>
      </c>
      <c r="CA677">
        <v>0.13</v>
      </c>
      <c r="CB677" s="1" t="s">
        <v>6633</v>
      </c>
      <c r="CC677">
        <v>0.1</v>
      </c>
      <c r="CD677" s="1" t="s">
        <v>6634</v>
      </c>
      <c r="CE677">
        <v>0.21</v>
      </c>
      <c r="CF677">
        <v>0.71199999999999997</v>
      </c>
      <c r="CG677" s="1" t="s">
        <v>125</v>
      </c>
      <c r="CH677" s="1" t="s">
        <v>138</v>
      </c>
      <c r="CI677" s="1" t="s">
        <v>129</v>
      </c>
      <c r="CJ677">
        <v>0.6</v>
      </c>
      <c r="CK677" s="1" t="s">
        <v>161</v>
      </c>
      <c r="CL677">
        <v>2</v>
      </c>
      <c r="CM677" s="1" t="s">
        <v>142</v>
      </c>
      <c r="CN677" s="1" t="s">
        <v>663</v>
      </c>
      <c r="CO677" s="1" t="s">
        <v>754</v>
      </c>
      <c r="CP677">
        <v>75.2</v>
      </c>
      <c r="CQ677">
        <v>352</v>
      </c>
      <c r="CR677" s="1" t="s">
        <v>6635</v>
      </c>
      <c r="CS677">
        <v>1606</v>
      </c>
      <c r="CT677" s="1" t="s">
        <v>6636</v>
      </c>
      <c r="CU677" s="1" t="s">
        <v>3862</v>
      </c>
      <c r="CV677">
        <v>1610.4</v>
      </c>
      <c r="CW677">
        <v>70.75</v>
      </c>
      <c r="CX677">
        <v>64</v>
      </c>
      <c r="CY677">
        <v>62.6</v>
      </c>
      <c r="CZ677" s="1" t="s">
        <v>1459</v>
      </c>
      <c r="DA677">
        <v>1</v>
      </c>
      <c r="DB677" t="s">
        <v>114</v>
      </c>
      <c r="DC677">
        <v>18</v>
      </c>
      <c r="DD677" s="1" t="s">
        <v>6637</v>
      </c>
      <c r="DE677">
        <v>-35.762938420024398</v>
      </c>
      <c r="DF677" t="str">
        <f>_xlfn.XLOOKUP(Table1[[#This Row],[Player ID]],Table2[feed_id],Table2[trade_status])</f>
        <v>free_agent</v>
      </c>
      <c r="DG677">
        <f>_xlfn.NUMBERVALUE(Table1[[#This Row],[predicted]])</f>
        <v>53.762938420024398</v>
      </c>
    </row>
    <row r="678" spans="1:111" hidden="1" x14ac:dyDescent="0.25">
      <c r="A678">
        <v>132520</v>
      </c>
      <c r="B678">
        <v>9236</v>
      </c>
      <c r="C678" t="s">
        <v>6613</v>
      </c>
      <c r="D678" t="s">
        <v>1183</v>
      </c>
      <c r="E678">
        <v>2025</v>
      </c>
      <c r="F678">
        <v>1008855</v>
      </c>
      <c r="G678" t="s">
        <v>6638</v>
      </c>
      <c r="H678" t="s">
        <v>6639</v>
      </c>
      <c r="I678" t="s">
        <v>712</v>
      </c>
      <c r="J678">
        <v>14</v>
      </c>
      <c r="K678">
        <v>84</v>
      </c>
      <c r="L678">
        <v>58</v>
      </c>
      <c r="M678">
        <v>43</v>
      </c>
      <c r="N678">
        <v>67</v>
      </c>
      <c r="O678">
        <v>87</v>
      </c>
      <c r="P678">
        <v>17</v>
      </c>
      <c r="Q678">
        <v>3</v>
      </c>
      <c r="R678">
        <v>8</v>
      </c>
      <c r="S678">
        <v>1</v>
      </c>
      <c r="T678">
        <v>0</v>
      </c>
      <c r="U678">
        <v>2</v>
      </c>
      <c r="V678">
        <v>1</v>
      </c>
      <c r="W678">
        <v>0</v>
      </c>
      <c r="X678">
        <v>0</v>
      </c>
      <c r="Y678" t="s">
        <v>113</v>
      </c>
      <c r="Z678" t="s">
        <v>6496</v>
      </c>
      <c r="AA678" t="s">
        <v>6640</v>
      </c>
      <c r="AB678" t="s">
        <v>525</v>
      </c>
      <c r="AC678" t="s">
        <v>6641</v>
      </c>
      <c r="AD678">
        <v>147500</v>
      </c>
      <c r="AE678">
        <v>0</v>
      </c>
      <c r="AH678" t="s">
        <v>118</v>
      </c>
      <c r="AI678">
        <v>13</v>
      </c>
      <c r="AJ678">
        <v>0</v>
      </c>
      <c r="AK678">
        <v>0</v>
      </c>
      <c r="AL678">
        <v>0</v>
      </c>
      <c r="AM678">
        <v>0</v>
      </c>
      <c r="AN678">
        <v>0.19</v>
      </c>
      <c r="AO678">
        <v>0.1</v>
      </c>
      <c r="AS678">
        <v>4</v>
      </c>
      <c r="AT678">
        <v>1</v>
      </c>
      <c r="AU678">
        <v>5</v>
      </c>
      <c r="AV678">
        <v>65</v>
      </c>
      <c r="AW678">
        <v>78</v>
      </c>
      <c r="AX678">
        <v>440</v>
      </c>
      <c r="AY678">
        <v>1</v>
      </c>
      <c r="AZ678" t="b">
        <v>0</v>
      </c>
      <c r="BA678">
        <v>1708</v>
      </c>
      <c r="BB678">
        <v>1582</v>
      </c>
      <c r="BC678">
        <v>5</v>
      </c>
      <c r="BD678" t="s">
        <v>6642</v>
      </c>
      <c r="BE678">
        <v>100</v>
      </c>
      <c r="BF678">
        <v>0</v>
      </c>
      <c r="BG678">
        <v>72</v>
      </c>
      <c r="BH678">
        <v>0</v>
      </c>
      <c r="BI678">
        <v>10</v>
      </c>
      <c r="BJ678">
        <v>8.6</v>
      </c>
      <c r="BK678">
        <v>3</v>
      </c>
      <c r="BL678" s="1" t="s">
        <v>212</v>
      </c>
      <c r="BM678">
        <v>5</v>
      </c>
      <c r="BN678" s="1" t="s">
        <v>211</v>
      </c>
      <c r="BO678" s="1" t="s">
        <v>128</v>
      </c>
      <c r="BP678" s="1" t="s">
        <v>399</v>
      </c>
      <c r="BQ678">
        <v>0</v>
      </c>
      <c r="BR678">
        <v>0</v>
      </c>
      <c r="BS678" s="1" t="s">
        <v>128</v>
      </c>
      <c r="BT678" s="1" t="s">
        <v>184</v>
      </c>
      <c r="BU678">
        <v>1</v>
      </c>
      <c r="BV678" s="1" t="s">
        <v>399</v>
      </c>
      <c r="BW678">
        <v>0</v>
      </c>
      <c r="BX678">
        <v>0.4</v>
      </c>
      <c r="BY678">
        <v>0</v>
      </c>
      <c r="BZ678" s="1" t="s">
        <v>129</v>
      </c>
      <c r="CA678">
        <v>0</v>
      </c>
      <c r="CB678">
        <v>0</v>
      </c>
      <c r="CC678">
        <v>0.19</v>
      </c>
      <c r="CD678" s="1" t="s">
        <v>6643</v>
      </c>
      <c r="CE678">
        <v>0.1</v>
      </c>
      <c r="CF678">
        <v>8.7999999999999995E-2</v>
      </c>
      <c r="CG678">
        <v>3</v>
      </c>
      <c r="CH678" s="1" t="s">
        <v>255</v>
      </c>
      <c r="CI678" s="1" t="s">
        <v>128</v>
      </c>
      <c r="CJ678" s="1" t="s">
        <v>128</v>
      </c>
      <c r="CK678">
        <v>3</v>
      </c>
      <c r="CL678" s="1" t="s">
        <v>214</v>
      </c>
      <c r="CM678" s="1" t="s">
        <v>261</v>
      </c>
      <c r="CN678">
        <v>71</v>
      </c>
      <c r="CO678" s="1" t="s">
        <v>687</v>
      </c>
      <c r="CP678">
        <v>60.6</v>
      </c>
      <c r="CQ678" s="1" t="s">
        <v>6644</v>
      </c>
      <c r="CR678" s="1" t="s">
        <v>6645</v>
      </c>
      <c r="CS678">
        <v>1631</v>
      </c>
      <c r="CT678">
        <v>1666.4</v>
      </c>
      <c r="CU678">
        <v>1660</v>
      </c>
      <c r="CV678" s="1" t="s">
        <v>790</v>
      </c>
      <c r="CW678">
        <v>50.1</v>
      </c>
      <c r="CX678">
        <v>49.9</v>
      </c>
      <c r="CY678">
        <v>37</v>
      </c>
      <c r="CZ678" s="1" t="s">
        <v>2259</v>
      </c>
      <c r="DA678">
        <v>1</v>
      </c>
      <c r="DB678" t="s">
        <v>6496</v>
      </c>
      <c r="DC678">
        <v>58</v>
      </c>
      <c r="DD678">
        <v>50.749632508141801</v>
      </c>
      <c r="DE678" s="1" t="s">
        <v>6646</v>
      </c>
      <c r="DF678" t="str">
        <f>_xlfn.XLOOKUP(Table1[[#This Row],[Player ID]],Table2[feed_id],Table2[trade_status])</f>
        <v>free_agent</v>
      </c>
      <c r="DG678">
        <f>_xlfn.NUMBERVALUE(Table1[[#This Row],[predicted]])</f>
        <v>50.749632508141801</v>
      </c>
    </row>
    <row r="679" spans="1:111" hidden="1" x14ac:dyDescent="0.25">
      <c r="A679">
        <v>132533</v>
      </c>
      <c r="B679">
        <v>9236</v>
      </c>
      <c r="C679" t="s">
        <v>6613</v>
      </c>
      <c r="D679" t="s">
        <v>1183</v>
      </c>
      <c r="E679">
        <v>2025</v>
      </c>
      <c r="F679">
        <v>1017087</v>
      </c>
      <c r="G679" t="s">
        <v>1020</v>
      </c>
      <c r="H679" t="s">
        <v>6647</v>
      </c>
      <c r="I679" t="s">
        <v>712</v>
      </c>
      <c r="J679">
        <v>1</v>
      </c>
      <c r="K679">
        <v>28</v>
      </c>
      <c r="L679">
        <v>31</v>
      </c>
      <c r="M679">
        <v>15</v>
      </c>
      <c r="N679">
        <v>21</v>
      </c>
      <c r="O679">
        <v>30</v>
      </c>
      <c r="P679">
        <v>5</v>
      </c>
      <c r="Q679">
        <v>4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 t="s">
        <v>113</v>
      </c>
      <c r="Z679" t="s">
        <v>226</v>
      </c>
      <c r="AA679" t="s">
        <v>6648</v>
      </c>
      <c r="AB679" t="s">
        <v>3571</v>
      </c>
      <c r="AC679" t="s">
        <v>4081</v>
      </c>
      <c r="AH679" t="s">
        <v>181</v>
      </c>
      <c r="AI679">
        <v>12</v>
      </c>
      <c r="AJ679">
        <v>0</v>
      </c>
      <c r="AK679">
        <v>0</v>
      </c>
      <c r="AL679">
        <v>0</v>
      </c>
      <c r="AM679">
        <v>0.04</v>
      </c>
      <c r="AN679">
        <v>0.14000000000000001</v>
      </c>
      <c r="AO679">
        <v>0.4</v>
      </c>
      <c r="AS679">
        <v>4</v>
      </c>
      <c r="AT679">
        <v>0</v>
      </c>
      <c r="AU679">
        <v>1</v>
      </c>
      <c r="AV679">
        <v>77</v>
      </c>
      <c r="AW679">
        <v>45</v>
      </c>
      <c r="AX679">
        <v>88</v>
      </c>
      <c r="AY679">
        <v>0</v>
      </c>
      <c r="AZ679" t="b">
        <v>0</v>
      </c>
      <c r="BA679">
        <v>1708</v>
      </c>
      <c r="BB679">
        <v>1582</v>
      </c>
      <c r="BC679">
        <v>5</v>
      </c>
      <c r="BD679" t="s">
        <v>6642</v>
      </c>
      <c r="BE679">
        <v>100</v>
      </c>
      <c r="BF679">
        <v>0</v>
      </c>
      <c r="BG679">
        <v>72</v>
      </c>
      <c r="BH679">
        <v>0</v>
      </c>
      <c r="BI679" s="1" t="s">
        <v>545</v>
      </c>
      <c r="BJ679" s="1" t="s">
        <v>545</v>
      </c>
      <c r="BK679">
        <v>3</v>
      </c>
      <c r="BL679" s="1" t="s">
        <v>256</v>
      </c>
      <c r="BM679">
        <v>3</v>
      </c>
      <c r="BN679" s="1" t="s">
        <v>159</v>
      </c>
      <c r="BO679">
        <v>1</v>
      </c>
      <c r="BP679" s="1" t="s">
        <v>528</v>
      </c>
      <c r="BQ679">
        <v>0</v>
      </c>
      <c r="BR679">
        <v>0</v>
      </c>
      <c r="BS679" s="1" t="s">
        <v>128</v>
      </c>
      <c r="BT679" s="1" t="s">
        <v>128</v>
      </c>
      <c r="BU679">
        <v>1</v>
      </c>
      <c r="BV679" s="1" t="s">
        <v>126</v>
      </c>
      <c r="BW679">
        <v>0</v>
      </c>
      <c r="BX679" s="1" t="s">
        <v>184</v>
      </c>
      <c r="BY679">
        <v>0</v>
      </c>
      <c r="BZ679">
        <v>0.4</v>
      </c>
      <c r="CA679">
        <v>0.04</v>
      </c>
      <c r="CB679">
        <v>0.04</v>
      </c>
      <c r="CC679">
        <v>0.14000000000000001</v>
      </c>
      <c r="CD679">
        <v>0.14000000000000001</v>
      </c>
      <c r="CE679">
        <v>0.4</v>
      </c>
      <c r="CF679">
        <v>0.4</v>
      </c>
      <c r="CG679" s="1" t="s">
        <v>159</v>
      </c>
      <c r="CH679" s="1" t="s">
        <v>766</v>
      </c>
      <c r="CI679" s="1" t="s">
        <v>128</v>
      </c>
      <c r="CJ679" s="1" t="s">
        <v>161</v>
      </c>
      <c r="CK679">
        <v>2</v>
      </c>
      <c r="CL679" s="1" t="s">
        <v>766</v>
      </c>
      <c r="CM679" s="1" t="s">
        <v>572</v>
      </c>
      <c r="CN679">
        <v>60.6</v>
      </c>
      <c r="CO679" s="1" t="s">
        <v>1012</v>
      </c>
      <c r="CP679" s="1" t="s">
        <v>531</v>
      </c>
      <c r="CQ679" s="1" t="s">
        <v>3946</v>
      </c>
      <c r="CR679" s="1" t="s">
        <v>4462</v>
      </c>
      <c r="CS679">
        <v>1631</v>
      </c>
      <c r="CT679" s="1" t="s">
        <v>5738</v>
      </c>
      <c r="CU679">
        <v>1660</v>
      </c>
      <c r="CV679" s="1" t="s">
        <v>1859</v>
      </c>
      <c r="CW679">
        <v>42.85</v>
      </c>
      <c r="CX679">
        <v>43.7</v>
      </c>
      <c r="CY679">
        <v>40.799999999999997</v>
      </c>
      <c r="CZ679" s="1" t="s">
        <v>2112</v>
      </c>
      <c r="DA679">
        <v>1</v>
      </c>
      <c r="DB679" t="s">
        <v>226</v>
      </c>
      <c r="DC679">
        <v>31</v>
      </c>
      <c r="DD679" s="1" t="s">
        <v>6649</v>
      </c>
      <c r="DE679">
        <v>-43.7061004832929</v>
      </c>
      <c r="DF679" t="str">
        <f>_xlfn.XLOOKUP(Table1[[#This Row],[Player ID]],Table2[feed_id],Table2[trade_status])</f>
        <v>free_agent</v>
      </c>
      <c r="DG679">
        <f>_xlfn.NUMBERVALUE(Table1[[#This Row],[predicted]])</f>
        <v>74.7061004832929</v>
      </c>
    </row>
    <row r="680" spans="1:111" hidden="1" x14ac:dyDescent="0.25">
      <c r="A680">
        <v>132535</v>
      </c>
      <c r="B680">
        <v>9237</v>
      </c>
      <c r="C680" t="s">
        <v>6650</v>
      </c>
      <c r="D680" t="s">
        <v>3116</v>
      </c>
      <c r="E680">
        <v>2025</v>
      </c>
      <c r="F680">
        <v>1001195</v>
      </c>
      <c r="G680" t="s">
        <v>6651</v>
      </c>
      <c r="H680" t="s">
        <v>6652</v>
      </c>
      <c r="I680" t="s">
        <v>510</v>
      </c>
      <c r="J680">
        <v>27</v>
      </c>
      <c r="K680">
        <v>107</v>
      </c>
      <c r="L680">
        <v>91</v>
      </c>
      <c r="M680">
        <v>136</v>
      </c>
      <c r="N680">
        <v>85</v>
      </c>
      <c r="O680">
        <v>114</v>
      </c>
      <c r="P680">
        <v>16</v>
      </c>
      <c r="Q680">
        <v>9</v>
      </c>
      <c r="R680">
        <v>5</v>
      </c>
      <c r="S680">
        <v>4</v>
      </c>
      <c r="T680">
        <v>0</v>
      </c>
      <c r="U680">
        <v>1</v>
      </c>
      <c r="V680">
        <v>1</v>
      </c>
      <c r="W680">
        <v>2</v>
      </c>
      <c r="X680">
        <v>0</v>
      </c>
      <c r="Y680" t="s">
        <v>113</v>
      </c>
      <c r="Z680" t="s">
        <v>6653</v>
      </c>
      <c r="AA680" t="s">
        <v>6654</v>
      </c>
      <c r="AB680" t="s">
        <v>5826</v>
      </c>
      <c r="AC680" t="s">
        <v>6655</v>
      </c>
      <c r="AH680" t="s">
        <v>155</v>
      </c>
      <c r="AI680">
        <v>23</v>
      </c>
      <c r="AJ680">
        <v>0</v>
      </c>
      <c r="AK680">
        <v>0</v>
      </c>
      <c r="AL680">
        <v>0</v>
      </c>
      <c r="AM680">
        <v>0.84</v>
      </c>
      <c r="AN680">
        <v>1.06</v>
      </c>
      <c r="AO680">
        <v>1.62</v>
      </c>
      <c r="AS680">
        <v>8</v>
      </c>
      <c r="AT680">
        <v>4</v>
      </c>
      <c r="AU680">
        <v>8</v>
      </c>
      <c r="AV680">
        <v>56</v>
      </c>
      <c r="AW680">
        <v>82</v>
      </c>
      <c r="AX680">
        <v>273</v>
      </c>
      <c r="AY680">
        <v>0</v>
      </c>
      <c r="AZ680" t="b">
        <v>0</v>
      </c>
      <c r="BA680">
        <v>1632</v>
      </c>
      <c r="BB680">
        <v>1646</v>
      </c>
      <c r="BC680">
        <v>6</v>
      </c>
      <c r="BD680" t="s">
        <v>6656</v>
      </c>
      <c r="BE680" s="1" t="s">
        <v>3594</v>
      </c>
      <c r="BF680">
        <v>0</v>
      </c>
      <c r="BG680">
        <v>71</v>
      </c>
      <c r="BH680">
        <v>1</v>
      </c>
      <c r="BI680">
        <v>14</v>
      </c>
      <c r="BJ680" s="1" t="s">
        <v>3207</v>
      </c>
      <c r="BK680" s="1" t="s">
        <v>356</v>
      </c>
      <c r="BL680" s="1" t="s">
        <v>545</v>
      </c>
      <c r="BM680">
        <v>4</v>
      </c>
      <c r="BN680">
        <v>3.4</v>
      </c>
      <c r="BO680" s="1" t="s">
        <v>449</v>
      </c>
      <c r="BP680" s="1" t="s">
        <v>125</v>
      </c>
      <c r="BQ680">
        <v>0</v>
      </c>
      <c r="BR680">
        <v>0</v>
      </c>
      <c r="BS680" s="1" t="s">
        <v>161</v>
      </c>
      <c r="BT680" s="1" t="s">
        <v>298</v>
      </c>
      <c r="BU680" s="1" t="s">
        <v>159</v>
      </c>
      <c r="BV680" s="1" t="s">
        <v>206</v>
      </c>
      <c r="BW680" s="1" t="s">
        <v>128</v>
      </c>
      <c r="BX680">
        <v>1.8</v>
      </c>
      <c r="BY680" s="1" t="s">
        <v>128</v>
      </c>
      <c r="BZ680">
        <v>0.6</v>
      </c>
      <c r="CA680">
        <v>0.84</v>
      </c>
      <c r="CB680">
        <v>0.84</v>
      </c>
      <c r="CC680">
        <v>1.06</v>
      </c>
      <c r="CD680">
        <v>1.06</v>
      </c>
      <c r="CE680">
        <v>1.62</v>
      </c>
      <c r="CF680">
        <v>1.62</v>
      </c>
      <c r="CG680">
        <v>15</v>
      </c>
      <c r="CH680">
        <v>11</v>
      </c>
      <c r="CI680" s="1" t="s">
        <v>253</v>
      </c>
      <c r="CJ680" s="1" t="s">
        <v>781</v>
      </c>
      <c r="CK680" s="1" t="s">
        <v>397</v>
      </c>
      <c r="CL680" s="1" t="s">
        <v>189</v>
      </c>
      <c r="CM680">
        <v>60</v>
      </c>
      <c r="CN680" s="1" t="s">
        <v>5185</v>
      </c>
      <c r="CO680" s="1" t="s">
        <v>406</v>
      </c>
      <c r="CP680" s="1" t="s">
        <v>1272</v>
      </c>
      <c r="CQ680">
        <v>376</v>
      </c>
      <c r="CR680">
        <v>364.8</v>
      </c>
      <c r="CS680" s="1" t="s">
        <v>4695</v>
      </c>
      <c r="CT680" s="1" t="s">
        <v>5499</v>
      </c>
      <c r="CU680">
        <v>1598</v>
      </c>
      <c r="CV680" s="1" t="s">
        <v>6657</v>
      </c>
      <c r="CW680">
        <v>98.4</v>
      </c>
      <c r="CX680">
        <v>95.5</v>
      </c>
      <c r="CY680">
        <v>103.2</v>
      </c>
      <c r="CZ680">
        <v>97</v>
      </c>
      <c r="DA680">
        <v>1</v>
      </c>
      <c r="DB680" t="s">
        <v>6653</v>
      </c>
      <c r="DC680">
        <v>91</v>
      </c>
      <c r="DD680" s="1" t="s">
        <v>6658</v>
      </c>
      <c r="DE680">
        <v>-7.2199260337371101</v>
      </c>
      <c r="DF680" t="e">
        <f>_xlfn.XLOOKUP(Table1[[#This Row],[Player ID]],Table2[feed_id],Table2[trade_status])</f>
        <v>#N/A</v>
      </c>
      <c r="DG680">
        <f>_xlfn.NUMBERVALUE(Table1[[#This Row],[predicted]])</f>
        <v>98.219926033737096</v>
      </c>
    </row>
    <row r="681" spans="1:111" hidden="1" x14ac:dyDescent="0.25">
      <c r="A681">
        <v>132536</v>
      </c>
      <c r="B681">
        <v>9237</v>
      </c>
      <c r="C681" t="s">
        <v>6650</v>
      </c>
      <c r="D681" t="s">
        <v>3116</v>
      </c>
      <c r="E681">
        <v>2025</v>
      </c>
      <c r="F681">
        <v>1004863</v>
      </c>
      <c r="G681" t="s">
        <v>1812</v>
      </c>
      <c r="H681" t="s">
        <v>6659</v>
      </c>
      <c r="I681" t="s">
        <v>510</v>
      </c>
      <c r="J681">
        <v>19</v>
      </c>
      <c r="K681">
        <v>95</v>
      </c>
      <c r="L681">
        <v>95</v>
      </c>
      <c r="M681">
        <v>124</v>
      </c>
      <c r="N681">
        <v>74</v>
      </c>
      <c r="O681">
        <v>99</v>
      </c>
      <c r="P681">
        <v>19</v>
      </c>
      <c r="Q681">
        <v>6</v>
      </c>
      <c r="R681">
        <v>6</v>
      </c>
      <c r="S681">
        <v>2</v>
      </c>
      <c r="T681">
        <v>0</v>
      </c>
      <c r="U681">
        <v>3</v>
      </c>
      <c r="V681">
        <v>1</v>
      </c>
      <c r="W681">
        <v>0</v>
      </c>
      <c r="X681">
        <v>0</v>
      </c>
      <c r="Y681" t="s">
        <v>113</v>
      </c>
      <c r="Z681" t="s">
        <v>179</v>
      </c>
      <c r="AA681" t="s">
        <v>6660</v>
      </c>
      <c r="AE681">
        <v>0</v>
      </c>
      <c r="AI681">
        <v>20</v>
      </c>
      <c r="AJ681">
        <v>0</v>
      </c>
      <c r="AK681">
        <v>0</v>
      </c>
      <c r="AL681">
        <v>0</v>
      </c>
      <c r="AM681">
        <v>0</v>
      </c>
      <c r="AN681">
        <v>0.74</v>
      </c>
      <c r="AO681">
        <v>1.35</v>
      </c>
      <c r="AS681">
        <v>6</v>
      </c>
      <c r="AT681">
        <v>0</v>
      </c>
      <c r="AU681">
        <v>5</v>
      </c>
      <c r="AV681">
        <v>76</v>
      </c>
      <c r="AW681">
        <v>85</v>
      </c>
      <c r="AX681">
        <v>489</v>
      </c>
      <c r="AY681">
        <v>0</v>
      </c>
      <c r="AZ681" t="b">
        <v>0</v>
      </c>
      <c r="BA681">
        <v>1632</v>
      </c>
      <c r="BB681">
        <v>1646</v>
      </c>
      <c r="BC681">
        <v>6</v>
      </c>
      <c r="BD681" t="s">
        <v>6656</v>
      </c>
      <c r="BE681" s="1" t="s">
        <v>3594</v>
      </c>
      <c r="BF681">
        <v>0</v>
      </c>
      <c r="BG681">
        <v>71</v>
      </c>
      <c r="BH681">
        <v>1</v>
      </c>
      <c r="BI681" s="1" t="s">
        <v>296</v>
      </c>
      <c r="BJ681" s="1" t="s">
        <v>6661</v>
      </c>
      <c r="BK681" s="1" t="s">
        <v>204</v>
      </c>
      <c r="BL681">
        <v>7</v>
      </c>
      <c r="BM681">
        <v>6</v>
      </c>
      <c r="BN681">
        <v>4.8</v>
      </c>
      <c r="BO681" s="1" t="s">
        <v>169</v>
      </c>
      <c r="BP681" s="1" t="s">
        <v>373</v>
      </c>
      <c r="BQ681">
        <v>0</v>
      </c>
      <c r="BR681">
        <v>0</v>
      </c>
      <c r="BS681" s="1" t="s">
        <v>159</v>
      </c>
      <c r="BT681" s="1" t="s">
        <v>127</v>
      </c>
      <c r="BU681" s="1" t="s">
        <v>126</v>
      </c>
      <c r="BV681" s="1" t="s">
        <v>399</v>
      </c>
      <c r="BW681">
        <v>0</v>
      </c>
      <c r="BX681" s="1" t="s">
        <v>213</v>
      </c>
      <c r="BY681">
        <v>0</v>
      </c>
      <c r="BZ681" s="1" t="s">
        <v>184</v>
      </c>
      <c r="CA681">
        <v>0</v>
      </c>
      <c r="CB681">
        <v>0</v>
      </c>
      <c r="CC681">
        <v>0.74</v>
      </c>
      <c r="CD681">
        <v>0.74</v>
      </c>
      <c r="CE681">
        <v>1.35</v>
      </c>
      <c r="CF681">
        <v>1.35</v>
      </c>
      <c r="CG681">
        <v>7</v>
      </c>
      <c r="CH681" s="1" t="s">
        <v>139</v>
      </c>
      <c r="CI681">
        <v>0</v>
      </c>
      <c r="CJ681" s="1" t="s">
        <v>127</v>
      </c>
      <c r="CK681" s="1" t="s">
        <v>160</v>
      </c>
      <c r="CL681" s="1" t="s">
        <v>373</v>
      </c>
      <c r="CM681" s="1" t="s">
        <v>755</v>
      </c>
      <c r="CN681" s="1" t="s">
        <v>850</v>
      </c>
      <c r="CO681" s="1" t="s">
        <v>142</v>
      </c>
      <c r="CP681">
        <v>79.599999999999994</v>
      </c>
      <c r="CQ681" s="1" t="s">
        <v>6662</v>
      </c>
      <c r="CR681">
        <v>405.8</v>
      </c>
      <c r="CS681" s="1" t="s">
        <v>4695</v>
      </c>
      <c r="CT681">
        <v>1660.6</v>
      </c>
      <c r="CU681">
        <v>1598</v>
      </c>
      <c r="CV681" s="1" t="s">
        <v>2315</v>
      </c>
      <c r="CW681">
        <v>93.1</v>
      </c>
      <c r="CX681">
        <v>84.8</v>
      </c>
      <c r="CY681">
        <v>95.8</v>
      </c>
      <c r="CZ681" s="1" t="s">
        <v>6022</v>
      </c>
      <c r="DA681">
        <v>1</v>
      </c>
      <c r="DB681" t="s">
        <v>179</v>
      </c>
      <c r="DC681">
        <v>95</v>
      </c>
      <c r="DD681" s="1" t="s">
        <v>6663</v>
      </c>
      <c r="DE681" s="1" t="s">
        <v>6664</v>
      </c>
      <c r="DF681" t="e">
        <f>_xlfn.XLOOKUP(Table1[[#This Row],[Player ID]],Table2[feed_id],Table2[trade_status])</f>
        <v>#N/A</v>
      </c>
      <c r="DG681">
        <f>_xlfn.NUMBERVALUE(Table1[[#This Row],[predicted]])</f>
        <v>81.178593161940299</v>
      </c>
    </row>
    <row r="682" spans="1:111" hidden="1" x14ac:dyDescent="0.25">
      <c r="A682">
        <v>132537</v>
      </c>
      <c r="B682">
        <v>9237</v>
      </c>
      <c r="C682" t="s">
        <v>6650</v>
      </c>
      <c r="D682" t="s">
        <v>3116</v>
      </c>
      <c r="E682">
        <v>2025</v>
      </c>
      <c r="F682">
        <v>992242</v>
      </c>
      <c r="G682" t="s">
        <v>2755</v>
      </c>
      <c r="H682" t="s">
        <v>1140</v>
      </c>
      <c r="I682" t="s">
        <v>510</v>
      </c>
      <c r="J682">
        <v>20</v>
      </c>
      <c r="K682">
        <v>92</v>
      </c>
      <c r="L682">
        <v>60</v>
      </c>
      <c r="M682">
        <v>124</v>
      </c>
      <c r="N682">
        <v>67</v>
      </c>
      <c r="O682">
        <v>93</v>
      </c>
      <c r="P682">
        <v>17</v>
      </c>
      <c r="Q682">
        <v>4</v>
      </c>
      <c r="R682">
        <v>3</v>
      </c>
      <c r="S682">
        <v>6</v>
      </c>
      <c r="T682">
        <v>0</v>
      </c>
      <c r="U682">
        <v>3</v>
      </c>
      <c r="V682">
        <v>2</v>
      </c>
      <c r="W682">
        <v>0</v>
      </c>
      <c r="X682">
        <v>3</v>
      </c>
      <c r="Y682" t="s">
        <v>113</v>
      </c>
      <c r="Z682" t="s">
        <v>6665</v>
      </c>
      <c r="AA682" t="s">
        <v>6666</v>
      </c>
      <c r="AB682" t="s">
        <v>5826</v>
      </c>
      <c r="AC682" t="s">
        <v>6667</v>
      </c>
      <c r="AH682" t="s">
        <v>181</v>
      </c>
      <c r="AI682">
        <v>12</v>
      </c>
      <c r="AJ682">
        <v>0</v>
      </c>
      <c r="AK682">
        <v>0</v>
      </c>
      <c r="AL682">
        <v>0</v>
      </c>
      <c r="AM682">
        <v>17.399999999999999</v>
      </c>
      <c r="AN682">
        <v>17.760000000000002</v>
      </c>
      <c r="AO682">
        <v>12.23</v>
      </c>
      <c r="AS682">
        <v>7</v>
      </c>
      <c r="AT682">
        <v>2</v>
      </c>
      <c r="AU682">
        <v>8</v>
      </c>
      <c r="AV682">
        <v>38</v>
      </c>
      <c r="AW682">
        <v>87</v>
      </c>
      <c r="AX682">
        <v>634</v>
      </c>
      <c r="AY682">
        <v>0</v>
      </c>
      <c r="AZ682" t="b">
        <v>0</v>
      </c>
      <c r="BA682">
        <v>1632</v>
      </c>
      <c r="BB682">
        <v>1646</v>
      </c>
      <c r="BC682">
        <v>6</v>
      </c>
      <c r="BD682" t="s">
        <v>6656</v>
      </c>
      <c r="BE682" s="1" t="s">
        <v>3594</v>
      </c>
      <c r="BF682">
        <v>0</v>
      </c>
      <c r="BG682">
        <v>71</v>
      </c>
      <c r="BH682">
        <v>0</v>
      </c>
      <c r="BI682">
        <v>15</v>
      </c>
      <c r="BJ682" s="1" t="s">
        <v>6668</v>
      </c>
      <c r="BK682" s="1" t="s">
        <v>137</v>
      </c>
      <c r="BL682">
        <v>8.6</v>
      </c>
      <c r="BM682" s="1" t="s">
        <v>125</v>
      </c>
      <c r="BN682">
        <v>5</v>
      </c>
      <c r="BO682">
        <v>6</v>
      </c>
      <c r="BP682" s="1" t="s">
        <v>964</v>
      </c>
      <c r="BQ682">
        <v>0</v>
      </c>
      <c r="BR682">
        <v>0</v>
      </c>
      <c r="BS682" s="1" t="s">
        <v>161</v>
      </c>
      <c r="BT682">
        <v>1</v>
      </c>
      <c r="BU682" s="1" t="s">
        <v>128</v>
      </c>
      <c r="BV682">
        <v>1.2</v>
      </c>
      <c r="BW682">
        <v>0</v>
      </c>
      <c r="BX682" s="1" t="s">
        <v>129</v>
      </c>
      <c r="BY682" s="1" t="s">
        <v>126</v>
      </c>
      <c r="BZ682" s="1" t="s">
        <v>238</v>
      </c>
      <c r="CA682">
        <v>17.399999999999999</v>
      </c>
      <c r="CB682">
        <v>17.399999999999999</v>
      </c>
      <c r="CC682">
        <v>17.760000000000002</v>
      </c>
      <c r="CD682">
        <v>17.760000000000002</v>
      </c>
      <c r="CE682">
        <v>12.23</v>
      </c>
      <c r="CF682">
        <v>12.23</v>
      </c>
      <c r="CG682">
        <v>9</v>
      </c>
      <c r="CH682" s="1" t="s">
        <v>448</v>
      </c>
      <c r="CI682" s="1" t="s">
        <v>160</v>
      </c>
      <c r="CJ682" s="1" t="s">
        <v>321</v>
      </c>
      <c r="CK682">
        <v>4</v>
      </c>
      <c r="CL682" s="1" t="s">
        <v>436</v>
      </c>
      <c r="CM682">
        <v>55</v>
      </c>
      <c r="CN682" s="1" t="s">
        <v>172</v>
      </c>
      <c r="CO682" s="1" t="s">
        <v>239</v>
      </c>
      <c r="CP682" s="1" t="s">
        <v>6669</v>
      </c>
      <c r="CQ682" s="1" t="s">
        <v>6670</v>
      </c>
      <c r="CR682" s="1" t="s">
        <v>6671</v>
      </c>
      <c r="CS682" s="1" t="s">
        <v>4695</v>
      </c>
      <c r="CT682" s="1" t="s">
        <v>2850</v>
      </c>
      <c r="CU682">
        <v>1598</v>
      </c>
      <c r="CV682">
        <v>1608.8</v>
      </c>
      <c r="CW682">
        <v>102.5</v>
      </c>
      <c r="CX682">
        <v>103.6</v>
      </c>
      <c r="CY682">
        <v>101.4</v>
      </c>
      <c r="CZ682" s="1" t="s">
        <v>1028</v>
      </c>
      <c r="DA682">
        <v>1</v>
      </c>
      <c r="DB682" t="s">
        <v>6665</v>
      </c>
      <c r="DC682">
        <v>60</v>
      </c>
      <c r="DD682" s="1" t="s">
        <v>6672</v>
      </c>
      <c r="DE682">
        <v>-42.862637868418098</v>
      </c>
      <c r="DF682" t="e">
        <f>_xlfn.XLOOKUP(Table1[[#This Row],[Player ID]],Table2[feed_id],Table2[trade_status])</f>
        <v>#N/A</v>
      </c>
      <c r="DG682">
        <f>_xlfn.NUMBERVALUE(Table1[[#This Row],[predicted]])</f>
        <v>102.86263786841801</v>
      </c>
    </row>
    <row r="683" spans="1:111" hidden="1" x14ac:dyDescent="0.25">
      <c r="A683">
        <v>132538</v>
      </c>
      <c r="B683">
        <v>9237</v>
      </c>
      <c r="C683" t="s">
        <v>6650</v>
      </c>
      <c r="D683" t="s">
        <v>3116</v>
      </c>
      <c r="E683">
        <v>2025</v>
      </c>
      <c r="F683">
        <v>293222</v>
      </c>
      <c r="G683" t="s">
        <v>4099</v>
      </c>
      <c r="H683" t="s">
        <v>6673</v>
      </c>
      <c r="I683" t="s">
        <v>510</v>
      </c>
      <c r="J683">
        <v>14</v>
      </c>
      <c r="K683">
        <v>89</v>
      </c>
      <c r="L683">
        <v>99</v>
      </c>
      <c r="M683">
        <v>113</v>
      </c>
      <c r="N683">
        <v>73</v>
      </c>
      <c r="O683">
        <v>96</v>
      </c>
      <c r="P683">
        <v>14</v>
      </c>
      <c r="Q683">
        <v>9</v>
      </c>
      <c r="R683">
        <v>8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0</v>
      </c>
      <c r="Y683" t="s">
        <v>113</v>
      </c>
      <c r="Z683" t="s">
        <v>226</v>
      </c>
      <c r="AA683" t="s">
        <v>6674</v>
      </c>
      <c r="AE683">
        <v>0</v>
      </c>
      <c r="AH683" t="s">
        <v>118</v>
      </c>
      <c r="AI683">
        <v>29</v>
      </c>
      <c r="AJ683">
        <v>19</v>
      </c>
      <c r="AK683">
        <v>106.16</v>
      </c>
      <c r="AL683">
        <v>0</v>
      </c>
      <c r="AM683">
        <v>0</v>
      </c>
      <c r="AN683">
        <v>9.5299999999999994</v>
      </c>
      <c r="AO683">
        <v>11.99</v>
      </c>
      <c r="AS683">
        <v>9</v>
      </c>
      <c r="AT683">
        <v>4</v>
      </c>
      <c r="AU683">
        <v>2</v>
      </c>
      <c r="AV683">
        <v>69</v>
      </c>
      <c r="AW683">
        <v>77</v>
      </c>
      <c r="AX683">
        <v>397</v>
      </c>
      <c r="AY683">
        <v>0</v>
      </c>
      <c r="AZ683" t="b">
        <v>0</v>
      </c>
      <c r="BA683">
        <v>1632</v>
      </c>
      <c r="BB683">
        <v>1646</v>
      </c>
      <c r="BC683">
        <v>6</v>
      </c>
      <c r="BD683" t="s">
        <v>6656</v>
      </c>
      <c r="BE683" s="1" t="s">
        <v>3594</v>
      </c>
      <c r="BF683">
        <v>1</v>
      </c>
      <c r="BG683">
        <v>71</v>
      </c>
      <c r="BH683">
        <v>1</v>
      </c>
      <c r="BI683" s="1" t="s">
        <v>157</v>
      </c>
      <c r="BJ683" s="1" t="s">
        <v>5801</v>
      </c>
      <c r="BK683">
        <v>13</v>
      </c>
      <c r="BL683" s="1" t="s">
        <v>5124</v>
      </c>
      <c r="BM683" s="1" t="s">
        <v>124</v>
      </c>
      <c r="BN683" s="1" t="s">
        <v>160</v>
      </c>
      <c r="BO683" s="1" t="s">
        <v>159</v>
      </c>
      <c r="BP683" s="1" t="s">
        <v>499</v>
      </c>
      <c r="BQ683">
        <v>0</v>
      </c>
      <c r="BR683">
        <v>0</v>
      </c>
      <c r="BS683" s="1" t="s">
        <v>126</v>
      </c>
      <c r="BT683">
        <v>1</v>
      </c>
      <c r="BU683">
        <v>0</v>
      </c>
      <c r="BV683" s="1" t="s">
        <v>162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9.5299999999999994</v>
      </c>
      <c r="CD683">
        <v>9.5299999999999994</v>
      </c>
      <c r="CE683">
        <v>11.99</v>
      </c>
      <c r="CF683">
        <v>11.99</v>
      </c>
      <c r="CG683">
        <v>9</v>
      </c>
      <c r="CH683" s="1" t="s">
        <v>1106</v>
      </c>
      <c r="CI683" s="1" t="s">
        <v>169</v>
      </c>
      <c r="CJ683" s="1" t="s">
        <v>321</v>
      </c>
      <c r="CK683">
        <v>1</v>
      </c>
      <c r="CL683" s="1" t="s">
        <v>140</v>
      </c>
      <c r="CM683">
        <v>79</v>
      </c>
      <c r="CN683">
        <v>77.400000000000006</v>
      </c>
      <c r="CO683" s="1" t="s">
        <v>483</v>
      </c>
      <c r="CP683" s="1" t="s">
        <v>3034</v>
      </c>
      <c r="CQ683" s="1" t="s">
        <v>6675</v>
      </c>
      <c r="CR683">
        <v>281.39999999999998</v>
      </c>
      <c r="CS683" s="1" t="s">
        <v>4695</v>
      </c>
      <c r="CT683" s="1" t="s">
        <v>4304</v>
      </c>
      <c r="CU683">
        <v>1598</v>
      </c>
      <c r="CV683" s="1" t="s">
        <v>6676</v>
      </c>
      <c r="CW683">
        <v>99.7</v>
      </c>
      <c r="CX683">
        <v>97.4</v>
      </c>
      <c r="CY683">
        <v>94.2</v>
      </c>
      <c r="CZ683" s="1" t="s">
        <v>4685</v>
      </c>
      <c r="DA683">
        <v>1</v>
      </c>
      <c r="DB683" t="s">
        <v>226</v>
      </c>
      <c r="DC683">
        <v>99</v>
      </c>
      <c r="DD683" s="1" t="s">
        <v>6677</v>
      </c>
      <c r="DE683">
        <v>-15.2405728697453</v>
      </c>
      <c r="DF683" t="e">
        <f>_xlfn.XLOOKUP(Table1[[#This Row],[Player ID]],Table2[feed_id],Table2[trade_status])</f>
        <v>#N/A</v>
      </c>
      <c r="DG683">
        <f>_xlfn.NUMBERVALUE(Table1[[#This Row],[predicted]])</f>
        <v>114.24057286974499</v>
      </c>
    </row>
    <row r="684" spans="1:111" x14ac:dyDescent="0.25">
      <c r="A684">
        <v>132646</v>
      </c>
      <c r="B684">
        <v>9239</v>
      </c>
      <c r="C684" t="s">
        <v>7040</v>
      </c>
      <c r="D684" t="s">
        <v>3116</v>
      </c>
      <c r="E684">
        <v>2025</v>
      </c>
      <c r="F684">
        <v>1024272</v>
      </c>
      <c r="G684" t="s">
        <v>7131</v>
      </c>
      <c r="H684" t="s">
        <v>7132</v>
      </c>
      <c r="I684" t="s">
        <v>813</v>
      </c>
      <c r="J684">
        <v>2</v>
      </c>
      <c r="K684">
        <v>26</v>
      </c>
      <c r="L684">
        <v>22</v>
      </c>
      <c r="M684">
        <v>33</v>
      </c>
      <c r="N684">
        <v>24</v>
      </c>
      <c r="O684">
        <v>33</v>
      </c>
      <c r="P684">
        <v>4</v>
      </c>
      <c r="Q684">
        <v>4</v>
      </c>
      <c r="R684">
        <v>3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 t="s">
        <v>113</v>
      </c>
      <c r="Z684" t="s">
        <v>226</v>
      </c>
      <c r="AA684" t="s">
        <v>7133</v>
      </c>
      <c r="AB684" t="s">
        <v>116</v>
      </c>
      <c r="AC684" t="s">
        <v>7134</v>
      </c>
      <c r="AH684" t="s">
        <v>118</v>
      </c>
      <c r="AI684">
        <v>10</v>
      </c>
      <c r="AJ684">
        <v>0</v>
      </c>
      <c r="AK684">
        <v>0</v>
      </c>
      <c r="AL684">
        <v>0</v>
      </c>
      <c r="AM684">
        <v>58.68</v>
      </c>
      <c r="AN684">
        <v>63.06</v>
      </c>
      <c r="AO684">
        <v>54.68</v>
      </c>
      <c r="AS684">
        <v>0</v>
      </c>
      <c r="AT684">
        <v>0</v>
      </c>
      <c r="AU684">
        <v>2</v>
      </c>
      <c r="AV684">
        <v>75</v>
      </c>
      <c r="AW684">
        <v>60</v>
      </c>
      <c r="AX684">
        <v>180</v>
      </c>
      <c r="AY684">
        <v>1</v>
      </c>
      <c r="AZ684" t="b">
        <v>1</v>
      </c>
      <c r="BA684">
        <v>1678</v>
      </c>
      <c r="BB684">
        <v>1592</v>
      </c>
      <c r="BC684">
        <v>6</v>
      </c>
      <c r="BD684" t="s">
        <v>7044</v>
      </c>
      <c r="BE684" s="1" t="s">
        <v>3594</v>
      </c>
      <c r="BF684">
        <v>0</v>
      </c>
      <c r="BG684">
        <v>71</v>
      </c>
      <c r="BH684">
        <v>0</v>
      </c>
      <c r="BI684" s="1" t="s">
        <v>1008</v>
      </c>
      <c r="BJ684" s="1" t="s">
        <v>4883</v>
      </c>
      <c r="BK684">
        <v>6</v>
      </c>
      <c r="BL684" s="1" t="s">
        <v>1442</v>
      </c>
      <c r="BM684">
        <v>5</v>
      </c>
      <c r="BN684" s="1" t="s">
        <v>230</v>
      </c>
      <c r="BO684" s="1" t="s">
        <v>129</v>
      </c>
      <c r="BP684" s="1" t="s">
        <v>304</v>
      </c>
      <c r="BQ684">
        <v>0</v>
      </c>
      <c r="BR684">
        <v>0</v>
      </c>
      <c r="BS684">
        <v>0</v>
      </c>
      <c r="BT684">
        <v>6.6666666666666596E-2</v>
      </c>
      <c r="BU684" s="1" t="s">
        <v>128</v>
      </c>
      <c r="BV684">
        <v>0.8</v>
      </c>
      <c r="BW684" s="1" t="s">
        <v>129</v>
      </c>
      <c r="BX684" s="1" t="s">
        <v>213</v>
      </c>
      <c r="BY684">
        <v>0</v>
      </c>
      <c r="BZ684">
        <v>0.2</v>
      </c>
      <c r="CA684">
        <v>58.68</v>
      </c>
      <c r="CB684">
        <v>58.68</v>
      </c>
      <c r="CC684">
        <v>63.06</v>
      </c>
      <c r="CD684">
        <v>63.06</v>
      </c>
      <c r="CE684">
        <v>54.68</v>
      </c>
      <c r="CF684">
        <v>54.68</v>
      </c>
      <c r="CG684" s="1" t="s">
        <v>161</v>
      </c>
      <c r="CH684" s="1" t="s">
        <v>766</v>
      </c>
      <c r="CI684" s="1" t="s">
        <v>129</v>
      </c>
      <c r="CJ684" s="1" t="s">
        <v>130</v>
      </c>
      <c r="CK684" s="1" t="s">
        <v>161</v>
      </c>
      <c r="CL684" s="1" t="s">
        <v>169</v>
      </c>
      <c r="CM684">
        <v>83</v>
      </c>
      <c r="CN684">
        <v>79.8</v>
      </c>
      <c r="CO684">
        <v>73</v>
      </c>
      <c r="CP684" s="1" t="s">
        <v>6688</v>
      </c>
      <c r="CQ684">
        <v>250</v>
      </c>
      <c r="CR684" s="1" t="s">
        <v>7135</v>
      </c>
      <c r="CS684" s="1" t="s">
        <v>2903</v>
      </c>
      <c r="CT684" s="1" t="s">
        <v>2439</v>
      </c>
      <c r="CU684">
        <v>1674</v>
      </c>
      <c r="CV684" s="1" t="s">
        <v>7136</v>
      </c>
      <c r="CW684">
        <v>85.2</v>
      </c>
      <c r="CX684">
        <v>81.8</v>
      </c>
      <c r="CY684">
        <v>58.8</v>
      </c>
      <c r="CZ684" s="1" t="s">
        <v>195</v>
      </c>
      <c r="DA684">
        <v>1</v>
      </c>
      <c r="DB684" t="s">
        <v>226</v>
      </c>
      <c r="DC684">
        <v>22</v>
      </c>
      <c r="DD684">
        <v>99.266552748746705</v>
      </c>
      <c r="DE684">
        <v>-77.266552748746705</v>
      </c>
      <c r="DF684" t="str">
        <f>_xlfn.XLOOKUP(Table1[[#This Row],[Player ID]],Table2[feed_id],Table2[trade_status])</f>
        <v>free_agent</v>
      </c>
      <c r="DG684">
        <f>_xlfn.NUMBERVALUE(Table1[[#This Row],[predicted]])</f>
        <v>99.266552748746705</v>
      </c>
    </row>
    <row r="685" spans="1:111" x14ac:dyDescent="0.25">
      <c r="A685">
        <v>132925</v>
      </c>
      <c r="B685">
        <v>9245</v>
      </c>
      <c r="C685" t="s">
        <v>8180</v>
      </c>
      <c r="D685" t="s">
        <v>3116</v>
      </c>
      <c r="E685">
        <v>2025</v>
      </c>
      <c r="F685">
        <v>1027935</v>
      </c>
      <c r="G685" t="s">
        <v>1318</v>
      </c>
      <c r="H685" t="s">
        <v>8310</v>
      </c>
      <c r="I685" t="s">
        <v>391</v>
      </c>
      <c r="J685">
        <v>9</v>
      </c>
      <c r="K685">
        <v>74</v>
      </c>
      <c r="L685">
        <v>101</v>
      </c>
      <c r="M685">
        <v>49</v>
      </c>
      <c r="N685">
        <v>58</v>
      </c>
      <c r="O685">
        <v>80</v>
      </c>
      <c r="P685">
        <v>12</v>
      </c>
      <c r="Q685">
        <v>6</v>
      </c>
      <c r="R685">
        <v>5</v>
      </c>
      <c r="S685">
        <v>3</v>
      </c>
      <c r="T685">
        <v>2</v>
      </c>
      <c r="U685">
        <v>0</v>
      </c>
      <c r="V685">
        <v>1</v>
      </c>
      <c r="W685">
        <v>0</v>
      </c>
      <c r="X685">
        <v>0</v>
      </c>
      <c r="Y685" t="s">
        <v>113</v>
      </c>
      <c r="Z685" t="s">
        <v>226</v>
      </c>
      <c r="AA685" t="s">
        <v>8311</v>
      </c>
      <c r="AH685" t="s">
        <v>181</v>
      </c>
      <c r="AI685">
        <v>23</v>
      </c>
      <c r="AJ685">
        <v>0</v>
      </c>
      <c r="AK685">
        <v>0</v>
      </c>
      <c r="AL685">
        <v>0</v>
      </c>
      <c r="AM685">
        <v>2.21</v>
      </c>
      <c r="AN685">
        <v>4.75</v>
      </c>
      <c r="AO685">
        <v>2.68</v>
      </c>
      <c r="AS685">
        <v>6</v>
      </c>
      <c r="AT685">
        <v>3</v>
      </c>
      <c r="AU685">
        <v>1</v>
      </c>
      <c r="AV685">
        <v>72</v>
      </c>
      <c r="AW685">
        <v>87</v>
      </c>
      <c r="AX685">
        <v>379</v>
      </c>
      <c r="AY685">
        <v>0</v>
      </c>
      <c r="AZ685" t="b">
        <v>0</v>
      </c>
      <c r="BA685">
        <v>1799</v>
      </c>
      <c r="BB685">
        <v>1477</v>
      </c>
      <c r="BC685">
        <v>6</v>
      </c>
      <c r="BD685" t="s">
        <v>8277</v>
      </c>
      <c r="BE685" s="1" t="s">
        <v>3594</v>
      </c>
      <c r="BF685">
        <v>1</v>
      </c>
      <c r="BG685">
        <v>71</v>
      </c>
      <c r="BH685">
        <v>1</v>
      </c>
      <c r="BI685">
        <v>9</v>
      </c>
      <c r="BJ685" s="1" t="s">
        <v>1079</v>
      </c>
      <c r="BK685">
        <v>7</v>
      </c>
      <c r="BL685" s="1" t="s">
        <v>1092</v>
      </c>
      <c r="BM685" s="1" t="s">
        <v>124</v>
      </c>
      <c r="BN685">
        <v>3.8</v>
      </c>
      <c r="BO685" s="1" t="s">
        <v>159</v>
      </c>
      <c r="BP685" s="1" t="s">
        <v>161</v>
      </c>
      <c r="BQ685" s="1" t="s">
        <v>211</v>
      </c>
      <c r="BR685">
        <v>2</v>
      </c>
      <c r="BS685" s="1" t="s">
        <v>128</v>
      </c>
      <c r="BT685" s="1" t="s">
        <v>162</v>
      </c>
      <c r="BU685" s="1" t="s">
        <v>129</v>
      </c>
      <c r="BV685" s="1" t="s">
        <v>184</v>
      </c>
      <c r="BW685" s="1" t="s">
        <v>129</v>
      </c>
      <c r="BX685" s="1" t="s">
        <v>238</v>
      </c>
      <c r="BY685" s="1" t="s">
        <v>129</v>
      </c>
      <c r="BZ685">
        <v>0.2</v>
      </c>
      <c r="CA685">
        <v>2.21</v>
      </c>
      <c r="CB685">
        <v>2.21</v>
      </c>
      <c r="CC685">
        <v>4.75</v>
      </c>
      <c r="CD685">
        <v>4.75</v>
      </c>
      <c r="CE685">
        <v>2.68</v>
      </c>
      <c r="CF685">
        <v>2.68</v>
      </c>
      <c r="CG685" s="1" t="s">
        <v>449</v>
      </c>
      <c r="CH685" s="1" t="s">
        <v>499</v>
      </c>
      <c r="CI685">
        <v>1</v>
      </c>
      <c r="CJ685">
        <v>0.6</v>
      </c>
      <c r="CK685" s="1" t="s">
        <v>126</v>
      </c>
      <c r="CL685">
        <v>1.6</v>
      </c>
      <c r="CM685">
        <v>74</v>
      </c>
      <c r="CN685">
        <v>82.8</v>
      </c>
      <c r="CO685">
        <v>86</v>
      </c>
      <c r="CP685">
        <v>84.4</v>
      </c>
      <c r="CQ685" s="1" t="s">
        <v>8312</v>
      </c>
      <c r="CR685" s="1" t="s">
        <v>8313</v>
      </c>
      <c r="CS685" s="1" t="s">
        <v>4566</v>
      </c>
      <c r="CT685">
        <v>1730.8</v>
      </c>
      <c r="CU685">
        <v>1616</v>
      </c>
      <c r="CV685">
        <v>1553</v>
      </c>
      <c r="CW685">
        <v>75.45</v>
      </c>
      <c r="CX685">
        <v>77</v>
      </c>
      <c r="CY685">
        <v>74.599999999999994</v>
      </c>
      <c r="CZ685" s="1" t="s">
        <v>437</v>
      </c>
      <c r="DA685">
        <v>1</v>
      </c>
      <c r="DB685" t="s">
        <v>226</v>
      </c>
      <c r="DC685">
        <v>101</v>
      </c>
      <c r="DD685" s="1" t="s">
        <v>8314</v>
      </c>
      <c r="DE685">
        <v>3.3534940053875602</v>
      </c>
      <c r="DF685" t="str">
        <f>_xlfn.XLOOKUP(Table1[[#This Row],[Player ID]],Table2[feed_id],Table2[trade_status])</f>
        <v>free_agent</v>
      </c>
      <c r="DG685">
        <f>_xlfn.NUMBERVALUE(Table1[[#This Row],[predicted]])</f>
        <v>97.646505994612397</v>
      </c>
    </row>
    <row r="686" spans="1:111" hidden="1" x14ac:dyDescent="0.25">
      <c r="A686">
        <v>132541</v>
      </c>
      <c r="B686">
        <v>9237</v>
      </c>
      <c r="C686" t="s">
        <v>6650</v>
      </c>
      <c r="D686" t="s">
        <v>3116</v>
      </c>
      <c r="E686">
        <v>2025</v>
      </c>
      <c r="F686">
        <v>993946</v>
      </c>
      <c r="G686" t="s">
        <v>670</v>
      </c>
      <c r="H686" t="s">
        <v>6693</v>
      </c>
      <c r="I686" t="s">
        <v>510</v>
      </c>
      <c r="J686">
        <v>24</v>
      </c>
      <c r="K686">
        <v>84</v>
      </c>
      <c r="L686">
        <v>62</v>
      </c>
      <c r="M686">
        <v>102</v>
      </c>
      <c r="N686">
        <v>74</v>
      </c>
      <c r="O686">
        <v>93</v>
      </c>
      <c r="P686">
        <v>10</v>
      </c>
      <c r="Q686">
        <v>8</v>
      </c>
      <c r="R686">
        <v>6</v>
      </c>
      <c r="S686">
        <v>1</v>
      </c>
      <c r="T686">
        <v>0</v>
      </c>
      <c r="U686">
        <v>1</v>
      </c>
      <c r="V686">
        <v>1</v>
      </c>
      <c r="W686">
        <v>3</v>
      </c>
      <c r="X686">
        <v>0</v>
      </c>
      <c r="Y686" t="s">
        <v>113</v>
      </c>
      <c r="Z686" t="s">
        <v>6665</v>
      </c>
      <c r="AA686" t="s">
        <v>6694</v>
      </c>
      <c r="AB686" t="s">
        <v>861</v>
      </c>
      <c r="AC686" t="s">
        <v>6695</v>
      </c>
      <c r="AE686">
        <v>0</v>
      </c>
      <c r="AH686" t="s">
        <v>118</v>
      </c>
      <c r="AI686">
        <v>2</v>
      </c>
      <c r="AJ686">
        <v>2</v>
      </c>
      <c r="AK686">
        <v>60</v>
      </c>
      <c r="AL686">
        <v>0</v>
      </c>
      <c r="AM686">
        <v>0</v>
      </c>
      <c r="AN686">
        <v>1.05</v>
      </c>
      <c r="AO686">
        <v>1.69</v>
      </c>
      <c r="AS686">
        <v>4</v>
      </c>
      <c r="AT686">
        <v>1</v>
      </c>
      <c r="AU686">
        <v>5</v>
      </c>
      <c r="AV686">
        <v>61</v>
      </c>
      <c r="AW686">
        <v>91</v>
      </c>
      <c r="AX686">
        <v>337</v>
      </c>
      <c r="AY686">
        <v>0</v>
      </c>
      <c r="AZ686" t="b">
        <v>0</v>
      </c>
      <c r="BA686">
        <v>1632</v>
      </c>
      <c r="BB686">
        <v>1646</v>
      </c>
      <c r="BC686">
        <v>6</v>
      </c>
      <c r="BD686" t="s">
        <v>6656</v>
      </c>
      <c r="BE686" s="1" t="s">
        <v>3594</v>
      </c>
      <c r="BF686">
        <v>0</v>
      </c>
      <c r="BG686">
        <v>71</v>
      </c>
      <c r="BH686">
        <v>0</v>
      </c>
      <c r="BI686">
        <v>10</v>
      </c>
      <c r="BJ686" s="1" t="s">
        <v>4012</v>
      </c>
      <c r="BK686" s="1" t="s">
        <v>545</v>
      </c>
      <c r="BL686">
        <v>7.4</v>
      </c>
      <c r="BM686">
        <v>6</v>
      </c>
      <c r="BN686" s="1" t="s">
        <v>230</v>
      </c>
      <c r="BO686" s="1" t="s">
        <v>159</v>
      </c>
      <c r="BP686" s="1" t="s">
        <v>256</v>
      </c>
      <c r="BQ686">
        <v>0</v>
      </c>
      <c r="BR686">
        <v>0</v>
      </c>
      <c r="BS686" s="1" t="s">
        <v>128</v>
      </c>
      <c r="BT686" s="1" t="s">
        <v>206</v>
      </c>
      <c r="BU686" s="1" t="s">
        <v>128</v>
      </c>
      <c r="BV686">
        <v>0.8</v>
      </c>
      <c r="BW686">
        <v>2</v>
      </c>
      <c r="BX686" s="1" t="s">
        <v>375</v>
      </c>
      <c r="BY686">
        <v>0</v>
      </c>
      <c r="BZ686" s="1" t="s">
        <v>399</v>
      </c>
      <c r="CA686">
        <v>0</v>
      </c>
      <c r="CB686">
        <v>0</v>
      </c>
      <c r="CC686">
        <v>1.05</v>
      </c>
      <c r="CD686">
        <v>1.05</v>
      </c>
      <c r="CE686">
        <v>1.69</v>
      </c>
      <c r="CF686">
        <v>1.69</v>
      </c>
      <c r="CG686">
        <v>5</v>
      </c>
      <c r="CH686" s="1" t="s">
        <v>1066</v>
      </c>
      <c r="CI686">
        <v>1</v>
      </c>
      <c r="CJ686">
        <v>2.6</v>
      </c>
      <c r="CK686" s="1" t="s">
        <v>138</v>
      </c>
      <c r="CL686" s="1" t="s">
        <v>255</v>
      </c>
      <c r="CM686">
        <v>69</v>
      </c>
      <c r="CN686" s="1" t="s">
        <v>1838</v>
      </c>
      <c r="CO686" s="1" t="s">
        <v>1013</v>
      </c>
      <c r="CP686" s="1" t="s">
        <v>941</v>
      </c>
      <c r="CQ686">
        <v>299</v>
      </c>
      <c r="CR686">
        <v>297.39999999999998</v>
      </c>
      <c r="CS686" s="1" t="s">
        <v>4695</v>
      </c>
      <c r="CT686" s="1" t="s">
        <v>4304</v>
      </c>
      <c r="CU686">
        <v>1598</v>
      </c>
      <c r="CV686" s="1" t="s">
        <v>6676</v>
      </c>
      <c r="CW686">
        <v>88.8</v>
      </c>
      <c r="CX686">
        <v>90.9</v>
      </c>
      <c r="CY686">
        <v>89</v>
      </c>
      <c r="CZ686" s="1" t="s">
        <v>994</v>
      </c>
      <c r="DA686">
        <v>1</v>
      </c>
      <c r="DB686" t="s">
        <v>6665</v>
      </c>
      <c r="DC686">
        <v>62</v>
      </c>
      <c r="DD686" s="1" t="s">
        <v>6696</v>
      </c>
      <c r="DE686">
        <v>-28.8815526853104</v>
      </c>
      <c r="DF686" t="e">
        <f>_xlfn.XLOOKUP(Table1[[#This Row],[Player ID]],Table2[feed_id],Table2[trade_status])</f>
        <v>#N/A</v>
      </c>
      <c r="DG686">
        <f>_xlfn.NUMBERVALUE(Table1[[#This Row],[predicted]])</f>
        <v>90.881552685310396</v>
      </c>
    </row>
    <row r="687" spans="1:111" hidden="1" x14ac:dyDescent="0.25">
      <c r="A687">
        <v>132542</v>
      </c>
      <c r="B687">
        <v>9237</v>
      </c>
      <c r="C687" t="s">
        <v>6650</v>
      </c>
      <c r="D687" t="s">
        <v>3116</v>
      </c>
      <c r="E687">
        <v>2025</v>
      </c>
      <c r="F687">
        <v>1006013</v>
      </c>
      <c r="G687" t="s">
        <v>617</v>
      </c>
      <c r="H687" t="s">
        <v>6697</v>
      </c>
      <c r="I687" t="s">
        <v>510</v>
      </c>
      <c r="J687">
        <v>13</v>
      </c>
      <c r="K687">
        <v>76</v>
      </c>
      <c r="L687">
        <v>85</v>
      </c>
      <c r="M687">
        <v>97</v>
      </c>
      <c r="N687">
        <v>58</v>
      </c>
      <c r="O687">
        <v>84</v>
      </c>
      <c r="P687">
        <v>10</v>
      </c>
      <c r="Q687">
        <v>12</v>
      </c>
      <c r="R687">
        <v>1</v>
      </c>
      <c r="S687">
        <v>5</v>
      </c>
      <c r="T687">
        <v>0</v>
      </c>
      <c r="U687">
        <v>2</v>
      </c>
      <c r="V687">
        <v>1</v>
      </c>
      <c r="W687">
        <v>0</v>
      </c>
      <c r="X687">
        <v>0</v>
      </c>
      <c r="Y687" t="s">
        <v>113</v>
      </c>
      <c r="Z687" t="s">
        <v>6496</v>
      </c>
      <c r="AA687" t="s">
        <v>6698</v>
      </c>
      <c r="AB687" t="s">
        <v>877</v>
      </c>
      <c r="AC687" t="s">
        <v>5284</v>
      </c>
      <c r="AH687" t="s">
        <v>155</v>
      </c>
      <c r="AI687">
        <v>25</v>
      </c>
      <c r="AJ687">
        <v>0</v>
      </c>
      <c r="AK687">
        <v>0</v>
      </c>
      <c r="AL687">
        <v>0</v>
      </c>
      <c r="AM687">
        <v>0.09</v>
      </c>
      <c r="AN687">
        <v>0.03</v>
      </c>
      <c r="AO687">
        <v>0.02</v>
      </c>
      <c r="AS687">
        <v>10</v>
      </c>
      <c r="AT687">
        <v>5</v>
      </c>
      <c r="AU687">
        <v>5</v>
      </c>
      <c r="AV687">
        <v>72</v>
      </c>
      <c r="AW687">
        <v>84</v>
      </c>
      <c r="AX687">
        <v>258</v>
      </c>
      <c r="AY687">
        <v>0</v>
      </c>
      <c r="AZ687" t="b">
        <v>0</v>
      </c>
      <c r="BA687">
        <v>1632</v>
      </c>
      <c r="BB687">
        <v>1646</v>
      </c>
      <c r="BC687">
        <v>6</v>
      </c>
      <c r="BD687" t="s">
        <v>6656</v>
      </c>
      <c r="BE687" s="1" t="s">
        <v>3594</v>
      </c>
      <c r="BF687">
        <v>0</v>
      </c>
      <c r="BG687">
        <v>71</v>
      </c>
      <c r="BH687">
        <v>1</v>
      </c>
      <c r="BI687" s="1" t="s">
        <v>121</v>
      </c>
      <c r="BJ687" s="1" t="s">
        <v>396</v>
      </c>
      <c r="BK687" s="1" t="s">
        <v>977</v>
      </c>
      <c r="BL687" s="1" t="s">
        <v>253</v>
      </c>
      <c r="BM687">
        <v>3</v>
      </c>
      <c r="BN687">
        <v>2</v>
      </c>
      <c r="BO687" s="1" t="s">
        <v>211</v>
      </c>
      <c r="BP687">
        <v>5.6</v>
      </c>
      <c r="BQ687">
        <v>0</v>
      </c>
      <c r="BR687">
        <v>0</v>
      </c>
      <c r="BS687">
        <v>2</v>
      </c>
      <c r="BT687" s="1" t="s">
        <v>375</v>
      </c>
      <c r="BU687" s="1" t="s">
        <v>129</v>
      </c>
      <c r="BV687" s="1" t="s">
        <v>128</v>
      </c>
      <c r="BW687" s="1" t="s">
        <v>129</v>
      </c>
      <c r="BX687" s="1" t="s">
        <v>129</v>
      </c>
      <c r="BY687" s="1" t="s">
        <v>129</v>
      </c>
      <c r="BZ687" s="1" t="s">
        <v>184</v>
      </c>
      <c r="CA687">
        <v>0.09</v>
      </c>
      <c r="CB687">
        <v>0.09</v>
      </c>
      <c r="CC687">
        <v>0.03</v>
      </c>
      <c r="CD687">
        <v>0.03</v>
      </c>
      <c r="CE687">
        <v>0.02</v>
      </c>
      <c r="CF687">
        <v>0.02</v>
      </c>
      <c r="CG687" s="1" t="s">
        <v>1008</v>
      </c>
      <c r="CH687" s="1" t="s">
        <v>1041</v>
      </c>
      <c r="CI687">
        <v>5</v>
      </c>
      <c r="CJ687" s="1" t="s">
        <v>587</v>
      </c>
      <c r="CK687" s="1" t="s">
        <v>138</v>
      </c>
      <c r="CL687" s="1" t="s">
        <v>169</v>
      </c>
      <c r="CM687" s="1" t="s">
        <v>1080</v>
      </c>
      <c r="CN687" s="1" t="s">
        <v>4609</v>
      </c>
      <c r="CO687" s="1" t="s">
        <v>406</v>
      </c>
      <c r="CP687" s="1" t="s">
        <v>366</v>
      </c>
      <c r="CQ687" s="1" t="s">
        <v>6699</v>
      </c>
      <c r="CR687" s="1" t="s">
        <v>6700</v>
      </c>
      <c r="CS687" s="1" t="s">
        <v>4695</v>
      </c>
      <c r="CT687" s="1" t="s">
        <v>6701</v>
      </c>
      <c r="CU687">
        <v>1598</v>
      </c>
      <c r="CV687" s="1" t="s">
        <v>6702</v>
      </c>
      <c r="CW687">
        <v>78.3</v>
      </c>
      <c r="CX687">
        <v>82</v>
      </c>
      <c r="CY687">
        <v>83.6</v>
      </c>
      <c r="CZ687" s="1" t="s">
        <v>3478</v>
      </c>
      <c r="DA687">
        <v>1</v>
      </c>
      <c r="DB687" t="s">
        <v>6496</v>
      </c>
      <c r="DC687">
        <v>85</v>
      </c>
      <c r="DD687" s="1" t="s">
        <v>6703</v>
      </c>
      <c r="DE687" s="1" t="s">
        <v>6704</v>
      </c>
      <c r="DF687" t="e">
        <f>_xlfn.XLOOKUP(Table1[[#This Row],[Player ID]],Table2[feed_id],Table2[trade_status])</f>
        <v>#N/A</v>
      </c>
      <c r="DG687">
        <f>_xlfn.NUMBERVALUE(Table1[[#This Row],[predicted]])</f>
        <v>75.831540151708097</v>
      </c>
    </row>
    <row r="688" spans="1:111" hidden="1" x14ac:dyDescent="0.25">
      <c r="A688">
        <v>132543</v>
      </c>
      <c r="B688">
        <v>9237</v>
      </c>
      <c r="C688" t="s">
        <v>6650</v>
      </c>
      <c r="D688" t="s">
        <v>3116</v>
      </c>
      <c r="E688">
        <v>2025</v>
      </c>
      <c r="F688">
        <v>297401</v>
      </c>
      <c r="G688" t="s">
        <v>889</v>
      </c>
      <c r="H688" t="s">
        <v>5120</v>
      </c>
      <c r="I688" t="s">
        <v>510</v>
      </c>
      <c r="J688">
        <v>15</v>
      </c>
      <c r="K688">
        <v>76</v>
      </c>
      <c r="L688">
        <v>72</v>
      </c>
      <c r="M688">
        <v>94</v>
      </c>
      <c r="N688">
        <v>70</v>
      </c>
      <c r="O688">
        <v>102</v>
      </c>
      <c r="P688">
        <v>10</v>
      </c>
      <c r="Q688">
        <v>18</v>
      </c>
      <c r="R688">
        <v>4</v>
      </c>
      <c r="S688">
        <v>2</v>
      </c>
      <c r="T688">
        <v>0</v>
      </c>
      <c r="U688">
        <v>2</v>
      </c>
      <c r="V688">
        <v>4</v>
      </c>
      <c r="W688">
        <v>0</v>
      </c>
      <c r="X688">
        <v>0</v>
      </c>
      <c r="Y688" t="s">
        <v>113</v>
      </c>
      <c r="Z688" t="s">
        <v>877</v>
      </c>
      <c r="AA688" t="s">
        <v>6705</v>
      </c>
      <c r="AE688">
        <v>0</v>
      </c>
      <c r="AH688" t="s">
        <v>118</v>
      </c>
      <c r="AI688">
        <v>5</v>
      </c>
      <c r="AJ688">
        <v>17</v>
      </c>
      <c r="AK688">
        <v>105.47</v>
      </c>
      <c r="AL688">
        <v>0</v>
      </c>
      <c r="AM688">
        <v>0</v>
      </c>
      <c r="AN688">
        <v>6.2</v>
      </c>
      <c r="AO688">
        <v>8.61</v>
      </c>
      <c r="AS688">
        <v>14</v>
      </c>
      <c r="AT688">
        <v>11</v>
      </c>
      <c r="AU688">
        <v>7</v>
      </c>
      <c r="AV688">
        <v>71</v>
      </c>
      <c r="AW688">
        <v>63</v>
      </c>
      <c r="AX688">
        <v>190</v>
      </c>
      <c r="AY688">
        <v>0</v>
      </c>
      <c r="AZ688" t="b">
        <v>0</v>
      </c>
      <c r="BA688">
        <v>1632</v>
      </c>
      <c r="BB688">
        <v>1646</v>
      </c>
      <c r="BC688">
        <v>6</v>
      </c>
      <c r="BD688" t="s">
        <v>6656</v>
      </c>
      <c r="BE688" s="1" t="s">
        <v>3594</v>
      </c>
      <c r="BF688">
        <v>0</v>
      </c>
      <c r="BG688">
        <v>71</v>
      </c>
      <c r="BH688">
        <v>1</v>
      </c>
      <c r="BI688" s="1" t="s">
        <v>1008</v>
      </c>
      <c r="BJ688" s="1" t="s">
        <v>864</v>
      </c>
      <c r="BK688">
        <v>16</v>
      </c>
      <c r="BL688" s="1" t="s">
        <v>4966</v>
      </c>
      <c r="BM688" s="1" t="s">
        <v>211</v>
      </c>
      <c r="BN688">
        <v>4</v>
      </c>
      <c r="BO688">
        <v>4</v>
      </c>
      <c r="BP688" s="1" t="s">
        <v>205</v>
      </c>
      <c r="BQ688">
        <v>0</v>
      </c>
      <c r="BR688">
        <v>0</v>
      </c>
      <c r="BS688" s="1" t="s">
        <v>126</v>
      </c>
      <c r="BT688" s="1" t="s">
        <v>257</v>
      </c>
      <c r="BU688">
        <v>2</v>
      </c>
      <c r="BV688">
        <v>1.6</v>
      </c>
      <c r="BW688">
        <v>0</v>
      </c>
      <c r="BX688">
        <v>6.6666666666666596E-2</v>
      </c>
      <c r="BY688">
        <v>0</v>
      </c>
      <c r="BZ688">
        <v>6.6666666666666596E-2</v>
      </c>
      <c r="CA688">
        <v>0</v>
      </c>
      <c r="CB688">
        <v>0</v>
      </c>
      <c r="CC688">
        <v>6.2</v>
      </c>
      <c r="CD688">
        <v>6.2</v>
      </c>
      <c r="CE688">
        <v>8.61</v>
      </c>
      <c r="CF688">
        <v>8.61</v>
      </c>
      <c r="CG688">
        <v>12</v>
      </c>
      <c r="CH688" s="1" t="s">
        <v>6706</v>
      </c>
      <c r="CI688" s="1" t="s">
        <v>253</v>
      </c>
      <c r="CJ688">
        <v>6</v>
      </c>
      <c r="CK688" s="1" t="s">
        <v>211</v>
      </c>
      <c r="CL688">
        <v>4</v>
      </c>
      <c r="CM688" s="1" t="s">
        <v>754</v>
      </c>
      <c r="CN688" s="1" t="s">
        <v>241</v>
      </c>
      <c r="CO688">
        <v>66</v>
      </c>
      <c r="CP688">
        <v>70.400000000000006</v>
      </c>
      <c r="CQ688" s="1" t="s">
        <v>6707</v>
      </c>
      <c r="CR688">
        <v>224.4</v>
      </c>
      <c r="CS688" s="1" t="s">
        <v>4074</v>
      </c>
      <c r="CT688" s="1" t="s">
        <v>6708</v>
      </c>
      <c r="CU688">
        <v>1523</v>
      </c>
      <c r="CV688" s="1" t="s">
        <v>6709</v>
      </c>
      <c r="CW688">
        <v>101.35</v>
      </c>
      <c r="CX688">
        <v>94.7</v>
      </c>
      <c r="CY688">
        <v>86.4</v>
      </c>
      <c r="CZ688" s="1" t="s">
        <v>306</v>
      </c>
      <c r="DA688">
        <v>1</v>
      </c>
      <c r="DB688" t="s">
        <v>877</v>
      </c>
      <c r="DC688">
        <v>72</v>
      </c>
      <c r="DD688">
        <v>81.229634593107903</v>
      </c>
      <c r="DE688">
        <v>-9.2296345931078996</v>
      </c>
      <c r="DF688" t="e">
        <f>_xlfn.XLOOKUP(Table1[[#This Row],[Player ID]],Table2[feed_id],Table2[trade_status])</f>
        <v>#N/A</v>
      </c>
      <c r="DG688">
        <f>_xlfn.NUMBERVALUE(Table1[[#This Row],[predicted]])</f>
        <v>81.229634593107903</v>
      </c>
    </row>
    <row r="689" spans="1:111" x14ac:dyDescent="0.25">
      <c r="A689">
        <v>132659</v>
      </c>
      <c r="B689">
        <v>9239</v>
      </c>
      <c r="C689" t="s">
        <v>7040</v>
      </c>
      <c r="D689" t="s">
        <v>3116</v>
      </c>
      <c r="E689">
        <v>2025</v>
      </c>
      <c r="F689">
        <v>1007881</v>
      </c>
      <c r="G689" t="s">
        <v>7193</v>
      </c>
      <c r="H689" t="s">
        <v>7068</v>
      </c>
      <c r="I689" t="s">
        <v>524</v>
      </c>
      <c r="J689">
        <v>9</v>
      </c>
      <c r="K689">
        <v>57</v>
      </c>
      <c r="L689">
        <v>58</v>
      </c>
      <c r="M689">
        <v>41</v>
      </c>
      <c r="N689">
        <v>47</v>
      </c>
      <c r="O689">
        <v>64</v>
      </c>
      <c r="P689">
        <v>8</v>
      </c>
      <c r="Q689">
        <v>7</v>
      </c>
      <c r="R689">
        <v>4</v>
      </c>
      <c r="S689">
        <v>2</v>
      </c>
      <c r="T689">
        <v>0</v>
      </c>
      <c r="U689">
        <v>1</v>
      </c>
      <c r="V689">
        <v>1</v>
      </c>
      <c r="W689">
        <v>0</v>
      </c>
      <c r="X689">
        <v>1</v>
      </c>
      <c r="Y689" t="s">
        <v>113</v>
      </c>
      <c r="Z689" t="s">
        <v>226</v>
      </c>
      <c r="AA689" t="s">
        <v>7194</v>
      </c>
      <c r="AE689">
        <v>0</v>
      </c>
      <c r="AH689" t="s">
        <v>181</v>
      </c>
      <c r="AI689">
        <v>27</v>
      </c>
      <c r="AJ689">
        <v>7</v>
      </c>
      <c r="AK689">
        <v>40.43</v>
      </c>
      <c r="AL689">
        <v>0</v>
      </c>
      <c r="AM689">
        <v>0</v>
      </c>
      <c r="AN689">
        <v>0.24</v>
      </c>
      <c r="AO689">
        <v>0.49</v>
      </c>
      <c r="AS689">
        <v>3</v>
      </c>
      <c r="AT689">
        <v>0</v>
      </c>
      <c r="AU689">
        <v>1</v>
      </c>
      <c r="AV689">
        <v>80</v>
      </c>
      <c r="AW689">
        <v>88</v>
      </c>
      <c r="AX689">
        <v>295</v>
      </c>
      <c r="AY689">
        <v>0</v>
      </c>
      <c r="AZ689" t="b">
        <v>0</v>
      </c>
      <c r="BA689">
        <v>1592</v>
      </c>
      <c r="BB689">
        <v>1678</v>
      </c>
      <c r="BC689">
        <v>6</v>
      </c>
      <c r="BD689" t="s">
        <v>7138</v>
      </c>
      <c r="BE689" s="1" t="s">
        <v>3594</v>
      </c>
      <c r="BF689">
        <v>0</v>
      </c>
      <c r="BG689">
        <v>71</v>
      </c>
      <c r="BH689">
        <v>0</v>
      </c>
      <c r="BI689">
        <v>7</v>
      </c>
      <c r="BJ689" s="1" t="s">
        <v>949</v>
      </c>
      <c r="BK689" s="1" t="s">
        <v>253</v>
      </c>
      <c r="BL689" s="1" t="s">
        <v>204</v>
      </c>
      <c r="BM689">
        <v>4</v>
      </c>
      <c r="BN689" s="1" t="s">
        <v>963</v>
      </c>
      <c r="BO689" s="1" t="s">
        <v>161</v>
      </c>
      <c r="BP689">
        <v>2.2000000000000002</v>
      </c>
      <c r="BQ689">
        <v>0</v>
      </c>
      <c r="BR689">
        <v>0</v>
      </c>
      <c r="BS689" s="1" t="s">
        <v>129</v>
      </c>
      <c r="BT689" s="1" t="s">
        <v>238</v>
      </c>
      <c r="BU689">
        <v>2</v>
      </c>
      <c r="BV689">
        <v>0.8</v>
      </c>
      <c r="BW689">
        <v>0</v>
      </c>
      <c r="BX689" s="1" t="s">
        <v>213</v>
      </c>
      <c r="BY689" s="1" t="s">
        <v>129</v>
      </c>
      <c r="BZ689">
        <v>0.2</v>
      </c>
      <c r="CA689">
        <v>0</v>
      </c>
      <c r="CB689">
        <v>0</v>
      </c>
      <c r="CC689">
        <v>0.24</v>
      </c>
      <c r="CD689">
        <v>0.24</v>
      </c>
      <c r="CE689">
        <v>0.49</v>
      </c>
      <c r="CF689">
        <v>0.49</v>
      </c>
      <c r="CG689" s="1" t="s">
        <v>124</v>
      </c>
      <c r="CH689" s="1" t="s">
        <v>212</v>
      </c>
      <c r="CI689" s="1" t="s">
        <v>128</v>
      </c>
      <c r="CJ689" s="1" t="s">
        <v>213</v>
      </c>
      <c r="CK689" s="1" t="s">
        <v>169</v>
      </c>
      <c r="CL689">
        <v>2</v>
      </c>
      <c r="CM689">
        <v>81</v>
      </c>
      <c r="CN689" s="1" t="s">
        <v>573</v>
      </c>
      <c r="CO689">
        <v>88</v>
      </c>
      <c r="CP689" s="1" t="s">
        <v>3408</v>
      </c>
      <c r="CQ689" s="1" t="s">
        <v>7195</v>
      </c>
      <c r="CR689">
        <v>414.2</v>
      </c>
      <c r="CS689" s="1" t="s">
        <v>806</v>
      </c>
      <c r="CT689">
        <v>1593.4</v>
      </c>
      <c r="CU689">
        <v>1593</v>
      </c>
      <c r="CV689">
        <v>1679.8</v>
      </c>
      <c r="CW689">
        <v>81</v>
      </c>
      <c r="CX689">
        <v>74.8</v>
      </c>
      <c r="CY689">
        <v>67.400000000000006</v>
      </c>
      <c r="CZ689">
        <v>71</v>
      </c>
      <c r="DA689">
        <v>1</v>
      </c>
      <c r="DB689" t="s">
        <v>226</v>
      </c>
      <c r="DC689">
        <v>58</v>
      </c>
      <c r="DD689">
        <v>97.402896200114299</v>
      </c>
      <c r="DE689">
        <v>-39.402896200114299</v>
      </c>
      <c r="DF689" t="str">
        <f>_xlfn.XLOOKUP(Table1[[#This Row],[Player ID]],Table2[feed_id],Table2[trade_status])</f>
        <v>waiver</v>
      </c>
      <c r="DG689">
        <f>_xlfn.NUMBERVALUE(Table1[[#This Row],[predicted]])</f>
        <v>97.402896200114299</v>
      </c>
    </row>
    <row r="690" spans="1:111" x14ac:dyDescent="0.25">
      <c r="A690">
        <v>132540</v>
      </c>
      <c r="B690">
        <v>9237</v>
      </c>
      <c r="C690" t="s">
        <v>6650</v>
      </c>
      <c r="D690" t="s">
        <v>3116</v>
      </c>
      <c r="E690">
        <v>2025</v>
      </c>
      <c r="F690">
        <v>990882</v>
      </c>
      <c r="G690" t="s">
        <v>6683</v>
      </c>
      <c r="H690" t="s">
        <v>6684</v>
      </c>
      <c r="I690" t="s">
        <v>510</v>
      </c>
      <c r="J690">
        <v>10</v>
      </c>
      <c r="K690">
        <v>85</v>
      </c>
      <c r="L690">
        <v>109</v>
      </c>
      <c r="M690">
        <v>110</v>
      </c>
      <c r="N690">
        <v>65</v>
      </c>
      <c r="O690">
        <v>90</v>
      </c>
      <c r="P690">
        <v>14</v>
      </c>
      <c r="Q690">
        <v>8</v>
      </c>
      <c r="R690">
        <v>5</v>
      </c>
      <c r="S690">
        <v>3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113</v>
      </c>
      <c r="Z690" t="s">
        <v>226</v>
      </c>
      <c r="AA690" t="s">
        <v>6685</v>
      </c>
      <c r="AE690">
        <v>0</v>
      </c>
      <c r="AH690" t="s">
        <v>155</v>
      </c>
      <c r="AI690">
        <v>30</v>
      </c>
      <c r="AJ690">
        <v>18</v>
      </c>
      <c r="AK690">
        <v>73.83</v>
      </c>
      <c r="AL690">
        <v>0</v>
      </c>
      <c r="AM690">
        <v>0</v>
      </c>
      <c r="AN690">
        <v>0.28000000000000003</v>
      </c>
      <c r="AO690">
        <v>0.32</v>
      </c>
      <c r="AS690">
        <v>7</v>
      </c>
      <c r="AT690">
        <v>0</v>
      </c>
      <c r="AU690">
        <v>1</v>
      </c>
      <c r="AV690">
        <v>86</v>
      </c>
      <c r="AW690">
        <v>80</v>
      </c>
      <c r="AX690">
        <v>367</v>
      </c>
      <c r="AY690">
        <v>0</v>
      </c>
      <c r="AZ690" t="b">
        <v>0</v>
      </c>
      <c r="BA690">
        <v>1632</v>
      </c>
      <c r="BB690">
        <v>1646</v>
      </c>
      <c r="BC690">
        <v>6</v>
      </c>
      <c r="BD690" t="s">
        <v>6656</v>
      </c>
      <c r="BE690" s="1" t="s">
        <v>3594</v>
      </c>
      <c r="BF690">
        <v>1</v>
      </c>
      <c r="BG690">
        <v>71</v>
      </c>
      <c r="BH690">
        <v>1</v>
      </c>
      <c r="BI690" s="1" t="s">
        <v>1008</v>
      </c>
      <c r="BJ690" s="1" t="s">
        <v>5801</v>
      </c>
      <c r="BK690" s="1" t="s">
        <v>204</v>
      </c>
      <c r="BL690" s="1" t="s">
        <v>204</v>
      </c>
      <c r="BM690">
        <v>3</v>
      </c>
      <c r="BN690">
        <v>4.2</v>
      </c>
      <c r="BO690">
        <v>3</v>
      </c>
      <c r="BP690" s="1" t="s">
        <v>170</v>
      </c>
      <c r="BQ690">
        <v>0</v>
      </c>
      <c r="BR690">
        <v>0</v>
      </c>
      <c r="BS690">
        <v>0</v>
      </c>
      <c r="BT690">
        <v>0.4</v>
      </c>
      <c r="BU690" s="1" t="s">
        <v>128</v>
      </c>
      <c r="BV690">
        <v>0.6</v>
      </c>
      <c r="BW690">
        <v>0</v>
      </c>
      <c r="BX690" s="1" t="s">
        <v>213</v>
      </c>
      <c r="BY690">
        <v>0</v>
      </c>
      <c r="BZ690">
        <v>6.6666666666666596E-2</v>
      </c>
      <c r="CA690">
        <v>0</v>
      </c>
      <c r="CB690">
        <v>0</v>
      </c>
      <c r="CC690">
        <v>0.28000000000000003</v>
      </c>
      <c r="CD690" s="1" t="s">
        <v>6686</v>
      </c>
      <c r="CE690">
        <v>0.32</v>
      </c>
      <c r="CF690" s="1" t="s">
        <v>6687</v>
      </c>
      <c r="CG690">
        <v>5</v>
      </c>
      <c r="CH690" s="1" t="s">
        <v>781</v>
      </c>
      <c r="CI690" s="1" t="s">
        <v>129</v>
      </c>
      <c r="CJ690" s="1" t="s">
        <v>130</v>
      </c>
      <c r="CK690" s="1" t="s">
        <v>169</v>
      </c>
      <c r="CL690" s="1" t="s">
        <v>255</v>
      </c>
      <c r="CM690" s="1" t="s">
        <v>305</v>
      </c>
      <c r="CN690" s="1" t="s">
        <v>3535</v>
      </c>
      <c r="CO690" s="1" t="s">
        <v>930</v>
      </c>
      <c r="CP690" s="1" t="s">
        <v>6688</v>
      </c>
      <c r="CQ690" s="1" t="s">
        <v>6689</v>
      </c>
      <c r="CR690" s="1" t="s">
        <v>6690</v>
      </c>
      <c r="CS690" s="1" t="s">
        <v>4695</v>
      </c>
      <c r="CT690">
        <v>1703.6</v>
      </c>
      <c r="CU690">
        <v>1598</v>
      </c>
      <c r="CV690" s="1" t="s">
        <v>3514</v>
      </c>
      <c r="CW690">
        <v>76</v>
      </c>
      <c r="CX690">
        <v>71</v>
      </c>
      <c r="CY690">
        <v>73</v>
      </c>
      <c r="CZ690" s="1" t="s">
        <v>215</v>
      </c>
      <c r="DA690">
        <v>1</v>
      </c>
      <c r="DB690" t="s">
        <v>226</v>
      </c>
      <c r="DC690">
        <v>109</v>
      </c>
      <c r="DD690" s="1" t="s">
        <v>6691</v>
      </c>
      <c r="DE690" s="1" t="s">
        <v>6692</v>
      </c>
      <c r="DF690" t="str">
        <f>_xlfn.XLOOKUP(Table1[[#This Row],[Player ID]],Table2[feed_id],Table2[trade_status])</f>
        <v>free_agent</v>
      </c>
      <c r="DG690">
        <f>_xlfn.NUMBERVALUE(Table1[[#This Row],[predicted]])</f>
        <v>96.471965740949599</v>
      </c>
    </row>
    <row r="691" spans="1:111" hidden="1" x14ac:dyDescent="0.25">
      <c r="A691">
        <v>132546</v>
      </c>
      <c r="B691">
        <v>9237</v>
      </c>
      <c r="C691" t="s">
        <v>6650</v>
      </c>
      <c r="D691" t="s">
        <v>3116</v>
      </c>
      <c r="E691">
        <v>2025</v>
      </c>
      <c r="F691">
        <v>1008384</v>
      </c>
      <c r="G691" t="s">
        <v>3189</v>
      </c>
      <c r="H691" t="s">
        <v>6721</v>
      </c>
      <c r="I691" t="s">
        <v>510</v>
      </c>
      <c r="J691">
        <v>13</v>
      </c>
      <c r="K691">
        <v>71</v>
      </c>
      <c r="L691">
        <v>65</v>
      </c>
      <c r="M691">
        <v>86</v>
      </c>
      <c r="N691">
        <v>60</v>
      </c>
      <c r="O691">
        <v>75</v>
      </c>
      <c r="P691">
        <v>7</v>
      </c>
      <c r="Q691">
        <v>6</v>
      </c>
      <c r="R691">
        <v>4</v>
      </c>
      <c r="S691">
        <v>2</v>
      </c>
      <c r="T691">
        <v>10</v>
      </c>
      <c r="U691">
        <v>0</v>
      </c>
      <c r="V691">
        <v>0</v>
      </c>
      <c r="W691">
        <v>1</v>
      </c>
      <c r="X691">
        <v>2</v>
      </c>
      <c r="Y691" t="s">
        <v>113</v>
      </c>
      <c r="Z691" t="s">
        <v>6722</v>
      </c>
      <c r="AA691" t="s">
        <v>6723</v>
      </c>
      <c r="AB691" t="s">
        <v>6724</v>
      </c>
      <c r="AC691" t="s">
        <v>6725</v>
      </c>
      <c r="AH691" t="s">
        <v>155</v>
      </c>
      <c r="AI691">
        <v>7</v>
      </c>
      <c r="AJ691">
        <v>0</v>
      </c>
      <c r="AK691">
        <v>0</v>
      </c>
      <c r="AL691">
        <v>0</v>
      </c>
      <c r="AM691">
        <v>0.18</v>
      </c>
      <c r="AN691">
        <v>0.27</v>
      </c>
      <c r="AO691">
        <v>0.34</v>
      </c>
      <c r="AS691">
        <v>5</v>
      </c>
      <c r="AT691">
        <v>2</v>
      </c>
      <c r="AU691">
        <v>3</v>
      </c>
      <c r="AV691">
        <v>61</v>
      </c>
      <c r="AW691">
        <v>82</v>
      </c>
      <c r="AX691">
        <v>174</v>
      </c>
      <c r="AY691">
        <v>0</v>
      </c>
      <c r="AZ691" t="b">
        <v>0</v>
      </c>
      <c r="BA691">
        <v>1632</v>
      </c>
      <c r="BB691">
        <v>1646</v>
      </c>
      <c r="BC691">
        <v>6</v>
      </c>
      <c r="BD691" t="s">
        <v>6656</v>
      </c>
      <c r="BE691" s="1" t="s">
        <v>3594</v>
      </c>
      <c r="BF691">
        <v>0</v>
      </c>
      <c r="BG691">
        <v>71</v>
      </c>
      <c r="BH691">
        <v>0</v>
      </c>
      <c r="BI691" s="1" t="s">
        <v>977</v>
      </c>
      <c r="BJ691" s="1" t="s">
        <v>448</v>
      </c>
      <c r="BK691" s="1" t="s">
        <v>124</v>
      </c>
      <c r="BL691">
        <v>4</v>
      </c>
      <c r="BM691" s="1" t="s">
        <v>124</v>
      </c>
      <c r="BN691">
        <v>4.4000000000000004</v>
      </c>
      <c r="BO691" s="1" t="s">
        <v>161</v>
      </c>
      <c r="BP691" s="1" t="s">
        <v>327</v>
      </c>
      <c r="BQ691">
        <v>9</v>
      </c>
      <c r="BR691" s="1" t="s">
        <v>752</v>
      </c>
      <c r="BS691" s="1" t="s">
        <v>128</v>
      </c>
      <c r="BT691" s="1" t="s">
        <v>130</v>
      </c>
      <c r="BU691" s="1" t="s">
        <v>128</v>
      </c>
      <c r="BV691" s="1" t="s">
        <v>231</v>
      </c>
      <c r="BW691">
        <v>3</v>
      </c>
      <c r="BX691" s="1" t="s">
        <v>375</v>
      </c>
      <c r="BY691" s="1" t="s">
        <v>161</v>
      </c>
      <c r="BZ691" s="1" t="s">
        <v>399</v>
      </c>
      <c r="CA691">
        <v>0.18</v>
      </c>
      <c r="CB691" s="1" t="s">
        <v>2246</v>
      </c>
      <c r="CC691">
        <v>0.27</v>
      </c>
      <c r="CD691">
        <v>0.26</v>
      </c>
      <c r="CE691">
        <v>0.34</v>
      </c>
      <c r="CF691">
        <v>0.3</v>
      </c>
      <c r="CG691" s="1" t="s">
        <v>204</v>
      </c>
      <c r="CH691" s="1" t="s">
        <v>260</v>
      </c>
      <c r="CI691">
        <v>2</v>
      </c>
      <c r="CJ691">
        <v>1.2</v>
      </c>
      <c r="CK691" s="1" t="s">
        <v>169</v>
      </c>
      <c r="CL691" s="1" t="s">
        <v>255</v>
      </c>
      <c r="CM691" s="1" t="s">
        <v>572</v>
      </c>
      <c r="CN691" s="1" t="s">
        <v>3033</v>
      </c>
      <c r="CO691" s="1" t="s">
        <v>142</v>
      </c>
      <c r="CP691" s="1" t="s">
        <v>1289</v>
      </c>
      <c r="CQ691" s="1" t="s">
        <v>6726</v>
      </c>
      <c r="CR691">
        <v>214.8</v>
      </c>
      <c r="CS691" s="1" t="s">
        <v>4695</v>
      </c>
      <c r="CT691">
        <v>1673.2</v>
      </c>
      <c r="CU691">
        <v>1598</v>
      </c>
      <c r="CV691" s="1" t="s">
        <v>6438</v>
      </c>
      <c r="CW691">
        <v>69.400000000000006</v>
      </c>
      <c r="CX691">
        <v>92.6</v>
      </c>
      <c r="CY691">
        <v>97</v>
      </c>
      <c r="CZ691" s="1" t="s">
        <v>6727</v>
      </c>
      <c r="DA691">
        <v>1</v>
      </c>
      <c r="DB691" t="s">
        <v>6722</v>
      </c>
      <c r="DC691">
        <v>65</v>
      </c>
      <c r="DD691">
        <v>77.1186585817901</v>
      </c>
      <c r="DE691">
        <v>-12.1186585817901</v>
      </c>
      <c r="DF691" t="e">
        <f>_xlfn.XLOOKUP(Table1[[#This Row],[Player ID]],Table2[feed_id],Table2[trade_status])</f>
        <v>#N/A</v>
      </c>
      <c r="DG691">
        <f>_xlfn.NUMBERVALUE(Table1[[#This Row],[predicted]])</f>
        <v>77.1186585817901</v>
      </c>
    </row>
    <row r="692" spans="1:111" hidden="1" x14ac:dyDescent="0.25">
      <c r="A692">
        <v>132547</v>
      </c>
      <c r="B692">
        <v>9237</v>
      </c>
      <c r="C692" t="s">
        <v>6650</v>
      </c>
      <c r="D692" t="s">
        <v>3116</v>
      </c>
      <c r="E692">
        <v>2025</v>
      </c>
      <c r="F692">
        <v>280506</v>
      </c>
      <c r="G692" t="s">
        <v>1422</v>
      </c>
      <c r="H692" t="s">
        <v>794</v>
      </c>
      <c r="I692" t="s">
        <v>510</v>
      </c>
      <c r="J692">
        <v>11</v>
      </c>
      <c r="K692">
        <v>70</v>
      </c>
      <c r="L692">
        <v>73</v>
      </c>
      <c r="M692">
        <v>89</v>
      </c>
      <c r="N692">
        <v>56</v>
      </c>
      <c r="O692">
        <v>73</v>
      </c>
      <c r="P692">
        <v>10</v>
      </c>
      <c r="Q692">
        <v>3</v>
      </c>
      <c r="R692">
        <v>3</v>
      </c>
      <c r="S692">
        <v>3</v>
      </c>
      <c r="T692">
        <v>2</v>
      </c>
      <c r="U692">
        <v>0</v>
      </c>
      <c r="V692">
        <v>1</v>
      </c>
      <c r="W692">
        <v>2</v>
      </c>
      <c r="X692">
        <v>2</v>
      </c>
      <c r="Y692" t="s">
        <v>113</v>
      </c>
      <c r="Z692" t="s">
        <v>656</v>
      </c>
      <c r="AA692" t="s">
        <v>6728</v>
      </c>
      <c r="AE692">
        <v>0</v>
      </c>
      <c r="AH692" t="s">
        <v>155</v>
      </c>
      <c r="AI692">
        <v>13</v>
      </c>
      <c r="AJ692">
        <v>14</v>
      </c>
      <c r="AK692">
        <v>61.86</v>
      </c>
      <c r="AL692">
        <v>0</v>
      </c>
      <c r="AM692">
        <v>0</v>
      </c>
      <c r="AN692">
        <v>0.74</v>
      </c>
      <c r="AO692">
        <v>1.33</v>
      </c>
      <c r="AS692">
        <v>5</v>
      </c>
      <c r="AT692">
        <v>0</v>
      </c>
      <c r="AU692">
        <v>2</v>
      </c>
      <c r="AV692">
        <v>61</v>
      </c>
      <c r="AW692">
        <v>80</v>
      </c>
      <c r="AX692">
        <v>376</v>
      </c>
      <c r="AY692">
        <v>0</v>
      </c>
      <c r="AZ692" t="b">
        <v>0</v>
      </c>
      <c r="BA692">
        <v>1632</v>
      </c>
      <c r="BB692">
        <v>1646</v>
      </c>
      <c r="BC692">
        <v>6</v>
      </c>
      <c r="BD692" t="s">
        <v>6656</v>
      </c>
      <c r="BE692" s="1" t="s">
        <v>3594</v>
      </c>
      <c r="BF692">
        <v>0</v>
      </c>
      <c r="BG692">
        <v>71</v>
      </c>
      <c r="BH692">
        <v>1</v>
      </c>
      <c r="BI692" s="1" t="s">
        <v>1008</v>
      </c>
      <c r="BJ692" s="1" t="s">
        <v>498</v>
      </c>
      <c r="BK692" s="1" t="s">
        <v>138</v>
      </c>
      <c r="BL692" s="1" t="s">
        <v>237</v>
      </c>
      <c r="BM692">
        <v>5</v>
      </c>
      <c r="BN692" s="1" t="s">
        <v>416</v>
      </c>
      <c r="BO692" s="1" t="s">
        <v>126</v>
      </c>
      <c r="BP692" s="1" t="s">
        <v>206</v>
      </c>
      <c r="BQ692" s="1" t="s">
        <v>159</v>
      </c>
      <c r="BR692" s="1" t="s">
        <v>162</v>
      </c>
      <c r="BS692">
        <v>0</v>
      </c>
      <c r="BT692">
        <v>0.2</v>
      </c>
      <c r="BU692" s="1" t="s">
        <v>128</v>
      </c>
      <c r="BV692" s="1" t="s">
        <v>238</v>
      </c>
      <c r="BW692" s="1" t="s">
        <v>138</v>
      </c>
      <c r="BX692" s="1" t="s">
        <v>566</v>
      </c>
      <c r="BY692" s="1" t="s">
        <v>161</v>
      </c>
      <c r="BZ692" s="1" t="s">
        <v>298</v>
      </c>
      <c r="CA692">
        <v>0</v>
      </c>
      <c r="CB692">
        <v>0</v>
      </c>
      <c r="CC692">
        <v>0.74</v>
      </c>
      <c r="CD692">
        <v>0.74</v>
      </c>
      <c r="CE692">
        <v>1.33</v>
      </c>
      <c r="CF692">
        <v>1.33</v>
      </c>
      <c r="CG692" s="1" t="s">
        <v>160</v>
      </c>
      <c r="CH692">
        <v>4</v>
      </c>
      <c r="CI692">
        <v>1</v>
      </c>
      <c r="CJ692">
        <v>0.4</v>
      </c>
      <c r="CK692" s="1" t="s">
        <v>138</v>
      </c>
      <c r="CL692" s="1" t="s">
        <v>375</v>
      </c>
      <c r="CM692" s="1" t="s">
        <v>1979</v>
      </c>
      <c r="CN692">
        <v>66.8</v>
      </c>
      <c r="CO692" s="1" t="s">
        <v>305</v>
      </c>
      <c r="CP692">
        <v>78.400000000000006</v>
      </c>
      <c r="CQ692" s="1" t="s">
        <v>6729</v>
      </c>
      <c r="CR692" s="1" t="s">
        <v>6627</v>
      </c>
      <c r="CS692" s="1" t="s">
        <v>4695</v>
      </c>
      <c r="CT692" s="1" t="s">
        <v>6730</v>
      </c>
      <c r="CU692">
        <v>1598</v>
      </c>
      <c r="CV692">
        <v>1574.8</v>
      </c>
      <c r="CW692">
        <v>73.900000000000006</v>
      </c>
      <c r="CX692">
        <v>66</v>
      </c>
      <c r="CY692">
        <v>85.2</v>
      </c>
      <c r="CZ692" s="1" t="s">
        <v>403</v>
      </c>
      <c r="DA692">
        <v>1</v>
      </c>
      <c r="DB692" t="s">
        <v>656</v>
      </c>
      <c r="DC692">
        <v>73</v>
      </c>
      <c r="DD692" s="1" t="s">
        <v>6731</v>
      </c>
      <c r="DE692">
        <v>-0.54984928045374204</v>
      </c>
      <c r="DF692" t="e">
        <f>_xlfn.XLOOKUP(Table1[[#This Row],[Player ID]],Table2[feed_id],Table2[trade_status])</f>
        <v>#N/A</v>
      </c>
      <c r="DG692">
        <f>_xlfn.NUMBERVALUE(Table1[[#This Row],[predicted]])</f>
        <v>73.549849280453699</v>
      </c>
    </row>
    <row r="693" spans="1:111" x14ac:dyDescent="0.25">
      <c r="A693">
        <v>132740</v>
      </c>
      <c r="B693">
        <v>9241</v>
      </c>
      <c r="C693" t="s">
        <v>7418</v>
      </c>
      <c r="D693" t="s">
        <v>3116</v>
      </c>
      <c r="E693">
        <v>2025</v>
      </c>
      <c r="F693">
        <v>1023708</v>
      </c>
      <c r="G693" t="s">
        <v>7514</v>
      </c>
      <c r="H693" t="s">
        <v>2688</v>
      </c>
      <c r="I693" t="s">
        <v>201</v>
      </c>
      <c r="J693">
        <v>19</v>
      </c>
      <c r="K693">
        <v>98</v>
      </c>
      <c r="L693">
        <v>90</v>
      </c>
      <c r="M693">
        <v>56</v>
      </c>
      <c r="N693">
        <v>74</v>
      </c>
      <c r="O693">
        <v>102</v>
      </c>
      <c r="P693">
        <v>18</v>
      </c>
      <c r="Q693">
        <v>7</v>
      </c>
      <c r="R693">
        <v>6</v>
      </c>
      <c r="S693">
        <v>3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113</v>
      </c>
      <c r="Z693" t="s">
        <v>226</v>
      </c>
      <c r="AA693" t="s">
        <v>7284</v>
      </c>
      <c r="AH693" t="s">
        <v>118</v>
      </c>
      <c r="AI693">
        <v>3</v>
      </c>
      <c r="AJ693">
        <v>0</v>
      </c>
      <c r="AK693">
        <v>0</v>
      </c>
      <c r="AL693">
        <v>0</v>
      </c>
      <c r="AM693">
        <v>1.02</v>
      </c>
      <c r="AN693">
        <v>1.0900000000000001</v>
      </c>
      <c r="AO693">
        <v>1.23</v>
      </c>
      <c r="AS693">
        <v>6</v>
      </c>
      <c r="AT693">
        <v>1</v>
      </c>
      <c r="AU693">
        <v>2</v>
      </c>
      <c r="AV693">
        <v>72</v>
      </c>
      <c r="AW693">
        <v>84</v>
      </c>
      <c r="AX693">
        <v>355</v>
      </c>
      <c r="AY693">
        <v>0</v>
      </c>
      <c r="AZ693" t="b">
        <v>0</v>
      </c>
      <c r="BA693">
        <v>1518</v>
      </c>
      <c r="BB693">
        <v>1780</v>
      </c>
      <c r="BC693">
        <v>6</v>
      </c>
      <c r="BD693" t="s">
        <v>7502</v>
      </c>
      <c r="BE693" s="1" t="s">
        <v>3594</v>
      </c>
      <c r="BF693">
        <v>0</v>
      </c>
      <c r="BG693">
        <v>71</v>
      </c>
      <c r="BH693">
        <v>1</v>
      </c>
      <c r="BI693">
        <v>17</v>
      </c>
      <c r="BJ693" s="1" t="s">
        <v>586</v>
      </c>
      <c r="BK693">
        <v>5</v>
      </c>
      <c r="BL693">
        <v>6</v>
      </c>
      <c r="BM693" s="1" t="s">
        <v>545</v>
      </c>
      <c r="BN693">
        <v>5.2</v>
      </c>
      <c r="BO693" s="1" t="s">
        <v>126</v>
      </c>
      <c r="BP693" s="1" t="s">
        <v>304</v>
      </c>
      <c r="BQ693">
        <v>0</v>
      </c>
      <c r="BR693">
        <v>0</v>
      </c>
      <c r="BS693" s="1" t="s">
        <v>129</v>
      </c>
      <c r="BT693" s="1" t="s">
        <v>129</v>
      </c>
      <c r="BU693" s="1" t="s">
        <v>129</v>
      </c>
      <c r="BV693">
        <v>0.4</v>
      </c>
      <c r="BW693" s="1" t="s">
        <v>128</v>
      </c>
      <c r="BX693" s="1" t="s">
        <v>184</v>
      </c>
      <c r="BY693">
        <v>0</v>
      </c>
      <c r="BZ693" s="1" t="s">
        <v>213</v>
      </c>
      <c r="CA693">
        <v>1.02</v>
      </c>
      <c r="CB693">
        <v>1.02</v>
      </c>
      <c r="CC693">
        <v>1.0900000000000001</v>
      </c>
      <c r="CD693">
        <v>1.0900000000000001</v>
      </c>
      <c r="CE693">
        <v>1.23</v>
      </c>
      <c r="CF693">
        <v>1.23</v>
      </c>
      <c r="CG693" s="1" t="s">
        <v>160</v>
      </c>
      <c r="CH693" s="1" t="s">
        <v>416</v>
      </c>
      <c r="CI693" s="1" t="s">
        <v>128</v>
      </c>
      <c r="CJ693">
        <v>1.6</v>
      </c>
      <c r="CK693" s="1" t="s">
        <v>126</v>
      </c>
      <c r="CL693" s="1" t="s">
        <v>327</v>
      </c>
      <c r="CM693">
        <v>77</v>
      </c>
      <c r="CN693" s="1" t="s">
        <v>1840</v>
      </c>
      <c r="CO693" s="1" t="s">
        <v>968</v>
      </c>
      <c r="CP693" s="1" t="s">
        <v>382</v>
      </c>
      <c r="CQ693">
        <v>413</v>
      </c>
      <c r="CR693" s="1" t="s">
        <v>7515</v>
      </c>
      <c r="CS693" s="1" t="s">
        <v>7505</v>
      </c>
      <c r="CT693" s="1" t="s">
        <v>2626</v>
      </c>
      <c r="CU693" s="1" t="s">
        <v>7506</v>
      </c>
      <c r="CV693" s="1" t="s">
        <v>3538</v>
      </c>
      <c r="CW693">
        <v>65.900000000000006</v>
      </c>
      <c r="CX693">
        <v>73.5</v>
      </c>
      <c r="CY693">
        <v>79.599999999999994</v>
      </c>
      <c r="CZ693" s="1" t="s">
        <v>3487</v>
      </c>
      <c r="DA693">
        <v>1</v>
      </c>
      <c r="DB693" t="s">
        <v>226</v>
      </c>
      <c r="DC693">
        <v>90</v>
      </c>
      <c r="DD693" s="1" t="s">
        <v>7516</v>
      </c>
      <c r="DE693">
        <v>-5.24724925390242</v>
      </c>
      <c r="DF693" t="str">
        <f>_xlfn.XLOOKUP(Table1[[#This Row],[Player ID]],Table2[feed_id],Table2[trade_status])</f>
        <v>waiver</v>
      </c>
      <c r="DG693">
        <f>_xlfn.NUMBERVALUE(Table1[[#This Row],[predicted]])</f>
        <v>95.247249253902396</v>
      </c>
    </row>
    <row r="694" spans="1:111" hidden="1" x14ac:dyDescent="0.25">
      <c r="A694">
        <v>132549</v>
      </c>
      <c r="B694">
        <v>9237</v>
      </c>
      <c r="C694" t="s">
        <v>6650</v>
      </c>
      <c r="D694" t="s">
        <v>3116</v>
      </c>
      <c r="E694">
        <v>2025</v>
      </c>
      <c r="F694">
        <v>297523</v>
      </c>
      <c r="G694" t="s">
        <v>6740</v>
      </c>
      <c r="H694" t="s">
        <v>4690</v>
      </c>
      <c r="I694" t="s">
        <v>510</v>
      </c>
      <c r="J694">
        <v>20</v>
      </c>
      <c r="K694">
        <v>57</v>
      </c>
      <c r="L694">
        <v>67</v>
      </c>
      <c r="M694">
        <v>65</v>
      </c>
      <c r="N694">
        <v>56</v>
      </c>
      <c r="O694">
        <v>65</v>
      </c>
      <c r="P694">
        <v>1</v>
      </c>
      <c r="Q694">
        <v>4</v>
      </c>
      <c r="R694">
        <v>1</v>
      </c>
      <c r="S694">
        <v>3</v>
      </c>
      <c r="T694">
        <v>38</v>
      </c>
      <c r="U694">
        <v>2</v>
      </c>
      <c r="V694">
        <v>3</v>
      </c>
      <c r="W694">
        <v>0</v>
      </c>
      <c r="X694">
        <v>0</v>
      </c>
      <c r="Y694" t="s">
        <v>113</v>
      </c>
      <c r="Z694" t="s">
        <v>602</v>
      </c>
      <c r="AA694" t="s">
        <v>6741</v>
      </c>
      <c r="AE694">
        <v>0</v>
      </c>
      <c r="AH694" t="s">
        <v>274</v>
      </c>
      <c r="AI694">
        <v>43</v>
      </c>
      <c r="AJ694">
        <v>0</v>
      </c>
      <c r="AK694">
        <v>0</v>
      </c>
      <c r="AL694">
        <v>0</v>
      </c>
      <c r="AM694">
        <v>0</v>
      </c>
      <c r="AN694">
        <v>0.62</v>
      </c>
      <c r="AO694">
        <v>0.82</v>
      </c>
      <c r="AS694">
        <v>3</v>
      </c>
      <c r="AT694">
        <v>2</v>
      </c>
      <c r="AU694">
        <v>4</v>
      </c>
      <c r="AV694">
        <v>100</v>
      </c>
      <c r="AW694">
        <v>82</v>
      </c>
      <c r="AX694">
        <v>34</v>
      </c>
      <c r="AY694">
        <v>0</v>
      </c>
      <c r="AZ694" t="b">
        <v>0</v>
      </c>
      <c r="BA694">
        <v>1632</v>
      </c>
      <c r="BB694">
        <v>1646</v>
      </c>
      <c r="BC694">
        <v>6</v>
      </c>
      <c r="BD694" t="s">
        <v>6656</v>
      </c>
      <c r="BE694" s="1" t="s">
        <v>3594</v>
      </c>
      <c r="BF694">
        <v>0</v>
      </c>
      <c r="BG694">
        <v>71</v>
      </c>
      <c r="BH694">
        <v>0</v>
      </c>
      <c r="BI694" s="1" t="s">
        <v>125</v>
      </c>
      <c r="BJ694" s="1" t="s">
        <v>449</v>
      </c>
      <c r="BK694">
        <v>5</v>
      </c>
      <c r="BL694" s="1" t="s">
        <v>205</v>
      </c>
      <c r="BM694" s="1" t="s">
        <v>159</v>
      </c>
      <c r="BN694">
        <v>2.6</v>
      </c>
      <c r="BO694" s="1" t="s">
        <v>159</v>
      </c>
      <c r="BP694" s="1" t="s">
        <v>189</v>
      </c>
      <c r="BQ694">
        <v>35</v>
      </c>
      <c r="BR694" s="1" t="s">
        <v>6742</v>
      </c>
      <c r="BS694">
        <v>1</v>
      </c>
      <c r="BT694" s="1" t="s">
        <v>399</v>
      </c>
      <c r="BU694" s="1" t="s">
        <v>159</v>
      </c>
      <c r="BV694" s="1" t="s">
        <v>126</v>
      </c>
      <c r="BW694">
        <v>0</v>
      </c>
      <c r="BX694">
        <v>0</v>
      </c>
      <c r="BY694">
        <v>0</v>
      </c>
      <c r="BZ694" s="1" t="s">
        <v>213</v>
      </c>
      <c r="CA694">
        <v>0</v>
      </c>
      <c r="CB694">
        <v>0</v>
      </c>
      <c r="CC694">
        <v>0.62</v>
      </c>
      <c r="CD694">
        <v>0.62</v>
      </c>
      <c r="CE694">
        <v>0.82</v>
      </c>
      <c r="CF694">
        <v>0.82</v>
      </c>
      <c r="CG694" s="1" t="s">
        <v>160</v>
      </c>
      <c r="CH694" s="1" t="s">
        <v>374</v>
      </c>
      <c r="CI694" s="1" t="s">
        <v>169</v>
      </c>
      <c r="CJ694">
        <v>2.4</v>
      </c>
      <c r="CK694" s="1" t="s">
        <v>125</v>
      </c>
      <c r="CL694" s="1" t="s">
        <v>431</v>
      </c>
      <c r="CM694">
        <v>76</v>
      </c>
      <c r="CN694" s="1" t="s">
        <v>6743</v>
      </c>
      <c r="CO694">
        <v>84</v>
      </c>
      <c r="CP694">
        <v>85.2</v>
      </c>
      <c r="CQ694" s="1" t="s">
        <v>649</v>
      </c>
      <c r="CR694">
        <v>94.6</v>
      </c>
      <c r="CS694" s="1" t="s">
        <v>4695</v>
      </c>
      <c r="CT694" s="1" t="s">
        <v>5731</v>
      </c>
      <c r="CU694">
        <v>1598</v>
      </c>
      <c r="CV694" s="1" t="s">
        <v>6744</v>
      </c>
      <c r="CW694">
        <v>91.75</v>
      </c>
      <c r="CX694">
        <v>88.9</v>
      </c>
      <c r="CY694">
        <v>75.2</v>
      </c>
      <c r="CZ694" s="1" t="s">
        <v>263</v>
      </c>
      <c r="DA694">
        <v>1</v>
      </c>
      <c r="DB694" t="s">
        <v>602</v>
      </c>
      <c r="DC694">
        <v>67</v>
      </c>
      <c r="DD694" s="1" t="s">
        <v>6745</v>
      </c>
      <c r="DE694">
        <v>-26.521496659391001</v>
      </c>
      <c r="DF694" t="e">
        <f>_xlfn.XLOOKUP(Table1[[#This Row],[Player ID]],Table2[feed_id],Table2[trade_status])</f>
        <v>#N/A</v>
      </c>
      <c r="DG694">
        <f>_xlfn.NUMBERVALUE(Table1[[#This Row],[predicted]])</f>
        <v>93.521496659391005</v>
      </c>
    </row>
    <row r="695" spans="1:111" x14ac:dyDescent="0.25">
      <c r="A695">
        <v>132587</v>
      </c>
      <c r="B695">
        <v>9238</v>
      </c>
      <c r="C695" t="s">
        <v>6865</v>
      </c>
      <c r="D695" t="s">
        <v>3116</v>
      </c>
      <c r="E695">
        <v>2025</v>
      </c>
      <c r="F695">
        <v>998205</v>
      </c>
      <c r="G695" t="s">
        <v>2192</v>
      </c>
      <c r="H695" t="s">
        <v>6900</v>
      </c>
      <c r="I695" t="s">
        <v>112</v>
      </c>
      <c r="J695">
        <v>13</v>
      </c>
      <c r="K695">
        <v>77</v>
      </c>
      <c r="L695">
        <v>62</v>
      </c>
      <c r="M695">
        <v>100</v>
      </c>
      <c r="N695">
        <v>60</v>
      </c>
      <c r="O695">
        <v>79</v>
      </c>
      <c r="P695">
        <v>11</v>
      </c>
      <c r="Q695">
        <v>6</v>
      </c>
      <c r="R695">
        <v>6</v>
      </c>
      <c r="S695">
        <v>3</v>
      </c>
      <c r="T695">
        <v>0</v>
      </c>
      <c r="U695">
        <v>1</v>
      </c>
      <c r="V695">
        <v>0</v>
      </c>
      <c r="W695">
        <v>0</v>
      </c>
      <c r="X695">
        <v>1</v>
      </c>
      <c r="Y695" t="s">
        <v>113</v>
      </c>
      <c r="Z695" t="s">
        <v>226</v>
      </c>
      <c r="AA695" t="s">
        <v>6901</v>
      </c>
      <c r="AE695">
        <v>0</v>
      </c>
      <c r="AH695" t="s">
        <v>118</v>
      </c>
      <c r="AI695">
        <v>12</v>
      </c>
      <c r="AJ695">
        <v>7</v>
      </c>
      <c r="AK695">
        <v>52.43</v>
      </c>
      <c r="AL695">
        <v>0</v>
      </c>
      <c r="AM695">
        <v>0</v>
      </c>
      <c r="AN695">
        <v>0.11</v>
      </c>
      <c r="AO695">
        <v>0.18</v>
      </c>
      <c r="AS695">
        <v>2</v>
      </c>
      <c r="AT695">
        <v>0</v>
      </c>
      <c r="AU695">
        <v>1</v>
      </c>
      <c r="AV695">
        <v>70</v>
      </c>
      <c r="AW695">
        <v>83</v>
      </c>
      <c r="AX695">
        <v>279</v>
      </c>
      <c r="AY695">
        <v>1</v>
      </c>
      <c r="AZ695" t="b">
        <v>0</v>
      </c>
      <c r="BA695">
        <v>1546</v>
      </c>
      <c r="BB695">
        <v>1741</v>
      </c>
      <c r="BC695">
        <v>6</v>
      </c>
      <c r="BD695" t="s">
        <v>6869</v>
      </c>
      <c r="BE695" s="1" t="s">
        <v>3594</v>
      </c>
      <c r="BF695">
        <v>0</v>
      </c>
      <c r="BG695">
        <v>71</v>
      </c>
      <c r="BH695">
        <v>0</v>
      </c>
      <c r="BI695" s="1" t="s">
        <v>977</v>
      </c>
      <c r="BJ695" s="1" t="s">
        <v>1008</v>
      </c>
      <c r="BK695" s="1" t="s">
        <v>204</v>
      </c>
      <c r="BL695">
        <v>7.2</v>
      </c>
      <c r="BM695">
        <v>4</v>
      </c>
      <c r="BN695">
        <v>4.4000000000000004</v>
      </c>
      <c r="BO695" s="1" t="s">
        <v>125</v>
      </c>
      <c r="BP695">
        <v>2.6</v>
      </c>
      <c r="BQ695">
        <v>0</v>
      </c>
      <c r="BR695">
        <v>0</v>
      </c>
      <c r="BS695">
        <v>1</v>
      </c>
      <c r="BT695" s="1" t="s">
        <v>184</v>
      </c>
      <c r="BU695" s="1" t="s">
        <v>129</v>
      </c>
      <c r="BV695" s="1" t="s">
        <v>184</v>
      </c>
      <c r="BW695" s="1" t="s">
        <v>129</v>
      </c>
      <c r="BX695" s="1" t="s">
        <v>213</v>
      </c>
      <c r="BY695" s="1" t="s">
        <v>128</v>
      </c>
      <c r="BZ695" s="1" t="s">
        <v>184</v>
      </c>
      <c r="CA695">
        <v>0</v>
      </c>
      <c r="CB695">
        <v>0</v>
      </c>
      <c r="CC695">
        <v>0.11</v>
      </c>
      <c r="CD695">
        <v>0.11</v>
      </c>
      <c r="CE695">
        <v>0.18</v>
      </c>
      <c r="CF695">
        <v>0.18</v>
      </c>
      <c r="CG695" s="1" t="s">
        <v>211</v>
      </c>
      <c r="CH695" s="1" t="s">
        <v>565</v>
      </c>
      <c r="CI695" s="1" t="s">
        <v>128</v>
      </c>
      <c r="CJ695" s="1" t="s">
        <v>130</v>
      </c>
      <c r="CK695" s="1" t="s">
        <v>161</v>
      </c>
      <c r="CL695" s="1" t="s">
        <v>304</v>
      </c>
      <c r="CM695" s="1" t="s">
        <v>787</v>
      </c>
      <c r="CN695" s="1" t="s">
        <v>3267</v>
      </c>
      <c r="CO695" s="1" t="s">
        <v>994</v>
      </c>
      <c r="CP695" s="1" t="s">
        <v>3911</v>
      </c>
      <c r="CQ695" s="1" t="s">
        <v>6902</v>
      </c>
      <c r="CR695" s="1" t="s">
        <v>6903</v>
      </c>
      <c r="CS695">
        <v>1729</v>
      </c>
      <c r="CT695" s="1" t="s">
        <v>6904</v>
      </c>
      <c r="CU695" s="1" t="s">
        <v>5214</v>
      </c>
      <c r="CV695" s="1" t="s">
        <v>6905</v>
      </c>
      <c r="CW695">
        <v>75.400000000000006</v>
      </c>
      <c r="CX695">
        <v>70.8</v>
      </c>
      <c r="CY695">
        <v>75</v>
      </c>
      <c r="CZ695" s="1" t="s">
        <v>1080</v>
      </c>
      <c r="DA695">
        <v>1</v>
      </c>
      <c r="DB695" t="s">
        <v>226</v>
      </c>
      <c r="DC695">
        <v>62</v>
      </c>
      <c r="DD695" s="1" t="s">
        <v>6906</v>
      </c>
      <c r="DE695">
        <v>-33.234318421123398</v>
      </c>
      <c r="DF695" t="str">
        <f>_xlfn.XLOOKUP(Table1[[#This Row],[Player ID]],Table2[feed_id],Table2[trade_status])</f>
        <v>waiver</v>
      </c>
      <c r="DG695">
        <f>_xlfn.NUMBERVALUE(Table1[[#This Row],[predicted]])</f>
        <v>95.234318421123405</v>
      </c>
    </row>
    <row r="696" spans="1:111" hidden="1" x14ac:dyDescent="0.25">
      <c r="A696">
        <v>132551</v>
      </c>
      <c r="B696">
        <v>9237</v>
      </c>
      <c r="C696" t="s">
        <v>6650</v>
      </c>
      <c r="D696" t="s">
        <v>3116</v>
      </c>
      <c r="E696">
        <v>2025</v>
      </c>
      <c r="F696">
        <v>1017109</v>
      </c>
      <c r="G696" t="s">
        <v>1235</v>
      </c>
      <c r="H696" t="s">
        <v>6752</v>
      </c>
      <c r="I696" t="s">
        <v>510</v>
      </c>
      <c r="J696">
        <v>8</v>
      </c>
      <c r="K696">
        <v>52</v>
      </c>
      <c r="L696">
        <v>63</v>
      </c>
      <c r="M696">
        <v>66</v>
      </c>
      <c r="N696">
        <v>42</v>
      </c>
      <c r="O696">
        <v>58</v>
      </c>
      <c r="P696">
        <v>8</v>
      </c>
      <c r="Q696">
        <v>7</v>
      </c>
      <c r="R696">
        <v>2</v>
      </c>
      <c r="S696">
        <v>2</v>
      </c>
      <c r="T696">
        <v>0</v>
      </c>
      <c r="U696">
        <v>2</v>
      </c>
      <c r="V696">
        <v>1</v>
      </c>
      <c r="W696">
        <v>0</v>
      </c>
      <c r="X696">
        <v>1</v>
      </c>
      <c r="Y696" t="s">
        <v>113</v>
      </c>
      <c r="Z696" t="s">
        <v>877</v>
      </c>
      <c r="AA696" t="s">
        <v>6753</v>
      </c>
      <c r="AH696" t="s">
        <v>118</v>
      </c>
      <c r="AI696">
        <v>14</v>
      </c>
      <c r="AJ696">
        <v>0</v>
      </c>
      <c r="AK696">
        <v>0</v>
      </c>
      <c r="AL696">
        <v>0</v>
      </c>
      <c r="AM696">
        <v>0.4</v>
      </c>
      <c r="AN696">
        <v>0.39</v>
      </c>
      <c r="AO696">
        <v>0.56999999999999995</v>
      </c>
      <c r="AS696">
        <v>9</v>
      </c>
      <c r="AT696">
        <v>4</v>
      </c>
      <c r="AU696">
        <v>1</v>
      </c>
      <c r="AV696">
        <v>66</v>
      </c>
      <c r="AW696">
        <v>78</v>
      </c>
      <c r="AX696">
        <v>296</v>
      </c>
      <c r="AY696">
        <v>1</v>
      </c>
      <c r="AZ696" t="b">
        <v>0</v>
      </c>
      <c r="BA696">
        <v>1632</v>
      </c>
      <c r="BB696">
        <v>1646</v>
      </c>
      <c r="BC696">
        <v>6</v>
      </c>
      <c r="BD696" t="s">
        <v>6656</v>
      </c>
      <c r="BE696" s="1" t="s">
        <v>3594</v>
      </c>
      <c r="BF696">
        <v>0</v>
      </c>
      <c r="BG696">
        <v>71</v>
      </c>
      <c r="BH696">
        <v>0</v>
      </c>
      <c r="BI696">
        <v>14</v>
      </c>
      <c r="BJ696" s="1" t="s">
        <v>3438</v>
      </c>
      <c r="BK696">
        <v>9</v>
      </c>
      <c r="BL696" s="1" t="s">
        <v>949</v>
      </c>
      <c r="BM696">
        <v>3</v>
      </c>
      <c r="BN696">
        <v>3.2</v>
      </c>
      <c r="BO696" s="1" t="s">
        <v>211</v>
      </c>
      <c r="BP696" s="1" t="s">
        <v>256</v>
      </c>
      <c r="BQ696">
        <v>0</v>
      </c>
      <c r="BR696">
        <v>0</v>
      </c>
      <c r="BS696" s="1" t="s">
        <v>161</v>
      </c>
      <c r="BT696" s="1" t="s">
        <v>257</v>
      </c>
      <c r="BU696" s="1" t="s">
        <v>126</v>
      </c>
      <c r="BV696" s="1" t="s">
        <v>298</v>
      </c>
      <c r="BW696" s="1" t="s">
        <v>129</v>
      </c>
      <c r="BX696" s="1" t="s">
        <v>231</v>
      </c>
      <c r="BY696" s="1" t="s">
        <v>129</v>
      </c>
      <c r="BZ696" s="1" t="s">
        <v>231</v>
      </c>
      <c r="CA696">
        <v>0.4</v>
      </c>
      <c r="CB696">
        <v>0.4</v>
      </c>
      <c r="CC696">
        <v>0.39</v>
      </c>
      <c r="CD696">
        <v>0.39</v>
      </c>
      <c r="CE696">
        <v>0.56999999999999995</v>
      </c>
      <c r="CF696">
        <v>0.56999999999999995</v>
      </c>
      <c r="CG696">
        <v>12</v>
      </c>
      <c r="CH696">
        <v>10.199999999999999</v>
      </c>
      <c r="CI696">
        <v>6</v>
      </c>
      <c r="CJ696" s="1" t="s">
        <v>436</v>
      </c>
      <c r="CK696">
        <v>4</v>
      </c>
      <c r="CL696" s="1" t="s">
        <v>587</v>
      </c>
      <c r="CM696" s="1" t="s">
        <v>1012</v>
      </c>
      <c r="CN696" s="1" t="s">
        <v>2924</v>
      </c>
      <c r="CO696" s="1" t="s">
        <v>1110</v>
      </c>
      <c r="CP696" s="1" t="s">
        <v>305</v>
      </c>
      <c r="CQ696">
        <v>411</v>
      </c>
      <c r="CR696" s="1" t="s">
        <v>6754</v>
      </c>
      <c r="CS696" s="1" t="s">
        <v>4695</v>
      </c>
      <c r="CT696" s="1" t="s">
        <v>4304</v>
      </c>
      <c r="CU696">
        <v>1598</v>
      </c>
      <c r="CV696" s="1" t="s">
        <v>6676</v>
      </c>
      <c r="CW696">
        <v>86.2</v>
      </c>
      <c r="CX696">
        <v>95</v>
      </c>
      <c r="CY696">
        <v>103.8</v>
      </c>
      <c r="CZ696">
        <v>99</v>
      </c>
      <c r="DA696">
        <v>1</v>
      </c>
      <c r="DB696" t="s">
        <v>877</v>
      </c>
      <c r="DC696">
        <v>63</v>
      </c>
      <c r="DD696" s="1" t="s">
        <v>6755</v>
      </c>
      <c r="DE696">
        <v>-9.0448360344608396</v>
      </c>
      <c r="DF696" t="e">
        <f>_xlfn.XLOOKUP(Table1[[#This Row],[Player ID]],Table2[feed_id],Table2[trade_status])</f>
        <v>#N/A</v>
      </c>
      <c r="DG696">
        <f>_xlfn.NUMBERVALUE(Table1[[#This Row],[predicted]])</f>
        <v>72.044836034460801</v>
      </c>
    </row>
    <row r="697" spans="1:111" hidden="1" x14ac:dyDescent="0.25">
      <c r="A697">
        <v>132552</v>
      </c>
      <c r="B697">
        <v>9237</v>
      </c>
      <c r="C697" t="s">
        <v>6650</v>
      </c>
      <c r="D697" t="s">
        <v>3116</v>
      </c>
      <c r="E697">
        <v>2025</v>
      </c>
      <c r="F697">
        <v>296420</v>
      </c>
      <c r="G697" t="s">
        <v>1450</v>
      </c>
      <c r="H697" t="s">
        <v>6756</v>
      </c>
      <c r="I697" t="s">
        <v>510</v>
      </c>
      <c r="J697">
        <v>5</v>
      </c>
      <c r="K697">
        <v>48</v>
      </c>
      <c r="L697">
        <v>65</v>
      </c>
      <c r="M697">
        <v>63</v>
      </c>
      <c r="N697">
        <v>39</v>
      </c>
      <c r="O697">
        <v>54</v>
      </c>
      <c r="P697">
        <v>7</v>
      </c>
      <c r="Q697">
        <v>5</v>
      </c>
      <c r="R697">
        <v>4</v>
      </c>
      <c r="S697">
        <v>2</v>
      </c>
      <c r="T697">
        <v>0</v>
      </c>
      <c r="U697">
        <v>0</v>
      </c>
      <c r="V697">
        <v>1</v>
      </c>
      <c r="W697">
        <v>0</v>
      </c>
      <c r="X697">
        <v>0</v>
      </c>
      <c r="Y697" t="s">
        <v>113</v>
      </c>
      <c r="Z697" t="s">
        <v>525</v>
      </c>
      <c r="AA697" t="s">
        <v>6757</v>
      </c>
      <c r="AE697">
        <v>0</v>
      </c>
      <c r="AH697" t="s">
        <v>155</v>
      </c>
      <c r="AI697">
        <v>28</v>
      </c>
      <c r="AJ697">
        <v>21</v>
      </c>
      <c r="AK697">
        <v>78.38</v>
      </c>
      <c r="AL697">
        <v>0</v>
      </c>
      <c r="AM697">
        <v>0</v>
      </c>
      <c r="AN697">
        <v>0.09</v>
      </c>
      <c r="AO697">
        <v>0.09</v>
      </c>
      <c r="AS697">
        <v>6</v>
      </c>
      <c r="AT697">
        <v>0</v>
      </c>
      <c r="AU697">
        <v>2</v>
      </c>
      <c r="AV697">
        <v>91</v>
      </c>
      <c r="AW697">
        <v>83</v>
      </c>
      <c r="AX697">
        <v>196</v>
      </c>
      <c r="AY697">
        <v>0</v>
      </c>
      <c r="AZ697" t="b">
        <v>0</v>
      </c>
      <c r="BA697">
        <v>1632</v>
      </c>
      <c r="BB697">
        <v>1646</v>
      </c>
      <c r="BC697">
        <v>6</v>
      </c>
      <c r="BD697" t="s">
        <v>6656</v>
      </c>
      <c r="BE697" s="1" t="s">
        <v>3594</v>
      </c>
      <c r="BF697">
        <v>0</v>
      </c>
      <c r="BG697">
        <v>71</v>
      </c>
      <c r="BH697">
        <v>0</v>
      </c>
      <c r="BI697" s="1" t="s">
        <v>253</v>
      </c>
      <c r="BJ697" s="1" t="s">
        <v>1587</v>
      </c>
      <c r="BK697" s="1" t="s">
        <v>253</v>
      </c>
      <c r="BL697" s="1" t="s">
        <v>1239</v>
      </c>
      <c r="BM697">
        <v>3</v>
      </c>
      <c r="BN697" s="1" t="s">
        <v>189</v>
      </c>
      <c r="BO697" s="1" t="s">
        <v>138</v>
      </c>
      <c r="BP697" s="1" t="s">
        <v>781</v>
      </c>
      <c r="BQ697">
        <v>0</v>
      </c>
      <c r="BR697">
        <v>0</v>
      </c>
      <c r="BS697">
        <v>1</v>
      </c>
      <c r="BT697">
        <v>0.8</v>
      </c>
      <c r="BU697">
        <v>2</v>
      </c>
      <c r="BV697">
        <v>1.4</v>
      </c>
      <c r="BW697" s="1" t="s">
        <v>129</v>
      </c>
      <c r="BX697" s="1" t="s">
        <v>231</v>
      </c>
      <c r="BY697" s="1" t="s">
        <v>129</v>
      </c>
      <c r="BZ697" s="1" t="s">
        <v>184</v>
      </c>
      <c r="CA697">
        <v>0</v>
      </c>
      <c r="CB697">
        <v>0</v>
      </c>
      <c r="CC697">
        <v>0.09</v>
      </c>
      <c r="CD697">
        <v>0.09</v>
      </c>
      <c r="CE697">
        <v>0.09</v>
      </c>
      <c r="CF697">
        <v>0.09</v>
      </c>
      <c r="CG697" s="1" t="s">
        <v>204</v>
      </c>
      <c r="CH697" s="1" t="s">
        <v>398</v>
      </c>
      <c r="CI697">
        <v>0</v>
      </c>
      <c r="CJ697" s="1" t="s">
        <v>375</v>
      </c>
      <c r="CK697" s="1" t="s">
        <v>169</v>
      </c>
      <c r="CL697" s="1" t="s">
        <v>431</v>
      </c>
      <c r="CM697" s="1" t="s">
        <v>350</v>
      </c>
      <c r="CN697">
        <v>69.599999999999994</v>
      </c>
      <c r="CO697">
        <v>83</v>
      </c>
      <c r="CP697" s="1" t="s">
        <v>2549</v>
      </c>
      <c r="CQ697">
        <v>241</v>
      </c>
      <c r="CR697">
        <v>282</v>
      </c>
      <c r="CS697" s="1" t="s">
        <v>4695</v>
      </c>
      <c r="CT697" s="1" t="s">
        <v>6758</v>
      </c>
      <c r="CU697">
        <v>1598</v>
      </c>
      <c r="CV697" s="1" t="s">
        <v>1043</v>
      </c>
      <c r="CW697">
        <v>83.7</v>
      </c>
      <c r="CX697">
        <v>82.4</v>
      </c>
      <c r="CY697">
        <v>72.2</v>
      </c>
      <c r="CZ697" s="1" t="s">
        <v>1838</v>
      </c>
      <c r="DA697">
        <v>1</v>
      </c>
      <c r="DB697" t="s">
        <v>525</v>
      </c>
      <c r="DC697">
        <v>65</v>
      </c>
      <c r="DD697" s="1" t="s">
        <v>6759</v>
      </c>
      <c r="DE697">
        <v>-11.283551619682299</v>
      </c>
      <c r="DF697" t="e">
        <f>_xlfn.XLOOKUP(Table1[[#This Row],[Player ID]],Table2[feed_id],Table2[trade_status])</f>
        <v>#N/A</v>
      </c>
      <c r="DG697">
        <f>_xlfn.NUMBERVALUE(Table1[[#This Row],[predicted]])</f>
        <v>76.283551619682299</v>
      </c>
    </row>
    <row r="698" spans="1:111" x14ac:dyDescent="0.25">
      <c r="A698">
        <v>132718</v>
      </c>
      <c r="B698">
        <v>9241</v>
      </c>
      <c r="C698" t="s">
        <v>7418</v>
      </c>
      <c r="D698" t="s">
        <v>3116</v>
      </c>
      <c r="E698">
        <v>2025</v>
      </c>
      <c r="F698">
        <v>1000864</v>
      </c>
      <c r="G698" t="s">
        <v>1658</v>
      </c>
      <c r="H698" t="s">
        <v>7433</v>
      </c>
      <c r="I698" t="s">
        <v>712</v>
      </c>
      <c r="J698">
        <v>16</v>
      </c>
      <c r="K698">
        <v>86</v>
      </c>
      <c r="L698">
        <v>87</v>
      </c>
      <c r="M698">
        <v>108</v>
      </c>
      <c r="N698">
        <v>68</v>
      </c>
      <c r="O698">
        <v>90</v>
      </c>
      <c r="P698">
        <v>14</v>
      </c>
      <c r="Q698">
        <v>8</v>
      </c>
      <c r="R698">
        <v>4</v>
      </c>
      <c r="S698">
        <v>2</v>
      </c>
      <c r="T698">
        <v>0</v>
      </c>
      <c r="U698">
        <v>2</v>
      </c>
      <c r="V698">
        <v>0</v>
      </c>
      <c r="W698">
        <v>1</v>
      </c>
      <c r="X698">
        <v>0</v>
      </c>
      <c r="Y698" t="s">
        <v>113</v>
      </c>
      <c r="Z698" t="s">
        <v>226</v>
      </c>
      <c r="AA698" t="s">
        <v>7434</v>
      </c>
      <c r="AH698" t="s">
        <v>181</v>
      </c>
      <c r="AI698">
        <v>29</v>
      </c>
      <c r="AJ698">
        <v>0</v>
      </c>
      <c r="AK698">
        <v>0</v>
      </c>
      <c r="AL698">
        <v>0</v>
      </c>
      <c r="AM698">
        <v>0.31</v>
      </c>
      <c r="AN698">
        <v>0.26</v>
      </c>
      <c r="AO698">
        <v>0.14000000000000001</v>
      </c>
      <c r="AS698">
        <v>2</v>
      </c>
      <c r="AT698">
        <v>0</v>
      </c>
      <c r="AU698">
        <v>2</v>
      </c>
      <c r="AV698">
        <v>90</v>
      </c>
      <c r="AW698">
        <v>81</v>
      </c>
      <c r="AX698">
        <v>545</v>
      </c>
      <c r="AY698">
        <v>0</v>
      </c>
      <c r="AZ698" t="b">
        <v>0</v>
      </c>
      <c r="BA698">
        <v>1780</v>
      </c>
      <c r="BB698">
        <v>1518</v>
      </c>
      <c r="BC698">
        <v>6</v>
      </c>
      <c r="BD698" t="s">
        <v>7420</v>
      </c>
      <c r="BE698" s="1" t="s">
        <v>3594</v>
      </c>
      <c r="BF698">
        <v>0</v>
      </c>
      <c r="BG698">
        <v>71</v>
      </c>
      <c r="BH698">
        <v>1</v>
      </c>
      <c r="BI698">
        <v>12</v>
      </c>
      <c r="BJ698" s="1" t="s">
        <v>1829</v>
      </c>
      <c r="BK698" s="1" t="s">
        <v>204</v>
      </c>
      <c r="BL698" s="1" t="s">
        <v>124</v>
      </c>
      <c r="BM698" s="1" t="s">
        <v>138</v>
      </c>
      <c r="BN698">
        <v>3.4</v>
      </c>
      <c r="BO698" s="1" t="s">
        <v>159</v>
      </c>
      <c r="BP698">
        <v>1.4</v>
      </c>
      <c r="BQ698">
        <v>0</v>
      </c>
      <c r="BR698">
        <v>0</v>
      </c>
      <c r="BS698" s="1" t="s">
        <v>161</v>
      </c>
      <c r="BT698" s="1" t="s">
        <v>130</v>
      </c>
      <c r="BU698" s="1" t="s">
        <v>128</v>
      </c>
      <c r="BV698" s="1" t="s">
        <v>129</v>
      </c>
      <c r="BW698" s="1" t="s">
        <v>129</v>
      </c>
      <c r="BX698">
        <v>6.6666666666666596E-2</v>
      </c>
      <c r="BY698">
        <v>0</v>
      </c>
      <c r="BZ698">
        <v>6.6666666666666596E-2</v>
      </c>
      <c r="CA698">
        <v>0.31</v>
      </c>
      <c r="CB698">
        <v>0.31</v>
      </c>
      <c r="CC698">
        <v>0.26</v>
      </c>
      <c r="CD698">
        <v>0.26</v>
      </c>
      <c r="CE698">
        <v>0.14000000000000001</v>
      </c>
      <c r="CF698">
        <v>0.14000000000000001</v>
      </c>
      <c r="CG698" s="1" t="s">
        <v>138</v>
      </c>
      <c r="CH698" s="1" t="s">
        <v>125</v>
      </c>
      <c r="CI698" s="1" t="s">
        <v>129</v>
      </c>
      <c r="CJ698" s="1" t="s">
        <v>128</v>
      </c>
      <c r="CK698" s="1" t="s">
        <v>159</v>
      </c>
      <c r="CL698" s="1" t="s">
        <v>161</v>
      </c>
      <c r="CM698" s="1" t="s">
        <v>437</v>
      </c>
      <c r="CN698">
        <v>80</v>
      </c>
      <c r="CO698" s="1" t="s">
        <v>364</v>
      </c>
      <c r="CP698">
        <v>83.4</v>
      </c>
      <c r="CQ698" s="1" t="s">
        <v>7435</v>
      </c>
      <c r="CR698">
        <v>372.2</v>
      </c>
      <c r="CS698" s="1" t="s">
        <v>664</v>
      </c>
      <c r="CT698" s="1" t="s">
        <v>6909</v>
      </c>
      <c r="CU698" s="1" t="s">
        <v>3948</v>
      </c>
      <c r="CV698">
        <v>1647</v>
      </c>
      <c r="CW698">
        <v>70.650000000000006</v>
      </c>
      <c r="CX698">
        <v>67.099999999999994</v>
      </c>
      <c r="CY698">
        <v>64.599999999999994</v>
      </c>
      <c r="CZ698">
        <v>71</v>
      </c>
      <c r="DA698">
        <v>1</v>
      </c>
      <c r="DB698" t="s">
        <v>226</v>
      </c>
      <c r="DC698">
        <v>87</v>
      </c>
      <c r="DD698" s="1" t="s">
        <v>7436</v>
      </c>
      <c r="DE698">
        <v>-7.1302228748427297</v>
      </c>
      <c r="DF698" t="str">
        <f>_xlfn.XLOOKUP(Table1[[#This Row],[Player ID]],Table2[feed_id],Table2[trade_status])</f>
        <v>free_agent</v>
      </c>
      <c r="DG698">
        <f>_xlfn.NUMBERVALUE(Table1[[#This Row],[predicted]])</f>
        <v>94.130222874842701</v>
      </c>
    </row>
    <row r="699" spans="1:111" x14ac:dyDescent="0.25">
      <c r="A699">
        <v>132599</v>
      </c>
      <c r="B699">
        <v>9238</v>
      </c>
      <c r="C699" t="s">
        <v>6865</v>
      </c>
      <c r="D699" t="s">
        <v>3116</v>
      </c>
      <c r="E699">
        <v>2025</v>
      </c>
      <c r="F699">
        <v>992010</v>
      </c>
      <c r="G699" t="s">
        <v>3687</v>
      </c>
      <c r="H699" t="s">
        <v>6954</v>
      </c>
      <c r="I699" t="s">
        <v>112</v>
      </c>
      <c r="J699">
        <v>5</v>
      </c>
      <c r="K699">
        <v>46</v>
      </c>
      <c r="L699">
        <v>58</v>
      </c>
      <c r="M699">
        <v>64</v>
      </c>
      <c r="N699">
        <v>36</v>
      </c>
      <c r="O699">
        <v>51</v>
      </c>
      <c r="P699">
        <v>10</v>
      </c>
      <c r="Q699">
        <v>1</v>
      </c>
      <c r="R699">
        <v>4</v>
      </c>
      <c r="S699">
        <v>2</v>
      </c>
      <c r="T699">
        <v>0</v>
      </c>
      <c r="U699">
        <v>0</v>
      </c>
      <c r="V699">
        <v>2</v>
      </c>
      <c r="W699">
        <v>0</v>
      </c>
      <c r="X699">
        <v>0</v>
      </c>
      <c r="Y699" t="s">
        <v>113</v>
      </c>
      <c r="Z699" t="s">
        <v>226</v>
      </c>
      <c r="AA699" t="s">
        <v>6955</v>
      </c>
      <c r="AE699">
        <v>0</v>
      </c>
      <c r="AH699" t="s">
        <v>181</v>
      </c>
      <c r="AI699">
        <v>4</v>
      </c>
      <c r="AJ699">
        <v>17</v>
      </c>
      <c r="AK699">
        <v>74.349999999999994</v>
      </c>
      <c r="AL699">
        <v>0</v>
      </c>
      <c r="AM699">
        <v>0</v>
      </c>
      <c r="AN699">
        <v>0.36</v>
      </c>
      <c r="AO699">
        <v>1.25</v>
      </c>
      <c r="AS699">
        <v>6</v>
      </c>
      <c r="AT699">
        <v>0</v>
      </c>
      <c r="AU699">
        <v>5</v>
      </c>
      <c r="AV699">
        <v>72</v>
      </c>
      <c r="AW699">
        <v>82</v>
      </c>
      <c r="AX699">
        <v>240</v>
      </c>
      <c r="AY699">
        <v>0</v>
      </c>
      <c r="AZ699" t="b">
        <v>0</v>
      </c>
      <c r="BA699">
        <v>1546</v>
      </c>
      <c r="BB699">
        <v>1741</v>
      </c>
      <c r="BC699">
        <v>6</v>
      </c>
      <c r="BD699" t="s">
        <v>6869</v>
      </c>
      <c r="BE699" s="1" t="s">
        <v>3594</v>
      </c>
      <c r="BF699">
        <v>0</v>
      </c>
      <c r="BG699">
        <v>71</v>
      </c>
      <c r="BH699">
        <v>0</v>
      </c>
      <c r="BI699" s="1" t="s">
        <v>294</v>
      </c>
      <c r="BJ699" s="1" t="s">
        <v>1398</v>
      </c>
      <c r="BK699">
        <v>4</v>
      </c>
      <c r="BL699" s="1" t="s">
        <v>189</v>
      </c>
      <c r="BM699">
        <v>3</v>
      </c>
      <c r="BN699">
        <v>3.8</v>
      </c>
      <c r="BO699" s="1" t="s">
        <v>169</v>
      </c>
      <c r="BP699" s="1" t="s">
        <v>375</v>
      </c>
      <c r="BQ699">
        <v>0</v>
      </c>
      <c r="BR699">
        <v>0</v>
      </c>
      <c r="BS699" s="1" t="s">
        <v>129</v>
      </c>
      <c r="BT699" s="1" t="s">
        <v>238</v>
      </c>
      <c r="BU699" s="1" t="s">
        <v>126</v>
      </c>
      <c r="BV699" s="1" t="s">
        <v>298</v>
      </c>
      <c r="BW699" s="1" t="s">
        <v>129</v>
      </c>
      <c r="BX699">
        <v>0.2</v>
      </c>
      <c r="BY699">
        <v>0</v>
      </c>
      <c r="BZ699">
        <v>0</v>
      </c>
      <c r="CA699">
        <v>0</v>
      </c>
      <c r="CB699">
        <v>0</v>
      </c>
      <c r="CC699">
        <v>0.36</v>
      </c>
      <c r="CD699">
        <v>0.36</v>
      </c>
      <c r="CE699">
        <v>1.25</v>
      </c>
      <c r="CF699">
        <v>1.25</v>
      </c>
      <c r="CG699" s="1" t="s">
        <v>397</v>
      </c>
      <c r="CH699" s="1" t="s">
        <v>781</v>
      </c>
      <c r="CI699" s="1" t="s">
        <v>128</v>
      </c>
      <c r="CJ699">
        <v>0.6</v>
      </c>
      <c r="CK699" s="1" t="s">
        <v>159</v>
      </c>
      <c r="CL699" s="1" t="s">
        <v>138</v>
      </c>
      <c r="CM699">
        <v>81</v>
      </c>
      <c r="CN699" s="1" t="s">
        <v>1520</v>
      </c>
      <c r="CO699" s="1" t="s">
        <v>994</v>
      </c>
      <c r="CP699" s="1" t="s">
        <v>663</v>
      </c>
      <c r="CQ699">
        <v>240</v>
      </c>
      <c r="CR699" s="1" t="s">
        <v>6956</v>
      </c>
      <c r="CS699">
        <v>1729</v>
      </c>
      <c r="CT699" s="1" t="s">
        <v>6015</v>
      </c>
      <c r="CU699" s="1" t="s">
        <v>5214</v>
      </c>
      <c r="CV699" s="1" t="s">
        <v>2023</v>
      </c>
      <c r="CW699">
        <v>71.75</v>
      </c>
      <c r="CX699">
        <v>67.5</v>
      </c>
      <c r="CY699">
        <v>73.2</v>
      </c>
      <c r="CZ699" s="1" t="s">
        <v>241</v>
      </c>
      <c r="DA699">
        <v>1</v>
      </c>
      <c r="DB699" t="s">
        <v>226</v>
      </c>
      <c r="DC699">
        <v>58</v>
      </c>
      <c r="DD699" s="1" t="s">
        <v>6957</v>
      </c>
      <c r="DE699">
        <v>-34.563577821455901</v>
      </c>
      <c r="DF699" t="str">
        <f>_xlfn.XLOOKUP(Table1[[#This Row],[Player ID]],Table2[feed_id],Table2[trade_status])</f>
        <v>free_agent</v>
      </c>
      <c r="DG699">
        <f>_xlfn.NUMBERVALUE(Table1[[#This Row],[predicted]])</f>
        <v>92.563577821455894</v>
      </c>
    </row>
    <row r="700" spans="1:111" hidden="1" x14ac:dyDescent="0.25">
      <c r="A700">
        <v>132558</v>
      </c>
      <c r="B700">
        <v>9237</v>
      </c>
      <c r="C700" t="s">
        <v>6650</v>
      </c>
      <c r="D700" t="s">
        <v>3116</v>
      </c>
      <c r="E700">
        <v>2025</v>
      </c>
      <c r="F700">
        <v>1015889</v>
      </c>
      <c r="G700" t="s">
        <v>5439</v>
      </c>
      <c r="H700" t="s">
        <v>6770</v>
      </c>
      <c r="I700" t="s">
        <v>1061</v>
      </c>
      <c r="J700">
        <v>37</v>
      </c>
      <c r="K700">
        <v>133</v>
      </c>
      <c r="L700">
        <v>147</v>
      </c>
      <c r="M700">
        <v>87</v>
      </c>
      <c r="N700">
        <v>101</v>
      </c>
      <c r="O700">
        <v>141</v>
      </c>
      <c r="P700">
        <v>22</v>
      </c>
      <c r="Q700">
        <v>10</v>
      </c>
      <c r="R700">
        <v>6</v>
      </c>
      <c r="S700">
        <v>7</v>
      </c>
      <c r="T700">
        <v>0</v>
      </c>
      <c r="U700">
        <v>1</v>
      </c>
      <c r="V700">
        <v>2</v>
      </c>
      <c r="W700">
        <v>1</v>
      </c>
      <c r="X700">
        <v>0</v>
      </c>
      <c r="Y700" t="s">
        <v>113</v>
      </c>
      <c r="Z700" t="s">
        <v>339</v>
      </c>
      <c r="AA700" t="s">
        <v>860</v>
      </c>
      <c r="AB700" t="s">
        <v>987</v>
      </c>
      <c r="AC700" t="s">
        <v>6771</v>
      </c>
      <c r="AH700" t="s">
        <v>118</v>
      </c>
      <c r="AI700">
        <v>9</v>
      </c>
      <c r="AJ700">
        <v>0</v>
      </c>
      <c r="AK700">
        <v>0</v>
      </c>
      <c r="AL700">
        <v>0</v>
      </c>
      <c r="AM700">
        <v>0.44</v>
      </c>
      <c r="AN700">
        <v>0.52</v>
      </c>
      <c r="AO700">
        <v>0.49</v>
      </c>
      <c r="AS700">
        <v>9</v>
      </c>
      <c r="AT700">
        <v>5</v>
      </c>
      <c r="AU700">
        <v>6</v>
      </c>
      <c r="AV700">
        <v>71</v>
      </c>
      <c r="AW700">
        <v>83</v>
      </c>
      <c r="AX700">
        <v>805</v>
      </c>
      <c r="AY700">
        <v>0</v>
      </c>
      <c r="AZ700" t="b">
        <v>0</v>
      </c>
      <c r="BA700">
        <v>1646</v>
      </c>
      <c r="BB700">
        <v>1632</v>
      </c>
      <c r="BC700">
        <v>6</v>
      </c>
      <c r="BD700" t="s">
        <v>6772</v>
      </c>
      <c r="BE700" s="1" t="s">
        <v>3594</v>
      </c>
      <c r="BF700">
        <v>1</v>
      </c>
      <c r="BG700">
        <v>71</v>
      </c>
      <c r="BH700">
        <v>1</v>
      </c>
      <c r="BI700">
        <v>15</v>
      </c>
      <c r="BJ700">
        <v>14.8</v>
      </c>
      <c r="BK700" s="1" t="s">
        <v>183</v>
      </c>
      <c r="BL700" s="1" t="s">
        <v>498</v>
      </c>
      <c r="BM700" s="1" t="s">
        <v>160</v>
      </c>
      <c r="BN700" s="1" t="s">
        <v>374</v>
      </c>
      <c r="BO700" s="1" t="s">
        <v>160</v>
      </c>
      <c r="BP700">
        <v>3.2</v>
      </c>
      <c r="BQ700">
        <v>0</v>
      </c>
      <c r="BR700">
        <v>0</v>
      </c>
      <c r="BS700" s="1" t="s">
        <v>128</v>
      </c>
      <c r="BT700" s="1" t="s">
        <v>162</v>
      </c>
      <c r="BU700" s="1" t="s">
        <v>161</v>
      </c>
      <c r="BV700">
        <v>1</v>
      </c>
      <c r="BW700" s="1" t="s">
        <v>128</v>
      </c>
      <c r="BX700" s="1" t="s">
        <v>231</v>
      </c>
      <c r="BY700">
        <v>0</v>
      </c>
      <c r="BZ700" s="1" t="s">
        <v>213</v>
      </c>
      <c r="CA700">
        <v>0.44</v>
      </c>
      <c r="CB700">
        <v>0.44</v>
      </c>
      <c r="CC700">
        <v>0.52</v>
      </c>
      <c r="CD700">
        <v>0.52</v>
      </c>
      <c r="CE700">
        <v>0.49</v>
      </c>
      <c r="CF700">
        <v>0.49</v>
      </c>
      <c r="CG700" s="1" t="s">
        <v>545</v>
      </c>
      <c r="CH700">
        <v>7.4</v>
      </c>
      <c r="CI700" s="1" t="s">
        <v>125</v>
      </c>
      <c r="CJ700">
        <v>3.6</v>
      </c>
      <c r="CK700" s="1" t="s">
        <v>211</v>
      </c>
      <c r="CL700">
        <v>3.4</v>
      </c>
      <c r="CM700" s="1" t="s">
        <v>822</v>
      </c>
      <c r="CN700" s="1" t="s">
        <v>883</v>
      </c>
      <c r="CO700" s="1" t="s">
        <v>364</v>
      </c>
      <c r="CP700" s="1" t="s">
        <v>684</v>
      </c>
      <c r="CQ700">
        <v>559</v>
      </c>
      <c r="CR700">
        <v>522.6</v>
      </c>
      <c r="CS700" s="1" t="s">
        <v>4075</v>
      </c>
      <c r="CT700">
        <v>1682</v>
      </c>
      <c r="CU700" s="1" t="s">
        <v>4024</v>
      </c>
      <c r="CV700" s="1" t="s">
        <v>6773</v>
      </c>
      <c r="CW700">
        <v>102.65</v>
      </c>
      <c r="CX700">
        <v>103</v>
      </c>
      <c r="CY700">
        <v>102.2</v>
      </c>
      <c r="CZ700" s="1" t="s">
        <v>3381</v>
      </c>
      <c r="DA700">
        <v>1</v>
      </c>
      <c r="DB700" t="s">
        <v>339</v>
      </c>
      <c r="DC700">
        <v>147</v>
      </c>
      <c r="DD700">
        <v>96.645707242717293</v>
      </c>
      <c r="DE700" s="1" t="s">
        <v>6774</v>
      </c>
      <c r="DF700" t="e">
        <f>_xlfn.XLOOKUP(Table1[[#This Row],[Player ID]],Table2[feed_id],Table2[trade_status])</f>
        <v>#N/A</v>
      </c>
      <c r="DG700">
        <f>_xlfn.NUMBERVALUE(Table1[[#This Row],[predicted]])</f>
        <v>96.645707242717293</v>
      </c>
    </row>
    <row r="701" spans="1:111" hidden="1" x14ac:dyDescent="0.25">
      <c r="A701">
        <v>132559</v>
      </c>
      <c r="B701">
        <v>9237</v>
      </c>
      <c r="C701" t="s">
        <v>6650</v>
      </c>
      <c r="D701" t="s">
        <v>3116</v>
      </c>
      <c r="E701">
        <v>2025</v>
      </c>
      <c r="F701">
        <v>1006130</v>
      </c>
      <c r="G701" t="s">
        <v>6558</v>
      </c>
      <c r="H701" t="s">
        <v>1538</v>
      </c>
      <c r="I701" t="s">
        <v>1061</v>
      </c>
      <c r="J701">
        <v>24</v>
      </c>
      <c r="K701">
        <v>102</v>
      </c>
      <c r="L701">
        <v>126</v>
      </c>
      <c r="M701">
        <v>33</v>
      </c>
      <c r="N701">
        <v>80</v>
      </c>
      <c r="O701">
        <v>117</v>
      </c>
      <c r="P701">
        <v>24</v>
      </c>
      <c r="Q701">
        <v>11</v>
      </c>
      <c r="R701">
        <v>1</v>
      </c>
      <c r="S701">
        <v>1</v>
      </c>
      <c r="T701">
        <v>0</v>
      </c>
      <c r="U701">
        <v>1</v>
      </c>
      <c r="V701">
        <v>2</v>
      </c>
      <c r="W701">
        <v>1</v>
      </c>
      <c r="X701">
        <v>0</v>
      </c>
      <c r="Y701" t="s">
        <v>113</v>
      </c>
      <c r="Z701" t="s">
        <v>6775</v>
      </c>
      <c r="AA701" t="s">
        <v>6776</v>
      </c>
      <c r="AB701" t="s">
        <v>877</v>
      </c>
      <c r="AC701" t="s">
        <v>6777</v>
      </c>
      <c r="AH701" t="s">
        <v>118</v>
      </c>
      <c r="AI701">
        <v>3</v>
      </c>
      <c r="AJ701">
        <v>0</v>
      </c>
      <c r="AK701">
        <v>0</v>
      </c>
      <c r="AL701">
        <v>0</v>
      </c>
      <c r="AM701">
        <v>1.42</v>
      </c>
      <c r="AN701">
        <v>0.84</v>
      </c>
      <c r="AO701">
        <v>1.1399999999999999</v>
      </c>
      <c r="AS701">
        <v>17</v>
      </c>
      <c r="AT701">
        <v>6</v>
      </c>
      <c r="AU701">
        <v>7</v>
      </c>
      <c r="AV701">
        <v>54</v>
      </c>
      <c r="AW701">
        <v>80</v>
      </c>
      <c r="AX701">
        <v>643</v>
      </c>
      <c r="AY701">
        <v>0</v>
      </c>
      <c r="AZ701" t="b">
        <v>0</v>
      </c>
      <c r="BA701">
        <v>1646</v>
      </c>
      <c r="BB701">
        <v>1632</v>
      </c>
      <c r="BC701">
        <v>6</v>
      </c>
      <c r="BD701" t="s">
        <v>6772</v>
      </c>
      <c r="BE701" s="1" t="s">
        <v>3594</v>
      </c>
      <c r="BF701">
        <v>1</v>
      </c>
      <c r="BG701">
        <v>71</v>
      </c>
      <c r="BH701">
        <v>1</v>
      </c>
      <c r="BI701">
        <v>21</v>
      </c>
      <c r="BJ701" s="1" t="s">
        <v>1829</v>
      </c>
      <c r="BK701" s="1" t="s">
        <v>157</v>
      </c>
      <c r="BL701" s="1" t="s">
        <v>357</v>
      </c>
      <c r="BM701" s="1" t="s">
        <v>211</v>
      </c>
      <c r="BN701" s="1" t="s">
        <v>373</v>
      </c>
      <c r="BO701" s="1" t="s">
        <v>160</v>
      </c>
      <c r="BP701" s="1" t="s">
        <v>212</v>
      </c>
      <c r="BQ701">
        <v>0</v>
      </c>
      <c r="BR701">
        <v>0</v>
      </c>
      <c r="BS701">
        <v>1</v>
      </c>
      <c r="BT701">
        <v>0.6</v>
      </c>
      <c r="BU701">
        <v>1</v>
      </c>
      <c r="BV701" s="1" t="s">
        <v>130</v>
      </c>
      <c r="BW701" s="1" t="s">
        <v>128</v>
      </c>
      <c r="BX701" s="1" t="s">
        <v>129</v>
      </c>
      <c r="BY701" s="1" t="s">
        <v>129</v>
      </c>
      <c r="BZ701" s="1" t="s">
        <v>231</v>
      </c>
      <c r="CA701">
        <v>1.42</v>
      </c>
      <c r="CB701">
        <v>5.4119999999999999</v>
      </c>
      <c r="CC701">
        <v>0.84</v>
      </c>
      <c r="CD701" s="1" t="s">
        <v>6778</v>
      </c>
      <c r="CE701">
        <v>1.1399999999999999</v>
      </c>
      <c r="CF701" s="1" t="s">
        <v>6779</v>
      </c>
      <c r="CG701" s="1" t="s">
        <v>121</v>
      </c>
      <c r="CH701" s="1" t="s">
        <v>1066</v>
      </c>
      <c r="CI701">
        <v>6</v>
      </c>
      <c r="CJ701" s="1" t="s">
        <v>138</v>
      </c>
      <c r="CK701" s="1" t="s">
        <v>160</v>
      </c>
      <c r="CL701">
        <v>3.2</v>
      </c>
      <c r="CM701">
        <v>64</v>
      </c>
      <c r="CN701">
        <v>66</v>
      </c>
      <c r="CO701">
        <v>81</v>
      </c>
      <c r="CP701">
        <v>82</v>
      </c>
      <c r="CQ701">
        <v>635</v>
      </c>
      <c r="CR701" s="1" t="s">
        <v>6780</v>
      </c>
      <c r="CS701" s="1" t="s">
        <v>6781</v>
      </c>
      <c r="CT701" s="1" t="s">
        <v>6782</v>
      </c>
      <c r="CU701">
        <v>1500</v>
      </c>
      <c r="CV701" s="1" t="s">
        <v>6783</v>
      </c>
      <c r="CW701">
        <v>86.35</v>
      </c>
      <c r="CX701">
        <v>82.6</v>
      </c>
      <c r="CY701">
        <v>102.2</v>
      </c>
      <c r="CZ701">
        <v>127</v>
      </c>
      <c r="DA701">
        <v>1</v>
      </c>
      <c r="DB701" t="s">
        <v>6775</v>
      </c>
      <c r="DC701">
        <v>126</v>
      </c>
      <c r="DD701" s="1" t="s">
        <v>6784</v>
      </c>
      <c r="DE701" s="1" t="s">
        <v>6785</v>
      </c>
      <c r="DF701" t="e">
        <f>_xlfn.XLOOKUP(Table1[[#This Row],[Player ID]],Table2[feed_id],Table2[trade_status])</f>
        <v>#N/A</v>
      </c>
      <c r="DG701">
        <f>_xlfn.NUMBERVALUE(Table1[[#This Row],[predicted]])</f>
        <v>94.501949440385999</v>
      </c>
    </row>
    <row r="702" spans="1:111" hidden="1" x14ac:dyDescent="0.25">
      <c r="A702">
        <v>132560</v>
      </c>
      <c r="B702">
        <v>9237</v>
      </c>
      <c r="C702" t="s">
        <v>6650</v>
      </c>
      <c r="D702" t="s">
        <v>3116</v>
      </c>
      <c r="E702">
        <v>2025</v>
      </c>
      <c r="F702">
        <v>270917</v>
      </c>
      <c r="G702" t="s">
        <v>3697</v>
      </c>
      <c r="H702" t="s">
        <v>6786</v>
      </c>
      <c r="I702" t="s">
        <v>1061</v>
      </c>
      <c r="J702">
        <v>26</v>
      </c>
      <c r="K702">
        <v>85</v>
      </c>
      <c r="L702">
        <v>91</v>
      </c>
      <c r="M702">
        <v>69</v>
      </c>
      <c r="N702">
        <v>74</v>
      </c>
      <c r="O702">
        <v>94</v>
      </c>
      <c r="P702">
        <v>9</v>
      </c>
      <c r="Q702">
        <v>7</v>
      </c>
      <c r="R702">
        <v>3</v>
      </c>
      <c r="S702">
        <v>4</v>
      </c>
      <c r="T702">
        <v>0</v>
      </c>
      <c r="U702">
        <v>3</v>
      </c>
      <c r="V702">
        <v>3</v>
      </c>
      <c r="W702">
        <v>4</v>
      </c>
      <c r="X702">
        <v>1</v>
      </c>
      <c r="Y702" t="s">
        <v>113</v>
      </c>
      <c r="Z702" t="s">
        <v>4765</v>
      </c>
      <c r="AA702" t="s">
        <v>6787</v>
      </c>
      <c r="AB702" t="s">
        <v>5826</v>
      </c>
      <c r="AC702" t="s">
        <v>6788</v>
      </c>
      <c r="AE702">
        <v>0</v>
      </c>
      <c r="AH702" t="s">
        <v>118</v>
      </c>
      <c r="AI702">
        <v>35</v>
      </c>
      <c r="AJ702">
        <v>20</v>
      </c>
      <c r="AK702">
        <v>103.8</v>
      </c>
      <c r="AL702">
        <v>0</v>
      </c>
      <c r="AM702">
        <v>0</v>
      </c>
      <c r="AN702">
        <v>0.56000000000000005</v>
      </c>
      <c r="AO702">
        <v>0.41</v>
      </c>
      <c r="AS702">
        <v>8</v>
      </c>
      <c r="AT702">
        <v>3</v>
      </c>
      <c r="AU702">
        <v>5</v>
      </c>
      <c r="AV702">
        <v>75</v>
      </c>
      <c r="AW702">
        <v>81</v>
      </c>
      <c r="AX702">
        <v>248</v>
      </c>
      <c r="AY702">
        <v>0</v>
      </c>
      <c r="AZ702" t="b">
        <v>0</v>
      </c>
      <c r="BA702">
        <v>1646</v>
      </c>
      <c r="BB702">
        <v>1632</v>
      </c>
      <c r="BC702">
        <v>6</v>
      </c>
      <c r="BD702" t="s">
        <v>6772</v>
      </c>
      <c r="BE702" s="1" t="s">
        <v>3594</v>
      </c>
      <c r="BF702">
        <v>0</v>
      </c>
      <c r="BG702">
        <v>71</v>
      </c>
      <c r="BH702">
        <v>1</v>
      </c>
      <c r="BI702">
        <v>10</v>
      </c>
      <c r="BJ702" s="1" t="s">
        <v>1672</v>
      </c>
      <c r="BK702">
        <v>8</v>
      </c>
      <c r="BL702" s="1" t="s">
        <v>498</v>
      </c>
      <c r="BM702" s="1" t="s">
        <v>138</v>
      </c>
      <c r="BN702" s="1" t="s">
        <v>237</v>
      </c>
      <c r="BO702" s="1" t="s">
        <v>159</v>
      </c>
      <c r="BP702" s="1" t="s">
        <v>431</v>
      </c>
      <c r="BQ702">
        <v>0</v>
      </c>
      <c r="BR702">
        <v>6.6666666666666596E-2</v>
      </c>
      <c r="BS702" s="1" t="s">
        <v>159</v>
      </c>
      <c r="BT702" s="1" t="s">
        <v>206</v>
      </c>
      <c r="BU702">
        <v>2</v>
      </c>
      <c r="BV702" s="1" t="s">
        <v>126</v>
      </c>
      <c r="BW702" s="1" t="s">
        <v>159</v>
      </c>
      <c r="BX702">
        <v>1</v>
      </c>
      <c r="BY702" s="1" t="s">
        <v>126</v>
      </c>
      <c r="BZ702" s="1" t="s">
        <v>128</v>
      </c>
      <c r="CA702">
        <v>0</v>
      </c>
      <c r="CB702">
        <v>0</v>
      </c>
      <c r="CC702">
        <v>0.56000000000000005</v>
      </c>
      <c r="CD702">
        <v>0.56000000000000005</v>
      </c>
      <c r="CE702">
        <v>0.41</v>
      </c>
      <c r="CF702">
        <v>0.41</v>
      </c>
      <c r="CG702" s="1" t="s">
        <v>157</v>
      </c>
      <c r="CH702" s="1" t="s">
        <v>1366</v>
      </c>
      <c r="CI702">
        <v>4</v>
      </c>
      <c r="CJ702" s="1" t="s">
        <v>229</v>
      </c>
      <c r="CK702">
        <v>4</v>
      </c>
      <c r="CL702" s="1" t="s">
        <v>990</v>
      </c>
      <c r="CM702" s="1" t="s">
        <v>558</v>
      </c>
      <c r="CN702" s="1" t="s">
        <v>6789</v>
      </c>
      <c r="CO702" s="1" t="s">
        <v>683</v>
      </c>
      <c r="CP702" s="1" t="s">
        <v>2829</v>
      </c>
      <c r="CQ702" s="1" t="s">
        <v>6689</v>
      </c>
      <c r="CR702" s="1" t="s">
        <v>6790</v>
      </c>
      <c r="CS702" s="1" t="s">
        <v>4075</v>
      </c>
      <c r="CT702">
        <v>1682</v>
      </c>
      <c r="CU702" s="1" t="s">
        <v>4024</v>
      </c>
      <c r="CV702" s="1" t="s">
        <v>6773</v>
      </c>
      <c r="CW702">
        <v>85.35</v>
      </c>
      <c r="CX702">
        <v>89.4</v>
      </c>
      <c r="CY702">
        <v>85.8</v>
      </c>
      <c r="CZ702" s="1" t="s">
        <v>217</v>
      </c>
      <c r="DA702">
        <v>1</v>
      </c>
      <c r="DB702" t="s">
        <v>4765</v>
      </c>
      <c r="DC702">
        <v>91</v>
      </c>
      <c r="DD702" s="1" t="s">
        <v>6791</v>
      </c>
      <c r="DE702" s="1" t="s">
        <v>6792</v>
      </c>
      <c r="DF702" t="e">
        <f>_xlfn.XLOOKUP(Table1[[#This Row],[Player ID]],Table2[feed_id],Table2[trade_status])</f>
        <v>#N/A</v>
      </c>
      <c r="DG702">
        <f>_xlfn.NUMBERVALUE(Table1[[#This Row],[predicted]])</f>
        <v>84.120643040628394</v>
      </c>
    </row>
    <row r="703" spans="1:111" x14ac:dyDescent="0.25">
      <c r="A703">
        <v>132735</v>
      </c>
      <c r="B703">
        <v>9241</v>
      </c>
      <c r="C703" t="s">
        <v>7418</v>
      </c>
      <c r="D703" t="s">
        <v>3116</v>
      </c>
      <c r="E703">
        <v>2025</v>
      </c>
      <c r="F703">
        <v>294101</v>
      </c>
      <c r="G703" t="s">
        <v>4434</v>
      </c>
      <c r="H703" t="s">
        <v>7489</v>
      </c>
      <c r="I703" t="s">
        <v>712</v>
      </c>
      <c r="J703">
        <v>2</v>
      </c>
      <c r="K703">
        <v>31</v>
      </c>
      <c r="L703">
        <v>26</v>
      </c>
      <c r="M703">
        <v>40</v>
      </c>
      <c r="N703">
        <v>24</v>
      </c>
      <c r="O703">
        <v>33</v>
      </c>
      <c r="P703">
        <v>7</v>
      </c>
      <c r="Q703">
        <v>2</v>
      </c>
      <c r="R703">
        <v>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113</v>
      </c>
      <c r="Z703" t="s">
        <v>226</v>
      </c>
      <c r="AA703" t="s">
        <v>7490</v>
      </c>
      <c r="AH703" t="s">
        <v>155</v>
      </c>
      <c r="AI703">
        <v>39</v>
      </c>
      <c r="AJ703">
        <v>0</v>
      </c>
      <c r="AK703">
        <v>0</v>
      </c>
      <c r="AL703">
        <v>0</v>
      </c>
      <c r="AM703">
        <v>0.09</v>
      </c>
      <c r="AN703">
        <v>0.06</v>
      </c>
      <c r="AO703">
        <v>0.15</v>
      </c>
      <c r="AS703">
        <v>0</v>
      </c>
      <c r="AT703">
        <v>0</v>
      </c>
      <c r="AU703">
        <v>0</v>
      </c>
      <c r="AV703">
        <v>66</v>
      </c>
      <c r="AW703">
        <v>74</v>
      </c>
      <c r="AX703">
        <v>280</v>
      </c>
      <c r="AY703">
        <v>1</v>
      </c>
      <c r="AZ703" t="b">
        <v>0</v>
      </c>
      <c r="BA703">
        <v>1780</v>
      </c>
      <c r="BB703">
        <v>1518</v>
      </c>
      <c r="BC703">
        <v>6</v>
      </c>
      <c r="BD703" t="s">
        <v>7420</v>
      </c>
      <c r="BE703" s="1" t="s">
        <v>3594</v>
      </c>
      <c r="BF703">
        <v>0</v>
      </c>
      <c r="BG703">
        <v>71</v>
      </c>
      <c r="BH703">
        <v>0</v>
      </c>
      <c r="BI703" s="1" t="s">
        <v>356</v>
      </c>
      <c r="BJ703">
        <v>14.4</v>
      </c>
      <c r="BK703" s="1" t="s">
        <v>138</v>
      </c>
      <c r="BL703" s="1" t="s">
        <v>449</v>
      </c>
      <c r="BM703" s="1" t="s">
        <v>211</v>
      </c>
      <c r="BN703" s="1" t="s">
        <v>260</v>
      </c>
      <c r="BO703" s="1" t="s">
        <v>128</v>
      </c>
      <c r="BP703">
        <v>1.4</v>
      </c>
      <c r="BQ703">
        <v>0</v>
      </c>
      <c r="BR703">
        <v>0</v>
      </c>
      <c r="BS703" s="1" t="s">
        <v>129</v>
      </c>
      <c r="BT703" s="1" t="s">
        <v>184</v>
      </c>
      <c r="BU703" s="1" t="s">
        <v>129</v>
      </c>
      <c r="BV703">
        <v>0.4</v>
      </c>
      <c r="BW703">
        <v>0</v>
      </c>
      <c r="BX703">
        <v>0.2</v>
      </c>
      <c r="BY703">
        <v>0</v>
      </c>
      <c r="BZ703" s="1" t="s">
        <v>213</v>
      </c>
      <c r="CA703">
        <v>0.09</v>
      </c>
      <c r="CB703">
        <v>8.66666666666666E-2</v>
      </c>
      <c r="CC703">
        <v>0.06</v>
      </c>
      <c r="CD703" s="1" t="s">
        <v>1174</v>
      </c>
      <c r="CE703">
        <v>0.15</v>
      </c>
      <c r="CF703" s="1" t="s">
        <v>1200</v>
      </c>
      <c r="CG703" s="1" t="s">
        <v>161</v>
      </c>
      <c r="CH703">
        <v>3.2</v>
      </c>
      <c r="CI703" s="1" t="s">
        <v>129</v>
      </c>
      <c r="CJ703" s="1" t="s">
        <v>231</v>
      </c>
      <c r="CK703">
        <v>2</v>
      </c>
      <c r="CL703" s="1" t="s">
        <v>275</v>
      </c>
      <c r="CM703" s="1" t="s">
        <v>1406</v>
      </c>
      <c r="CN703">
        <v>76</v>
      </c>
      <c r="CO703" s="1" t="s">
        <v>305</v>
      </c>
      <c r="CP703" s="1" t="s">
        <v>4884</v>
      </c>
      <c r="CQ703" s="1" t="s">
        <v>7491</v>
      </c>
      <c r="CR703" s="1" t="s">
        <v>7492</v>
      </c>
      <c r="CS703" s="1" t="s">
        <v>2023</v>
      </c>
      <c r="CT703" s="1" t="s">
        <v>7493</v>
      </c>
      <c r="CU703" s="1" t="s">
        <v>2785</v>
      </c>
      <c r="CV703" s="1" t="s">
        <v>7494</v>
      </c>
      <c r="CW703">
        <v>72.849999999999994</v>
      </c>
      <c r="CX703">
        <v>73.900000000000006</v>
      </c>
      <c r="CY703">
        <v>59.4</v>
      </c>
      <c r="CZ703">
        <v>43</v>
      </c>
      <c r="DA703">
        <v>1</v>
      </c>
      <c r="DB703" t="s">
        <v>226</v>
      </c>
      <c r="DC703">
        <v>26</v>
      </c>
      <c r="DD703" s="1" t="s">
        <v>7495</v>
      </c>
      <c r="DE703">
        <v>-66.032856605626193</v>
      </c>
      <c r="DF703" t="str">
        <f>_xlfn.XLOOKUP(Table1[[#This Row],[Player ID]],Table2[feed_id],Table2[trade_status])</f>
        <v>free_agent</v>
      </c>
      <c r="DG703">
        <f>_xlfn.NUMBERVALUE(Table1[[#This Row],[predicted]])</f>
        <v>92.032856605626193</v>
      </c>
    </row>
    <row r="704" spans="1:111" hidden="1" x14ac:dyDescent="0.25">
      <c r="A704">
        <v>132562</v>
      </c>
      <c r="B704">
        <v>9237</v>
      </c>
      <c r="C704" t="s">
        <v>6650</v>
      </c>
      <c r="D704" t="s">
        <v>3116</v>
      </c>
      <c r="E704">
        <v>2025</v>
      </c>
      <c r="F704">
        <v>293845</v>
      </c>
      <c r="G704" t="s">
        <v>1196</v>
      </c>
      <c r="H704" t="s">
        <v>271</v>
      </c>
      <c r="I704" t="s">
        <v>1061</v>
      </c>
      <c r="J704">
        <v>25</v>
      </c>
      <c r="K704">
        <v>84</v>
      </c>
      <c r="L704">
        <v>105</v>
      </c>
      <c r="M704">
        <v>57</v>
      </c>
      <c r="N704">
        <v>73</v>
      </c>
      <c r="O704">
        <v>88</v>
      </c>
      <c r="P704">
        <v>11</v>
      </c>
      <c r="Q704">
        <v>4</v>
      </c>
      <c r="R704">
        <v>6</v>
      </c>
      <c r="S704">
        <v>0</v>
      </c>
      <c r="T704">
        <v>0</v>
      </c>
      <c r="U704">
        <v>0</v>
      </c>
      <c r="V704">
        <v>0</v>
      </c>
      <c r="W704">
        <v>4</v>
      </c>
      <c r="X704">
        <v>1</v>
      </c>
      <c r="Y704" t="s">
        <v>113</v>
      </c>
      <c r="Z704" t="s">
        <v>6653</v>
      </c>
      <c r="AA704" t="s">
        <v>6799</v>
      </c>
      <c r="AB704" t="s">
        <v>656</v>
      </c>
      <c r="AC704" t="s">
        <v>6800</v>
      </c>
      <c r="AE704">
        <v>0</v>
      </c>
      <c r="AH704" t="s">
        <v>155</v>
      </c>
      <c r="AI704">
        <v>5</v>
      </c>
      <c r="AJ704">
        <v>15</v>
      </c>
      <c r="AK704">
        <v>78.87</v>
      </c>
      <c r="AL704">
        <v>0</v>
      </c>
      <c r="AM704">
        <v>0</v>
      </c>
      <c r="AN704">
        <v>3.32</v>
      </c>
      <c r="AO704">
        <v>2.41</v>
      </c>
      <c r="AS704">
        <v>3</v>
      </c>
      <c r="AT704">
        <v>0</v>
      </c>
      <c r="AU704">
        <v>0</v>
      </c>
      <c r="AV704">
        <v>73</v>
      </c>
      <c r="AW704">
        <v>97</v>
      </c>
      <c r="AX704">
        <v>290</v>
      </c>
      <c r="AY704">
        <v>0</v>
      </c>
      <c r="AZ704" t="b">
        <v>0</v>
      </c>
      <c r="BA704">
        <v>1646</v>
      </c>
      <c r="BB704">
        <v>1632</v>
      </c>
      <c r="BC704">
        <v>6</v>
      </c>
      <c r="BD704" t="s">
        <v>6772</v>
      </c>
      <c r="BE704" s="1" t="s">
        <v>3594</v>
      </c>
      <c r="BF704">
        <v>1</v>
      </c>
      <c r="BG704">
        <v>71</v>
      </c>
      <c r="BH704">
        <v>1</v>
      </c>
      <c r="BI704" s="1" t="s">
        <v>395</v>
      </c>
      <c r="BJ704" s="1" t="s">
        <v>356</v>
      </c>
      <c r="BK704" s="1" t="s">
        <v>449</v>
      </c>
      <c r="BL704">
        <v>4.2</v>
      </c>
      <c r="BM704">
        <v>5</v>
      </c>
      <c r="BN704" s="1" t="s">
        <v>449</v>
      </c>
      <c r="BO704">
        <v>1</v>
      </c>
      <c r="BP704">
        <v>2</v>
      </c>
      <c r="BQ704">
        <v>0</v>
      </c>
      <c r="BR704">
        <v>0</v>
      </c>
      <c r="BS704">
        <v>2</v>
      </c>
      <c r="BT704" s="1" t="s">
        <v>162</v>
      </c>
      <c r="BU704" s="1" t="s">
        <v>129</v>
      </c>
      <c r="BV704" s="1" t="s">
        <v>399</v>
      </c>
      <c r="BW704">
        <v>2</v>
      </c>
      <c r="BX704" s="1" t="s">
        <v>373</v>
      </c>
      <c r="BY704">
        <v>1</v>
      </c>
      <c r="BZ704" s="1" t="s">
        <v>566</v>
      </c>
      <c r="CA704">
        <v>0</v>
      </c>
      <c r="CB704">
        <v>0</v>
      </c>
      <c r="CC704">
        <v>3.32</v>
      </c>
      <c r="CD704">
        <v>3.32</v>
      </c>
      <c r="CE704">
        <v>2.41</v>
      </c>
      <c r="CF704">
        <v>2.41</v>
      </c>
      <c r="CG704">
        <v>6</v>
      </c>
      <c r="CH704" s="1" t="s">
        <v>449</v>
      </c>
      <c r="CI704" s="1" t="s">
        <v>129</v>
      </c>
      <c r="CJ704">
        <v>0.6</v>
      </c>
      <c r="CK704" s="1" t="s">
        <v>161</v>
      </c>
      <c r="CL704" s="1" t="s">
        <v>373</v>
      </c>
      <c r="CM704" s="1" t="s">
        <v>822</v>
      </c>
      <c r="CN704" s="1" t="s">
        <v>5839</v>
      </c>
      <c r="CO704" s="1" t="s">
        <v>554</v>
      </c>
      <c r="CP704" s="1" t="s">
        <v>6801</v>
      </c>
      <c r="CQ704" s="1" t="s">
        <v>6802</v>
      </c>
      <c r="CR704" s="1" t="s">
        <v>6803</v>
      </c>
      <c r="CS704" s="1" t="s">
        <v>4075</v>
      </c>
      <c r="CT704" s="1" t="s">
        <v>6804</v>
      </c>
      <c r="CU704" s="1" t="s">
        <v>4024</v>
      </c>
      <c r="CV704" s="1" t="s">
        <v>6805</v>
      </c>
      <c r="CW704">
        <v>81.55</v>
      </c>
      <c r="CX704">
        <v>88.9</v>
      </c>
      <c r="CY704">
        <v>85.2</v>
      </c>
      <c r="CZ704" s="1" t="s">
        <v>4375</v>
      </c>
      <c r="DA704">
        <v>1</v>
      </c>
      <c r="DB704" t="s">
        <v>6653</v>
      </c>
      <c r="DC704">
        <v>105</v>
      </c>
      <c r="DD704" s="1" t="s">
        <v>6806</v>
      </c>
      <c r="DE704" s="1" t="s">
        <v>6807</v>
      </c>
      <c r="DF704" t="e">
        <f>_xlfn.XLOOKUP(Table1[[#This Row],[Player ID]],Table2[feed_id],Table2[trade_status])</f>
        <v>#N/A</v>
      </c>
      <c r="DG704">
        <f>_xlfn.NUMBERVALUE(Table1[[#This Row],[predicted]])</f>
        <v>83.252194971421602</v>
      </c>
    </row>
    <row r="705" spans="1:111" x14ac:dyDescent="0.25">
      <c r="A705">
        <v>132679</v>
      </c>
      <c r="B705">
        <v>9240</v>
      </c>
      <c r="C705" t="s">
        <v>7230</v>
      </c>
      <c r="D705" t="s">
        <v>3116</v>
      </c>
      <c r="E705">
        <v>2025</v>
      </c>
      <c r="F705">
        <v>1023495</v>
      </c>
      <c r="G705" t="s">
        <v>3871</v>
      </c>
      <c r="H705" t="s">
        <v>6072</v>
      </c>
      <c r="I705" t="s">
        <v>249</v>
      </c>
      <c r="J705">
        <v>19</v>
      </c>
      <c r="K705">
        <v>83</v>
      </c>
      <c r="L705">
        <v>82</v>
      </c>
      <c r="M705">
        <v>112</v>
      </c>
      <c r="N705">
        <v>68</v>
      </c>
      <c r="O705">
        <v>90</v>
      </c>
      <c r="P705">
        <v>13</v>
      </c>
      <c r="Q705">
        <v>4</v>
      </c>
      <c r="R705">
        <v>10</v>
      </c>
      <c r="S705">
        <v>3</v>
      </c>
      <c r="T705">
        <v>0</v>
      </c>
      <c r="U705">
        <v>0</v>
      </c>
      <c r="V705">
        <v>2</v>
      </c>
      <c r="W705">
        <v>0</v>
      </c>
      <c r="X705">
        <v>0</v>
      </c>
      <c r="Y705" t="s">
        <v>113</v>
      </c>
      <c r="Z705" t="s">
        <v>226</v>
      </c>
      <c r="AA705" t="s">
        <v>7284</v>
      </c>
      <c r="AH705" t="s">
        <v>118</v>
      </c>
      <c r="AI705">
        <v>4</v>
      </c>
      <c r="AJ705">
        <v>0</v>
      </c>
      <c r="AK705">
        <v>0</v>
      </c>
      <c r="AL705">
        <v>0</v>
      </c>
      <c r="AM705">
        <v>0.44</v>
      </c>
      <c r="AN705">
        <v>0.45</v>
      </c>
      <c r="AO705">
        <v>0.86</v>
      </c>
      <c r="AS705">
        <v>2</v>
      </c>
      <c r="AT705">
        <v>0</v>
      </c>
      <c r="AU705">
        <v>4</v>
      </c>
      <c r="AV705">
        <v>76</v>
      </c>
      <c r="AW705">
        <v>81</v>
      </c>
      <c r="AX705">
        <v>414</v>
      </c>
      <c r="AY705">
        <v>0</v>
      </c>
      <c r="AZ705" t="b">
        <v>0</v>
      </c>
      <c r="BA705">
        <v>1285</v>
      </c>
      <c r="BB705">
        <v>1976</v>
      </c>
      <c r="BC705">
        <v>6</v>
      </c>
      <c r="BD705" t="s">
        <v>7234</v>
      </c>
      <c r="BE705" s="1" t="s">
        <v>3594</v>
      </c>
      <c r="BF705">
        <v>0</v>
      </c>
      <c r="BG705">
        <v>71</v>
      </c>
      <c r="BH705">
        <v>1</v>
      </c>
      <c r="BI705" s="1" t="s">
        <v>356</v>
      </c>
      <c r="BJ705" s="1" t="s">
        <v>2030</v>
      </c>
      <c r="BK705" s="1" t="s">
        <v>449</v>
      </c>
      <c r="BL705" s="1" t="s">
        <v>963</v>
      </c>
      <c r="BM705">
        <v>7</v>
      </c>
      <c r="BN705" s="1" t="s">
        <v>160</v>
      </c>
      <c r="BO705" s="1" t="s">
        <v>169</v>
      </c>
      <c r="BP705">
        <v>3.6</v>
      </c>
      <c r="BQ705">
        <v>0</v>
      </c>
      <c r="BR705">
        <v>0</v>
      </c>
      <c r="BS705" s="1" t="s">
        <v>129</v>
      </c>
      <c r="BT705">
        <v>0.6</v>
      </c>
      <c r="BU705" s="1" t="s">
        <v>159</v>
      </c>
      <c r="BV705" s="1" t="s">
        <v>162</v>
      </c>
      <c r="BW705" s="1" t="s">
        <v>128</v>
      </c>
      <c r="BX705" s="1" t="s">
        <v>184</v>
      </c>
      <c r="BY705" s="1" t="s">
        <v>129</v>
      </c>
      <c r="BZ705">
        <v>0.2</v>
      </c>
      <c r="CA705">
        <v>0.44</v>
      </c>
      <c r="CB705">
        <v>0.44</v>
      </c>
      <c r="CC705">
        <v>0.45</v>
      </c>
      <c r="CD705">
        <v>0.45</v>
      </c>
      <c r="CE705">
        <v>0.86</v>
      </c>
      <c r="CF705">
        <v>0.86</v>
      </c>
      <c r="CG705">
        <v>4</v>
      </c>
      <c r="CH705" s="1" t="s">
        <v>587</v>
      </c>
      <c r="CI705" s="1" t="s">
        <v>129</v>
      </c>
      <c r="CJ705" s="1" t="s">
        <v>130</v>
      </c>
      <c r="CK705" s="1" t="s">
        <v>138</v>
      </c>
      <c r="CL705" s="1" t="s">
        <v>170</v>
      </c>
      <c r="CM705" s="1" t="s">
        <v>2147</v>
      </c>
      <c r="CN705" s="1" t="s">
        <v>483</v>
      </c>
      <c r="CO705" s="1" t="s">
        <v>1123</v>
      </c>
      <c r="CP705" s="1" t="s">
        <v>7285</v>
      </c>
      <c r="CQ705">
        <v>324</v>
      </c>
      <c r="CR705">
        <v>267.60000000000002</v>
      </c>
      <c r="CS705" s="1" t="s">
        <v>7238</v>
      </c>
      <c r="CT705">
        <v>1649.6</v>
      </c>
      <c r="CU705" s="1" t="s">
        <v>7239</v>
      </c>
      <c r="CV705" s="1" t="s">
        <v>6253</v>
      </c>
      <c r="CW705">
        <v>67.95</v>
      </c>
      <c r="CX705">
        <v>77.5</v>
      </c>
      <c r="CY705">
        <v>67.400000000000006</v>
      </c>
      <c r="CZ705" s="1" t="s">
        <v>593</v>
      </c>
      <c r="DA705">
        <v>1</v>
      </c>
      <c r="DB705" t="s">
        <v>226</v>
      </c>
      <c r="DC705">
        <v>82</v>
      </c>
      <c r="DD705" s="1" t="s">
        <v>7286</v>
      </c>
      <c r="DE705">
        <v>-9.7916167416334403</v>
      </c>
      <c r="DF705" t="str">
        <f>_xlfn.XLOOKUP(Table1[[#This Row],[Player ID]],Table2[feed_id],Table2[trade_status])</f>
        <v>free_agent</v>
      </c>
      <c r="DG705">
        <f>_xlfn.NUMBERVALUE(Table1[[#This Row],[predicted]])</f>
        <v>91.791616741633405</v>
      </c>
    </row>
    <row r="706" spans="1:111" hidden="1" x14ac:dyDescent="0.25">
      <c r="A706">
        <v>132564</v>
      </c>
      <c r="B706">
        <v>9237</v>
      </c>
      <c r="C706" t="s">
        <v>6650</v>
      </c>
      <c r="D706" t="s">
        <v>3116</v>
      </c>
      <c r="E706">
        <v>2025</v>
      </c>
      <c r="F706">
        <v>1004870</v>
      </c>
      <c r="G706" t="s">
        <v>5859</v>
      </c>
      <c r="H706" t="s">
        <v>5282</v>
      </c>
      <c r="I706" t="s">
        <v>1061</v>
      </c>
      <c r="J706">
        <v>14</v>
      </c>
      <c r="K706">
        <v>73</v>
      </c>
      <c r="L706">
        <v>95</v>
      </c>
      <c r="M706">
        <v>41</v>
      </c>
      <c r="N706">
        <v>56</v>
      </c>
      <c r="O706">
        <v>75</v>
      </c>
      <c r="P706">
        <v>13</v>
      </c>
      <c r="Q706">
        <v>5</v>
      </c>
      <c r="R706">
        <v>3</v>
      </c>
      <c r="S706">
        <v>2</v>
      </c>
      <c r="T706">
        <v>0</v>
      </c>
      <c r="U706">
        <v>1</v>
      </c>
      <c r="V706">
        <v>0</v>
      </c>
      <c r="W706">
        <v>1</v>
      </c>
      <c r="X706">
        <v>0</v>
      </c>
      <c r="Y706" t="s">
        <v>113</v>
      </c>
      <c r="Z706" t="s">
        <v>226</v>
      </c>
      <c r="AA706" t="s">
        <v>6813</v>
      </c>
      <c r="AE706">
        <v>0</v>
      </c>
      <c r="AH706" t="s">
        <v>181</v>
      </c>
      <c r="AI706">
        <v>39</v>
      </c>
      <c r="AJ706">
        <v>7</v>
      </c>
      <c r="AK706">
        <v>45.86</v>
      </c>
      <c r="AL706">
        <v>0</v>
      </c>
      <c r="AM706">
        <v>0</v>
      </c>
      <c r="AN706">
        <v>0.25</v>
      </c>
      <c r="AO706">
        <v>0.27</v>
      </c>
      <c r="AS706">
        <v>3</v>
      </c>
      <c r="AT706">
        <v>0</v>
      </c>
      <c r="AU706">
        <v>2</v>
      </c>
      <c r="AV706">
        <v>94</v>
      </c>
      <c r="AW706">
        <v>83</v>
      </c>
      <c r="AX706">
        <v>399</v>
      </c>
      <c r="AY706">
        <v>0</v>
      </c>
      <c r="AZ706" t="b">
        <v>0</v>
      </c>
      <c r="BA706">
        <v>1646</v>
      </c>
      <c r="BB706">
        <v>1632</v>
      </c>
      <c r="BC706">
        <v>6</v>
      </c>
      <c r="BD706" t="s">
        <v>6772</v>
      </c>
      <c r="BE706" s="1" t="s">
        <v>3594</v>
      </c>
      <c r="BF706">
        <v>0</v>
      </c>
      <c r="BG706">
        <v>71</v>
      </c>
      <c r="BH706">
        <v>1</v>
      </c>
      <c r="BI706" s="1" t="s">
        <v>296</v>
      </c>
      <c r="BJ706">
        <v>14.8</v>
      </c>
      <c r="BK706" s="1" t="s">
        <v>124</v>
      </c>
      <c r="BL706" s="1" t="s">
        <v>499</v>
      </c>
      <c r="BM706" s="1" t="s">
        <v>545</v>
      </c>
      <c r="BN706" s="1" t="s">
        <v>168</v>
      </c>
      <c r="BO706" s="1" t="s">
        <v>169</v>
      </c>
      <c r="BP706" s="1" t="s">
        <v>214</v>
      </c>
      <c r="BQ706">
        <v>0</v>
      </c>
      <c r="BR706">
        <v>0</v>
      </c>
      <c r="BS706" s="1" t="s">
        <v>126</v>
      </c>
      <c r="BT706" s="1" t="s">
        <v>162</v>
      </c>
      <c r="BU706" s="1" t="s">
        <v>128</v>
      </c>
      <c r="BV706" s="1" t="s">
        <v>129</v>
      </c>
      <c r="BW706" s="1" t="s">
        <v>129</v>
      </c>
      <c r="BX706">
        <v>6.6666666666666596E-2</v>
      </c>
      <c r="BY706">
        <v>0</v>
      </c>
      <c r="BZ706">
        <v>6.6666666666666596E-2</v>
      </c>
      <c r="CA706">
        <v>0</v>
      </c>
      <c r="CB706">
        <v>0</v>
      </c>
      <c r="CC706">
        <v>0.25</v>
      </c>
      <c r="CD706">
        <v>0.25</v>
      </c>
      <c r="CE706">
        <v>0.27</v>
      </c>
      <c r="CF706">
        <v>0.27</v>
      </c>
      <c r="CG706">
        <v>5</v>
      </c>
      <c r="CH706" s="1" t="s">
        <v>898</v>
      </c>
      <c r="CI706" s="1" t="s">
        <v>129</v>
      </c>
      <c r="CJ706" s="1" t="s">
        <v>238</v>
      </c>
      <c r="CK706">
        <v>4</v>
      </c>
      <c r="CL706">
        <v>1.8</v>
      </c>
      <c r="CM706" s="1" t="s">
        <v>268</v>
      </c>
      <c r="CN706">
        <v>82.8</v>
      </c>
      <c r="CO706" s="1" t="s">
        <v>437</v>
      </c>
      <c r="CP706" s="1" t="s">
        <v>2549</v>
      </c>
      <c r="CQ706">
        <v>410</v>
      </c>
      <c r="CR706" s="1" t="s">
        <v>6814</v>
      </c>
      <c r="CS706" s="1" t="s">
        <v>4075</v>
      </c>
      <c r="CT706">
        <v>1682</v>
      </c>
      <c r="CU706" s="1" t="s">
        <v>4024</v>
      </c>
      <c r="CV706" s="1" t="s">
        <v>6773</v>
      </c>
      <c r="CW706">
        <v>87.2</v>
      </c>
      <c r="CX706">
        <v>96.5</v>
      </c>
      <c r="CY706">
        <v>98.6</v>
      </c>
      <c r="CZ706">
        <v>98</v>
      </c>
      <c r="DA706">
        <v>1</v>
      </c>
      <c r="DB706" t="s">
        <v>226</v>
      </c>
      <c r="DC706">
        <v>95</v>
      </c>
      <c r="DD706" s="1" t="s">
        <v>6815</v>
      </c>
      <c r="DE706">
        <v>-13.7578955749411</v>
      </c>
      <c r="DF706" t="e">
        <f>_xlfn.XLOOKUP(Table1[[#This Row],[Player ID]],Table2[feed_id],Table2[trade_status])</f>
        <v>#N/A</v>
      </c>
      <c r="DG706">
        <f>_xlfn.NUMBERVALUE(Table1[[#This Row],[predicted]])</f>
        <v>108.757895574941</v>
      </c>
    </row>
    <row r="707" spans="1:111" hidden="1" x14ac:dyDescent="0.25">
      <c r="A707">
        <v>132565</v>
      </c>
      <c r="B707">
        <v>9237</v>
      </c>
      <c r="C707" t="s">
        <v>6650</v>
      </c>
      <c r="D707" t="s">
        <v>3116</v>
      </c>
      <c r="E707">
        <v>2025</v>
      </c>
      <c r="F707">
        <v>994386</v>
      </c>
      <c r="G707" t="s">
        <v>776</v>
      </c>
      <c r="H707" t="s">
        <v>5265</v>
      </c>
      <c r="I707" t="s">
        <v>1061</v>
      </c>
      <c r="J707">
        <v>13</v>
      </c>
      <c r="K707">
        <v>72</v>
      </c>
      <c r="L707">
        <v>91</v>
      </c>
      <c r="M707">
        <v>55</v>
      </c>
      <c r="N707">
        <v>57</v>
      </c>
      <c r="O707">
        <v>85</v>
      </c>
      <c r="P707">
        <v>9</v>
      </c>
      <c r="Q707">
        <v>14</v>
      </c>
      <c r="R707">
        <v>0</v>
      </c>
      <c r="S707">
        <v>5</v>
      </c>
      <c r="T707">
        <v>0</v>
      </c>
      <c r="U707">
        <v>2</v>
      </c>
      <c r="V707">
        <v>2</v>
      </c>
      <c r="W707">
        <v>0</v>
      </c>
      <c r="X707">
        <v>1</v>
      </c>
      <c r="Y707" t="s">
        <v>113</v>
      </c>
      <c r="Z707" t="s">
        <v>877</v>
      </c>
      <c r="AA707" t="s">
        <v>6816</v>
      </c>
      <c r="AH707" t="s">
        <v>181</v>
      </c>
      <c r="AI707">
        <v>30</v>
      </c>
      <c r="AJ707">
        <v>0</v>
      </c>
      <c r="AK707">
        <v>0</v>
      </c>
      <c r="AL707">
        <v>0</v>
      </c>
      <c r="AM707">
        <v>0.22</v>
      </c>
      <c r="AN707">
        <v>0.19</v>
      </c>
      <c r="AO707">
        <v>0.2</v>
      </c>
      <c r="AS707">
        <v>15</v>
      </c>
      <c r="AT707">
        <v>9</v>
      </c>
      <c r="AU707">
        <v>4</v>
      </c>
      <c r="AV707">
        <v>69</v>
      </c>
      <c r="AW707">
        <v>72</v>
      </c>
      <c r="AX707">
        <v>244</v>
      </c>
      <c r="AY707">
        <v>0</v>
      </c>
      <c r="AZ707" t="b">
        <v>0</v>
      </c>
      <c r="BA707">
        <v>1646</v>
      </c>
      <c r="BB707">
        <v>1632</v>
      </c>
      <c r="BC707">
        <v>6</v>
      </c>
      <c r="BD707" t="s">
        <v>6772</v>
      </c>
      <c r="BE707" s="1" t="s">
        <v>3594</v>
      </c>
      <c r="BF707">
        <v>0</v>
      </c>
      <c r="BG707">
        <v>71</v>
      </c>
      <c r="BH707">
        <v>1</v>
      </c>
      <c r="BI707" s="1" t="s">
        <v>253</v>
      </c>
      <c r="BJ707">
        <v>8</v>
      </c>
      <c r="BK707" s="1" t="s">
        <v>395</v>
      </c>
      <c r="BL707" s="1" t="s">
        <v>1106</v>
      </c>
      <c r="BM707" s="1" t="s">
        <v>161</v>
      </c>
      <c r="BN707" s="1" t="s">
        <v>566</v>
      </c>
      <c r="BO707">
        <v>9</v>
      </c>
      <c r="BP707" s="1" t="s">
        <v>680</v>
      </c>
      <c r="BQ707">
        <v>0</v>
      </c>
      <c r="BR707">
        <v>0</v>
      </c>
      <c r="BS707" s="1" t="s">
        <v>128</v>
      </c>
      <c r="BT707">
        <v>1.2</v>
      </c>
      <c r="BU707" s="1" t="s">
        <v>126</v>
      </c>
      <c r="BV707" s="1" t="s">
        <v>257</v>
      </c>
      <c r="BW707">
        <v>0</v>
      </c>
      <c r="BX707">
        <v>6.6666666666666596E-2</v>
      </c>
      <c r="BY707" s="1" t="s">
        <v>129</v>
      </c>
      <c r="BZ707" s="1" t="s">
        <v>213</v>
      </c>
      <c r="CA707">
        <v>0.22</v>
      </c>
      <c r="CB707">
        <v>0.22</v>
      </c>
      <c r="CC707">
        <v>0.19</v>
      </c>
      <c r="CD707">
        <v>0.19</v>
      </c>
      <c r="CE707">
        <v>0.2</v>
      </c>
      <c r="CF707">
        <v>0.2</v>
      </c>
      <c r="CG707">
        <v>11</v>
      </c>
      <c r="CH707" s="1" t="s">
        <v>303</v>
      </c>
      <c r="CI707" s="1" t="s">
        <v>449</v>
      </c>
      <c r="CJ707" s="1" t="s">
        <v>990</v>
      </c>
      <c r="CK707">
        <v>3</v>
      </c>
      <c r="CL707" s="1" t="s">
        <v>431</v>
      </c>
      <c r="CM707" s="1" t="s">
        <v>883</v>
      </c>
      <c r="CN707" s="1" t="s">
        <v>1839</v>
      </c>
      <c r="CO707">
        <v>77</v>
      </c>
      <c r="CP707" s="1" t="s">
        <v>1713</v>
      </c>
      <c r="CQ707">
        <v>166</v>
      </c>
      <c r="CR707">
        <v>208.4</v>
      </c>
      <c r="CS707" s="1" t="s">
        <v>4075</v>
      </c>
      <c r="CT707" s="1" t="s">
        <v>6817</v>
      </c>
      <c r="CU707" s="1" t="s">
        <v>4024</v>
      </c>
      <c r="CV707" s="1" t="s">
        <v>2698</v>
      </c>
      <c r="CW707">
        <v>82.85</v>
      </c>
      <c r="CX707">
        <v>80.3</v>
      </c>
      <c r="CY707">
        <v>80.599999999999994</v>
      </c>
      <c r="CZ707" s="1" t="s">
        <v>310</v>
      </c>
      <c r="DA707">
        <v>1</v>
      </c>
      <c r="DB707" t="s">
        <v>877</v>
      </c>
      <c r="DC707">
        <v>91</v>
      </c>
      <c r="DD707" s="1" t="s">
        <v>6818</v>
      </c>
      <c r="DE707" s="1" t="s">
        <v>6819</v>
      </c>
      <c r="DF707" t="e">
        <f>_xlfn.XLOOKUP(Table1[[#This Row],[Player ID]],Table2[feed_id],Table2[trade_status])</f>
        <v>#N/A</v>
      </c>
      <c r="DG707">
        <f>_xlfn.NUMBERVALUE(Table1[[#This Row],[predicted]])</f>
        <v>67.579004901192803</v>
      </c>
    </row>
    <row r="708" spans="1:111" x14ac:dyDescent="0.25">
      <c r="A708">
        <v>132572</v>
      </c>
      <c r="B708">
        <v>9237</v>
      </c>
      <c r="C708" t="s">
        <v>6650</v>
      </c>
      <c r="D708" t="s">
        <v>3116</v>
      </c>
      <c r="E708">
        <v>2025</v>
      </c>
      <c r="F708">
        <v>1009229</v>
      </c>
      <c r="G708" t="s">
        <v>958</v>
      </c>
      <c r="H708" t="s">
        <v>6840</v>
      </c>
      <c r="I708" t="s">
        <v>1061</v>
      </c>
      <c r="J708">
        <v>8</v>
      </c>
      <c r="K708">
        <v>56</v>
      </c>
      <c r="L708">
        <v>57</v>
      </c>
      <c r="M708">
        <v>38</v>
      </c>
      <c r="N708">
        <v>48</v>
      </c>
      <c r="O708">
        <v>60</v>
      </c>
      <c r="P708">
        <v>8</v>
      </c>
      <c r="Q708">
        <v>6</v>
      </c>
      <c r="R708">
        <v>6</v>
      </c>
      <c r="S708">
        <v>0</v>
      </c>
      <c r="T708">
        <v>0</v>
      </c>
      <c r="U708">
        <v>2</v>
      </c>
      <c r="V708">
        <v>0</v>
      </c>
      <c r="W708">
        <v>0</v>
      </c>
      <c r="X708">
        <v>0</v>
      </c>
      <c r="Y708" t="s">
        <v>113</v>
      </c>
      <c r="Z708" t="s">
        <v>5967</v>
      </c>
      <c r="AA708" t="s">
        <v>6841</v>
      </c>
      <c r="AH708" t="s">
        <v>181</v>
      </c>
      <c r="AI708">
        <v>16</v>
      </c>
      <c r="AJ708">
        <v>0</v>
      </c>
      <c r="AK708">
        <v>0</v>
      </c>
      <c r="AL708">
        <v>0</v>
      </c>
      <c r="AM708">
        <v>0.4</v>
      </c>
      <c r="AN708">
        <v>0.6</v>
      </c>
      <c r="AO708">
        <v>1.03</v>
      </c>
      <c r="AS708">
        <v>3</v>
      </c>
      <c r="AT708">
        <v>1</v>
      </c>
      <c r="AU708">
        <v>1</v>
      </c>
      <c r="AV708">
        <v>78</v>
      </c>
      <c r="AW708">
        <v>87</v>
      </c>
      <c r="AX708">
        <v>352</v>
      </c>
      <c r="AY708">
        <v>0</v>
      </c>
      <c r="AZ708" t="b">
        <v>0</v>
      </c>
      <c r="BA708">
        <v>1646</v>
      </c>
      <c r="BB708">
        <v>1632</v>
      </c>
      <c r="BC708">
        <v>6</v>
      </c>
      <c r="BD708" t="s">
        <v>6772</v>
      </c>
      <c r="BE708" s="1" t="s">
        <v>3594</v>
      </c>
      <c r="BF708">
        <v>0</v>
      </c>
      <c r="BG708">
        <v>71</v>
      </c>
      <c r="BH708">
        <v>0</v>
      </c>
      <c r="BI708" s="1" t="s">
        <v>294</v>
      </c>
      <c r="BJ708" s="1" t="s">
        <v>254</v>
      </c>
      <c r="BK708" s="1" t="s">
        <v>204</v>
      </c>
      <c r="BL708">
        <v>8.8000000000000007</v>
      </c>
      <c r="BM708" s="1" t="s">
        <v>397</v>
      </c>
      <c r="BN708">
        <v>4.4000000000000004</v>
      </c>
      <c r="BO708" s="1" t="s">
        <v>128</v>
      </c>
      <c r="BP708">
        <v>1.6</v>
      </c>
      <c r="BQ708" s="1" t="s">
        <v>183</v>
      </c>
      <c r="BR708" s="1" t="s">
        <v>2358</v>
      </c>
      <c r="BS708">
        <v>1</v>
      </c>
      <c r="BT708" s="1" t="s">
        <v>298</v>
      </c>
      <c r="BU708">
        <v>1</v>
      </c>
      <c r="BV708">
        <v>1.2</v>
      </c>
      <c r="BW708" s="1" t="s">
        <v>129</v>
      </c>
      <c r="BX708" s="1" t="s">
        <v>129</v>
      </c>
      <c r="BY708">
        <v>0</v>
      </c>
      <c r="BZ708">
        <v>0</v>
      </c>
      <c r="CA708">
        <v>0.4</v>
      </c>
      <c r="CB708">
        <v>0.4</v>
      </c>
      <c r="CC708">
        <v>0.6</v>
      </c>
      <c r="CD708">
        <v>0.6</v>
      </c>
      <c r="CE708">
        <v>1.03</v>
      </c>
      <c r="CF708">
        <v>1.03</v>
      </c>
      <c r="CG708">
        <v>6</v>
      </c>
      <c r="CH708">
        <v>7.2</v>
      </c>
      <c r="CI708">
        <v>2</v>
      </c>
      <c r="CJ708" s="1" t="s">
        <v>375</v>
      </c>
      <c r="CK708">
        <v>2</v>
      </c>
      <c r="CL708" s="1" t="s">
        <v>528</v>
      </c>
      <c r="CM708">
        <v>80</v>
      </c>
      <c r="CN708">
        <v>73</v>
      </c>
      <c r="CO708">
        <v>80</v>
      </c>
      <c r="CP708">
        <v>79.2</v>
      </c>
      <c r="CQ708" s="1" t="s">
        <v>6590</v>
      </c>
      <c r="CR708" s="1" t="s">
        <v>6842</v>
      </c>
      <c r="CS708" s="1" t="s">
        <v>4075</v>
      </c>
      <c r="CT708" s="1" t="s">
        <v>5864</v>
      </c>
      <c r="CU708" s="1" t="s">
        <v>4024</v>
      </c>
      <c r="CV708" s="1" t="s">
        <v>6843</v>
      </c>
      <c r="CW708">
        <v>71.849999999999994</v>
      </c>
      <c r="CX708">
        <v>75.8</v>
      </c>
      <c r="CY708">
        <v>73.400000000000006</v>
      </c>
      <c r="CZ708" s="1" t="s">
        <v>261</v>
      </c>
      <c r="DA708">
        <v>1</v>
      </c>
      <c r="DB708" t="s">
        <v>5967</v>
      </c>
      <c r="DC708">
        <v>57</v>
      </c>
      <c r="DD708" s="1" t="s">
        <v>6844</v>
      </c>
      <c r="DE708">
        <v>-34.384459111173904</v>
      </c>
      <c r="DF708" t="str">
        <f>_xlfn.XLOOKUP(Table1[[#This Row],[Player ID]],Table2[feed_id],Table2[trade_status])</f>
        <v>free_agent</v>
      </c>
      <c r="DG708">
        <f>_xlfn.NUMBERVALUE(Table1[[#This Row],[predicted]])</f>
        <v>91.384459111173896</v>
      </c>
    </row>
    <row r="709" spans="1:111" hidden="1" x14ac:dyDescent="0.25">
      <c r="A709">
        <v>132568</v>
      </c>
      <c r="B709">
        <v>9237</v>
      </c>
      <c r="C709" t="s">
        <v>6650</v>
      </c>
      <c r="D709" t="s">
        <v>3116</v>
      </c>
      <c r="E709">
        <v>2025</v>
      </c>
      <c r="F709">
        <v>280317</v>
      </c>
      <c r="G709" t="s">
        <v>1169</v>
      </c>
      <c r="H709" t="s">
        <v>6825</v>
      </c>
      <c r="I709" t="s">
        <v>1061</v>
      </c>
      <c r="J709">
        <v>10</v>
      </c>
      <c r="K709">
        <v>65</v>
      </c>
      <c r="L709">
        <v>74</v>
      </c>
      <c r="M709">
        <v>46</v>
      </c>
      <c r="N709">
        <v>59</v>
      </c>
      <c r="O709">
        <v>72</v>
      </c>
      <c r="P709">
        <v>8</v>
      </c>
      <c r="Q709">
        <v>4</v>
      </c>
      <c r="R709">
        <v>3</v>
      </c>
      <c r="S709">
        <v>1</v>
      </c>
      <c r="T709">
        <v>24</v>
      </c>
      <c r="U709">
        <v>2</v>
      </c>
      <c r="V709">
        <v>2</v>
      </c>
      <c r="W709">
        <v>0</v>
      </c>
      <c r="X709">
        <v>0</v>
      </c>
      <c r="Y709" t="s">
        <v>113</v>
      </c>
      <c r="Z709" t="s">
        <v>602</v>
      </c>
      <c r="AA709" t="s">
        <v>6826</v>
      </c>
      <c r="AE709">
        <v>0</v>
      </c>
      <c r="AH709" t="s">
        <v>274</v>
      </c>
      <c r="AI709">
        <v>1</v>
      </c>
      <c r="AJ709">
        <v>15</v>
      </c>
      <c r="AK709">
        <v>81.33</v>
      </c>
      <c r="AL709">
        <v>0</v>
      </c>
      <c r="AM709">
        <v>0</v>
      </c>
      <c r="AN709">
        <v>0.34</v>
      </c>
      <c r="AO709">
        <v>0.17</v>
      </c>
      <c r="AS709">
        <v>9</v>
      </c>
      <c r="AT709">
        <v>3</v>
      </c>
      <c r="AU709">
        <v>5</v>
      </c>
      <c r="AV709">
        <v>50</v>
      </c>
      <c r="AW709">
        <v>79</v>
      </c>
      <c r="AX709">
        <v>210</v>
      </c>
      <c r="AY709">
        <v>0</v>
      </c>
      <c r="AZ709" t="b">
        <v>0</v>
      </c>
      <c r="BA709">
        <v>1646</v>
      </c>
      <c r="BB709">
        <v>1632</v>
      </c>
      <c r="BC709">
        <v>6</v>
      </c>
      <c r="BD709" t="s">
        <v>6772</v>
      </c>
      <c r="BE709" s="1" t="s">
        <v>3594</v>
      </c>
      <c r="BF709">
        <v>0</v>
      </c>
      <c r="BG709">
        <v>71</v>
      </c>
      <c r="BH709">
        <v>1</v>
      </c>
      <c r="BI709" s="1" t="s">
        <v>204</v>
      </c>
      <c r="BJ709">
        <v>6</v>
      </c>
      <c r="BK709" s="1" t="s">
        <v>211</v>
      </c>
      <c r="BL709" s="1" t="s">
        <v>256</v>
      </c>
      <c r="BM709" s="1" t="s">
        <v>125</v>
      </c>
      <c r="BN709" s="1" t="s">
        <v>169</v>
      </c>
      <c r="BO709" s="1" t="s">
        <v>159</v>
      </c>
      <c r="BP709" s="1" t="s">
        <v>322</v>
      </c>
      <c r="BQ709" s="1" t="s">
        <v>4353</v>
      </c>
      <c r="BR709">
        <v>26.4</v>
      </c>
      <c r="BS709" s="1" t="s">
        <v>126</v>
      </c>
      <c r="BT709">
        <v>1.4</v>
      </c>
      <c r="BU709" s="1" t="s">
        <v>126</v>
      </c>
      <c r="BV709" s="1" t="s">
        <v>161</v>
      </c>
      <c r="BW709" s="1" t="s">
        <v>129</v>
      </c>
      <c r="BX709" s="1" t="s">
        <v>129</v>
      </c>
      <c r="BY709" s="1" t="s">
        <v>129</v>
      </c>
      <c r="BZ709" s="1" t="s">
        <v>213</v>
      </c>
      <c r="CA709">
        <v>0</v>
      </c>
      <c r="CB709">
        <v>0</v>
      </c>
      <c r="CC709">
        <v>0.34</v>
      </c>
      <c r="CD709">
        <v>0.34</v>
      </c>
      <c r="CE709">
        <v>0.17</v>
      </c>
      <c r="CF709">
        <v>0.17</v>
      </c>
      <c r="CG709" s="1" t="s">
        <v>253</v>
      </c>
      <c r="CH709" s="1" t="s">
        <v>898</v>
      </c>
      <c r="CI709" s="1" t="s">
        <v>169</v>
      </c>
      <c r="CJ709">
        <v>2.6</v>
      </c>
      <c r="CK709" s="1" t="s">
        <v>169</v>
      </c>
      <c r="CL709">
        <v>3.4</v>
      </c>
      <c r="CM709" s="1" t="s">
        <v>195</v>
      </c>
      <c r="CN709">
        <v>66.400000000000006</v>
      </c>
      <c r="CO709">
        <v>79</v>
      </c>
      <c r="CP709">
        <v>76.400000000000006</v>
      </c>
      <c r="CQ709" s="1" t="s">
        <v>3874</v>
      </c>
      <c r="CR709">
        <v>166.4</v>
      </c>
      <c r="CS709" s="1" t="s">
        <v>346</v>
      </c>
      <c r="CT709" s="1" t="s">
        <v>6827</v>
      </c>
      <c r="CU709" s="1" t="s">
        <v>5822</v>
      </c>
      <c r="CV709" s="1" t="s">
        <v>6828</v>
      </c>
      <c r="CW709">
        <v>73.05</v>
      </c>
      <c r="CX709">
        <v>75.599999999999994</v>
      </c>
      <c r="CY709">
        <v>91.6</v>
      </c>
      <c r="CZ709">
        <v>91</v>
      </c>
      <c r="DA709">
        <v>1</v>
      </c>
      <c r="DB709" t="s">
        <v>602</v>
      </c>
      <c r="DC709">
        <v>74</v>
      </c>
      <c r="DD709">
        <v>82.959149192047704</v>
      </c>
      <c r="DE709">
        <v>-8.9591491920477004</v>
      </c>
      <c r="DF709" t="e">
        <f>_xlfn.XLOOKUP(Table1[[#This Row],[Player ID]],Table2[feed_id],Table2[trade_status])</f>
        <v>#N/A</v>
      </c>
      <c r="DG709">
        <f>_xlfn.NUMBERVALUE(Table1[[#This Row],[predicted]])</f>
        <v>82.959149192047704</v>
      </c>
    </row>
    <row r="710" spans="1:111" x14ac:dyDescent="0.25">
      <c r="A710">
        <v>132675</v>
      </c>
      <c r="B710">
        <v>9240</v>
      </c>
      <c r="C710" t="s">
        <v>7230</v>
      </c>
      <c r="D710" t="s">
        <v>3116</v>
      </c>
      <c r="E710">
        <v>2025</v>
      </c>
      <c r="F710">
        <v>295265</v>
      </c>
      <c r="G710" t="s">
        <v>740</v>
      </c>
      <c r="H710" t="s">
        <v>7263</v>
      </c>
      <c r="I710" t="s">
        <v>249</v>
      </c>
      <c r="J710">
        <v>19</v>
      </c>
      <c r="K710">
        <v>90</v>
      </c>
      <c r="L710">
        <v>96</v>
      </c>
      <c r="M710">
        <v>116</v>
      </c>
      <c r="N710">
        <v>74</v>
      </c>
      <c r="O710">
        <v>93</v>
      </c>
      <c r="P710">
        <v>16</v>
      </c>
      <c r="Q710">
        <v>5</v>
      </c>
      <c r="R710">
        <v>10</v>
      </c>
      <c r="S710">
        <v>0</v>
      </c>
      <c r="T710">
        <v>0</v>
      </c>
      <c r="U710">
        <v>2</v>
      </c>
      <c r="V710">
        <v>0</v>
      </c>
      <c r="W710">
        <v>0</v>
      </c>
      <c r="X710">
        <v>0</v>
      </c>
      <c r="Y710" t="s">
        <v>113</v>
      </c>
      <c r="Z710" t="s">
        <v>226</v>
      </c>
      <c r="AA710" t="s">
        <v>7264</v>
      </c>
      <c r="AE710">
        <v>0</v>
      </c>
      <c r="AH710" t="s">
        <v>181</v>
      </c>
      <c r="AI710">
        <v>26</v>
      </c>
      <c r="AJ710">
        <v>21</v>
      </c>
      <c r="AK710">
        <v>71.900000000000006</v>
      </c>
      <c r="AL710">
        <v>0</v>
      </c>
      <c r="AM710">
        <v>0</v>
      </c>
      <c r="AN710">
        <v>0.09</v>
      </c>
      <c r="AO710">
        <v>0.14000000000000001</v>
      </c>
      <c r="AS710">
        <v>7</v>
      </c>
      <c r="AT710">
        <v>0</v>
      </c>
      <c r="AU710">
        <v>1</v>
      </c>
      <c r="AV710">
        <v>90</v>
      </c>
      <c r="AW710">
        <v>84</v>
      </c>
      <c r="AX710">
        <v>426</v>
      </c>
      <c r="AY710">
        <v>0</v>
      </c>
      <c r="AZ710" t="b">
        <v>0</v>
      </c>
      <c r="BA710">
        <v>1285</v>
      </c>
      <c r="BB710">
        <v>1976</v>
      </c>
      <c r="BC710">
        <v>6</v>
      </c>
      <c r="BD710" t="s">
        <v>7234</v>
      </c>
      <c r="BE710" s="1" t="s">
        <v>3594</v>
      </c>
      <c r="BF710">
        <v>0</v>
      </c>
      <c r="BG710">
        <v>71</v>
      </c>
      <c r="BH710">
        <v>1</v>
      </c>
      <c r="BI710">
        <v>13</v>
      </c>
      <c r="BJ710">
        <v>11.2</v>
      </c>
      <c r="BK710" s="1" t="s">
        <v>125</v>
      </c>
      <c r="BL710" s="1" t="s">
        <v>587</v>
      </c>
      <c r="BM710" s="1" t="s">
        <v>137</v>
      </c>
      <c r="BN710">
        <v>6.4</v>
      </c>
      <c r="BO710">
        <v>1</v>
      </c>
      <c r="BP710" s="1" t="s">
        <v>298</v>
      </c>
      <c r="BQ710">
        <v>0</v>
      </c>
      <c r="BR710">
        <v>0</v>
      </c>
      <c r="BS710" s="1" t="s">
        <v>126</v>
      </c>
      <c r="BT710" s="1" t="s">
        <v>238</v>
      </c>
      <c r="BU710">
        <v>0</v>
      </c>
      <c r="BV710" s="1" t="s">
        <v>129</v>
      </c>
      <c r="BW710">
        <v>0</v>
      </c>
      <c r="BX710">
        <v>0</v>
      </c>
      <c r="BY710">
        <v>0</v>
      </c>
      <c r="BZ710">
        <v>6.6666666666666596E-2</v>
      </c>
      <c r="CA710">
        <v>0</v>
      </c>
      <c r="CB710">
        <v>8.6666666666666593E-3</v>
      </c>
      <c r="CC710">
        <v>0.09</v>
      </c>
      <c r="CD710" s="1" t="s">
        <v>502</v>
      </c>
      <c r="CE710">
        <v>0.14000000000000001</v>
      </c>
      <c r="CF710" s="1" t="s">
        <v>7265</v>
      </c>
      <c r="CG710">
        <v>5</v>
      </c>
      <c r="CH710" s="1" t="s">
        <v>990</v>
      </c>
      <c r="CI710" s="1" t="s">
        <v>128</v>
      </c>
      <c r="CJ710" s="1" t="s">
        <v>238</v>
      </c>
      <c r="CK710" s="1" t="s">
        <v>161</v>
      </c>
      <c r="CL710" s="1" t="s">
        <v>322</v>
      </c>
      <c r="CM710" s="1" t="s">
        <v>1258</v>
      </c>
      <c r="CN710" s="1" t="s">
        <v>4609</v>
      </c>
      <c r="CO710" s="1" t="s">
        <v>239</v>
      </c>
      <c r="CP710" s="1" t="s">
        <v>3439</v>
      </c>
      <c r="CQ710">
        <v>370</v>
      </c>
      <c r="CR710" s="1" t="s">
        <v>7266</v>
      </c>
      <c r="CS710" s="1" t="s">
        <v>7238</v>
      </c>
      <c r="CT710">
        <v>1659.4</v>
      </c>
      <c r="CU710" s="1" t="s">
        <v>7239</v>
      </c>
      <c r="CV710">
        <v>1626.4</v>
      </c>
      <c r="CW710">
        <v>65.3</v>
      </c>
      <c r="CX710">
        <v>72</v>
      </c>
      <c r="CY710">
        <v>68.2</v>
      </c>
      <c r="CZ710" s="1" t="s">
        <v>610</v>
      </c>
      <c r="DA710">
        <v>1</v>
      </c>
      <c r="DB710" t="s">
        <v>226</v>
      </c>
      <c r="DC710">
        <v>96</v>
      </c>
      <c r="DD710" s="1" t="s">
        <v>7267</v>
      </c>
      <c r="DE710" s="1" t="s">
        <v>7268</v>
      </c>
      <c r="DF710" t="str">
        <f>_xlfn.XLOOKUP(Table1[[#This Row],[Player ID]],Table2[feed_id],Table2[trade_status])</f>
        <v>free_agent</v>
      </c>
      <c r="DG710">
        <f>_xlfn.NUMBERVALUE(Table1[[#This Row],[predicted]])</f>
        <v>91.332229469206396</v>
      </c>
    </row>
    <row r="711" spans="1:111" hidden="1" x14ac:dyDescent="0.25">
      <c r="A711">
        <v>132570</v>
      </c>
      <c r="B711">
        <v>9237</v>
      </c>
      <c r="C711" t="s">
        <v>6650</v>
      </c>
      <c r="D711" t="s">
        <v>3116</v>
      </c>
      <c r="E711">
        <v>2025</v>
      </c>
      <c r="F711">
        <v>1004938</v>
      </c>
      <c r="G711" t="s">
        <v>6833</v>
      </c>
      <c r="H711" t="s">
        <v>6834</v>
      </c>
      <c r="I711" t="s">
        <v>1061</v>
      </c>
      <c r="J711">
        <v>8</v>
      </c>
      <c r="K711">
        <v>60</v>
      </c>
      <c r="L711">
        <v>68</v>
      </c>
      <c r="M711">
        <v>30</v>
      </c>
      <c r="N711">
        <v>51</v>
      </c>
      <c r="O711">
        <v>72</v>
      </c>
      <c r="P711">
        <v>11</v>
      </c>
      <c r="Q711">
        <v>10</v>
      </c>
      <c r="R711">
        <v>3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 t="s">
        <v>113</v>
      </c>
      <c r="Z711" t="s">
        <v>525</v>
      </c>
      <c r="AA711" t="s">
        <v>6835</v>
      </c>
      <c r="AE711">
        <v>0</v>
      </c>
      <c r="AH711" t="s">
        <v>155</v>
      </c>
      <c r="AI711">
        <v>32</v>
      </c>
      <c r="AJ711">
        <v>0</v>
      </c>
      <c r="AK711">
        <v>0</v>
      </c>
      <c r="AL711">
        <v>0</v>
      </c>
      <c r="AM711">
        <v>0</v>
      </c>
      <c r="AN711">
        <v>0.32</v>
      </c>
      <c r="AO711">
        <v>0.5</v>
      </c>
      <c r="AS711">
        <v>5</v>
      </c>
      <c r="AT711">
        <v>0</v>
      </c>
      <c r="AU711">
        <v>3</v>
      </c>
      <c r="AV711">
        <v>81</v>
      </c>
      <c r="AW711">
        <v>87</v>
      </c>
      <c r="AX711">
        <v>357</v>
      </c>
      <c r="AY711">
        <v>0</v>
      </c>
      <c r="AZ711" t="b">
        <v>0</v>
      </c>
      <c r="BA711">
        <v>1646</v>
      </c>
      <c r="BB711">
        <v>1632</v>
      </c>
      <c r="BC711">
        <v>6</v>
      </c>
      <c r="BD711" t="s">
        <v>6772</v>
      </c>
      <c r="BE711" s="1" t="s">
        <v>3594</v>
      </c>
      <c r="BF711">
        <v>0</v>
      </c>
      <c r="BG711">
        <v>71</v>
      </c>
      <c r="BH711">
        <v>0</v>
      </c>
      <c r="BI711" s="1" t="s">
        <v>121</v>
      </c>
      <c r="BJ711">
        <v>11.8</v>
      </c>
      <c r="BK711">
        <v>9</v>
      </c>
      <c r="BL711" s="1" t="s">
        <v>358</v>
      </c>
      <c r="BM711">
        <v>6</v>
      </c>
      <c r="BN711">
        <v>5</v>
      </c>
      <c r="BO711" s="1" t="s">
        <v>128</v>
      </c>
      <c r="BP711" s="1" t="s">
        <v>990</v>
      </c>
      <c r="BQ711">
        <v>0</v>
      </c>
      <c r="BR711">
        <v>0</v>
      </c>
      <c r="BS711" s="1" t="s">
        <v>129</v>
      </c>
      <c r="BT711" s="1" t="s">
        <v>231</v>
      </c>
      <c r="BU711" s="1" t="s">
        <v>129</v>
      </c>
      <c r="BV711" s="1" t="s">
        <v>129</v>
      </c>
      <c r="BW711">
        <v>0</v>
      </c>
      <c r="BX711" s="1" t="s">
        <v>128</v>
      </c>
      <c r="BY711">
        <v>0</v>
      </c>
      <c r="BZ711" s="1" t="s">
        <v>231</v>
      </c>
      <c r="CA711">
        <v>0</v>
      </c>
      <c r="CB711">
        <v>0</v>
      </c>
      <c r="CC711">
        <v>0.32</v>
      </c>
      <c r="CD711">
        <v>0.32</v>
      </c>
      <c r="CE711">
        <v>0.5</v>
      </c>
      <c r="CF711">
        <v>0.5</v>
      </c>
      <c r="CG711" s="1" t="s">
        <v>160</v>
      </c>
      <c r="CH711" s="1" t="s">
        <v>260</v>
      </c>
      <c r="CI711" s="1" t="s">
        <v>126</v>
      </c>
      <c r="CJ711" s="1" t="s">
        <v>275</v>
      </c>
      <c r="CK711">
        <v>2</v>
      </c>
      <c r="CL711" s="1" t="s">
        <v>322</v>
      </c>
      <c r="CM711" s="1" t="s">
        <v>241</v>
      </c>
      <c r="CN711">
        <v>66.599999999999994</v>
      </c>
      <c r="CO711" s="1" t="s">
        <v>2177</v>
      </c>
      <c r="CP711" s="1" t="s">
        <v>6836</v>
      </c>
      <c r="CQ711" s="1" t="s">
        <v>6837</v>
      </c>
      <c r="CR711" s="1" t="s">
        <v>6838</v>
      </c>
      <c r="CS711" s="1" t="s">
        <v>4075</v>
      </c>
      <c r="CT711">
        <v>1682</v>
      </c>
      <c r="CU711" s="1" t="s">
        <v>4024</v>
      </c>
      <c r="CV711" s="1" t="s">
        <v>6773</v>
      </c>
      <c r="CW711">
        <v>79.2</v>
      </c>
      <c r="CX711">
        <v>81</v>
      </c>
      <c r="CY711">
        <v>81.400000000000006</v>
      </c>
      <c r="CZ711">
        <v>72</v>
      </c>
      <c r="DA711">
        <v>1</v>
      </c>
      <c r="DB711" t="s">
        <v>525</v>
      </c>
      <c r="DC711">
        <v>68</v>
      </c>
      <c r="DD711" s="1" t="s">
        <v>6839</v>
      </c>
      <c r="DE711">
        <v>-11.7730286044387</v>
      </c>
      <c r="DF711" t="e">
        <f>_xlfn.XLOOKUP(Table1[[#This Row],[Player ID]],Table2[feed_id],Table2[trade_status])</f>
        <v>#N/A</v>
      </c>
      <c r="DG711">
        <f>_xlfn.NUMBERVALUE(Table1[[#This Row],[predicted]])</f>
        <v>79.773028604438693</v>
      </c>
    </row>
    <row r="712" spans="1:111" x14ac:dyDescent="0.25">
      <c r="A712">
        <v>132853</v>
      </c>
      <c r="B712">
        <v>9244</v>
      </c>
      <c r="C712" t="s">
        <v>7983</v>
      </c>
      <c r="D712" t="s">
        <v>3116</v>
      </c>
      <c r="E712">
        <v>2025</v>
      </c>
      <c r="F712">
        <v>1011994</v>
      </c>
      <c r="G712" t="s">
        <v>1332</v>
      </c>
      <c r="H712" t="s">
        <v>8006</v>
      </c>
      <c r="I712" t="s">
        <v>152</v>
      </c>
      <c r="J712">
        <v>19</v>
      </c>
      <c r="K712">
        <v>84</v>
      </c>
      <c r="L712">
        <v>91</v>
      </c>
      <c r="M712">
        <v>103</v>
      </c>
      <c r="N712">
        <v>71</v>
      </c>
      <c r="O712">
        <v>93</v>
      </c>
      <c r="P712">
        <v>13</v>
      </c>
      <c r="Q712">
        <v>10</v>
      </c>
      <c r="R712">
        <v>6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 t="s">
        <v>113</v>
      </c>
      <c r="Z712" t="s">
        <v>226</v>
      </c>
      <c r="AA712" t="s">
        <v>8007</v>
      </c>
      <c r="AH712" t="s">
        <v>118</v>
      </c>
      <c r="AI712">
        <v>13</v>
      </c>
      <c r="AJ712">
        <v>0</v>
      </c>
      <c r="AK712">
        <v>0</v>
      </c>
      <c r="AL712">
        <v>0</v>
      </c>
      <c r="AM712">
        <v>0.13</v>
      </c>
      <c r="AN712">
        <v>0.08</v>
      </c>
      <c r="AO712">
        <v>0.06</v>
      </c>
      <c r="AS712">
        <v>4</v>
      </c>
      <c r="AT712">
        <v>0</v>
      </c>
      <c r="AU712">
        <v>2</v>
      </c>
      <c r="AV712">
        <v>73</v>
      </c>
      <c r="AW712">
        <v>78</v>
      </c>
      <c r="AX712">
        <v>430</v>
      </c>
      <c r="AY712">
        <v>1</v>
      </c>
      <c r="AZ712" t="b">
        <v>0</v>
      </c>
      <c r="BA712">
        <v>1816</v>
      </c>
      <c r="BB712">
        <v>1473</v>
      </c>
      <c r="BC712">
        <v>6</v>
      </c>
      <c r="BD712" t="s">
        <v>7985</v>
      </c>
      <c r="BE712" s="1" t="s">
        <v>3594</v>
      </c>
      <c r="BF712">
        <v>0</v>
      </c>
      <c r="BG712">
        <v>71</v>
      </c>
      <c r="BH712">
        <v>1</v>
      </c>
      <c r="BI712">
        <v>13</v>
      </c>
      <c r="BJ712" s="1" t="s">
        <v>3207</v>
      </c>
      <c r="BK712" s="1" t="s">
        <v>397</v>
      </c>
      <c r="BL712" s="1" t="s">
        <v>374</v>
      </c>
      <c r="BM712">
        <v>7</v>
      </c>
      <c r="BN712" s="1" t="s">
        <v>229</v>
      </c>
      <c r="BO712">
        <v>1</v>
      </c>
      <c r="BP712" s="1" t="s">
        <v>327</v>
      </c>
      <c r="BQ712">
        <v>0</v>
      </c>
      <c r="BR712">
        <v>0</v>
      </c>
      <c r="BS712" s="1" t="s">
        <v>128</v>
      </c>
      <c r="BT712" s="1" t="s">
        <v>238</v>
      </c>
      <c r="BU712" s="1" t="s">
        <v>129</v>
      </c>
      <c r="BV712" s="1" t="s">
        <v>129</v>
      </c>
      <c r="BW712" s="1" t="s">
        <v>129</v>
      </c>
      <c r="BX712" s="1" t="s">
        <v>213</v>
      </c>
      <c r="BY712">
        <v>0</v>
      </c>
      <c r="BZ712">
        <v>6.6666666666666596E-2</v>
      </c>
      <c r="CA712">
        <v>0.13</v>
      </c>
      <c r="CB712">
        <v>0.13</v>
      </c>
      <c r="CC712">
        <v>0.08</v>
      </c>
      <c r="CD712">
        <v>0.08</v>
      </c>
      <c r="CE712">
        <v>0.06</v>
      </c>
      <c r="CF712">
        <v>0.06</v>
      </c>
      <c r="CG712">
        <v>3</v>
      </c>
      <c r="CH712">
        <v>4.2</v>
      </c>
      <c r="CI712" s="1" t="s">
        <v>128</v>
      </c>
      <c r="CJ712" s="1" t="s">
        <v>162</v>
      </c>
      <c r="CK712" s="1" t="s">
        <v>159</v>
      </c>
      <c r="CL712" s="1" t="s">
        <v>275</v>
      </c>
      <c r="CM712" s="1" t="s">
        <v>483</v>
      </c>
      <c r="CN712">
        <v>69.8</v>
      </c>
      <c r="CO712" s="1" t="s">
        <v>406</v>
      </c>
      <c r="CP712" s="1" t="s">
        <v>216</v>
      </c>
      <c r="CQ712" s="1" t="s">
        <v>6422</v>
      </c>
      <c r="CR712" s="1" t="s">
        <v>8008</v>
      </c>
      <c r="CS712" s="1" t="s">
        <v>7987</v>
      </c>
      <c r="CT712" s="1" t="s">
        <v>3920</v>
      </c>
      <c r="CU712" s="1" t="s">
        <v>7988</v>
      </c>
      <c r="CV712" s="1" t="s">
        <v>6347</v>
      </c>
      <c r="CW712">
        <v>62.7</v>
      </c>
      <c r="CX712">
        <v>64.400000000000006</v>
      </c>
      <c r="CY712">
        <v>69.599999999999994</v>
      </c>
      <c r="CZ712">
        <v>75</v>
      </c>
      <c r="DA712">
        <v>1</v>
      </c>
      <c r="DB712" t="s">
        <v>226</v>
      </c>
      <c r="DC712">
        <v>91</v>
      </c>
      <c r="DD712" s="1" t="s">
        <v>8009</v>
      </c>
      <c r="DE712" s="1" t="s">
        <v>8010</v>
      </c>
      <c r="DF712" t="str">
        <f>_xlfn.XLOOKUP(Table1[[#This Row],[Player ID]],Table2[feed_id],Table2[trade_status])</f>
        <v>free_agent</v>
      </c>
      <c r="DG712">
        <f>_xlfn.NUMBERVALUE(Table1[[#This Row],[predicted]])</f>
        <v>90.263164037625202</v>
      </c>
    </row>
    <row r="713" spans="1:111" x14ac:dyDescent="0.25">
      <c r="A713">
        <v>132931</v>
      </c>
      <c r="B713">
        <v>9245</v>
      </c>
      <c r="C713" t="s">
        <v>8180</v>
      </c>
      <c r="D713" t="s">
        <v>3116</v>
      </c>
      <c r="E713">
        <v>2025</v>
      </c>
      <c r="F713">
        <v>998390</v>
      </c>
      <c r="G713" t="s">
        <v>8339</v>
      </c>
      <c r="H713" t="s">
        <v>8340</v>
      </c>
      <c r="I713" t="s">
        <v>391</v>
      </c>
      <c r="J713">
        <v>8</v>
      </c>
      <c r="K713">
        <v>55</v>
      </c>
      <c r="L713">
        <v>75</v>
      </c>
      <c r="M713">
        <v>34</v>
      </c>
      <c r="N713">
        <v>44</v>
      </c>
      <c r="O713">
        <v>63</v>
      </c>
      <c r="P713">
        <v>9</v>
      </c>
      <c r="Q713">
        <v>8</v>
      </c>
      <c r="R713">
        <v>2</v>
      </c>
      <c r="S713">
        <v>2</v>
      </c>
      <c r="T713">
        <v>0</v>
      </c>
      <c r="U713">
        <v>1</v>
      </c>
      <c r="V713">
        <v>1</v>
      </c>
      <c r="W713">
        <v>0</v>
      </c>
      <c r="X713">
        <v>0</v>
      </c>
      <c r="Y713" t="s">
        <v>113</v>
      </c>
      <c r="Z713" t="s">
        <v>226</v>
      </c>
      <c r="AA713" t="s">
        <v>6911</v>
      </c>
      <c r="AE713">
        <v>0</v>
      </c>
      <c r="AH713" t="s">
        <v>181</v>
      </c>
      <c r="AI713">
        <v>9</v>
      </c>
      <c r="AJ713">
        <v>0</v>
      </c>
      <c r="AK713">
        <v>0</v>
      </c>
      <c r="AL713">
        <v>0</v>
      </c>
      <c r="AM713">
        <v>0</v>
      </c>
      <c r="AN713">
        <v>1.55</v>
      </c>
      <c r="AO713">
        <v>1.1599999999999999</v>
      </c>
      <c r="AS713">
        <v>9</v>
      </c>
      <c r="AT713">
        <v>2</v>
      </c>
      <c r="AU713">
        <v>2</v>
      </c>
      <c r="AV713">
        <v>76</v>
      </c>
      <c r="AW713">
        <v>83</v>
      </c>
      <c r="AX713">
        <v>190</v>
      </c>
      <c r="AY713">
        <v>0</v>
      </c>
      <c r="AZ713" t="b">
        <v>0</v>
      </c>
      <c r="BA713">
        <v>1799</v>
      </c>
      <c r="BB713">
        <v>1477</v>
      </c>
      <c r="BC713">
        <v>6</v>
      </c>
      <c r="BD713" t="s">
        <v>8277</v>
      </c>
      <c r="BE713" s="1" t="s">
        <v>3594</v>
      </c>
      <c r="BF713">
        <v>0</v>
      </c>
      <c r="BG713">
        <v>71</v>
      </c>
      <c r="BH713">
        <v>1</v>
      </c>
      <c r="BI713" s="1" t="s">
        <v>977</v>
      </c>
      <c r="BJ713" s="1" t="s">
        <v>183</v>
      </c>
      <c r="BK713" s="1" t="s">
        <v>253</v>
      </c>
      <c r="BL713" s="1" t="s">
        <v>963</v>
      </c>
      <c r="BM713">
        <v>3</v>
      </c>
      <c r="BN713">
        <v>3</v>
      </c>
      <c r="BO713">
        <v>2</v>
      </c>
      <c r="BP713" s="1" t="s">
        <v>375</v>
      </c>
      <c r="BQ713">
        <v>0</v>
      </c>
      <c r="BR713">
        <v>0</v>
      </c>
      <c r="BS713">
        <v>1</v>
      </c>
      <c r="BT713" s="1" t="s">
        <v>127</v>
      </c>
      <c r="BU713" s="1" t="s">
        <v>161</v>
      </c>
      <c r="BV713" s="1" t="s">
        <v>127</v>
      </c>
      <c r="BW713">
        <v>0</v>
      </c>
      <c r="BX713">
        <v>0.2</v>
      </c>
      <c r="BY713">
        <v>0</v>
      </c>
      <c r="BZ713" s="1" t="s">
        <v>184</v>
      </c>
      <c r="CA713">
        <v>0</v>
      </c>
      <c r="CB713">
        <v>0</v>
      </c>
      <c r="CC713">
        <v>1.55</v>
      </c>
      <c r="CD713" s="1" t="s">
        <v>8341</v>
      </c>
      <c r="CE713">
        <v>1.1599999999999999</v>
      </c>
      <c r="CF713" s="1" t="s">
        <v>8342</v>
      </c>
      <c r="CG713" s="1" t="s">
        <v>183</v>
      </c>
      <c r="CH713">
        <v>5.2</v>
      </c>
      <c r="CI713" s="1" t="s">
        <v>126</v>
      </c>
      <c r="CJ713">
        <v>0.8</v>
      </c>
      <c r="CK713" s="1" t="s">
        <v>169</v>
      </c>
      <c r="CL713">
        <v>2.2000000000000002</v>
      </c>
      <c r="CM713">
        <v>79</v>
      </c>
      <c r="CN713" s="1" t="s">
        <v>7007</v>
      </c>
      <c r="CO713" s="1" t="s">
        <v>241</v>
      </c>
      <c r="CP713">
        <v>74.2</v>
      </c>
      <c r="CQ713">
        <v>237</v>
      </c>
      <c r="CR713" s="1" t="s">
        <v>8343</v>
      </c>
      <c r="CS713" s="1" t="s">
        <v>4566</v>
      </c>
      <c r="CT713" s="1" t="s">
        <v>8344</v>
      </c>
      <c r="CU713">
        <v>1616</v>
      </c>
      <c r="CV713" s="1" t="s">
        <v>2777</v>
      </c>
      <c r="CW713">
        <v>61.75</v>
      </c>
      <c r="CX713">
        <v>68.3</v>
      </c>
      <c r="CY713">
        <v>67.8</v>
      </c>
      <c r="CZ713" s="1" t="s">
        <v>350</v>
      </c>
      <c r="DA713">
        <v>1</v>
      </c>
      <c r="DB713" t="s">
        <v>226</v>
      </c>
      <c r="DC713">
        <v>75</v>
      </c>
      <c r="DD713" s="1" t="s">
        <v>8345</v>
      </c>
      <c r="DE713">
        <v>-15.1975554223019</v>
      </c>
      <c r="DF713" t="str">
        <f>_xlfn.XLOOKUP(Table1[[#This Row],[Player ID]],Table2[feed_id],Table2[trade_status])</f>
        <v>free_agent</v>
      </c>
      <c r="DG713">
        <f>_xlfn.NUMBERVALUE(Table1[[#This Row],[predicted]])</f>
        <v>90.197555422301903</v>
      </c>
    </row>
    <row r="714" spans="1:111" x14ac:dyDescent="0.25">
      <c r="A714">
        <v>132609</v>
      </c>
      <c r="B714">
        <v>9238</v>
      </c>
      <c r="C714" t="s">
        <v>6865</v>
      </c>
      <c r="D714" t="s">
        <v>3116</v>
      </c>
      <c r="E714">
        <v>2025</v>
      </c>
      <c r="F714">
        <v>998103</v>
      </c>
      <c r="G714" t="s">
        <v>3871</v>
      </c>
      <c r="H714" t="s">
        <v>6992</v>
      </c>
      <c r="I714" t="s">
        <v>338</v>
      </c>
      <c r="J714">
        <v>13</v>
      </c>
      <c r="K714">
        <v>86</v>
      </c>
      <c r="L714">
        <v>75</v>
      </c>
      <c r="M714">
        <v>53</v>
      </c>
      <c r="N714">
        <v>70</v>
      </c>
      <c r="O714">
        <v>93</v>
      </c>
      <c r="P714">
        <v>14</v>
      </c>
      <c r="Q714">
        <v>9</v>
      </c>
      <c r="R714">
        <v>7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0</v>
      </c>
      <c r="Y714" t="s">
        <v>113</v>
      </c>
      <c r="Z714" t="s">
        <v>987</v>
      </c>
      <c r="AA714" t="s">
        <v>6993</v>
      </c>
      <c r="AH714" t="s">
        <v>181</v>
      </c>
      <c r="AI714">
        <v>13</v>
      </c>
      <c r="AJ714">
        <v>0</v>
      </c>
      <c r="AK714">
        <v>0</v>
      </c>
      <c r="AL714">
        <v>0</v>
      </c>
      <c r="AM714">
        <v>0.93</v>
      </c>
      <c r="AN714">
        <v>0.39</v>
      </c>
      <c r="AO714">
        <v>0.27</v>
      </c>
      <c r="AS714">
        <v>4</v>
      </c>
      <c r="AT714">
        <v>0</v>
      </c>
      <c r="AU714">
        <v>3</v>
      </c>
      <c r="AV714">
        <v>78</v>
      </c>
      <c r="AW714">
        <v>89</v>
      </c>
      <c r="AX714">
        <v>433</v>
      </c>
      <c r="AY714">
        <v>0</v>
      </c>
      <c r="AZ714" t="b">
        <v>0</v>
      </c>
      <c r="BA714">
        <v>1741</v>
      </c>
      <c r="BB714">
        <v>1546</v>
      </c>
      <c r="BC714">
        <v>6</v>
      </c>
      <c r="BD714" t="s">
        <v>6968</v>
      </c>
      <c r="BE714" s="1" t="s">
        <v>3594</v>
      </c>
      <c r="BF714">
        <v>0</v>
      </c>
      <c r="BG714">
        <v>71</v>
      </c>
      <c r="BH714">
        <v>1</v>
      </c>
      <c r="BI714" s="1" t="s">
        <v>157</v>
      </c>
      <c r="BJ714" s="1" t="s">
        <v>357</v>
      </c>
      <c r="BK714" s="1" t="s">
        <v>204</v>
      </c>
      <c r="BL714" s="1" t="s">
        <v>1079</v>
      </c>
      <c r="BM714" s="1" t="s">
        <v>204</v>
      </c>
      <c r="BN714" s="1" t="s">
        <v>205</v>
      </c>
      <c r="BO714" s="1" t="s">
        <v>126</v>
      </c>
      <c r="BP714" s="1" t="s">
        <v>304</v>
      </c>
      <c r="BQ714">
        <v>0</v>
      </c>
      <c r="BR714">
        <v>0</v>
      </c>
      <c r="BS714">
        <v>1</v>
      </c>
      <c r="BT714" s="1" t="s">
        <v>128</v>
      </c>
      <c r="BU714">
        <v>0</v>
      </c>
      <c r="BV714" s="1" t="s">
        <v>128</v>
      </c>
      <c r="BW714" s="1" t="s">
        <v>129</v>
      </c>
      <c r="BX714" s="1" t="s">
        <v>184</v>
      </c>
      <c r="BY714" s="1" t="s">
        <v>129</v>
      </c>
      <c r="BZ714" s="1" t="s">
        <v>238</v>
      </c>
      <c r="CA714">
        <v>0.93</v>
      </c>
      <c r="CB714">
        <v>0.93</v>
      </c>
      <c r="CC714">
        <v>0.39</v>
      </c>
      <c r="CD714">
        <v>0.39</v>
      </c>
      <c r="CE714">
        <v>0.27</v>
      </c>
      <c r="CF714">
        <v>0.27</v>
      </c>
      <c r="CG714" s="1" t="s">
        <v>211</v>
      </c>
      <c r="CH714" s="1" t="s">
        <v>963</v>
      </c>
      <c r="CI714" s="1" t="s">
        <v>128</v>
      </c>
      <c r="CJ714" s="1" t="s">
        <v>257</v>
      </c>
      <c r="CK714" s="1" t="s">
        <v>161</v>
      </c>
      <c r="CL714" s="1" t="s">
        <v>169</v>
      </c>
      <c r="CM714" s="1" t="s">
        <v>483</v>
      </c>
      <c r="CN714">
        <v>72</v>
      </c>
      <c r="CO714">
        <v>86</v>
      </c>
      <c r="CP714" s="1" t="s">
        <v>1740</v>
      </c>
      <c r="CQ714" s="1" t="s">
        <v>6994</v>
      </c>
      <c r="CR714" s="1" t="s">
        <v>6995</v>
      </c>
      <c r="CS714" s="1" t="s">
        <v>6970</v>
      </c>
      <c r="CT714" s="1" t="s">
        <v>4868</v>
      </c>
      <c r="CU714">
        <v>1683</v>
      </c>
      <c r="CV714" s="1" t="s">
        <v>5588</v>
      </c>
      <c r="CW714">
        <v>73.150000000000006</v>
      </c>
      <c r="CX714">
        <v>78.599999999999994</v>
      </c>
      <c r="CY714">
        <v>69.2</v>
      </c>
      <c r="CZ714" s="1" t="s">
        <v>417</v>
      </c>
      <c r="DA714">
        <v>1</v>
      </c>
      <c r="DB714" t="s">
        <v>987</v>
      </c>
      <c r="DC714">
        <v>75</v>
      </c>
      <c r="DD714" s="1" t="s">
        <v>6996</v>
      </c>
      <c r="DE714">
        <v>-13.9998311650158</v>
      </c>
      <c r="DF714" t="str">
        <f>_xlfn.XLOOKUP(Table1[[#This Row],[Player ID]],Table2[feed_id],Table2[trade_status])</f>
        <v>free_agent</v>
      </c>
      <c r="DG714">
        <f>_xlfn.NUMBERVALUE(Table1[[#This Row],[predicted]])</f>
        <v>88.999831165015806</v>
      </c>
    </row>
    <row r="715" spans="1:111" x14ac:dyDescent="0.25">
      <c r="A715">
        <v>132811</v>
      </c>
      <c r="B715">
        <v>9243</v>
      </c>
      <c r="C715" t="s">
        <v>7798</v>
      </c>
      <c r="D715" t="s">
        <v>3116</v>
      </c>
      <c r="E715">
        <v>2025</v>
      </c>
      <c r="F715">
        <v>1017086</v>
      </c>
      <c r="G715" t="s">
        <v>776</v>
      </c>
      <c r="H715" t="s">
        <v>2955</v>
      </c>
      <c r="I715" t="s">
        <v>317</v>
      </c>
      <c r="J715">
        <v>10</v>
      </c>
      <c r="K715">
        <v>85</v>
      </c>
      <c r="L715">
        <v>106</v>
      </c>
      <c r="M715">
        <v>111</v>
      </c>
      <c r="N715">
        <v>66</v>
      </c>
      <c r="O715">
        <v>93</v>
      </c>
      <c r="P715">
        <v>17</v>
      </c>
      <c r="Q715">
        <v>7</v>
      </c>
      <c r="R715">
        <v>5</v>
      </c>
      <c r="S715">
        <v>2</v>
      </c>
      <c r="T715">
        <v>0</v>
      </c>
      <c r="U715">
        <v>0</v>
      </c>
      <c r="V715">
        <v>1</v>
      </c>
      <c r="W715">
        <v>0</v>
      </c>
      <c r="X715">
        <v>0</v>
      </c>
      <c r="Y715" t="s">
        <v>113</v>
      </c>
      <c r="Z715" t="s">
        <v>226</v>
      </c>
      <c r="AA715" t="s">
        <v>7833</v>
      </c>
      <c r="AH715" t="s">
        <v>181</v>
      </c>
      <c r="AI715">
        <v>30</v>
      </c>
      <c r="AJ715">
        <v>0</v>
      </c>
      <c r="AK715">
        <v>0</v>
      </c>
      <c r="AL715">
        <v>0</v>
      </c>
      <c r="AM715">
        <v>1.55</v>
      </c>
      <c r="AN715">
        <v>1.54</v>
      </c>
      <c r="AO715">
        <v>0.25</v>
      </c>
      <c r="AS715">
        <v>8</v>
      </c>
      <c r="AT715">
        <v>1</v>
      </c>
      <c r="AU715">
        <v>3</v>
      </c>
      <c r="AV715">
        <v>79</v>
      </c>
      <c r="AW715">
        <v>89</v>
      </c>
      <c r="AX715">
        <v>584</v>
      </c>
      <c r="AY715">
        <v>0</v>
      </c>
      <c r="AZ715" t="b">
        <v>0</v>
      </c>
      <c r="BA715">
        <v>1728</v>
      </c>
      <c r="BB715">
        <v>1559</v>
      </c>
      <c r="BC715">
        <v>6</v>
      </c>
      <c r="BD715" t="s">
        <v>7800</v>
      </c>
      <c r="BE715" s="1" t="s">
        <v>3594</v>
      </c>
      <c r="BF715">
        <v>1</v>
      </c>
      <c r="BG715">
        <v>71</v>
      </c>
      <c r="BH715">
        <v>1</v>
      </c>
      <c r="BI715" s="1" t="s">
        <v>1829</v>
      </c>
      <c r="BJ715" s="1" t="s">
        <v>158</v>
      </c>
      <c r="BK715" s="1" t="s">
        <v>211</v>
      </c>
      <c r="BL715" s="1" t="s">
        <v>212</v>
      </c>
      <c r="BM715" s="1" t="s">
        <v>124</v>
      </c>
      <c r="BN715">
        <v>4</v>
      </c>
      <c r="BO715" s="1" t="s">
        <v>161</v>
      </c>
      <c r="BP715" s="1" t="s">
        <v>127</v>
      </c>
      <c r="BQ715">
        <v>0</v>
      </c>
      <c r="BR715">
        <v>0</v>
      </c>
      <c r="BS715">
        <v>0</v>
      </c>
      <c r="BT715">
        <v>6.6666666666666596E-2</v>
      </c>
      <c r="BU715">
        <v>1</v>
      </c>
      <c r="BV715" s="1" t="s">
        <v>231</v>
      </c>
      <c r="BW715" s="1" t="s">
        <v>129</v>
      </c>
      <c r="BX715">
        <v>0.4</v>
      </c>
      <c r="BY715">
        <v>0</v>
      </c>
      <c r="BZ715" s="1" t="s">
        <v>213</v>
      </c>
      <c r="CA715">
        <v>1.55</v>
      </c>
      <c r="CB715">
        <v>1.55</v>
      </c>
      <c r="CC715">
        <v>1.54</v>
      </c>
      <c r="CD715">
        <v>1.54</v>
      </c>
      <c r="CE715">
        <v>0.25</v>
      </c>
      <c r="CF715">
        <v>0.25</v>
      </c>
      <c r="CG715" s="1" t="s">
        <v>211</v>
      </c>
      <c r="CH715">
        <v>4.5999999999999996</v>
      </c>
      <c r="CI715" s="1" t="s">
        <v>129</v>
      </c>
      <c r="CJ715">
        <v>0.4</v>
      </c>
      <c r="CK715" s="1" t="s">
        <v>161</v>
      </c>
      <c r="CL715" s="1" t="s">
        <v>275</v>
      </c>
      <c r="CM715">
        <v>85</v>
      </c>
      <c r="CN715" s="1" t="s">
        <v>1713</v>
      </c>
      <c r="CO715" s="1" t="s">
        <v>1110</v>
      </c>
      <c r="CP715" s="1" t="s">
        <v>3034</v>
      </c>
      <c r="CQ715" s="1" t="s">
        <v>7834</v>
      </c>
      <c r="CR715" s="1" t="s">
        <v>6197</v>
      </c>
      <c r="CS715" s="1" t="s">
        <v>4221</v>
      </c>
      <c r="CT715" s="1" t="s">
        <v>7835</v>
      </c>
      <c r="CU715" s="1" t="s">
        <v>5939</v>
      </c>
      <c r="CV715">
        <v>1787</v>
      </c>
      <c r="CW715">
        <v>59.75</v>
      </c>
      <c r="CX715">
        <v>63.2</v>
      </c>
      <c r="CY715">
        <v>80.8</v>
      </c>
      <c r="CZ715" s="1" t="s">
        <v>268</v>
      </c>
      <c r="DA715">
        <v>1</v>
      </c>
      <c r="DB715" t="s">
        <v>226</v>
      </c>
      <c r="DC715">
        <v>106</v>
      </c>
      <c r="DD715">
        <v>88.955587113340698</v>
      </c>
      <c r="DE715" s="1" t="s">
        <v>7836</v>
      </c>
      <c r="DF715" t="str">
        <f>_xlfn.XLOOKUP(Table1[[#This Row],[Player ID]],Table2[feed_id],Table2[trade_status])</f>
        <v>free_agent</v>
      </c>
      <c r="DG715">
        <f>_xlfn.NUMBERVALUE(Table1[[#This Row],[predicted]])</f>
        <v>88.955587113340698</v>
      </c>
    </row>
    <row r="716" spans="1:111" x14ac:dyDescent="0.25">
      <c r="A716">
        <v>132937</v>
      </c>
      <c r="B716">
        <v>9245</v>
      </c>
      <c r="C716" t="s">
        <v>8180</v>
      </c>
      <c r="D716" t="s">
        <v>3116</v>
      </c>
      <c r="E716">
        <v>2025</v>
      </c>
      <c r="F716">
        <v>993794</v>
      </c>
      <c r="G716" t="s">
        <v>6512</v>
      </c>
      <c r="H716" t="s">
        <v>8369</v>
      </c>
      <c r="I716" t="s">
        <v>391</v>
      </c>
      <c r="J716">
        <v>3</v>
      </c>
      <c r="K716">
        <v>36</v>
      </c>
      <c r="L716">
        <v>26</v>
      </c>
      <c r="M716">
        <v>24</v>
      </c>
      <c r="N716">
        <v>28</v>
      </c>
      <c r="O716">
        <v>36</v>
      </c>
      <c r="P716">
        <v>6</v>
      </c>
      <c r="Q716">
        <v>1</v>
      </c>
      <c r="R716">
        <v>4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113</v>
      </c>
      <c r="Z716" t="s">
        <v>987</v>
      </c>
      <c r="AA716" t="s">
        <v>8370</v>
      </c>
      <c r="AE716">
        <v>0</v>
      </c>
      <c r="AH716" t="s">
        <v>181</v>
      </c>
      <c r="AI716">
        <v>15</v>
      </c>
      <c r="AJ716">
        <v>21</v>
      </c>
      <c r="AK716">
        <v>66.67</v>
      </c>
      <c r="AL716">
        <v>0</v>
      </c>
      <c r="AM716">
        <v>0</v>
      </c>
      <c r="AN716">
        <v>0.1</v>
      </c>
      <c r="AO716">
        <v>0.18</v>
      </c>
      <c r="AS716">
        <v>1</v>
      </c>
      <c r="AT716">
        <v>0</v>
      </c>
      <c r="AU716">
        <v>1</v>
      </c>
      <c r="AV716">
        <v>71</v>
      </c>
      <c r="AW716">
        <v>83</v>
      </c>
      <c r="AX716">
        <v>171</v>
      </c>
      <c r="AY716">
        <v>1</v>
      </c>
      <c r="AZ716" t="b">
        <v>0</v>
      </c>
      <c r="BA716">
        <v>1799</v>
      </c>
      <c r="BB716">
        <v>1477</v>
      </c>
      <c r="BC716">
        <v>6</v>
      </c>
      <c r="BD716" t="s">
        <v>8277</v>
      </c>
      <c r="BE716" s="1" t="s">
        <v>3594</v>
      </c>
      <c r="BF716">
        <v>0</v>
      </c>
      <c r="BG716">
        <v>71</v>
      </c>
      <c r="BH716">
        <v>0</v>
      </c>
      <c r="BI716">
        <v>10</v>
      </c>
      <c r="BJ716">
        <v>10.199999999999999</v>
      </c>
      <c r="BK716">
        <v>3</v>
      </c>
      <c r="BL716">
        <v>5.2</v>
      </c>
      <c r="BM716">
        <v>6</v>
      </c>
      <c r="BN716">
        <v>5.2</v>
      </c>
      <c r="BO716" s="1" t="s">
        <v>159</v>
      </c>
      <c r="BP716">
        <v>2.8</v>
      </c>
      <c r="BQ716">
        <v>0</v>
      </c>
      <c r="BR716">
        <v>0</v>
      </c>
      <c r="BS716" s="1" t="s">
        <v>128</v>
      </c>
      <c r="BT716" s="1" t="s">
        <v>128</v>
      </c>
      <c r="BU716" s="1" t="s">
        <v>129</v>
      </c>
      <c r="BV716" s="1" t="s">
        <v>238</v>
      </c>
      <c r="BW716">
        <v>1</v>
      </c>
      <c r="BX716" s="1" t="s">
        <v>129</v>
      </c>
      <c r="BY716">
        <v>1</v>
      </c>
      <c r="BZ716" s="1" t="s">
        <v>184</v>
      </c>
      <c r="CA716">
        <v>0</v>
      </c>
      <c r="CB716">
        <v>0</v>
      </c>
      <c r="CC716">
        <v>0.1</v>
      </c>
      <c r="CD716">
        <v>0.1</v>
      </c>
      <c r="CE716">
        <v>0.18</v>
      </c>
      <c r="CF716">
        <v>0.18</v>
      </c>
      <c r="CG716" s="1" t="s">
        <v>211</v>
      </c>
      <c r="CH716">
        <v>5.6</v>
      </c>
      <c r="CI716" s="1" t="s">
        <v>129</v>
      </c>
      <c r="CJ716">
        <v>0.4</v>
      </c>
      <c r="CK716" s="1" t="s">
        <v>126</v>
      </c>
      <c r="CL716">
        <v>1.4</v>
      </c>
      <c r="CM716">
        <v>78</v>
      </c>
      <c r="CN716" s="1" t="s">
        <v>1301</v>
      </c>
      <c r="CO716" s="1" t="s">
        <v>2177</v>
      </c>
      <c r="CP716" s="1" t="s">
        <v>6794</v>
      </c>
      <c r="CQ716" s="1" t="s">
        <v>6590</v>
      </c>
      <c r="CR716">
        <v>273.2</v>
      </c>
      <c r="CS716" s="1" t="s">
        <v>4566</v>
      </c>
      <c r="CT716">
        <v>1730.8</v>
      </c>
      <c r="CU716">
        <v>1616</v>
      </c>
      <c r="CV716">
        <v>1553</v>
      </c>
      <c r="CW716">
        <v>77.05</v>
      </c>
      <c r="CX716">
        <v>80</v>
      </c>
      <c r="CY716">
        <v>74.599999999999994</v>
      </c>
      <c r="CZ716" s="1" t="s">
        <v>305</v>
      </c>
      <c r="DA716">
        <v>1</v>
      </c>
      <c r="DB716" t="s">
        <v>987</v>
      </c>
      <c r="DC716">
        <v>26</v>
      </c>
      <c r="DD716" s="1" t="s">
        <v>8371</v>
      </c>
      <c r="DE716">
        <v>-61.534830549730003</v>
      </c>
      <c r="DF716" t="str">
        <f>_xlfn.XLOOKUP(Table1[[#This Row],[Player ID]],Table2[feed_id],Table2[trade_status])</f>
        <v>waiver</v>
      </c>
      <c r="DG716">
        <f>_xlfn.NUMBERVALUE(Table1[[#This Row],[predicted]])</f>
        <v>87.534830549730003</v>
      </c>
    </row>
    <row r="717" spans="1:111" hidden="1" x14ac:dyDescent="0.25">
      <c r="A717">
        <v>132579</v>
      </c>
      <c r="B717">
        <v>9237</v>
      </c>
      <c r="C717" t="s">
        <v>6650</v>
      </c>
      <c r="D717" t="s">
        <v>3116</v>
      </c>
      <c r="E717">
        <v>2025</v>
      </c>
      <c r="F717">
        <v>296733</v>
      </c>
      <c r="G717" t="s">
        <v>2555</v>
      </c>
      <c r="H717" t="s">
        <v>6861</v>
      </c>
      <c r="I717" t="s">
        <v>1061</v>
      </c>
      <c r="J717">
        <v>2</v>
      </c>
      <c r="K717">
        <v>32</v>
      </c>
      <c r="L717">
        <v>45</v>
      </c>
      <c r="M717">
        <v>33</v>
      </c>
      <c r="N717">
        <v>26</v>
      </c>
      <c r="O717">
        <v>37</v>
      </c>
      <c r="P717">
        <v>2</v>
      </c>
      <c r="Q717">
        <v>6</v>
      </c>
      <c r="R717">
        <v>1</v>
      </c>
      <c r="S717">
        <v>3</v>
      </c>
      <c r="T717">
        <v>1</v>
      </c>
      <c r="U717">
        <v>1</v>
      </c>
      <c r="V717">
        <v>1</v>
      </c>
      <c r="W717">
        <v>0</v>
      </c>
      <c r="X717">
        <v>0</v>
      </c>
      <c r="Y717" t="s">
        <v>113</v>
      </c>
      <c r="Z717" t="s">
        <v>179</v>
      </c>
      <c r="AA717" t="s">
        <v>6862</v>
      </c>
      <c r="AE717">
        <v>0</v>
      </c>
      <c r="AH717" t="s">
        <v>118</v>
      </c>
      <c r="AI717">
        <v>46</v>
      </c>
      <c r="AJ717">
        <v>21</v>
      </c>
      <c r="AK717">
        <v>61.24</v>
      </c>
      <c r="AL717">
        <v>0</v>
      </c>
      <c r="AM717">
        <v>0</v>
      </c>
      <c r="AN717">
        <v>0.59</v>
      </c>
      <c r="AO717">
        <v>0.82</v>
      </c>
      <c r="AS717">
        <v>4</v>
      </c>
      <c r="AT717">
        <v>1</v>
      </c>
      <c r="AU717">
        <v>2</v>
      </c>
      <c r="AV717">
        <v>75</v>
      </c>
      <c r="AW717">
        <v>90</v>
      </c>
      <c r="AX717">
        <v>97</v>
      </c>
      <c r="AY717">
        <v>0</v>
      </c>
      <c r="AZ717" t="b">
        <v>0</v>
      </c>
      <c r="BA717">
        <v>1646</v>
      </c>
      <c r="BB717">
        <v>1632</v>
      </c>
      <c r="BC717">
        <v>6</v>
      </c>
      <c r="BD717" t="s">
        <v>6772</v>
      </c>
      <c r="BE717" s="1" t="s">
        <v>3594</v>
      </c>
      <c r="BF717">
        <v>0</v>
      </c>
      <c r="BG717">
        <v>71</v>
      </c>
      <c r="BH717">
        <v>0</v>
      </c>
      <c r="BI717" s="1" t="s">
        <v>397</v>
      </c>
      <c r="BJ717">
        <v>7.2</v>
      </c>
      <c r="BK717" s="1" t="s">
        <v>124</v>
      </c>
      <c r="BL717" s="1" t="s">
        <v>204</v>
      </c>
      <c r="BM717">
        <v>3</v>
      </c>
      <c r="BN717">
        <v>3.4</v>
      </c>
      <c r="BO717" s="1" t="s">
        <v>169</v>
      </c>
      <c r="BP717" s="1" t="s">
        <v>431</v>
      </c>
      <c r="BQ717" s="1" t="s">
        <v>977</v>
      </c>
      <c r="BR717" s="1" t="s">
        <v>949</v>
      </c>
      <c r="BS717" s="1" t="s">
        <v>161</v>
      </c>
      <c r="BT717" s="1" t="s">
        <v>162</v>
      </c>
      <c r="BU717" s="1" t="s">
        <v>128</v>
      </c>
      <c r="BV717">
        <v>0.6</v>
      </c>
      <c r="BW717" s="1" t="s">
        <v>129</v>
      </c>
      <c r="BX717" s="1" t="s">
        <v>184</v>
      </c>
      <c r="BY717">
        <v>0</v>
      </c>
      <c r="BZ717" s="1" t="s">
        <v>129</v>
      </c>
      <c r="CA717">
        <v>0</v>
      </c>
      <c r="CB717">
        <v>0</v>
      </c>
      <c r="CC717">
        <v>0.59</v>
      </c>
      <c r="CD717">
        <v>0.59</v>
      </c>
      <c r="CE717">
        <v>0.82</v>
      </c>
      <c r="CF717">
        <v>0.82</v>
      </c>
      <c r="CG717" s="1" t="s">
        <v>397</v>
      </c>
      <c r="CH717">
        <v>6.6</v>
      </c>
      <c r="CI717" s="1" t="s">
        <v>138</v>
      </c>
      <c r="CJ717">
        <v>2.4</v>
      </c>
      <c r="CK717" s="1" t="s">
        <v>159</v>
      </c>
      <c r="CL717">
        <v>2.6</v>
      </c>
      <c r="CM717">
        <v>77</v>
      </c>
      <c r="CN717">
        <v>68.2</v>
      </c>
      <c r="CO717">
        <v>84</v>
      </c>
      <c r="CP717" s="1" t="s">
        <v>2849</v>
      </c>
      <c r="CQ717" s="1" t="s">
        <v>6124</v>
      </c>
      <c r="CR717" s="1" t="s">
        <v>6863</v>
      </c>
      <c r="CS717" s="1" t="s">
        <v>4630</v>
      </c>
      <c r="CT717">
        <v>1653.4</v>
      </c>
      <c r="CU717" s="1" t="s">
        <v>2838</v>
      </c>
      <c r="CV717" s="1" t="s">
        <v>6864</v>
      </c>
      <c r="CW717">
        <v>69.5</v>
      </c>
      <c r="CX717">
        <v>74.599999999999994</v>
      </c>
      <c r="CY717">
        <v>74</v>
      </c>
      <c r="CZ717" s="1" t="s">
        <v>1406</v>
      </c>
      <c r="DA717">
        <v>1</v>
      </c>
      <c r="DB717" t="s">
        <v>179</v>
      </c>
      <c r="DC717">
        <v>45</v>
      </c>
      <c r="DD717">
        <v>58.027482294101802</v>
      </c>
      <c r="DE717">
        <v>-13.0274822941018</v>
      </c>
      <c r="DF717" t="e">
        <f>_xlfn.XLOOKUP(Table1[[#This Row],[Player ID]],Table2[feed_id],Table2[trade_status])</f>
        <v>#N/A</v>
      </c>
      <c r="DG717">
        <f>_xlfn.NUMBERVALUE(Table1[[#This Row],[predicted]])</f>
        <v>58.027482294101802</v>
      </c>
    </row>
    <row r="718" spans="1:111" hidden="1" x14ac:dyDescent="0.25">
      <c r="A718">
        <v>132580</v>
      </c>
      <c r="B718">
        <v>9238</v>
      </c>
      <c r="C718" t="s">
        <v>6865</v>
      </c>
      <c r="D718" t="s">
        <v>3116</v>
      </c>
      <c r="E718">
        <v>2025</v>
      </c>
      <c r="F718">
        <v>1023261</v>
      </c>
      <c r="G718" t="s">
        <v>740</v>
      </c>
      <c r="H718" t="s">
        <v>6866</v>
      </c>
      <c r="I718" t="s">
        <v>112</v>
      </c>
      <c r="J718">
        <v>32</v>
      </c>
      <c r="K718">
        <v>136</v>
      </c>
      <c r="L718">
        <v>134</v>
      </c>
      <c r="M718">
        <v>173</v>
      </c>
      <c r="N718">
        <v>102</v>
      </c>
      <c r="O718">
        <v>140</v>
      </c>
      <c r="P718">
        <v>16</v>
      </c>
      <c r="Q718">
        <v>18</v>
      </c>
      <c r="R718">
        <v>3</v>
      </c>
      <c r="S718">
        <v>9</v>
      </c>
      <c r="T718">
        <v>0</v>
      </c>
      <c r="U718">
        <v>5</v>
      </c>
      <c r="V718">
        <v>0</v>
      </c>
      <c r="W718">
        <v>0</v>
      </c>
      <c r="X718">
        <v>2</v>
      </c>
      <c r="Y718" t="s">
        <v>113</v>
      </c>
      <c r="Z718" t="s">
        <v>6867</v>
      </c>
      <c r="AA718" t="s">
        <v>6868</v>
      </c>
      <c r="AB718" t="s">
        <v>877</v>
      </c>
      <c r="AC718" t="s">
        <v>6777</v>
      </c>
      <c r="AH718" t="s">
        <v>181</v>
      </c>
      <c r="AI718">
        <v>35</v>
      </c>
      <c r="AJ718">
        <v>0</v>
      </c>
      <c r="AK718">
        <v>0</v>
      </c>
      <c r="AL718">
        <v>0</v>
      </c>
      <c r="AM718">
        <v>49.25</v>
      </c>
      <c r="AN718">
        <v>61.75</v>
      </c>
      <c r="AO718">
        <v>49.27</v>
      </c>
      <c r="AS718">
        <v>15</v>
      </c>
      <c r="AT718">
        <v>9</v>
      </c>
      <c r="AU718">
        <v>1</v>
      </c>
      <c r="AV718">
        <v>73</v>
      </c>
      <c r="AW718">
        <v>81</v>
      </c>
      <c r="AX718">
        <v>455</v>
      </c>
      <c r="AY718">
        <v>0</v>
      </c>
      <c r="AZ718" t="b">
        <v>0</v>
      </c>
      <c r="BA718">
        <v>1546</v>
      </c>
      <c r="BB718">
        <v>1741</v>
      </c>
      <c r="BC718">
        <v>6</v>
      </c>
      <c r="BD718" t="s">
        <v>6869</v>
      </c>
      <c r="BE718" s="1" t="s">
        <v>3594</v>
      </c>
      <c r="BF718">
        <v>1</v>
      </c>
      <c r="BG718">
        <v>71</v>
      </c>
      <c r="BH718">
        <v>1</v>
      </c>
      <c r="BI718" s="1" t="s">
        <v>1830</v>
      </c>
      <c r="BJ718" s="1" t="s">
        <v>6870</v>
      </c>
      <c r="BK718">
        <v>18</v>
      </c>
      <c r="BL718">
        <v>14.4</v>
      </c>
      <c r="BM718" s="1" t="s">
        <v>125</v>
      </c>
      <c r="BN718" s="1" t="s">
        <v>640</v>
      </c>
      <c r="BO718" s="1" t="s">
        <v>124</v>
      </c>
      <c r="BP718" s="1" t="s">
        <v>766</v>
      </c>
      <c r="BQ718">
        <v>0</v>
      </c>
      <c r="BR718">
        <v>0</v>
      </c>
      <c r="BS718">
        <v>3</v>
      </c>
      <c r="BT718" s="1" t="s">
        <v>170</v>
      </c>
      <c r="BU718" s="1" t="s">
        <v>126</v>
      </c>
      <c r="BV718" s="1" t="s">
        <v>206</v>
      </c>
      <c r="BW718">
        <v>0</v>
      </c>
      <c r="BX718" s="1" t="s">
        <v>130</v>
      </c>
      <c r="BY718" s="1" t="s">
        <v>126</v>
      </c>
      <c r="BZ718">
        <v>0.8</v>
      </c>
      <c r="CA718">
        <v>49.25</v>
      </c>
      <c r="CB718">
        <v>49.25</v>
      </c>
      <c r="CC718">
        <v>61.75</v>
      </c>
      <c r="CD718">
        <v>61.75</v>
      </c>
      <c r="CE718">
        <v>49.27</v>
      </c>
      <c r="CF718">
        <v>49.27</v>
      </c>
      <c r="CG718">
        <v>14</v>
      </c>
      <c r="CH718" s="1" t="s">
        <v>1816</v>
      </c>
      <c r="CI718">
        <v>8</v>
      </c>
      <c r="CJ718" s="1" t="s">
        <v>1079</v>
      </c>
      <c r="CK718" s="1" t="s">
        <v>125</v>
      </c>
      <c r="CL718" s="1" t="s">
        <v>229</v>
      </c>
      <c r="CM718" s="1" t="s">
        <v>1176</v>
      </c>
      <c r="CN718" s="1" t="s">
        <v>5839</v>
      </c>
      <c r="CO718" s="1" t="s">
        <v>239</v>
      </c>
      <c r="CP718" s="1" t="s">
        <v>1123</v>
      </c>
      <c r="CQ718" s="1" t="s">
        <v>6871</v>
      </c>
      <c r="CR718">
        <v>448.8</v>
      </c>
      <c r="CS718">
        <v>1729</v>
      </c>
      <c r="CT718" s="1" t="s">
        <v>6015</v>
      </c>
      <c r="CU718" s="1" t="s">
        <v>5214</v>
      </c>
      <c r="CV718" s="1" t="s">
        <v>2023</v>
      </c>
      <c r="CW718">
        <v>113.35</v>
      </c>
      <c r="CX718">
        <v>113.3</v>
      </c>
      <c r="CY718">
        <v>103.4</v>
      </c>
      <c r="CZ718" s="1" t="s">
        <v>3610</v>
      </c>
      <c r="DA718">
        <v>1</v>
      </c>
      <c r="DB718" t="s">
        <v>6867</v>
      </c>
      <c r="DC718">
        <v>134</v>
      </c>
      <c r="DD718" s="1" t="s">
        <v>6872</v>
      </c>
      <c r="DE718" s="1" t="s">
        <v>6873</v>
      </c>
      <c r="DF718" t="e">
        <f>_xlfn.XLOOKUP(Table1[[#This Row],[Player ID]],Table2[feed_id],Table2[trade_status])</f>
        <v>#N/A</v>
      </c>
      <c r="DG718">
        <f>_xlfn.NUMBERVALUE(Table1[[#This Row],[predicted]])</f>
        <v>109.506203291931</v>
      </c>
    </row>
    <row r="719" spans="1:111" hidden="1" x14ac:dyDescent="0.25">
      <c r="A719">
        <v>132581</v>
      </c>
      <c r="B719">
        <v>9238</v>
      </c>
      <c r="C719" t="s">
        <v>6865</v>
      </c>
      <c r="D719" t="s">
        <v>3116</v>
      </c>
      <c r="E719">
        <v>2025</v>
      </c>
      <c r="F719">
        <v>280965</v>
      </c>
      <c r="G719" t="s">
        <v>6874</v>
      </c>
      <c r="H719" t="s">
        <v>6875</v>
      </c>
      <c r="I719" t="s">
        <v>112</v>
      </c>
      <c r="J719">
        <v>26</v>
      </c>
      <c r="K719">
        <v>106</v>
      </c>
      <c r="L719">
        <v>113</v>
      </c>
      <c r="M719">
        <v>140</v>
      </c>
      <c r="N719">
        <v>81</v>
      </c>
      <c r="O719">
        <v>117</v>
      </c>
      <c r="P719">
        <v>17</v>
      </c>
      <c r="Q719">
        <v>11</v>
      </c>
      <c r="R719">
        <v>5</v>
      </c>
      <c r="S719">
        <v>6</v>
      </c>
      <c r="T719">
        <v>0</v>
      </c>
      <c r="U719">
        <v>0</v>
      </c>
      <c r="V719">
        <v>2</v>
      </c>
      <c r="W719">
        <v>0</v>
      </c>
      <c r="X719">
        <v>0</v>
      </c>
      <c r="Y719" t="s">
        <v>113</v>
      </c>
      <c r="Z719" t="s">
        <v>339</v>
      </c>
      <c r="AA719" t="s">
        <v>6876</v>
      </c>
      <c r="AB719" t="s">
        <v>877</v>
      </c>
      <c r="AC719" t="s">
        <v>6777</v>
      </c>
      <c r="AE719">
        <v>0</v>
      </c>
      <c r="AH719" t="s">
        <v>118</v>
      </c>
      <c r="AI719">
        <v>22</v>
      </c>
      <c r="AJ719">
        <v>21</v>
      </c>
      <c r="AK719">
        <v>102.43</v>
      </c>
      <c r="AL719">
        <v>0</v>
      </c>
      <c r="AM719">
        <v>0</v>
      </c>
      <c r="AN719">
        <v>0.18</v>
      </c>
      <c r="AO719">
        <v>0.31</v>
      </c>
      <c r="AS719">
        <v>13</v>
      </c>
      <c r="AT719">
        <v>3</v>
      </c>
      <c r="AU719">
        <v>6</v>
      </c>
      <c r="AV719">
        <v>67</v>
      </c>
      <c r="AW719">
        <v>76</v>
      </c>
      <c r="AX719">
        <v>557</v>
      </c>
      <c r="AY719">
        <v>1</v>
      </c>
      <c r="AZ719" t="b">
        <v>0</v>
      </c>
      <c r="BA719">
        <v>1546</v>
      </c>
      <c r="BB719">
        <v>1741</v>
      </c>
      <c r="BC719">
        <v>6</v>
      </c>
      <c r="BD719" t="s">
        <v>6869</v>
      </c>
      <c r="BE719" s="1" t="s">
        <v>3594</v>
      </c>
      <c r="BF719">
        <v>1</v>
      </c>
      <c r="BG719">
        <v>71</v>
      </c>
      <c r="BH719">
        <v>1</v>
      </c>
      <c r="BI719" s="1" t="s">
        <v>123</v>
      </c>
      <c r="BJ719">
        <v>13.4</v>
      </c>
      <c r="BK719" s="1" t="s">
        <v>1008</v>
      </c>
      <c r="BL719">
        <v>8.4</v>
      </c>
      <c r="BM719" s="1" t="s">
        <v>169</v>
      </c>
      <c r="BN719" s="1" t="s">
        <v>321</v>
      </c>
      <c r="BO719" s="1" t="s">
        <v>124</v>
      </c>
      <c r="BP719">
        <v>4.4000000000000004</v>
      </c>
      <c r="BQ719">
        <v>0</v>
      </c>
      <c r="BR719">
        <v>0</v>
      </c>
      <c r="BS719" s="1" t="s">
        <v>129</v>
      </c>
      <c r="BT719">
        <v>0.8</v>
      </c>
      <c r="BU719" s="1" t="s">
        <v>161</v>
      </c>
      <c r="BV719" s="1" t="s">
        <v>126</v>
      </c>
      <c r="BW719" s="1" t="s">
        <v>128</v>
      </c>
      <c r="BX719" s="1" t="s">
        <v>231</v>
      </c>
      <c r="BY719">
        <v>0</v>
      </c>
      <c r="BZ719" s="1" t="s">
        <v>231</v>
      </c>
      <c r="CA719">
        <v>0</v>
      </c>
      <c r="CB719">
        <v>0</v>
      </c>
      <c r="CC719">
        <v>0.18</v>
      </c>
      <c r="CD719">
        <v>0.18</v>
      </c>
      <c r="CE719">
        <v>0.31</v>
      </c>
      <c r="CF719">
        <v>0.31</v>
      </c>
      <c r="CG719" s="1" t="s">
        <v>276</v>
      </c>
      <c r="CH719">
        <v>8.1999999999999993</v>
      </c>
      <c r="CI719" s="1" t="s">
        <v>449</v>
      </c>
      <c r="CJ719" s="1" t="s">
        <v>237</v>
      </c>
      <c r="CK719" s="1" t="s">
        <v>211</v>
      </c>
      <c r="CL719">
        <v>4</v>
      </c>
      <c r="CM719">
        <v>64</v>
      </c>
      <c r="CN719">
        <v>62</v>
      </c>
      <c r="CO719">
        <v>80</v>
      </c>
      <c r="CP719">
        <v>84.4</v>
      </c>
      <c r="CQ719" s="1" t="s">
        <v>6877</v>
      </c>
      <c r="CR719">
        <v>372.8</v>
      </c>
      <c r="CS719">
        <v>1729</v>
      </c>
      <c r="CT719" s="1" t="s">
        <v>6015</v>
      </c>
      <c r="CU719" s="1" t="s">
        <v>5214</v>
      </c>
      <c r="CV719" s="1" t="s">
        <v>2023</v>
      </c>
      <c r="CW719">
        <v>89.25</v>
      </c>
      <c r="CX719">
        <v>91.3</v>
      </c>
      <c r="CY719">
        <v>104.2</v>
      </c>
      <c r="CZ719" s="1" t="s">
        <v>6596</v>
      </c>
      <c r="DA719">
        <v>1</v>
      </c>
      <c r="DB719" t="s">
        <v>339</v>
      </c>
      <c r="DC719">
        <v>113</v>
      </c>
      <c r="DD719" s="1" t="s">
        <v>6878</v>
      </c>
      <c r="DE719" s="1" t="s">
        <v>6879</v>
      </c>
      <c r="DF719" t="e">
        <f>_xlfn.XLOOKUP(Table1[[#This Row],[Player ID]],Table2[feed_id],Table2[trade_status])</f>
        <v>#N/A</v>
      </c>
      <c r="DG719">
        <f>_xlfn.NUMBERVALUE(Table1[[#This Row],[predicted]])</f>
        <v>89.926312634087694</v>
      </c>
    </row>
    <row r="720" spans="1:111" hidden="1" x14ac:dyDescent="0.25">
      <c r="A720">
        <v>132582</v>
      </c>
      <c r="B720">
        <v>9238</v>
      </c>
      <c r="C720" t="s">
        <v>6865</v>
      </c>
      <c r="D720" t="s">
        <v>3116</v>
      </c>
      <c r="E720">
        <v>2025</v>
      </c>
      <c r="F720">
        <v>990291</v>
      </c>
      <c r="G720" t="s">
        <v>3105</v>
      </c>
      <c r="H720" t="s">
        <v>271</v>
      </c>
      <c r="I720" t="s">
        <v>112</v>
      </c>
      <c r="J720">
        <v>17</v>
      </c>
      <c r="K720">
        <v>105</v>
      </c>
      <c r="L720">
        <v>119</v>
      </c>
      <c r="M720">
        <v>127</v>
      </c>
      <c r="N720">
        <v>90</v>
      </c>
      <c r="O720">
        <v>109</v>
      </c>
      <c r="P720">
        <v>11</v>
      </c>
      <c r="Q720">
        <v>9</v>
      </c>
      <c r="R720">
        <v>5</v>
      </c>
      <c r="S720">
        <v>3</v>
      </c>
      <c r="T720">
        <v>24</v>
      </c>
      <c r="U720">
        <v>5</v>
      </c>
      <c r="V720">
        <v>1</v>
      </c>
      <c r="W720">
        <v>0</v>
      </c>
      <c r="X720">
        <v>1</v>
      </c>
      <c r="Y720" t="s">
        <v>113</v>
      </c>
      <c r="Z720" t="s">
        <v>339</v>
      </c>
      <c r="AA720" t="s">
        <v>6880</v>
      </c>
      <c r="AB720" t="s">
        <v>602</v>
      </c>
      <c r="AC720" t="s">
        <v>5370</v>
      </c>
      <c r="AH720" t="s">
        <v>274</v>
      </c>
      <c r="AI720">
        <v>14</v>
      </c>
      <c r="AJ720">
        <v>0</v>
      </c>
      <c r="AK720">
        <v>0</v>
      </c>
      <c r="AL720">
        <v>0</v>
      </c>
      <c r="AM720">
        <v>0.4</v>
      </c>
      <c r="AN720">
        <v>0.7</v>
      </c>
      <c r="AO720">
        <v>0.65</v>
      </c>
      <c r="AS720">
        <v>13</v>
      </c>
      <c r="AT720">
        <v>5</v>
      </c>
      <c r="AU720">
        <v>3</v>
      </c>
      <c r="AV720">
        <v>80</v>
      </c>
      <c r="AW720">
        <v>77</v>
      </c>
      <c r="AX720">
        <v>274</v>
      </c>
      <c r="AY720">
        <v>1</v>
      </c>
      <c r="AZ720" t="b">
        <v>0</v>
      </c>
      <c r="BA720">
        <v>1546</v>
      </c>
      <c r="BB720">
        <v>1741</v>
      </c>
      <c r="BC720">
        <v>6</v>
      </c>
      <c r="BD720" t="s">
        <v>6869</v>
      </c>
      <c r="BE720" s="1" t="s">
        <v>3594</v>
      </c>
      <c r="BF720">
        <v>1</v>
      </c>
      <c r="BG720">
        <v>71</v>
      </c>
      <c r="BH720">
        <v>1</v>
      </c>
      <c r="BI720">
        <v>12</v>
      </c>
      <c r="BJ720">
        <v>11</v>
      </c>
      <c r="BK720" s="1" t="s">
        <v>545</v>
      </c>
      <c r="BL720">
        <v>5.8</v>
      </c>
      <c r="BM720">
        <v>5</v>
      </c>
      <c r="BN720" s="1" t="s">
        <v>781</v>
      </c>
      <c r="BO720" s="1" t="s">
        <v>125</v>
      </c>
      <c r="BP720" s="1" t="s">
        <v>640</v>
      </c>
      <c r="BQ720" s="1" t="s">
        <v>1476</v>
      </c>
      <c r="BR720" s="1" t="s">
        <v>6881</v>
      </c>
      <c r="BS720">
        <v>5</v>
      </c>
      <c r="BT720" s="1" t="s">
        <v>237</v>
      </c>
      <c r="BU720" s="1" t="s">
        <v>161</v>
      </c>
      <c r="BV720" s="1" t="s">
        <v>161</v>
      </c>
      <c r="BW720">
        <v>0</v>
      </c>
      <c r="BX720">
        <v>0.4</v>
      </c>
      <c r="BY720" s="1" t="s">
        <v>129</v>
      </c>
      <c r="BZ720" s="1" t="s">
        <v>213</v>
      </c>
      <c r="CA720">
        <v>0.4</v>
      </c>
      <c r="CB720">
        <v>0.4</v>
      </c>
      <c r="CC720">
        <v>0.7</v>
      </c>
      <c r="CD720">
        <v>0.7</v>
      </c>
      <c r="CE720">
        <v>0.65</v>
      </c>
      <c r="CF720">
        <v>0.65</v>
      </c>
      <c r="CG720" s="1" t="s">
        <v>1829</v>
      </c>
      <c r="CH720" s="1" t="s">
        <v>1672</v>
      </c>
      <c r="CI720">
        <v>6</v>
      </c>
      <c r="CJ720">
        <v>4.5999999999999996</v>
      </c>
      <c r="CK720" s="1" t="s">
        <v>160</v>
      </c>
      <c r="CL720" s="1" t="s">
        <v>212</v>
      </c>
      <c r="CM720" s="1" t="s">
        <v>772</v>
      </c>
      <c r="CN720" s="1" t="s">
        <v>3910</v>
      </c>
      <c r="CO720" s="1" t="s">
        <v>994</v>
      </c>
      <c r="CP720">
        <v>80.599999999999994</v>
      </c>
      <c r="CQ720" s="1" t="s">
        <v>4980</v>
      </c>
      <c r="CR720">
        <v>197.2</v>
      </c>
      <c r="CS720">
        <v>1729</v>
      </c>
      <c r="CT720" s="1" t="s">
        <v>6015</v>
      </c>
      <c r="CU720" s="1" t="s">
        <v>5214</v>
      </c>
      <c r="CV720" s="1" t="s">
        <v>2023</v>
      </c>
      <c r="CW720">
        <v>112.95</v>
      </c>
      <c r="CX720">
        <v>118.1</v>
      </c>
      <c r="CY720">
        <v>112</v>
      </c>
      <c r="CZ720" s="1" t="s">
        <v>5156</v>
      </c>
      <c r="DA720">
        <v>1</v>
      </c>
      <c r="DB720" t="s">
        <v>339</v>
      </c>
      <c r="DC720">
        <v>119</v>
      </c>
      <c r="DD720" s="1" t="s">
        <v>6882</v>
      </c>
      <c r="DE720" s="1" t="s">
        <v>6883</v>
      </c>
      <c r="DF720" t="e">
        <f>_xlfn.XLOOKUP(Table1[[#This Row],[Player ID]],Table2[feed_id],Table2[trade_status])</f>
        <v>#N/A</v>
      </c>
      <c r="DG720">
        <f>_xlfn.NUMBERVALUE(Table1[[#This Row],[predicted]])</f>
        <v>104.443790399804</v>
      </c>
    </row>
    <row r="721" spans="1:111" hidden="1" x14ac:dyDescent="0.25">
      <c r="A721">
        <v>132584</v>
      </c>
      <c r="B721">
        <v>9238</v>
      </c>
      <c r="C721" t="s">
        <v>6865</v>
      </c>
      <c r="D721" t="s">
        <v>3116</v>
      </c>
      <c r="E721">
        <v>2025</v>
      </c>
      <c r="F721">
        <v>260257</v>
      </c>
      <c r="G721" t="s">
        <v>1394</v>
      </c>
      <c r="H721" t="s">
        <v>6884</v>
      </c>
      <c r="I721" t="s">
        <v>112</v>
      </c>
      <c r="J721">
        <v>31</v>
      </c>
      <c r="K721">
        <v>103</v>
      </c>
      <c r="L721">
        <v>103</v>
      </c>
      <c r="M721">
        <v>134</v>
      </c>
      <c r="N721">
        <v>77</v>
      </c>
      <c r="O721">
        <v>111</v>
      </c>
      <c r="P721">
        <v>12</v>
      </c>
      <c r="Q721">
        <v>14</v>
      </c>
      <c r="R721">
        <v>3</v>
      </c>
      <c r="S721">
        <v>8</v>
      </c>
      <c r="T721">
        <v>0</v>
      </c>
      <c r="U721">
        <v>1</v>
      </c>
      <c r="V721">
        <v>1</v>
      </c>
      <c r="W721">
        <v>0</v>
      </c>
      <c r="X721">
        <v>0</v>
      </c>
      <c r="Y721" t="s">
        <v>113</v>
      </c>
      <c r="Z721" t="s">
        <v>339</v>
      </c>
      <c r="AA721" t="s">
        <v>1827</v>
      </c>
      <c r="AB721" t="s">
        <v>877</v>
      </c>
      <c r="AC721" t="s">
        <v>1828</v>
      </c>
      <c r="AE721">
        <v>0</v>
      </c>
      <c r="AH721" t="s">
        <v>118</v>
      </c>
      <c r="AI721">
        <v>10</v>
      </c>
      <c r="AJ721">
        <v>20</v>
      </c>
      <c r="AK721">
        <v>100.95</v>
      </c>
      <c r="AL721">
        <v>0</v>
      </c>
      <c r="AM721">
        <v>0</v>
      </c>
      <c r="AN721">
        <v>0.18</v>
      </c>
      <c r="AO721">
        <v>0.56999999999999995</v>
      </c>
      <c r="AS721">
        <v>9</v>
      </c>
      <c r="AT721">
        <v>6</v>
      </c>
      <c r="AU721">
        <v>4</v>
      </c>
      <c r="AV721">
        <v>73</v>
      </c>
      <c r="AW721">
        <v>72</v>
      </c>
      <c r="AX721">
        <v>294</v>
      </c>
      <c r="AY721">
        <v>0</v>
      </c>
      <c r="AZ721" t="b">
        <v>0</v>
      </c>
      <c r="BA721">
        <v>1546</v>
      </c>
      <c r="BB721">
        <v>1741</v>
      </c>
      <c r="BC721">
        <v>6</v>
      </c>
      <c r="BD721" t="s">
        <v>6869</v>
      </c>
      <c r="BE721" s="1" t="s">
        <v>3594</v>
      </c>
      <c r="BF721">
        <v>1</v>
      </c>
      <c r="BG721">
        <v>71</v>
      </c>
      <c r="BH721">
        <v>1</v>
      </c>
      <c r="BI721" s="1" t="s">
        <v>545</v>
      </c>
      <c r="BJ721">
        <v>9.1999999999999993</v>
      </c>
      <c r="BK721" s="1" t="s">
        <v>4966</v>
      </c>
      <c r="BL721" s="1" t="s">
        <v>3207</v>
      </c>
      <c r="BM721">
        <v>3</v>
      </c>
      <c r="BN721" s="1" t="s">
        <v>528</v>
      </c>
      <c r="BO721" s="1" t="s">
        <v>449</v>
      </c>
      <c r="BP721" s="1" t="s">
        <v>587</v>
      </c>
      <c r="BQ721">
        <v>0</v>
      </c>
      <c r="BR721">
        <v>0</v>
      </c>
      <c r="BS721" s="1" t="s">
        <v>128</v>
      </c>
      <c r="BT721" s="1" t="s">
        <v>238</v>
      </c>
      <c r="BU721">
        <v>1</v>
      </c>
      <c r="BV721">
        <v>0.6</v>
      </c>
      <c r="BW721">
        <v>0</v>
      </c>
      <c r="BX721">
        <v>0.2</v>
      </c>
      <c r="BY721">
        <v>0</v>
      </c>
      <c r="BZ721" s="1" t="s">
        <v>184</v>
      </c>
      <c r="CA721">
        <v>0</v>
      </c>
      <c r="CB721">
        <v>0</v>
      </c>
      <c r="CC721">
        <v>0.18</v>
      </c>
      <c r="CD721">
        <v>0.18</v>
      </c>
      <c r="CE721">
        <v>0.56999999999999995</v>
      </c>
      <c r="CF721">
        <v>0.56999999999999995</v>
      </c>
      <c r="CG721" s="1" t="s">
        <v>137</v>
      </c>
      <c r="CH721">
        <v>7.6</v>
      </c>
      <c r="CI721" s="1" t="s">
        <v>138</v>
      </c>
      <c r="CJ721" s="1" t="s">
        <v>189</v>
      </c>
      <c r="CK721" s="1" t="s">
        <v>138</v>
      </c>
      <c r="CL721" s="1" t="s">
        <v>140</v>
      </c>
      <c r="CM721">
        <v>73</v>
      </c>
      <c r="CN721">
        <v>68.599999999999994</v>
      </c>
      <c r="CO721">
        <v>75</v>
      </c>
      <c r="CP721" s="1" t="s">
        <v>3439</v>
      </c>
      <c r="CQ721" s="1" t="s">
        <v>6885</v>
      </c>
      <c r="CR721" s="1" t="s">
        <v>6886</v>
      </c>
      <c r="CS721">
        <v>1729</v>
      </c>
      <c r="CT721">
        <v>1617</v>
      </c>
      <c r="CU721" s="1" t="s">
        <v>5214</v>
      </c>
      <c r="CV721" s="1" t="s">
        <v>6887</v>
      </c>
      <c r="CW721">
        <v>87.35</v>
      </c>
      <c r="CX721">
        <v>83</v>
      </c>
      <c r="CY721">
        <v>75</v>
      </c>
      <c r="CZ721" s="1" t="s">
        <v>6888</v>
      </c>
      <c r="DA721">
        <v>1</v>
      </c>
      <c r="DB721" t="s">
        <v>339</v>
      </c>
      <c r="DC721">
        <v>103</v>
      </c>
      <c r="DD721" s="1" t="s">
        <v>6889</v>
      </c>
      <c r="DE721" s="1" t="s">
        <v>6890</v>
      </c>
      <c r="DF721" t="e">
        <f>_xlfn.XLOOKUP(Table1[[#This Row],[Player ID]],Table2[feed_id],Table2[trade_status])</f>
        <v>#N/A</v>
      </c>
      <c r="DG721">
        <f>_xlfn.NUMBERVALUE(Table1[[#This Row],[predicted]])</f>
        <v>88.994036648603895</v>
      </c>
    </row>
    <row r="722" spans="1:111" hidden="1" x14ac:dyDescent="0.25">
      <c r="A722">
        <v>132585</v>
      </c>
      <c r="B722">
        <v>9238</v>
      </c>
      <c r="C722" t="s">
        <v>6865</v>
      </c>
      <c r="D722" t="s">
        <v>3116</v>
      </c>
      <c r="E722">
        <v>2025</v>
      </c>
      <c r="F722">
        <v>293871</v>
      </c>
      <c r="G722" t="s">
        <v>1127</v>
      </c>
      <c r="H722" t="s">
        <v>6891</v>
      </c>
      <c r="I722" t="s">
        <v>112</v>
      </c>
      <c r="J722">
        <v>19</v>
      </c>
      <c r="K722">
        <v>83</v>
      </c>
      <c r="L722">
        <v>64</v>
      </c>
      <c r="M722">
        <v>106</v>
      </c>
      <c r="N722">
        <v>68</v>
      </c>
      <c r="O722">
        <v>91</v>
      </c>
      <c r="P722">
        <v>11</v>
      </c>
      <c r="Q722">
        <v>8</v>
      </c>
      <c r="R722">
        <v>6</v>
      </c>
      <c r="S722">
        <v>3</v>
      </c>
      <c r="T722">
        <v>0</v>
      </c>
      <c r="U722">
        <v>0</v>
      </c>
      <c r="V722">
        <v>1</v>
      </c>
      <c r="W722">
        <v>1</v>
      </c>
      <c r="X722">
        <v>1</v>
      </c>
      <c r="Y722" t="s">
        <v>113</v>
      </c>
      <c r="Z722" t="s">
        <v>525</v>
      </c>
      <c r="AA722" t="s">
        <v>6892</v>
      </c>
      <c r="AE722">
        <v>0</v>
      </c>
      <c r="AH722" t="s">
        <v>118</v>
      </c>
      <c r="AI722">
        <v>25</v>
      </c>
      <c r="AJ722">
        <v>21</v>
      </c>
      <c r="AK722">
        <v>87.62</v>
      </c>
      <c r="AL722">
        <v>0</v>
      </c>
      <c r="AM722">
        <v>0</v>
      </c>
      <c r="AN722">
        <v>0.39</v>
      </c>
      <c r="AO722">
        <v>0.52</v>
      </c>
      <c r="AS722">
        <v>5</v>
      </c>
      <c r="AT722">
        <v>1</v>
      </c>
      <c r="AU722">
        <v>5</v>
      </c>
      <c r="AV722">
        <v>63</v>
      </c>
      <c r="AW722">
        <v>84</v>
      </c>
      <c r="AX722">
        <v>386</v>
      </c>
      <c r="AY722">
        <v>0</v>
      </c>
      <c r="AZ722" t="b">
        <v>0</v>
      </c>
      <c r="BA722">
        <v>1546</v>
      </c>
      <c r="BB722">
        <v>1741</v>
      </c>
      <c r="BC722">
        <v>6</v>
      </c>
      <c r="BD722" t="s">
        <v>6869</v>
      </c>
      <c r="BE722" s="1" t="s">
        <v>3594</v>
      </c>
      <c r="BF722">
        <v>0</v>
      </c>
      <c r="BG722">
        <v>71</v>
      </c>
      <c r="BH722">
        <v>0</v>
      </c>
      <c r="BI722">
        <v>11</v>
      </c>
      <c r="BJ722" s="1" t="s">
        <v>2030</v>
      </c>
      <c r="BK722" s="1" t="s">
        <v>977</v>
      </c>
      <c r="BL722" s="1" t="s">
        <v>1761</v>
      </c>
      <c r="BM722" s="1" t="s">
        <v>124</v>
      </c>
      <c r="BN722" s="1" t="s">
        <v>321</v>
      </c>
      <c r="BO722" s="1" t="s">
        <v>159</v>
      </c>
      <c r="BP722">
        <v>3.8</v>
      </c>
      <c r="BQ722">
        <v>0</v>
      </c>
      <c r="BR722">
        <v>0</v>
      </c>
      <c r="BS722">
        <v>0</v>
      </c>
      <c r="BT722" s="1" t="s">
        <v>231</v>
      </c>
      <c r="BU722">
        <v>1</v>
      </c>
      <c r="BV722" s="1" t="s">
        <v>399</v>
      </c>
      <c r="BW722" s="1" t="s">
        <v>129</v>
      </c>
      <c r="BX722">
        <v>0.6</v>
      </c>
      <c r="BY722" s="1" t="s">
        <v>129</v>
      </c>
      <c r="BZ722" s="1" t="s">
        <v>184</v>
      </c>
      <c r="CA722">
        <v>0</v>
      </c>
      <c r="CB722">
        <v>0</v>
      </c>
      <c r="CC722">
        <v>0.39</v>
      </c>
      <c r="CD722">
        <v>0.39</v>
      </c>
      <c r="CE722">
        <v>0.52</v>
      </c>
      <c r="CF722">
        <v>0.52</v>
      </c>
      <c r="CG722" s="1" t="s">
        <v>545</v>
      </c>
      <c r="CH722" s="1" t="s">
        <v>294</v>
      </c>
      <c r="CI722">
        <v>2</v>
      </c>
      <c r="CJ722">
        <v>3.6</v>
      </c>
      <c r="CK722">
        <v>4</v>
      </c>
      <c r="CL722" s="1" t="s">
        <v>256</v>
      </c>
      <c r="CM722">
        <v>61</v>
      </c>
      <c r="CN722" s="1" t="s">
        <v>2818</v>
      </c>
      <c r="CO722" s="1" t="s">
        <v>406</v>
      </c>
      <c r="CP722" s="1" t="s">
        <v>1272</v>
      </c>
      <c r="CQ722" s="1" t="s">
        <v>6893</v>
      </c>
      <c r="CR722" s="1" t="s">
        <v>6894</v>
      </c>
      <c r="CS722">
        <v>1729</v>
      </c>
      <c r="CT722" s="1" t="s">
        <v>6015</v>
      </c>
      <c r="CU722" s="1" t="s">
        <v>5214</v>
      </c>
      <c r="CV722" s="1" t="s">
        <v>2023</v>
      </c>
      <c r="CW722">
        <v>89.5</v>
      </c>
      <c r="CX722">
        <v>80.2</v>
      </c>
      <c r="CY722">
        <v>80.400000000000006</v>
      </c>
      <c r="CZ722" s="1" t="s">
        <v>215</v>
      </c>
      <c r="DA722">
        <v>1</v>
      </c>
      <c r="DB722" t="s">
        <v>525</v>
      </c>
      <c r="DC722">
        <v>64</v>
      </c>
      <c r="DD722">
        <v>84.567928044300402</v>
      </c>
      <c r="DE722">
        <v>-20.567928044300398</v>
      </c>
      <c r="DF722" t="e">
        <f>_xlfn.XLOOKUP(Table1[[#This Row],[Player ID]],Table2[feed_id],Table2[trade_status])</f>
        <v>#N/A</v>
      </c>
      <c r="DG722">
        <f>_xlfn.NUMBERVALUE(Table1[[#This Row],[predicted]])</f>
        <v>84.567928044300402</v>
      </c>
    </row>
    <row r="723" spans="1:111" hidden="1" x14ac:dyDescent="0.25">
      <c r="A723">
        <v>132586</v>
      </c>
      <c r="B723">
        <v>9238</v>
      </c>
      <c r="C723" t="s">
        <v>6865</v>
      </c>
      <c r="D723" t="s">
        <v>3116</v>
      </c>
      <c r="E723">
        <v>2025</v>
      </c>
      <c r="F723">
        <v>1003130</v>
      </c>
      <c r="G723" t="s">
        <v>3697</v>
      </c>
      <c r="H723" t="s">
        <v>6895</v>
      </c>
      <c r="I723" t="s">
        <v>112</v>
      </c>
      <c r="J723">
        <v>9</v>
      </c>
      <c r="K723">
        <v>80</v>
      </c>
      <c r="L723">
        <v>94</v>
      </c>
      <c r="M723">
        <v>101</v>
      </c>
      <c r="N723">
        <v>63</v>
      </c>
      <c r="O723">
        <v>87</v>
      </c>
      <c r="P723">
        <v>15</v>
      </c>
      <c r="Q723">
        <v>9</v>
      </c>
      <c r="R723">
        <v>4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 t="s">
        <v>113</v>
      </c>
      <c r="Z723" t="s">
        <v>525</v>
      </c>
      <c r="AA723" t="s">
        <v>6896</v>
      </c>
      <c r="AH723" t="s">
        <v>118</v>
      </c>
      <c r="AI723">
        <v>1</v>
      </c>
      <c r="AJ723">
        <v>0</v>
      </c>
      <c r="AK723">
        <v>0</v>
      </c>
      <c r="AL723">
        <v>0</v>
      </c>
      <c r="AM723">
        <v>0.31</v>
      </c>
      <c r="AN723">
        <v>0.25</v>
      </c>
      <c r="AO723">
        <v>0.4</v>
      </c>
      <c r="AS723">
        <v>5</v>
      </c>
      <c r="AT723">
        <v>1</v>
      </c>
      <c r="AU723">
        <v>3</v>
      </c>
      <c r="AV723">
        <v>70</v>
      </c>
      <c r="AW723">
        <v>86</v>
      </c>
      <c r="AX723">
        <v>491</v>
      </c>
      <c r="AY723">
        <v>0</v>
      </c>
      <c r="AZ723" t="b">
        <v>0</v>
      </c>
      <c r="BA723">
        <v>1546</v>
      </c>
      <c r="BB723">
        <v>1741</v>
      </c>
      <c r="BC723">
        <v>6</v>
      </c>
      <c r="BD723" t="s">
        <v>6869</v>
      </c>
      <c r="BE723" s="1" t="s">
        <v>3594</v>
      </c>
      <c r="BF723">
        <v>0</v>
      </c>
      <c r="BG723">
        <v>71</v>
      </c>
      <c r="BH723">
        <v>1</v>
      </c>
      <c r="BI723" s="1" t="s">
        <v>1008</v>
      </c>
      <c r="BJ723">
        <v>8.6</v>
      </c>
      <c r="BK723" s="1" t="s">
        <v>276</v>
      </c>
      <c r="BL723" s="1" t="s">
        <v>303</v>
      </c>
      <c r="BM723" s="1" t="s">
        <v>169</v>
      </c>
      <c r="BN723">
        <v>3.4</v>
      </c>
      <c r="BO723" s="1" t="s">
        <v>161</v>
      </c>
      <c r="BP723">
        <v>2.2000000000000002</v>
      </c>
      <c r="BQ723">
        <v>0</v>
      </c>
      <c r="BR723">
        <v>0</v>
      </c>
      <c r="BS723" s="1" t="s">
        <v>128</v>
      </c>
      <c r="BT723">
        <v>0.6</v>
      </c>
      <c r="BU723" s="1" t="s">
        <v>129</v>
      </c>
      <c r="BV723" s="1" t="s">
        <v>231</v>
      </c>
      <c r="BW723">
        <v>0</v>
      </c>
      <c r="BX723" s="1" t="s">
        <v>231</v>
      </c>
      <c r="BY723" s="1" t="s">
        <v>128</v>
      </c>
      <c r="BZ723" s="1" t="s">
        <v>231</v>
      </c>
      <c r="CA723">
        <v>0.31</v>
      </c>
      <c r="CB723">
        <v>0.31</v>
      </c>
      <c r="CC723">
        <v>0.25</v>
      </c>
      <c r="CD723">
        <v>0.25</v>
      </c>
      <c r="CE723">
        <v>0.4</v>
      </c>
      <c r="CF723">
        <v>0.4</v>
      </c>
      <c r="CG723" s="1" t="s">
        <v>160</v>
      </c>
      <c r="CH723" s="1" t="s">
        <v>449</v>
      </c>
      <c r="CI723" s="1" t="s">
        <v>126</v>
      </c>
      <c r="CJ723" s="1" t="s">
        <v>206</v>
      </c>
      <c r="CK723" s="1" t="s">
        <v>159</v>
      </c>
      <c r="CL723">
        <v>2.4</v>
      </c>
      <c r="CM723" s="1" t="s">
        <v>417</v>
      </c>
      <c r="CN723">
        <v>72</v>
      </c>
      <c r="CO723" s="1" t="s">
        <v>403</v>
      </c>
      <c r="CP723" s="1" t="s">
        <v>6897</v>
      </c>
      <c r="CQ723" s="1" t="s">
        <v>6898</v>
      </c>
      <c r="CR723">
        <v>256.60000000000002</v>
      </c>
      <c r="CS723">
        <v>1729</v>
      </c>
      <c r="CT723" s="1" t="s">
        <v>6015</v>
      </c>
      <c r="CU723" s="1" t="s">
        <v>5214</v>
      </c>
      <c r="CV723" s="1" t="s">
        <v>2023</v>
      </c>
      <c r="CW723">
        <v>75.349999999999994</v>
      </c>
      <c r="CX723">
        <v>72.7</v>
      </c>
      <c r="CY723">
        <v>82.8</v>
      </c>
      <c r="CZ723" s="1" t="s">
        <v>1110</v>
      </c>
      <c r="DA723">
        <v>1</v>
      </c>
      <c r="DB723" t="s">
        <v>525</v>
      </c>
      <c r="DC723">
        <v>94</v>
      </c>
      <c r="DD723">
        <v>76.306637729495193</v>
      </c>
      <c r="DE723" s="1" t="s">
        <v>6899</v>
      </c>
      <c r="DF723" t="e">
        <f>_xlfn.XLOOKUP(Table1[[#This Row],[Player ID]],Table2[feed_id],Table2[trade_status])</f>
        <v>#N/A</v>
      </c>
      <c r="DG723">
        <f>_xlfn.NUMBERVALUE(Table1[[#This Row],[predicted]])</f>
        <v>76.306637729495193</v>
      </c>
    </row>
    <row r="724" spans="1:111" x14ac:dyDescent="0.25">
      <c r="A724">
        <v>132757</v>
      </c>
      <c r="B724">
        <v>9241</v>
      </c>
      <c r="C724" t="s">
        <v>7418</v>
      </c>
      <c r="D724" t="s">
        <v>3116</v>
      </c>
      <c r="E724">
        <v>2025</v>
      </c>
      <c r="F724">
        <v>1005053</v>
      </c>
      <c r="G724" t="s">
        <v>5462</v>
      </c>
      <c r="H724" t="s">
        <v>7589</v>
      </c>
      <c r="I724" t="s">
        <v>201</v>
      </c>
      <c r="J724">
        <v>5</v>
      </c>
      <c r="K724">
        <v>54</v>
      </c>
      <c r="L724">
        <v>70</v>
      </c>
      <c r="M724">
        <v>36</v>
      </c>
      <c r="N724">
        <v>43</v>
      </c>
      <c r="O724">
        <v>57</v>
      </c>
      <c r="P724">
        <v>9</v>
      </c>
      <c r="Q724">
        <v>3</v>
      </c>
      <c r="R724">
        <v>5</v>
      </c>
      <c r="S724">
        <v>2</v>
      </c>
      <c r="T724">
        <v>0</v>
      </c>
      <c r="U724">
        <v>1</v>
      </c>
      <c r="V724">
        <v>1</v>
      </c>
      <c r="W724">
        <v>0</v>
      </c>
      <c r="X724">
        <v>0</v>
      </c>
      <c r="Y724" t="s">
        <v>113</v>
      </c>
      <c r="Z724" t="s">
        <v>226</v>
      </c>
      <c r="AA724" t="s">
        <v>7590</v>
      </c>
      <c r="AH724" t="s">
        <v>181</v>
      </c>
      <c r="AI724">
        <v>43</v>
      </c>
      <c r="AJ724">
        <v>0</v>
      </c>
      <c r="AK724">
        <v>0</v>
      </c>
      <c r="AL724">
        <v>0</v>
      </c>
      <c r="AM724">
        <v>0.13</v>
      </c>
      <c r="AN724">
        <v>0.23</v>
      </c>
      <c r="AO724">
        <v>0.02</v>
      </c>
      <c r="AS724">
        <v>4</v>
      </c>
      <c r="AT724">
        <v>0</v>
      </c>
      <c r="AU724">
        <v>1</v>
      </c>
      <c r="AV724">
        <v>91</v>
      </c>
      <c r="AW724">
        <v>80</v>
      </c>
      <c r="AX724">
        <v>252</v>
      </c>
      <c r="AY724">
        <v>0</v>
      </c>
      <c r="AZ724" t="b">
        <v>0</v>
      </c>
      <c r="BA724">
        <v>1518</v>
      </c>
      <c r="BB724">
        <v>1780</v>
      </c>
      <c r="BC724">
        <v>6</v>
      </c>
      <c r="BD724" t="s">
        <v>7502</v>
      </c>
      <c r="BE724" s="1" t="s">
        <v>3594</v>
      </c>
      <c r="BF724">
        <v>0</v>
      </c>
      <c r="BG724">
        <v>71</v>
      </c>
      <c r="BH724">
        <v>0</v>
      </c>
      <c r="BI724" s="1" t="s">
        <v>545</v>
      </c>
      <c r="BJ724" s="1" t="s">
        <v>358</v>
      </c>
      <c r="BK724">
        <v>4</v>
      </c>
      <c r="BL724" s="1" t="s">
        <v>565</v>
      </c>
      <c r="BM724" s="1" t="s">
        <v>124</v>
      </c>
      <c r="BN724" s="1" t="s">
        <v>125</v>
      </c>
      <c r="BO724" s="1" t="s">
        <v>161</v>
      </c>
      <c r="BP724" s="1" t="s">
        <v>587</v>
      </c>
      <c r="BQ724">
        <v>0</v>
      </c>
      <c r="BR724">
        <v>0</v>
      </c>
      <c r="BS724" s="1" t="s">
        <v>128</v>
      </c>
      <c r="BT724">
        <v>0.4</v>
      </c>
      <c r="BU724" s="1" t="s">
        <v>128</v>
      </c>
      <c r="BV724" s="1" t="s">
        <v>128</v>
      </c>
      <c r="BW724">
        <v>0</v>
      </c>
      <c r="BX724">
        <v>0</v>
      </c>
      <c r="BY724">
        <v>0</v>
      </c>
      <c r="BZ724">
        <v>0</v>
      </c>
      <c r="CA724">
        <v>0.13</v>
      </c>
      <c r="CB724">
        <v>0.13</v>
      </c>
      <c r="CC724">
        <v>0.23</v>
      </c>
      <c r="CD724">
        <v>0.23</v>
      </c>
      <c r="CE724">
        <v>0.02</v>
      </c>
      <c r="CF724">
        <v>0.02</v>
      </c>
      <c r="CG724" s="1" t="s">
        <v>211</v>
      </c>
      <c r="CH724" s="1" t="s">
        <v>565</v>
      </c>
      <c r="CI724" s="1" t="s">
        <v>129</v>
      </c>
      <c r="CJ724" s="1" t="s">
        <v>399</v>
      </c>
      <c r="CK724" s="1" t="s">
        <v>126</v>
      </c>
      <c r="CL724" s="1" t="s">
        <v>566</v>
      </c>
      <c r="CM724" s="1" t="s">
        <v>2492</v>
      </c>
      <c r="CN724">
        <v>80.400000000000006</v>
      </c>
      <c r="CO724" s="1" t="s">
        <v>364</v>
      </c>
      <c r="CP724" s="1" t="s">
        <v>1806</v>
      </c>
      <c r="CQ724" s="1" t="s">
        <v>3985</v>
      </c>
      <c r="CR724">
        <v>219.2</v>
      </c>
      <c r="CS724" s="1" t="s">
        <v>7505</v>
      </c>
      <c r="CT724" s="1" t="s">
        <v>7591</v>
      </c>
      <c r="CU724" s="1" t="s">
        <v>7506</v>
      </c>
      <c r="CV724" s="1" t="s">
        <v>4137</v>
      </c>
      <c r="CW724">
        <v>63.35</v>
      </c>
      <c r="CX724">
        <v>68.900000000000006</v>
      </c>
      <c r="CY724">
        <v>71.400000000000006</v>
      </c>
      <c r="CZ724" s="1" t="s">
        <v>593</v>
      </c>
      <c r="DA724">
        <v>1</v>
      </c>
      <c r="DB724" t="s">
        <v>226</v>
      </c>
      <c r="DC724">
        <v>70</v>
      </c>
      <c r="DD724" s="1" t="s">
        <v>7592</v>
      </c>
      <c r="DE724">
        <v>-16.7234549885349</v>
      </c>
      <c r="DF724" t="str">
        <f>_xlfn.XLOOKUP(Table1[[#This Row],[Player ID]],Table2[feed_id],Table2[trade_status])</f>
        <v>free_agent</v>
      </c>
      <c r="DG724">
        <f>_xlfn.NUMBERVALUE(Table1[[#This Row],[predicted]])</f>
        <v>86.723454988534897</v>
      </c>
    </row>
    <row r="725" spans="1:111" x14ac:dyDescent="0.25">
      <c r="A725">
        <v>132644</v>
      </c>
      <c r="B725">
        <v>9239</v>
      </c>
      <c r="C725" t="s">
        <v>7040</v>
      </c>
      <c r="D725" t="s">
        <v>3116</v>
      </c>
      <c r="E725">
        <v>2025</v>
      </c>
      <c r="F725">
        <v>1015781</v>
      </c>
      <c r="G725" t="s">
        <v>5306</v>
      </c>
      <c r="H725" t="s">
        <v>7126</v>
      </c>
      <c r="I725" t="s">
        <v>813</v>
      </c>
      <c r="J725">
        <v>8</v>
      </c>
      <c r="K725">
        <v>38</v>
      </c>
      <c r="L725">
        <v>50</v>
      </c>
      <c r="M725">
        <v>53</v>
      </c>
      <c r="N725">
        <v>37</v>
      </c>
      <c r="O725">
        <v>51</v>
      </c>
      <c r="P725">
        <v>7</v>
      </c>
      <c r="Q725">
        <v>3</v>
      </c>
      <c r="R725">
        <v>6</v>
      </c>
      <c r="S725">
        <v>1</v>
      </c>
      <c r="T725">
        <v>0</v>
      </c>
      <c r="U725">
        <v>1</v>
      </c>
      <c r="V725">
        <v>4</v>
      </c>
      <c r="W725">
        <v>0</v>
      </c>
      <c r="X725">
        <v>0</v>
      </c>
      <c r="Y725" t="s">
        <v>113</v>
      </c>
      <c r="Z725" t="s">
        <v>987</v>
      </c>
      <c r="AA725" t="s">
        <v>7127</v>
      </c>
      <c r="AH725" t="s">
        <v>155</v>
      </c>
      <c r="AI725">
        <v>30</v>
      </c>
      <c r="AJ725">
        <v>0</v>
      </c>
      <c r="AK725">
        <v>0</v>
      </c>
      <c r="AL725">
        <v>0</v>
      </c>
      <c r="AM725">
        <v>0.13</v>
      </c>
      <c r="AN725">
        <v>0.55000000000000004</v>
      </c>
      <c r="AO725">
        <v>0.53</v>
      </c>
      <c r="AS725">
        <v>4</v>
      </c>
      <c r="AT725">
        <v>0</v>
      </c>
      <c r="AU725">
        <v>5</v>
      </c>
      <c r="AV725">
        <v>70</v>
      </c>
      <c r="AW725">
        <v>97</v>
      </c>
      <c r="AX725">
        <v>179</v>
      </c>
      <c r="AY725">
        <v>0</v>
      </c>
      <c r="AZ725" t="b">
        <v>0</v>
      </c>
      <c r="BA725">
        <v>1678</v>
      </c>
      <c r="BB725">
        <v>1592</v>
      </c>
      <c r="BC725">
        <v>6</v>
      </c>
      <c r="BD725" t="s">
        <v>7044</v>
      </c>
      <c r="BE725" s="1" t="s">
        <v>3594</v>
      </c>
      <c r="BF725">
        <v>0</v>
      </c>
      <c r="BG725">
        <v>71</v>
      </c>
      <c r="BH725">
        <v>0</v>
      </c>
      <c r="BI725">
        <v>8</v>
      </c>
      <c r="BJ725">
        <v>8.4</v>
      </c>
      <c r="BK725" s="1" t="s">
        <v>160</v>
      </c>
      <c r="BL725" s="1" t="s">
        <v>436</v>
      </c>
      <c r="BM725" s="1" t="s">
        <v>449</v>
      </c>
      <c r="BN725" s="1" t="s">
        <v>139</v>
      </c>
      <c r="BO725" s="1" t="s">
        <v>126</v>
      </c>
      <c r="BP725">
        <v>1.2</v>
      </c>
      <c r="BQ725">
        <v>0</v>
      </c>
      <c r="BR725">
        <v>0</v>
      </c>
      <c r="BS725" s="1" t="s">
        <v>129</v>
      </c>
      <c r="BT725">
        <v>0.6</v>
      </c>
      <c r="BU725">
        <v>2</v>
      </c>
      <c r="BV725" s="1" t="s">
        <v>298</v>
      </c>
      <c r="BW725">
        <v>0</v>
      </c>
      <c r="BX725">
        <v>0.2</v>
      </c>
      <c r="BY725">
        <v>0</v>
      </c>
      <c r="BZ725">
        <v>0</v>
      </c>
      <c r="CA725">
        <v>0.13</v>
      </c>
      <c r="CB725">
        <v>0.13</v>
      </c>
      <c r="CC725">
        <v>0.55000000000000004</v>
      </c>
      <c r="CD725">
        <v>0.55000000000000004</v>
      </c>
      <c r="CE725">
        <v>0.53</v>
      </c>
      <c r="CF725">
        <v>0.53</v>
      </c>
      <c r="CG725">
        <v>6</v>
      </c>
      <c r="CH725" s="1" t="s">
        <v>1092</v>
      </c>
      <c r="CI725">
        <v>0</v>
      </c>
      <c r="CJ725">
        <v>0</v>
      </c>
      <c r="CK725" s="1" t="s">
        <v>138</v>
      </c>
      <c r="CL725">
        <v>2.4</v>
      </c>
      <c r="CM725" s="1" t="s">
        <v>572</v>
      </c>
      <c r="CN725" s="1" t="s">
        <v>1951</v>
      </c>
      <c r="CO725">
        <v>89</v>
      </c>
      <c r="CP725">
        <v>86.8</v>
      </c>
      <c r="CQ725" s="1" t="s">
        <v>7128</v>
      </c>
      <c r="CR725">
        <v>155.19999999999999</v>
      </c>
      <c r="CS725" s="1" t="s">
        <v>2903</v>
      </c>
      <c r="CT725" s="1" t="s">
        <v>7129</v>
      </c>
      <c r="CU725">
        <v>1674</v>
      </c>
      <c r="CV725">
        <v>1625</v>
      </c>
      <c r="CW725">
        <v>71.75</v>
      </c>
      <c r="CX725">
        <v>59.9</v>
      </c>
      <c r="CY725">
        <v>61.6</v>
      </c>
      <c r="CZ725" s="1" t="s">
        <v>333</v>
      </c>
      <c r="DA725">
        <v>1</v>
      </c>
      <c r="DB725" t="s">
        <v>987</v>
      </c>
      <c r="DC725">
        <v>50</v>
      </c>
      <c r="DD725" s="1" t="s">
        <v>7130</v>
      </c>
      <c r="DE725">
        <v>-36.6799128369668</v>
      </c>
      <c r="DF725" t="str">
        <f>_xlfn.XLOOKUP(Table1[[#This Row],[Player ID]],Table2[feed_id],Table2[trade_status])</f>
        <v>free_agent</v>
      </c>
      <c r="DG725">
        <f>_xlfn.NUMBERVALUE(Table1[[#This Row],[predicted]])</f>
        <v>86.679912836966807</v>
      </c>
    </row>
    <row r="726" spans="1:111" hidden="1" x14ac:dyDescent="0.25">
      <c r="A726">
        <v>132589</v>
      </c>
      <c r="B726">
        <v>9238</v>
      </c>
      <c r="C726" t="s">
        <v>6865</v>
      </c>
      <c r="D726" t="s">
        <v>3116</v>
      </c>
      <c r="E726">
        <v>2025</v>
      </c>
      <c r="F726">
        <v>1005054</v>
      </c>
      <c r="G726" t="s">
        <v>1318</v>
      </c>
      <c r="H726" t="s">
        <v>6866</v>
      </c>
      <c r="I726" t="s">
        <v>112</v>
      </c>
      <c r="J726">
        <v>13</v>
      </c>
      <c r="K726">
        <v>65</v>
      </c>
      <c r="L726">
        <v>59</v>
      </c>
      <c r="M726">
        <v>84</v>
      </c>
      <c r="N726">
        <v>49</v>
      </c>
      <c r="O726">
        <v>69</v>
      </c>
      <c r="P726">
        <v>6</v>
      </c>
      <c r="Q726">
        <v>9</v>
      </c>
      <c r="R726">
        <v>3</v>
      </c>
      <c r="S726">
        <v>5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113</v>
      </c>
      <c r="Z726" t="s">
        <v>226</v>
      </c>
      <c r="AA726" t="s">
        <v>6911</v>
      </c>
      <c r="AE726">
        <v>0</v>
      </c>
      <c r="AH726" t="s">
        <v>118</v>
      </c>
      <c r="AI726">
        <v>7</v>
      </c>
      <c r="AJ726">
        <v>10</v>
      </c>
      <c r="AK726">
        <v>68.3</v>
      </c>
      <c r="AL726">
        <v>0</v>
      </c>
      <c r="AM726">
        <v>0</v>
      </c>
      <c r="AN726">
        <v>1.01</v>
      </c>
      <c r="AO726">
        <v>1.66</v>
      </c>
      <c r="AS726">
        <v>4</v>
      </c>
      <c r="AT726">
        <v>0</v>
      </c>
      <c r="AU726">
        <v>2</v>
      </c>
      <c r="AV726">
        <v>66</v>
      </c>
      <c r="AW726">
        <v>82</v>
      </c>
      <c r="AX726">
        <v>131</v>
      </c>
      <c r="AY726">
        <v>0</v>
      </c>
      <c r="AZ726" t="b">
        <v>0</v>
      </c>
      <c r="BA726">
        <v>1546</v>
      </c>
      <c r="BB726">
        <v>1741</v>
      </c>
      <c r="BC726">
        <v>6</v>
      </c>
      <c r="BD726" t="s">
        <v>6869</v>
      </c>
      <c r="BE726" s="1" t="s">
        <v>3594</v>
      </c>
      <c r="BF726">
        <v>0</v>
      </c>
      <c r="BG726">
        <v>71</v>
      </c>
      <c r="BH726">
        <v>0</v>
      </c>
      <c r="BI726">
        <v>12</v>
      </c>
      <c r="BJ726" s="1" t="s">
        <v>297</v>
      </c>
      <c r="BK726" s="1" t="s">
        <v>276</v>
      </c>
      <c r="BL726">
        <v>11</v>
      </c>
      <c r="BM726">
        <v>4</v>
      </c>
      <c r="BN726">
        <v>4.8</v>
      </c>
      <c r="BO726" s="1" t="s">
        <v>138</v>
      </c>
      <c r="BP726" s="1" t="s">
        <v>140</v>
      </c>
      <c r="BQ726">
        <v>0</v>
      </c>
      <c r="BR726">
        <v>0</v>
      </c>
      <c r="BS726" s="1" t="s">
        <v>129</v>
      </c>
      <c r="BT726" s="1" t="s">
        <v>399</v>
      </c>
      <c r="BU726" s="1" t="s">
        <v>128</v>
      </c>
      <c r="BV726">
        <v>0.4</v>
      </c>
      <c r="BW726">
        <v>0</v>
      </c>
      <c r="BX726">
        <v>6.6666666666666596E-2</v>
      </c>
      <c r="BY726">
        <v>0</v>
      </c>
      <c r="BZ726" s="1" t="s">
        <v>129</v>
      </c>
      <c r="CA726">
        <v>0</v>
      </c>
      <c r="CB726">
        <v>0</v>
      </c>
      <c r="CC726">
        <v>1.01</v>
      </c>
      <c r="CD726">
        <v>1.01</v>
      </c>
      <c r="CE726">
        <v>1.66</v>
      </c>
      <c r="CF726">
        <v>1.66</v>
      </c>
      <c r="CG726" s="1" t="s">
        <v>160</v>
      </c>
      <c r="CH726" s="1" t="s">
        <v>124</v>
      </c>
      <c r="CI726" s="1" t="s">
        <v>128</v>
      </c>
      <c r="CJ726">
        <v>2</v>
      </c>
      <c r="CK726">
        <v>3</v>
      </c>
      <c r="CL726" s="1" t="s">
        <v>140</v>
      </c>
      <c r="CM726" s="1" t="s">
        <v>754</v>
      </c>
      <c r="CN726" s="1" t="s">
        <v>788</v>
      </c>
      <c r="CO726" s="1" t="s">
        <v>1123</v>
      </c>
      <c r="CP726" s="1" t="s">
        <v>4597</v>
      </c>
      <c r="CQ726" s="1" t="s">
        <v>6912</v>
      </c>
      <c r="CR726" s="1" t="s">
        <v>6913</v>
      </c>
      <c r="CS726">
        <v>1729</v>
      </c>
      <c r="CT726" s="1" t="s">
        <v>6015</v>
      </c>
      <c r="CU726" s="1" t="s">
        <v>5214</v>
      </c>
      <c r="CV726" s="1" t="s">
        <v>2023</v>
      </c>
      <c r="CW726">
        <v>89.9</v>
      </c>
      <c r="CX726">
        <v>93.7</v>
      </c>
      <c r="CY726">
        <v>83.4</v>
      </c>
      <c r="CZ726">
        <v>78</v>
      </c>
      <c r="DA726">
        <v>1</v>
      </c>
      <c r="DB726" t="s">
        <v>226</v>
      </c>
      <c r="DC726">
        <v>59</v>
      </c>
      <c r="DD726" s="1" t="s">
        <v>6914</v>
      </c>
      <c r="DE726">
        <v>-49.580979748146198</v>
      </c>
      <c r="DF726" t="e">
        <f>_xlfn.XLOOKUP(Table1[[#This Row],[Player ID]],Table2[feed_id],Table2[trade_status])</f>
        <v>#N/A</v>
      </c>
      <c r="DG726">
        <f>_xlfn.NUMBERVALUE(Table1[[#This Row],[predicted]])</f>
        <v>108.58097974814601</v>
      </c>
    </row>
    <row r="727" spans="1:111" x14ac:dyDescent="0.25">
      <c r="A727">
        <v>132773</v>
      </c>
      <c r="B727">
        <v>9242</v>
      </c>
      <c r="C727" t="s">
        <v>7597</v>
      </c>
      <c r="D727" t="s">
        <v>3116</v>
      </c>
      <c r="E727">
        <v>2025</v>
      </c>
      <c r="F727">
        <v>1027821</v>
      </c>
      <c r="G727" t="s">
        <v>4451</v>
      </c>
      <c r="H727" t="s">
        <v>7660</v>
      </c>
      <c r="I727" t="s">
        <v>291</v>
      </c>
      <c r="J727">
        <v>5</v>
      </c>
      <c r="K727">
        <v>53</v>
      </c>
      <c r="L727">
        <v>38</v>
      </c>
      <c r="M727">
        <v>68</v>
      </c>
      <c r="N727">
        <v>45</v>
      </c>
      <c r="O727">
        <v>61</v>
      </c>
      <c r="P727">
        <v>6</v>
      </c>
      <c r="Q727">
        <v>7</v>
      </c>
      <c r="R727">
        <v>5</v>
      </c>
      <c r="S727">
        <v>2</v>
      </c>
      <c r="T727">
        <v>0</v>
      </c>
      <c r="U727">
        <v>0</v>
      </c>
      <c r="V727">
        <v>1</v>
      </c>
      <c r="W727">
        <v>0</v>
      </c>
      <c r="X727">
        <v>1</v>
      </c>
      <c r="Y727" t="s">
        <v>113</v>
      </c>
      <c r="Z727" t="s">
        <v>226</v>
      </c>
      <c r="AA727" t="s">
        <v>7661</v>
      </c>
      <c r="AH727" t="s">
        <v>118</v>
      </c>
      <c r="AI727">
        <v>6</v>
      </c>
      <c r="AJ727">
        <v>0</v>
      </c>
      <c r="AK727">
        <v>0</v>
      </c>
      <c r="AL727">
        <v>0</v>
      </c>
      <c r="AM727">
        <v>7.57</v>
      </c>
      <c r="AN727">
        <v>3.51</v>
      </c>
      <c r="AO727">
        <v>5.33</v>
      </c>
      <c r="AS727">
        <v>3</v>
      </c>
      <c r="AT727">
        <v>1</v>
      </c>
      <c r="AU727">
        <v>3</v>
      </c>
      <c r="AV727">
        <v>53</v>
      </c>
      <c r="AW727">
        <v>80</v>
      </c>
      <c r="AX727">
        <v>215</v>
      </c>
      <c r="AY727">
        <v>0</v>
      </c>
      <c r="AZ727" t="b">
        <v>0</v>
      </c>
      <c r="BA727">
        <v>1764</v>
      </c>
      <c r="BB727">
        <v>1522</v>
      </c>
      <c r="BC727">
        <v>6</v>
      </c>
      <c r="BD727" t="s">
        <v>7599</v>
      </c>
      <c r="BE727" s="1" t="s">
        <v>3594</v>
      </c>
      <c r="BF727">
        <v>0</v>
      </c>
      <c r="BG727">
        <v>71</v>
      </c>
      <c r="BH727">
        <v>0</v>
      </c>
      <c r="BI727" s="1" t="s">
        <v>183</v>
      </c>
      <c r="BJ727" s="1" t="s">
        <v>2358</v>
      </c>
      <c r="BK727" s="1" t="s">
        <v>253</v>
      </c>
      <c r="BL727" s="1" t="s">
        <v>1092</v>
      </c>
      <c r="BM727" s="1" t="s">
        <v>125</v>
      </c>
      <c r="BN727" s="1" t="s">
        <v>321</v>
      </c>
      <c r="BO727">
        <v>1</v>
      </c>
      <c r="BP727" s="1" t="s">
        <v>322</v>
      </c>
      <c r="BQ727">
        <v>0</v>
      </c>
      <c r="BR727">
        <v>0</v>
      </c>
      <c r="BS727">
        <v>0</v>
      </c>
      <c r="BT727" s="1" t="s">
        <v>231</v>
      </c>
      <c r="BU727" s="1" t="s">
        <v>128</v>
      </c>
      <c r="BV727" s="1" t="s">
        <v>238</v>
      </c>
      <c r="BW727" s="1" t="s">
        <v>129</v>
      </c>
      <c r="BX727" s="1" t="s">
        <v>231</v>
      </c>
      <c r="BY727" s="1" t="s">
        <v>129</v>
      </c>
      <c r="BZ727" s="1" t="s">
        <v>129</v>
      </c>
      <c r="CA727">
        <v>7.57</v>
      </c>
      <c r="CB727">
        <v>7.57</v>
      </c>
      <c r="CC727">
        <v>3.51</v>
      </c>
      <c r="CD727">
        <v>3.51</v>
      </c>
      <c r="CE727">
        <v>5.33</v>
      </c>
      <c r="CF727">
        <v>5.33</v>
      </c>
      <c r="CG727" s="1" t="s">
        <v>159</v>
      </c>
      <c r="CH727">
        <v>4</v>
      </c>
      <c r="CI727" s="1" t="s">
        <v>129</v>
      </c>
      <c r="CJ727" s="1" t="s">
        <v>257</v>
      </c>
      <c r="CK727" s="1" t="s">
        <v>169</v>
      </c>
      <c r="CL727" s="1" t="s">
        <v>255</v>
      </c>
      <c r="CM727">
        <v>63</v>
      </c>
      <c r="CN727">
        <v>65.8</v>
      </c>
      <c r="CO727" s="1" t="s">
        <v>483</v>
      </c>
      <c r="CP727">
        <v>79.400000000000006</v>
      </c>
      <c r="CQ727">
        <v>294</v>
      </c>
      <c r="CR727" s="1" t="s">
        <v>7662</v>
      </c>
      <c r="CS727" s="1" t="s">
        <v>7663</v>
      </c>
      <c r="CT727" s="1" t="s">
        <v>7664</v>
      </c>
      <c r="CU727" s="1" t="s">
        <v>7665</v>
      </c>
      <c r="CV727" s="1" t="s">
        <v>634</v>
      </c>
      <c r="CW727">
        <v>56.55</v>
      </c>
      <c r="CX727">
        <v>58.2</v>
      </c>
      <c r="CY727">
        <v>45.6</v>
      </c>
      <c r="CZ727" s="1" t="s">
        <v>2765</v>
      </c>
      <c r="DA727">
        <v>1</v>
      </c>
      <c r="DB727" t="s">
        <v>226</v>
      </c>
      <c r="DC727">
        <v>38</v>
      </c>
      <c r="DD727" s="1" t="s">
        <v>7666</v>
      </c>
      <c r="DE727">
        <v>-45.904543349693903</v>
      </c>
      <c r="DF727" t="str">
        <f>_xlfn.XLOOKUP(Table1[[#This Row],[Player ID]],Table2[feed_id],Table2[trade_status])</f>
        <v>free_agent</v>
      </c>
      <c r="DG727">
        <f>_xlfn.NUMBERVALUE(Table1[[#This Row],[predicted]])</f>
        <v>83.904543349693895</v>
      </c>
    </row>
    <row r="728" spans="1:111" x14ac:dyDescent="0.25">
      <c r="A728">
        <v>132676</v>
      </c>
      <c r="B728">
        <v>9240</v>
      </c>
      <c r="C728" t="s">
        <v>7230</v>
      </c>
      <c r="D728" t="s">
        <v>3116</v>
      </c>
      <c r="E728">
        <v>2025</v>
      </c>
      <c r="F728">
        <v>295518</v>
      </c>
      <c r="G728" t="s">
        <v>958</v>
      </c>
      <c r="H728" t="s">
        <v>7269</v>
      </c>
      <c r="I728" t="s">
        <v>249</v>
      </c>
      <c r="J728">
        <v>20</v>
      </c>
      <c r="K728">
        <v>87</v>
      </c>
      <c r="L728">
        <v>67</v>
      </c>
      <c r="M728">
        <v>108</v>
      </c>
      <c r="N728">
        <v>72</v>
      </c>
      <c r="O728">
        <v>96</v>
      </c>
      <c r="P728">
        <v>11</v>
      </c>
      <c r="Q728">
        <v>11</v>
      </c>
      <c r="R728">
        <v>6</v>
      </c>
      <c r="S728">
        <v>2</v>
      </c>
      <c r="T728">
        <v>0</v>
      </c>
      <c r="U728">
        <v>0</v>
      </c>
      <c r="V728">
        <v>0</v>
      </c>
      <c r="W728">
        <v>1</v>
      </c>
      <c r="X728">
        <v>0</v>
      </c>
      <c r="Y728" t="s">
        <v>113</v>
      </c>
      <c r="Z728" t="s">
        <v>525</v>
      </c>
      <c r="AA728" t="s">
        <v>7270</v>
      </c>
      <c r="AE728">
        <v>0</v>
      </c>
      <c r="AH728" t="s">
        <v>181</v>
      </c>
      <c r="AI728">
        <v>15</v>
      </c>
      <c r="AJ728">
        <v>0</v>
      </c>
      <c r="AK728">
        <v>0</v>
      </c>
      <c r="AL728">
        <v>0</v>
      </c>
      <c r="AM728">
        <v>0</v>
      </c>
      <c r="AN728">
        <v>0.34</v>
      </c>
      <c r="AO728">
        <v>0.61</v>
      </c>
      <c r="AS728">
        <v>4</v>
      </c>
      <c r="AT728">
        <v>2</v>
      </c>
      <c r="AU728">
        <v>2</v>
      </c>
      <c r="AV728">
        <v>63</v>
      </c>
      <c r="AW728">
        <v>81</v>
      </c>
      <c r="AX728">
        <v>306</v>
      </c>
      <c r="AY728">
        <v>0</v>
      </c>
      <c r="AZ728" t="b">
        <v>0</v>
      </c>
      <c r="BA728">
        <v>1285</v>
      </c>
      <c r="BB728">
        <v>1976</v>
      </c>
      <c r="BC728">
        <v>6</v>
      </c>
      <c r="BD728" t="s">
        <v>7234</v>
      </c>
      <c r="BE728" s="1" t="s">
        <v>3594</v>
      </c>
      <c r="BF728">
        <v>0</v>
      </c>
      <c r="BG728">
        <v>71</v>
      </c>
      <c r="BH728">
        <v>0</v>
      </c>
      <c r="BI728">
        <v>14</v>
      </c>
      <c r="BJ728" s="1" t="s">
        <v>1816</v>
      </c>
      <c r="BK728" s="1" t="s">
        <v>253</v>
      </c>
      <c r="BL728">
        <v>6.8</v>
      </c>
      <c r="BM728" s="1" t="s">
        <v>204</v>
      </c>
      <c r="BN728" s="1" t="s">
        <v>160</v>
      </c>
      <c r="BO728">
        <v>3</v>
      </c>
      <c r="BP728" s="1" t="s">
        <v>212</v>
      </c>
      <c r="BQ728">
        <v>0</v>
      </c>
      <c r="BR728">
        <v>0</v>
      </c>
      <c r="BS728" s="1" t="s">
        <v>128</v>
      </c>
      <c r="BT728">
        <v>0.6</v>
      </c>
      <c r="BU728">
        <v>0</v>
      </c>
      <c r="BV728" s="1" t="s">
        <v>129</v>
      </c>
      <c r="BW728" s="1" t="s">
        <v>129</v>
      </c>
      <c r="BX728" s="1" t="s">
        <v>129</v>
      </c>
      <c r="BY728">
        <v>0</v>
      </c>
      <c r="BZ728" s="1" t="s">
        <v>238</v>
      </c>
      <c r="CA728">
        <v>0</v>
      </c>
      <c r="CB728">
        <v>0.05</v>
      </c>
      <c r="CC728">
        <v>0.34</v>
      </c>
      <c r="CD728">
        <v>8.2119999999999997</v>
      </c>
      <c r="CE728">
        <v>0.61</v>
      </c>
      <c r="CF728" s="1" t="s">
        <v>7271</v>
      </c>
      <c r="CG728" s="1" t="s">
        <v>211</v>
      </c>
      <c r="CH728" s="1" t="s">
        <v>124</v>
      </c>
      <c r="CI728" s="1" t="s">
        <v>161</v>
      </c>
      <c r="CJ728">
        <v>2.2000000000000002</v>
      </c>
      <c r="CK728">
        <v>2</v>
      </c>
      <c r="CL728">
        <v>2.6</v>
      </c>
      <c r="CM728" s="1" t="s">
        <v>883</v>
      </c>
      <c r="CN728">
        <v>68</v>
      </c>
      <c r="CO728" s="1" t="s">
        <v>1491</v>
      </c>
      <c r="CP728">
        <v>74.2</v>
      </c>
      <c r="CQ728" s="1" t="s">
        <v>5803</v>
      </c>
      <c r="CR728" s="1" t="s">
        <v>7272</v>
      </c>
      <c r="CS728" s="1" t="s">
        <v>7238</v>
      </c>
      <c r="CT728">
        <v>1663.2</v>
      </c>
      <c r="CU728" s="1" t="s">
        <v>7239</v>
      </c>
      <c r="CV728">
        <v>1616</v>
      </c>
      <c r="CW728">
        <v>85.6</v>
      </c>
      <c r="CX728">
        <v>70.5</v>
      </c>
      <c r="CY728">
        <v>71.599999999999994</v>
      </c>
      <c r="CZ728" s="1" t="s">
        <v>2147</v>
      </c>
      <c r="DA728">
        <v>1</v>
      </c>
      <c r="DB728" t="s">
        <v>525</v>
      </c>
      <c r="DC728">
        <v>67</v>
      </c>
      <c r="DD728" s="1" t="s">
        <v>7273</v>
      </c>
      <c r="DE728">
        <v>-16.0034249835069</v>
      </c>
      <c r="DF728" t="str">
        <f>_xlfn.XLOOKUP(Table1[[#This Row],[Player ID]],Table2[feed_id],Table2[trade_status])</f>
        <v>free_agent</v>
      </c>
      <c r="DG728">
        <f>_xlfn.NUMBERVALUE(Table1[[#This Row],[predicted]])</f>
        <v>83.003424983506903</v>
      </c>
    </row>
    <row r="729" spans="1:111" x14ac:dyDescent="0.25">
      <c r="A729">
        <v>132550</v>
      </c>
      <c r="B729">
        <v>9237</v>
      </c>
      <c r="C729" t="s">
        <v>6650</v>
      </c>
      <c r="D729" t="s">
        <v>3116</v>
      </c>
      <c r="E729">
        <v>2025</v>
      </c>
      <c r="F729">
        <v>1011981</v>
      </c>
      <c r="G729" t="s">
        <v>1318</v>
      </c>
      <c r="H729" t="s">
        <v>6746</v>
      </c>
      <c r="I729" t="s">
        <v>510</v>
      </c>
      <c r="J729">
        <v>9</v>
      </c>
      <c r="K729">
        <v>54</v>
      </c>
      <c r="L729">
        <v>77</v>
      </c>
      <c r="M729">
        <v>71</v>
      </c>
      <c r="N729">
        <v>45</v>
      </c>
      <c r="O729">
        <v>63</v>
      </c>
      <c r="P729">
        <v>9</v>
      </c>
      <c r="Q729">
        <v>6</v>
      </c>
      <c r="R729">
        <v>4</v>
      </c>
      <c r="S729">
        <v>2</v>
      </c>
      <c r="T729">
        <v>0</v>
      </c>
      <c r="U729">
        <v>1</v>
      </c>
      <c r="V729">
        <v>2</v>
      </c>
      <c r="W729">
        <v>0</v>
      </c>
      <c r="X729">
        <v>0</v>
      </c>
      <c r="Y729" t="s">
        <v>113</v>
      </c>
      <c r="Z729" t="s">
        <v>1074</v>
      </c>
      <c r="AA729" t="s">
        <v>6747</v>
      </c>
      <c r="AI729">
        <v>24</v>
      </c>
      <c r="AJ729">
        <v>0</v>
      </c>
      <c r="AK729">
        <v>0</v>
      </c>
      <c r="AL729">
        <v>0</v>
      </c>
      <c r="AM729">
        <v>0.04</v>
      </c>
      <c r="AN729">
        <v>0.16</v>
      </c>
      <c r="AO729">
        <v>0.19</v>
      </c>
      <c r="AS729">
        <v>6</v>
      </c>
      <c r="AT729">
        <v>0</v>
      </c>
      <c r="AU729">
        <v>3</v>
      </c>
      <c r="AV729">
        <v>60</v>
      </c>
      <c r="AW729">
        <v>85</v>
      </c>
      <c r="AX729">
        <v>142</v>
      </c>
      <c r="AY729">
        <v>1</v>
      </c>
      <c r="AZ729" t="b">
        <v>0</v>
      </c>
      <c r="BA729">
        <v>1632</v>
      </c>
      <c r="BB729">
        <v>1646</v>
      </c>
      <c r="BC729">
        <v>6</v>
      </c>
      <c r="BD729" t="s">
        <v>6656</v>
      </c>
      <c r="BE729" s="1" t="s">
        <v>3594</v>
      </c>
      <c r="BF729">
        <v>0</v>
      </c>
      <c r="BG729">
        <v>71</v>
      </c>
      <c r="BH729">
        <v>1</v>
      </c>
      <c r="BI729">
        <v>11</v>
      </c>
      <c r="BJ729" s="1" t="s">
        <v>6706</v>
      </c>
      <c r="BK729" s="1" t="s">
        <v>124</v>
      </c>
      <c r="BL729" s="1" t="s">
        <v>260</v>
      </c>
      <c r="BM729" s="1" t="s">
        <v>125</v>
      </c>
      <c r="BN729" s="1" t="s">
        <v>499</v>
      </c>
      <c r="BO729" s="1" t="s">
        <v>126</v>
      </c>
      <c r="BP729" s="1" t="s">
        <v>206</v>
      </c>
      <c r="BQ729">
        <v>0</v>
      </c>
      <c r="BR729">
        <v>0</v>
      </c>
      <c r="BS729" s="1" t="s">
        <v>129</v>
      </c>
      <c r="BT729">
        <v>1</v>
      </c>
      <c r="BU729" s="1" t="s">
        <v>128</v>
      </c>
      <c r="BV729" s="1" t="s">
        <v>231</v>
      </c>
      <c r="BW729">
        <v>0</v>
      </c>
      <c r="BX729">
        <v>0</v>
      </c>
      <c r="BY729">
        <v>0</v>
      </c>
      <c r="BZ729">
        <v>0</v>
      </c>
      <c r="CA729">
        <v>0.04</v>
      </c>
      <c r="CB729">
        <v>0.04</v>
      </c>
      <c r="CC729">
        <v>0.16</v>
      </c>
      <c r="CD729">
        <v>0.16</v>
      </c>
      <c r="CE729">
        <v>0.19</v>
      </c>
      <c r="CF729">
        <v>0.19</v>
      </c>
      <c r="CG729">
        <v>5</v>
      </c>
      <c r="CH729">
        <v>5.8</v>
      </c>
      <c r="CI729">
        <v>0</v>
      </c>
      <c r="CJ729">
        <v>6.6666666666666596E-2</v>
      </c>
      <c r="CK729" s="1" t="s">
        <v>169</v>
      </c>
      <c r="CL729" s="1" t="s">
        <v>159</v>
      </c>
      <c r="CM729" s="1" t="s">
        <v>1166</v>
      </c>
      <c r="CN729" s="1" t="s">
        <v>4628</v>
      </c>
      <c r="CO729" s="1" t="s">
        <v>403</v>
      </c>
      <c r="CP729" s="1" t="s">
        <v>4490</v>
      </c>
      <c r="CQ729" s="1" t="s">
        <v>6748</v>
      </c>
      <c r="CR729" s="1" t="s">
        <v>6749</v>
      </c>
      <c r="CS729" s="1" t="s">
        <v>4695</v>
      </c>
      <c r="CT729" s="1" t="s">
        <v>6750</v>
      </c>
      <c r="CU729">
        <v>1598</v>
      </c>
      <c r="CV729" s="1" t="s">
        <v>1474</v>
      </c>
      <c r="CW729">
        <v>81.900000000000006</v>
      </c>
      <c r="CX729">
        <v>76.3</v>
      </c>
      <c r="CY729">
        <v>77</v>
      </c>
      <c r="CZ729">
        <v>70</v>
      </c>
      <c r="DA729">
        <v>1</v>
      </c>
      <c r="DB729" t="s">
        <v>1074</v>
      </c>
      <c r="DC729">
        <v>77</v>
      </c>
      <c r="DD729" s="1" t="s">
        <v>6751</v>
      </c>
      <c r="DE729">
        <v>-5.7817993102868499</v>
      </c>
      <c r="DF729" t="str">
        <f>_xlfn.XLOOKUP(Table1[[#This Row],[Player ID]],Table2[feed_id],Table2[trade_status])</f>
        <v>free_agent</v>
      </c>
      <c r="DG729">
        <f>_xlfn.NUMBERVALUE(Table1[[#This Row],[predicted]])</f>
        <v>82.7817993102868</v>
      </c>
    </row>
    <row r="730" spans="1:111" x14ac:dyDescent="0.25">
      <c r="A730">
        <v>132566</v>
      </c>
      <c r="B730">
        <v>9237</v>
      </c>
      <c r="C730" t="s">
        <v>6650</v>
      </c>
      <c r="D730" t="s">
        <v>3116</v>
      </c>
      <c r="E730">
        <v>2025</v>
      </c>
      <c r="F730">
        <v>1007102</v>
      </c>
      <c r="G730" t="s">
        <v>2555</v>
      </c>
      <c r="H730" t="s">
        <v>6820</v>
      </c>
      <c r="I730" t="s">
        <v>1061</v>
      </c>
      <c r="J730">
        <v>18</v>
      </c>
      <c r="K730">
        <v>70</v>
      </c>
      <c r="L730">
        <v>74</v>
      </c>
      <c r="M730">
        <v>63</v>
      </c>
      <c r="N730">
        <v>57</v>
      </c>
      <c r="O730">
        <v>75</v>
      </c>
      <c r="P730">
        <v>7</v>
      </c>
      <c r="Q730">
        <v>8</v>
      </c>
      <c r="R730">
        <v>6</v>
      </c>
      <c r="S730">
        <v>4</v>
      </c>
      <c r="T730">
        <v>0</v>
      </c>
      <c r="U730">
        <v>2</v>
      </c>
      <c r="V730">
        <v>1</v>
      </c>
      <c r="W730">
        <v>0</v>
      </c>
      <c r="X730">
        <v>0</v>
      </c>
      <c r="Y730" t="s">
        <v>113</v>
      </c>
      <c r="Z730" t="s">
        <v>987</v>
      </c>
      <c r="AA730" t="s">
        <v>6821</v>
      </c>
      <c r="AE730">
        <v>0</v>
      </c>
      <c r="AH730" t="s">
        <v>181</v>
      </c>
      <c r="AI730">
        <v>42</v>
      </c>
      <c r="AJ730">
        <v>3</v>
      </c>
      <c r="AK730">
        <v>45</v>
      </c>
      <c r="AL730">
        <v>0</v>
      </c>
      <c r="AM730">
        <v>0</v>
      </c>
      <c r="AN730">
        <v>0.32</v>
      </c>
      <c r="AO730">
        <v>0.3</v>
      </c>
      <c r="AS730">
        <v>3</v>
      </c>
      <c r="AT730">
        <v>1</v>
      </c>
      <c r="AU730">
        <v>1</v>
      </c>
      <c r="AV730">
        <v>86</v>
      </c>
      <c r="AW730">
        <v>76</v>
      </c>
      <c r="AX730">
        <v>225</v>
      </c>
      <c r="AY730">
        <v>1</v>
      </c>
      <c r="AZ730" t="b">
        <v>0</v>
      </c>
      <c r="BA730">
        <v>1646</v>
      </c>
      <c r="BB730">
        <v>1632</v>
      </c>
      <c r="BC730">
        <v>6</v>
      </c>
      <c r="BD730" t="s">
        <v>6772</v>
      </c>
      <c r="BE730" s="1" t="s">
        <v>3594</v>
      </c>
      <c r="BF730">
        <v>0</v>
      </c>
      <c r="BG730">
        <v>71</v>
      </c>
      <c r="BH730">
        <v>1</v>
      </c>
      <c r="BI730" s="1" t="s">
        <v>294</v>
      </c>
      <c r="BJ730" s="1" t="s">
        <v>1079</v>
      </c>
      <c r="BK730" s="1" t="s">
        <v>397</v>
      </c>
      <c r="BL730" s="1" t="s">
        <v>449</v>
      </c>
      <c r="BM730" s="1" t="s">
        <v>397</v>
      </c>
      <c r="BN730">
        <v>4.4000000000000004</v>
      </c>
      <c r="BO730" s="1" t="s">
        <v>169</v>
      </c>
      <c r="BP730" s="1" t="s">
        <v>431</v>
      </c>
      <c r="BQ730">
        <v>0</v>
      </c>
      <c r="BR730">
        <v>0</v>
      </c>
      <c r="BS730" s="1" t="s">
        <v>128</v>
      </c>
      <c r="BT730" s="1" t="s">
        <v>130</v>
      </c>
      <c r="BU730" s="1" t="s">
        <v>128</v>
      </c>
      <c r="BV730" s="1" t="s">
        <v>238</v>
      </c>
      <c r="BW730">
        <v>0</v>
      </c>
      <c r="BX730" s="1" t="s">
        <v>213</v>
      </c>
      <c r="BY730" s="1" t="s">
        <v>129</v>
      </c>
      <c r="BZ730">
        <v>0.2</v>
      </c>
      <c r="CA730">
        <v>0</v>
      </c>
      <c r="CB730">
        <v>0</v>
      </c>
      <c r="CC730">
        <v>0.32</v>
      </c>
      <c r="CD730">
        <v>0.32</v>
      </c>
      <c r="CE730">
        <v>0.3</v>
      </c>
      <c r="CF730">
        <v>0.3</v>
      </c>
      <c r="CG730" s="1" t="s">
        <v>125</v>
      </c>
      <c r="CH730" s="1" t="s">
        <v>752</v>
      </c>
      <c r="CI730" s="1" t="s">
        <v>129</v>
      </c>
      <c r="CJ730">
        <v>1.2</v>
      </c>
      <c r="CK730">
        <v>1</v>
      </c>
      <c r="CL730" s="1" t="s">
        <v>126</v>
      </c>
      <c r="CM730" s="1" t="s">
        <v>406</v>
      </c>
      <c r="CN730" s="1" t="s">
        <v>1177</v>
      </c>
      <c r="CO730" s="1" t="s">
        <v>418</v>
      </c>
      <c r="CP730">
        <v>70</v>
      </c>
      <c r="CQ730" s="1" t="s">
        <v>6822</v>
      </c>
      <c r="CR730" s="1" t="s">
        <v>6823</v>
      </c>
      <c r="CS730" s="1" t="s">
        <v>4075</v>
      </c>
      <c r="CT730">
        <v>1636.6</v>
      </c>
      <c r="CU730" s="1" t="s">
        <v>4024</v>
      </c>
      <c r="CV730">
        <v>1651.2</v>
      </c>
      <c r="CW730">
        <v>64.05</v>
      </c>
      <c r="CX730">
        <v>56.7</v>
      </c>
      <c r="CY730">
        <v>58.6</v>
      </c>
      <c r="CZ730" s="1" t="s">
        <v>593</v>
      </c>
      <c r="DA730">
        <v>1</v>
      </c>
      <c r="DB730" t="s">
        <v>987</v>
      </c>
      <c r="DC730">
        <v>74</v>
      </c>
      <c r="DD730" s="1" t="s">
        <v>6824</v>
      </c>
      <c r="DE730">
        <v>-8.6804921920500195</v>
      </c>
      <c r="DF730" t="str">
        <f>_xlfn.XLOOKUP(Table1[[#This Row],[Player ID]],Table2[feed_id],Table2[trade_status])</f>
        <v>free_agent</v>
      </c>
      <c r="DG730">
        <f>_xlfn.NUMBERVALUE(Table1[[#This Row],[predicted]])</f>
        <v>82.680492192049996</v>
      </c>
    </row>
    <row r="731" spans="1:111" x14ac:dyDescent="0.25">
      <c r="A731">
        <v>132611</v>
      </c>
      <c r="B731">
        <v>9238</v>
      </c>
      <c r="C731" t="s">
        <v>6865</v>
      </c>
      <c r="D731" t="s">
        <v>3116</v>
      </c>
      <c r="E731">
        <v>2025</v>
      </c>
      <c r="F731">
        <v>295342</v>
      </c>
      <c r="G731" t="s">
        <v>1235</v>
      </c>
      <c r="H731" t="s">
        <v>3400</v>
      </c>
      <c r="I731" t="s">
        <v>338</v>
      </c>
      <c r="J731">
        <v>12</v>
      </c>
      <c r="K731">
        <v>75</v>
      </c>
      <c r="L731">
        <v>59</v>
      </c>
      <c r="M731">
        <v>45</v>
      </c>
      <c r="N731">
        <v>60</v>
      </c>
      <c r="O731">
        <v>79</v>
      </c>
      <c r="P731">
        <v>13</v>
      </c>
      <c r="Q731">
        <v>5</v>
      </c>
      <c r="R731">
        <v>7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1</v>
      </c>
      <c r="Y731" t="s">
        <v>113</v>
      </c>
      <c r="Z731" t="s">
        <v>525</v>
      </c>
      <c r="AA731" t="s">
        <v>6997</v>
      </c>
      <c r="AH731" t="s">
        <v>181</v>
      </c>
      <c r="AI731">
        <v>44</v>
      </c>
      <c r="AJ731">
        <v>0</v>
      </c>
      <c r="AK731">
        <v>0</v>
      </c>
      <c r="AL731">
        <v>0</v>
      </c>
      <c r="AM731">
        <v>0.89</v>
      </c>
      <c r="AN731">
        <v>0.75</v>
      </c>
      <c r="AO731">
        <v>0.6</v>
      </c>
      <c r="AS731">
        <v>2</v>
      </c>
      <c r="AT731">
        <v>0</v>
      </c>
      <c r="AU731">
        <v>2</v>
      </c>
      <c r="AV731">
        <v>72</v>
      </c>
      <c r="AW731">
        <v>87</v>
      </c>
      <c r="AX731">
        <v>133</v>
      </c>
      <c r="AY731">
        <v>1</v>
      </c>
      <c r="AZ731" t="b">
        <v>0</v>
      </c>
      <c r="BA731">
        <v>1741</v>
      </c>
      <c r="BB731">
        <v>1546</v>
      </c>
      <c r="BC731">
        <v>6</v>
      </c>
      <c r="BD731" t="s">
        <v>6968</v>
      </c>
      <c r="BE731" s="1" t="s">
        <v>3594</v>
      </c>
      <c r="BF731">
        <v>0</v>
      </c>
      <c r="BG731">
        <v>71</v>
      </c>
      <c r="BH731">
        <v>0</v>
      </c>
      <c r="BI731" s="1" t="s">
        <v>3068</v>
      </c>
      <c r="BJ731" s="1" t="s">
        <v>4001</v>
      </c>
      <c r="BK731" s="1" t="s">
        <v>124</v>
      </c>
      <c r="BL731" s="1" t="s">
        <v>183</v>
      </c>
      <c r="BM731" s="1" t="s">
        <v>977</v>
      </c>
      <c r="BN731" s="1" t="s">
        <v>624</v>
      </c>
      <c r="BO731" s="1" t="s">
        <v>126</v>
      </c>
      <c r="BP731" s="1" t="s">
        <v>214</v>
      </c>
      <c r="BQ731">
        <v>0</v>
      </c>
      <c r="BR731">
        <v>0</v>
      </c>
      <c r="BS731" s="1" t="s">
        <v>128</v>
      </c>
      <c r="BT731">
        <v>0.4</v>
      </c>
      <c r="BU731" s="1" t="s">
        <v>129</v>
      </c>
      <c r="BV731" s="1" t="s">
        <v>184</v>
      </c>
      <c r="BW731">
        <v>0</v>
      </c>
      <c r="BX731" s="1" t="s">
        <v>184</v>
      </c>
      <c r="BY731" s="1" t="s">
        <v>128</v>
      </c>
      <c r="BZ731" s="1" t="s">
        <v>129</v>
      </c>
      <c r="CA731">
        <v>0.89</v>
      </c>
      <c r="CB731">
        <v>0.89</v>
      </c>
      <c r="CC731">
        <v>0.75</v>
      </c>
      <c r="CD731">
        <v>0.75</v>
      </c>
      <c r="CE731">
        <v>0.6</v>
      </c>
      <c r="CF731">
        <v>0.6</v>
      </c>
      <c r="CG731" s="1" t="s">
        <v>125</v>
      </c>
      <c r="CH731">
        <v>4.2</v>
      </c>
      <c r="CI731" s="1" t="s">
        <v>128</v>
      </c>
      <c r="CJ731" s="1" t="s">
        <v>162</v>
      </c>
      <c r="CK731">
        <v>2</v>
      </c>
      <c r="CL731">
        <v>1.8</v>
      </c>
      <c r="CM731" s="1" t="s">
        <v>241</v>
      </c>
      <c r="CN731">
        <v>77.2</v>
      </c>
      <c r="CO731" s="1" t="s">
        <v>1491</v>
      </c>
      <c r="CP731">
        <v>85.6</v>
      </c>
      <c r="CQ731" s="1" t="s">
        <v>6998</v>
      </c>
      <c r="CR731">
        <v>357.2</v>
      </c>
      <c r="CS731" s="1" t="s">
        <v>6970</v>
      </c>
      <c r="CT731" s="1" t="s">
        <v>4868</v>
      </c>
      <c r="CU731">
        <v>1683</v>
      </c>
      <c r="CV731" s="1" t="s">
        <v>5588</v>
      </c>
      <c r="CW731">
        <v>83.8</v>
      </c>
      <c r="CX731">
        <v>85</v>
      </c>
      <c r="CY731">
        <v>78.2</v>
      </c>
      <c r="CZ731" s="1" t="s">
        <v>364</v>
      </c>
      <c r="DA731">
        <v>1</v>
      </c>
      <c r="DB731" t="s">
        <v>525</v>
      </c>
      <c r="DC731">
        <v>59</v>
      </c>
      <c r="DD731" s="1" t="s">
        <v>6999</v>
      </c>
      <c r="DE731">
        <v>-22.939827095406301</v>
      </c>
      <c r="DF731" t="str">
        <f>_xlfn.XLOOKUP(Table1[[#This Row],[Player ID]],Table2[feed_id],Table2[trade_status])</f>
        <v>free_agent</v>
      </c>
      <c r="DG731">
        <f>_xlfn.NUMBERVALUE(Table1[[#This Row],[predicted]])</f>
        <v>81.939827095406301</v>
      </c>
    </row>
    <row r="732" spans="1:111" x14ac:dyDescent="0.25">
      <c r="A732">
        <v>132592</v>
      </c>
      <c r="B732">
        <v>9238</v>
      </c>
      <c r="C732" t="s">
        <v>6865</v>
      </c>
      <c r="D732" t="s">
        <v>3116</v>
      </c>
      <c r="E732">
        <v>2025</v>
      </c>
      <c r="F732">
        <v>1008089</v>
      </c>
      <c r="G732" t="s">
        <v>4961</v>
      </c>
      <c r="H732" t="s">
        <v>6928</v>
      </c>
      <c r="I732" t="s">
        <v>112</v>
      </c>
      <c r="J732">
        <v>9</v>
      </c>
      <c r="K732">
        <v>64</v>
      </c>
      <c r="L732">
        <v>66</v>
      </c>
      <c r="M732">
        <v>85</v>
      </c>
      <c r="N732">
        <v>53</v>
      </c>
      <c r="O732">
        <v>69</v>
      </c>
      <c r="P732">
        <v>11</v>
      </c>
      <c r="Q732">
        <v>3</v>
      </c>
      <c r="R732">
        <v>8</v>
      </c>
      <c r="S732">
        <v>1</v>
      </c>
      <c r="T732">
        <v>0</v>
      </c>
      <c r="U732">
        <v>0</v>
      </c>
      <c r="V732">
        <v>1</v>
      </c>
      <c r="W732">
        <v>0</v>
      </c>
      <c r="X732">
        <v>0</v>
      </c>
      <c r="Y732" t="s">
        <v>113</v>
      </c>
      <c r="Z732" t="s">
        <v>226</v>
      </c>
      <c r="AA732" t="s">
        <v>6929</v>
      </c>
      <c r="AH732" t="s">
        <v>181</v>
      </c>
      <c r="AI732">
        <v>3</v>
      </c>
      <c r="AJ732">
        <v>0</v>
      </c>
      <c r="AK732">
        <v>0</v>
      </c>
      <c r="AL732">
        <v>0</v>
      </c>
      <c r="AM732">
        <v>0.57999999999999996</v>
      </c>
      <c r="AN732">
        <v>0.97</v>
      </c>
      <c r="AO732">
        <v>1.93</v>
      </c>
      <c r="AS732">
        <v>3</v>
      </c>
      <c r="AT732">
        <v>0</v>
      </c>
      <c r="AU732">
        <v>2</v>
      </c>
      <c r="AV732">
        <v>78</v>
      </c>
      <c r="AW732">
        <v>79</v>
      </c>
      <c r="AX732">
        <v>369</v>
      </c>
      <c r="AY732">
        <v>0</v>
      </c>
      <c r="AZ732" t="b">
        <v>0</v>
      </c>
      <c r="BA732">
        <v>1546</v>
      </c>
      <c r="BB732">
        <v>1741</v>
      </c>
      <c r="BC732">
        <v>6</v>
      </c>
      <c r="BD732" t="s">
        <v>6869</v>
      </c>
      <c r="BE732" s="1" t="s">
        <v>3594</v>
      </c>
      <c r="BF732">
        <v>0</v>
      </c>
      <c r="BG732">
        <v>71</v>
      </c>
      <c r="BH732">
        <v>0</v>
      </c>
      <c r="BI732" s="1" t="s">
        <v>253</v>
      </c>
      <c r="BJ732" s="1" t="s">
        <v>1079</v>
      </c>
      <c r="BK732" s="1" t="s">
        <v>169</v>
      </c>
      <c r="BL732" s="1" t="s">
        <v>211</v>
      </c>
      <c r="BM732">
        <v>4</v>
      </c>
      <c r="BN732" s="1" t="s">
        <v>990</v>
      </c>
      <c r="BO732" s="1" t="s">
        <v>159</v>
      </c>
      <c r="BP732">
        <v>2.6</v>
      </c>
      <c r="BQ732">
        <v>0</v>
      </c>
      <c r="BR732">
        <v>0</v>
      </c>
      <c r="BS732" s="1" t="s">
        <v>128</v>
      </c>
      <c r="BT732">
        <v>0.6</v>
      </c>
      <c r="BU732" s="1" t="s">
        <v>128</v>
      </c>
      <c r="BV732" s="1" t="s">
        <v>128</v>
      </c>
      <c r="BW732">
        <v>0</v>
      </c>
      <c r="BX732" s="1" t="s">
        <v>213</v>
      </c>
      <c r="BY732">
        <v>0</v>
      </c>
      <c r="BZ732">
        <v>0</v>
      </c>
      <c r="CA732">
        <v>0.57999999999999996</v>
      </c>
      <c r="CB732">
        <v>0.57999999999999996</v>
      </c>
      <c r="CC732">
        <v>0.97</v>
      </c>
      <c r="CD732">
        <v>0.97</v>
      </c>
      <c r="CE732">
        <v>1.93</v>
      </c>
      <c r="CF732">
        <v>1.93</v>
      </c>
      <c r="CG732">
        <v>3</v>
      </c>
      <c r="CH732" s="1" t="s">
        <v>321</v>
      </c>
      <c r="CI732" s="1" t="s">
        <v>129</v>
      </c>
      <c r="CJ732">
        <v>0.4</v>
      </c>
      <c r="CK732" s="1" t="s">
        <v>161</v>
      </c>
      <c r="CL732" s="1" t="s">
        <v>214</v>
      </c>
      <c r="CM732" s="1" t="s">
        <v>2177</v>
      </c>
      <c r="CN732" s="1" t="s">
        <v>994</v>
      </c>
      <c r="CO732">
        <v>78</v>
      </c>
      <c r="CP732">
        <v>82.4</v>
      </c>
      <c r="CQ732">
        <v>206</v>
      </c>
      <c r="CR732">
        <v>215.4</v>
      </c>
      <c r="CS732">
        <v>1729</v>
      </c>
      <c r="CT732" s="1" t="s">
        <v>6015</v>
      </c>
      <c r="CU732" s="1" t="s">
        <v>5214</v>
      </c>
      <c r="CV732" s="1" t="s">
        <v>2023</v>
      </c>
      <c r="CW732">
        <v>57.45</v>
      </c>
      <c r="CX732">
        <v>56.9</v>
      </c>
      <c r="CY732">
        <v>56.4</v>
      </c>
      <c r="CZ732" s="1" t="s">
        <v>1291</v>
      </c>
      <c r="DA732">
        <v>1</v>
      </c>
      <c r="DB732" t="s">
        <v>226</v>
      </c>
      <c r="DC732">
        <v>66</v>
      </c>
      <c r="DD732">
        <v>81.263622634811696</v>
      </c>
      <c r="DE732">
        <v>-15.2636226348116</v>
      </c>
      <c r="DF732" t="str">
        <f>_xlfn.XLOOKUP(Table1[[#This Row],[Player ID]],Table2[feed_id],Table2[trade_status])</f>
        <v>free_agent</v>
      </c>
      <c r="DG732">
        <f>_xlfn.NUMBERVALUE(Table1[[#This Row],[predicted]])</f>
        <v>81.263622634811696</v>
      </c>
    </row>
    <row r="733" spans="1:111" x14ac:dyDescent="0.25">
      <c r="A733">
        <v>132725</v>
      </c>
      <c r="B733">
        <v>9241</v>
      </c>
      <c r="C733" t="s">
        <v>7418</v>
      </c>
      <c r="D733" t="s">
        <v>3116</v>
      </c>
      <c r="E733">
        <v>2025</v>
      </c>
      <c r="F733">
        <v>992351</v>
      </c>
      <c r="G733" t="s">
        <v>6558</v>
      </c>
      <c r="H733" t="s">
        <v>3370</v>
      </c>
      <c r="I733" t="s">
        <v>712</v>
      </c>
      <c r="J733">
        <v>13</v>
      </c>
      <c r="K733">
        <v>68</v>
      </c>
      <c r="L733">
        <v>94</v>
      </c>
      <c r="M733">
        <v>82</v>
      </c>
      <c r="N733">
        <v>57</v>
      </c>
      <c r="O733">
        <v>76</v>
      </c>
      <c r="P733">
        <v>9</v>
      </c>
      <c r="Q733">
        <v>10</v>
      </c>
      <c r="R733">
        <v>3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1</v>
      </c>
      <c r="Y733" t="s">
        <v>113</v>
      </c>
      <c r="Z733" t="s">
        <v>7462</v>
      </c>
      <c r="AA733" t="s">
        <v>7463</v>
      </c>
      <c r="AH733" t="s">
        <v>181</v>
      </c>
      <c r="AI733">
        <v>34</v>
      </c>
      <c r="AJ733">
        <v>0</v>
      </c>
      <c r="AK733">
        <v>0</v>
      </c>
      <c r="AL733">
        <v>0</v>
      </c>
      <c r="AM733">
        <v>0.27</v>
      </c>
      <c r="AN733">
        <v>0.12</v>
      </c>
      <c r="AO733">
        <v>0.11</v>
      </c>
      <c r="AS733">
        <v>6</v>
      </c>
      <c r="AT733">
        <v>1</v>
      </c>
      <c r="AU733">
        <v>0</v>
      </c>
      <c r="AV733">
        <v>89</v>
      </c>
      <c r="AW733">
        <v>86</v>
      </c>
      <c r="AX733">
        <v>244</v>
      </c>
      <c r="AY733">
        <v>0</v>
      </c>
      <c r="AZ733" t="b">
        <v>0</v>
      </c>
      <c r="BA733">
        <v>1780</v>
      </c>
      <c r="BB733">
        <v>1518</v>
      </c>
      <c r="BC733">
        <v>6</v>
      </c>
      <c r="BD733" t="s">
        <v>7420</v>
      </c>
      <c r="BE733" s="1" t="s">
        <v>3594</v>
      </c>
      <c r="BF733">
        <v>0</v>
      </c>
      <c r="BG733">
        <v>71</v>
      </c>
      <c r="BH733">
        <v>1</v>
      </c>
      <c r="BI733">
        <v>9</v>
      </c>
      <c r="BJ733">
        <v>9.4</v>
      </c>
      <c r="BK733" s="1" t="s">
        <v>356</v>
      </c>
      <c r="BL733" s="1" t="s">
        <v>1041</v>
      </c>
      <c r="BM733" s="1" t="s">
        <v>160</v>
      </c>
      <c r="BN733" s="1" t="s">
        <v>205</v>
      </c>
      <c r="BO733">
        <v>2</v>
      </c>
      <c r="BP733" s="1" t="s">
        <v>304</v>
      </c>
      <c r="BQ733">
        <v>0</v>
      </c>
      <c r="BR733">
        <v>0</v>
      </c>
      <c r="BS733">
        <v>1</v>
      </c>
      <c r="BT733" s="1" t="s">
        <v>184</v>
      </c>
      <c r="BU733">
        <v>1</v>
      </c>
      <c r="BV733" s="1" t="s">
        <v>238</v>
      </c>
      <c r="BW733" s="1" t="s">
        <v>129</v>
      </c>
      <c r="BX733" s="1" t="s">
        <v>231</v>
      </c>
      <c r="BY733" s="1" t="s">
        <v>128</v>
      </c>
      <c r="BZ733">
        <v>0.2</v>
      </c>
      <c r="CA733">
        <v>0.27</v>
      </c>
      <c r="CB733">
        <v>0.27</v>
      </c>
      <c r="CC733">
        <v>0.12</v>
      </c>
      <c r="CD733">
        <v>0.12</v>
      </c>
      <c r="CE733">
        <v>0.11</v>
      </c>
      <c r="CF733">
        <v>0.11</v>
      </c>
      <c r="CG733">
        <v>8</v>
      </c>
      <c r="CH733" s="1" t="s">
        <v>416</v>
      </c>
      <c r="CI733" s="1" t="s">
        <v>159</v>
      </c>
      <c r="CJ733" s="1" t="s">
        <v>206</v>
      </c>
      <c r="CK733" s="1" t="s">
        <v>161</v>
      </c>
      <c r="CL733">
        <v>2</v>
      </c>
      <c r="CM733" s="1" t="s">
        <v>142</v>
      </c>
      <c r="CN733" s="1" t="s">
        <v>755</v>
      </c>
      <c r="CO733" s="1" t="s">
        <v>406</v>
      </c>
      <c r="CP733">
        <v>85</v>
      </c>
      <c r="CQ733" s="1" t="s">
        <v>6323</v>
      </c>
      <c r="CR733" s="1" t="s">
        <v>7464</v>
      </c>
      <c r="CS733" s="1" t="s">
        <v>664</v>
      </c>
      <c r="CT733" s="1" t="s">
        <v>6909</v>
      </c>
      <c r="CU733" s="1" t="s">
        <v>3948</v>
      </c>
      <c r="CV733">
        <v>1647</v>
      </c>
      <c r="CW733">
        <v>75.95</v>
      </c>
      <c r="CX733">
        <v>77.099999999999994</v>
      </c>
      <c r="CY733">
        <v>76.400000000000006</v>
      </c>
      <c r="CZ733" s="1" t="s">
        <v>1273</v>
      </c>
      <c r="DA733">
        <v>1</v>
      </c>
      <c r="DB733" t="s">
        <v>7462</v>
      </c>
      <c r="DC733">
        <v>94</v>
      </c>
      <c r="DD733">
        <v>81.118672030655205</v>
      </c>
      <c r="DE733" s="1" t="s">
        <v>7465</v>
      </c>
      <c r="DF733" t="str">
        <f>_xlfn.XLOOKUP(Table1[[#This Row],[Player ID]],Table2[feed_id],Table2[trade_status])</f>
        <v>free_agent</v>
      </c>
      <c r="DG733">
        <f>_xlfn.NUMBERVALUE(Table1[[#This Row],[predicted]])</f>
        <v>81.118672030655205</v>
      </c>
    </row>
    <row r="734" spans="1:111" x14ac:dyDescent="0.25">
      <c r="A734">
        <v>132875</v>
      </c>
      <c r="B734">
        <v>9244</v>
      </c>
      <c r="C734" t="s">
        <v>7983</v>
      </c>
      <c r="D734" t="s">
        <v>3116</v>
      </c>
      <c r="E734">
        <v>2025</v>
      </c>
      <c r="F734">
        <v>280109</v>
      </c>
      <c r="G734" t="s">
        <v>8091</v>
      </c>
      <c r="H734" t="s">
        <v>8092</v>
      </c>
      <c r="I734" t="s">
        <v>1089</v>
      </c>
      <c r="J734">
        <v>26</v>
      </c>
      <c r="K734">
        <v>108</v>
      </c>
      <c r="L734">
        <v>105</v>
      </c>
      <c r="M734">
        <v>76</v>
      </c>
      <c r="N734">
        <v>91</v>
      </c>
      <c r="O734">
        <v>120</v>
      </c>
      <c r="P734">
        <v>15</v>
      </c>
      <c r="Q734">
        <v>12</v>
      </c>
      <c r="R734">
        <v>9</v>
      </c>
      <c r="S734">
        <v>2</v>
      </c>
      <c r="T734">
        <v>0</v>
      </c>
      <c r="U734">
        <v>1</v>
      </c>
      <c r="V734">
        <v>1</v>
      </c>
      <c r="W734">
        <v>1</v>
      </c>
      <c r="X734">
        <v>0</v>
      </c>
      <c r="Y734" t="s">
        <v>113</v>
      </c>
      <c r="Z734" t="s">
        <v>1757</v>
      </c>
      <c r="AA734" t="s">
        <v>8093</v>
      </c>
      <c r="AB734" t="s">
        <v>525</v>
      </c>
      <c r="AC734" t="s">
        <v>8094</v>
      </c>
      <c r="AE734">
        <v>0</v>
      </c>
      <c r="AH734" t="s">
        <v>118</v>
      </c>
      <c r="AI734">
        <v>8</v>
      </c>
      <c r="AJ734">
        <v>21</v>
      </c>
      <c r="AK734">
        <v>96.86</v>
      </c>
      <c r="AL734">
        <v>0</v>
      </c>
      <c r="AM734">
        <v>0</v>
      </c>
      <c r="AN734">
        <v>0.1</v>
      </c>
      <c r="AO734">
        <v>0.2</v>
      </c>
      <c r="AS734">
        <v>5</v>
      </c>
      <c r="AT734">
        <v>2</v>
      </c>
      <c r="AU734">
        <v>4</v>
      </c>
      <c r="AV734">
        <v>85</v>
      </c>
      <c r="AW734">
        <v>86</v>
      </c>
      <c r="AX734">
        <v>347</v>
      </c>
      <c r="AY734">
        <v>0</v>
      </c>
      <c r="AZ734" t="b">
        <v>1</v>
      </c>
      <c r="BA734">
        <v>1473</v>
      </c>
      <c r="BB734">
        <v>1816</v>
      </c>
      <c r="BC734">
        <v>6</v>
      </c>
      <c r="BD734" t="s">
        <v>8080</v>
      </c>
      <c r="BE734" s="1" t="s">
        <v>3594</v>
      </c>
      <c r="BF734">
        <v>1</v>
      </c>
      <c r="BG734">
        <v>71</v>
      </c>
      <c r="BH734">
        <v>1</v>
      </c>
      <c r="BI734" s="1" t="s">
        <v>545</v>
      </c>
      <c r="BJ734" s="1" t="s">
        <v>879</v>
      </c>
      <c r="BK734" s="1" t="s">
        <v>356</v>
      </c>
      <c r="BL734" s="1" t="s">
        <v>977</v>
      </c>
      <c r="BM734" s="1" t="s">
        <v>211</v>
      </c>
      <c r="BN734" s="1" t="s">
        <v>752</v>
      </c>
      <c r="BO734" s="1" t="s">
        <v>126</v>
      </c>
      <c r="BP734" s="1" t="s">
        <v>161</v>
      </c>
      <c r="BQ734">
        <v>0</v>
      </c>
      <c r="BR734">
        <v>0</v>
      </c>
      <c r="BS734" s="1" t="s">
        <v>128</v>
      </c>
      <c r="BT734" s="1" t="s">
        <v>130</v>
      </c>
      <c r="BU734">
        <v>1</v>
      </c>
      <c r="BV734" s="1" t="s">
        <v>238</v>
      </c>
      <c r="BW734" s="1" t="s">
        <v>128</v>
      </c>
      <c r="BX734" s="1" t="s">
        <v>162</v>
      </c>
      <c r="BY734">
        <v>0</v>
      </c>
      <c r="BZ734" s="1" t="s">
        <v>213</v>
      </c>
      <c r="CA734">
        <v>0</v>
      </c>
      <c r="CB734">
        <v>0</v>
      </c>
      <c r="CC734">
        <v>0.1</v>
      </c>
      <c r="CD734">
        <v>0.1</v>
      </c>
      <c r="CE734">
        <v>0.2</v>
      </c>
      <c r="CF734">
        <v>0.2</v>
      </c>
      <c r="CG734" s="1" t="s">
        <v>204</v>
      </c>
      <c r="CH734">
        <v>6.2</v>
      </c>
      <c r="CI734">
        <v>2</v>
      </c>
      <c r="CJ734" s="1" t="s">
        <v>566</v>
      </c>
      <c r="CK734" s="1" t="s">
        <v>169</v>
      </c>
      <c r="CL734">
        <v>2.2000000000000002</v>
      </c>
      <c r="CM734" s="1" t="s">
        <v>406</v>
      </c>
      <c r="CN734" s="1" t="s">
        <v>850</v>
      </c>
      <c r="CO734" s="1" t="s">
        <v>516</v>
      </c>
      <c r="CP734" s="1" t="s">
        <v>6836</v>
      </c>
      <c r="CQ734">
        <v>231</v>
      </c>
      <c r="CR734" s="1" t="s">
        <v>8095</v>
      </c>
      <c r="CS734">
        <v>1829</v>
      </c>
      <c r="CT734" s="1" t="s">
        <v>8096</v>
      </c>
      <c r="CU734">
        <v>1466</v>
      </c>
      <c r="CV734">
        <v>1533.6</v>
      </c>
      <c r="CW734">
        <v>82.35</v>
      </c>
      <c r="CX734">
        <v>79.900000000000006</v>
      </c>
      <c r="CY734">
        <v>90.2</v>
      </c>
      <c r="CZ734">
        <v>78</v>
      </c>
      <c r="DA734">
        <v>1</v>
      </c>
      <c r="DB734" t="s">
        <v>1757</v>
      </c>
      <c r="DC734">
        <v>105</v>
      </c>
      <c r="DD734" s="1" t="s">
        <v>8097</v>
      </c>
      <c r="DE734" s="1" t="s">
        <v>8098</v>
      </c>
      <c r="DF734" t="str">
        <f>_xlfn.XLOOKUP(Table1[[#This Row],[Player ID]],Table2[feed_id],Table2[trade_status])</f>
        <v>free_agent</v>
      </c>
      <c r="DG734">
        <f>_xlfn.NUMBERVALUE(Table1[[#This Row],[predicted]])</f>
        <v>80.999044823066299</v>
      </c>
    </row>
    <row r="735" spans="1:111" x14ac:dyDescent="0.25">
      <c r="A735">
        <v>132617</v>
      </c>
      <c r="B735">
        <v>9238</v>
      </c>
      <c r="C735" t="s">
        <v>6865</v>
      </c>
      <c r="D735" t="s">
        <v>3116</v>
      </c>
      <c r="E735">
        <v>2025</v>
      </c>
      <c r="F735">
        <v>1006232</v>
      </c>
      <c r="G735" t="s">
        <v>958</v>
      </c>
      <c r="H735" t="s">
        <v>7012</v>
      </c>
      <c r="I735" t="s">
        <v>338</v>
      </c>
      <c r="J735">
        <v>9</v>
      </c>
      <c r="K735">
        <v>57</v>
      </c>
      <c r="L735">
        <v>45</v>
      </c>
      <c r="M735">
        <v>41</v>
      </c>
      <c r="N735">
        <v>42</v>
      </c>
      <c r="O735">
        <v>60</v>
      </c>
      <c r="P735">
        <v>9</v>
      </c>
      <c r="Q735">
        <v>4</v>
      </c>
      <c r="R735">
        <v>3</v>
      </c>
      <c r="S735">
        <v>4</v>
      </c>
      <c r="T735">
        <v>0</v>
      </c>
      <c r="U735">
        <v>0</v>
      </c>
      <c r="V735">
        <v>1</v>
      </c>
      <c r="W735">
        <v>0</v>
      </c>
      <c r="X735">
        <v>0</v>
      </c>
      <c r="Y735" t="s">
        <v>113</v>
      </c>
      <c r="Z735" t="s">
        <v>226</v>
      </c>
      <c r="AA735" t="s">
        <v>6047</v>
      </c>
      <c r="AH735" t="s">
        <v>155</v>
      </c>
      <c r="AI735">
        <v>15</v>
      </c>
      <c r="AJ735">
        <v>0</v>
      </c>
      <c r="AK735">
        <v>0</v>
      </c>
      <c r="AL735">
        <v>0</v>
      </c>
      <c r="AM735">
        <v>0.44</v>
      </c>
      <c r="AN735">
        <v>0.06</v>
      </c>
      <c r="AO735">
        <v>0.05</v>
      </c>
      <c r="AS735">
        <v>2</v>
      </c>
      <c r="AT735">
        <v>0</v>
      </c>
      <c r="AU735">
        <v>3</v>
      </c>
      <c r="AV735">
        <v>69</v>
      </c>
      <c r="AW735">
        <v>87</v>
      </c>
      <c r="AX735">
        <v>345</v>
      </c>
      <c r="AY735">
        <v>0</v>
      </c>
      <c r="AZ735" t="b">
        <v>0</v>
      </c>
      <c r="BA735">
        <v>1741</v>
      </c>
      <c r="BB735">
        <v>1546</v>
      </c>
      <c r="BC735">
        <v>6</v>
      </c>
      <c r="BD735" t="s">
        <v>6968</v>
      </c>
      <c r="BE735" s="1" t="s">
        <v>3594</v>
      </c>
      <c r="BF735">
        <v>0</v>
      </c>
      <c r="BG735">
        <v>71</v>
      </c>
      <c r="BH735">
        <v>0</v>
      </c>
      <c r="BI735" s="1" t="s">
        <v>294</v>
      </c>
      <c r="BJ735" s="1" t="s">
        <v>964</v>
      </c>
      <c r="BK735" s="1" t="s">
        <v>160</v>
      </c>
      <c r="BL735" s="1" t="s">
        <v>124</v>
      </c>
      <c r="BM735">
        <v>2</v>
      </c>
      <c r="BN735" s="1" t="s">
        <v>304</v>
      </c>
      <c r="BO735" s="1" t="s">
        <v>169</v>
      </c>
      <c r="BP735" s="1" t="s">
        <v>170</v>
      </c>
      <c r="BQ735">
        <v>0</v>
      </c>
      <c r="BR735">
        <v>0</v>
      </c>
      <c r="BS735" s="1" t="s">
        <v>128</v>
      </c>
      <c r="BT735" s="1" t="s">
        <v>238</v>
      </c>
      <c r="BU735" s="1" t="s">
        <v>126</v>
      </c>
      <c r="BV735">
        <v>1.4</v>
      </c>
      <c r="BW735">
        <v>0</v>
      </c>
      <c r="BX735" s="1" t="s">
        <v>184</v>
      </c>
      <c r="BY735">
        <v>0</v>
      </c>
      <c r="BZ735" s="1" t="s">
        <v>184</v>
      </c>
      <c r="CA735">
        <v>0.44</v>
      </c>
      <c r="CB735">
        <v>0.44</v>
      </c>
      <c r="CC735">
        <v>0.06</v>
      </c>
      <c r="CD735">
        <v>0.06</v>
      </c>
      <c r="CE735">
        <v>0.05</v>
      </c>
      <c r="CF735">
        <v>0.05</v>
      </c>
      <c r="CG735" s="1" t="s">
        <v>169</v>
      </c>
      <c r="CH735" s="1" t="s">
        <v>160</v>
      </c>
      <c r="CI735" s="1" t="s">
        <v>126</v>
      </c>
      <c r="CJ735" s="1" t="s">
        <v>238</v>
      </c>
      <c r="CK735" s="1" t="s">
        <v>159</v>
      </c>
      <c r="CL735" s="1" t="s">
        <v>237</v>
      </c>
      <c r="CM735" s="1" t="s">
        <v>883</v>
      </c>
      <c r="CN735" s="1" t="s">
        <v>6743</v>
      </c>
      <c r="CO735" s="1" t="s">
        <v>406</v>
      </c>
      <c r="CP735">
        <v>78.2</v>
      </c>
      <c r="CQ735" s="1" t="s">
        <v>6837</v>
      </c>
      <c r="CR735">
        <v>189.2</v>
      </c>
      <c r="CS735" s="1" t="s">
        <v>6970</v>
      </c>
      <c r="CT735" s="1" t="s">
        <v>7013</v>
      </c>
      <c r="CU735">
        <v>1683</v>
      </c>
      <c r="CV735" s="1" t="s">
        <v>2135</v>
      </c>
      <c r="CW735">
        <v>48.45</v>
      </c>
      <c r="CX735">
        <v>42.1</v>
      </c>
      <c r="CY735">
        <v>51.8</v>
      </c>
      <c r="CZ735" s="1" t="s">
        <v>283</v>
      </c>
      <c r="DA735">
        <v>1</v>
      </c>
      <c r="DB735" t="s">
        <v>226</v>
      </c>
      <c r="DC735">
        <v>45</v>
      </c>
      <c r="DD735" s="1" t="s">
        <v>7014</v>
      </c>
      <c r="DE735">
        <v>-35.964142746755499</v>
      </c>
      <c r="DF735" t="str">
        <f>_xlfn.XLOOKUP(Table1[[#This Row],[Player ID]],Table2[feed_id],Table2[trade_status])</f>
        <v>free_agent</v>
      </c>
      <c r="DG735">
        <f>_xlfn.NUMBERVALUE(Table1[[#This Row],[predicted]])</f>
        <v>80.964142746755499</v>
      </c>
    </row>
    <row r="736" spans="1:111" x14ac:dyDescent="0.25">
      <c r="A736">
        <v>132545</v>
      </c>
      <c r="B736">
        <v>9237</v>
      </c>
      <c r="C736" t="s">
        <v>6650</v>
      </c>
      <c r="D736" t="s">
        <v>3116</v>
      </c>
      <c r="E736">
        <v>2025</v>
      </c>
      <c r="F736">
        <v>1021031</v>
      </c>
      <c r="G736" t="s">
        <v>176</v>
      </c>
      <c r="H736" t="s">
        <v>6715</v>
      </c>
      <c r="I736" t="s">
        <v>510</v>
      </c>
      <c r="J736">
        <v>14</v>
      </c>
      <c r="K736">
        <v>72</v>
      </c>
      <c r="L736">
        <v>73</v>
      </c>
      <c r="M736">
        <v>94</v>
      </c>
      <c r="N736">
        <v>58</v>
      </c>
      <c r="O736">
        <v>81</v>
      </c>
      <c r="P736">
        <v>8</v>
      </c>
      <c r="Q736">
        <v>10</v>
      </c>
      <c r="R736">
        <v>4</v>
      </c>
      <c r="S736">
        <v>5</v>
      </c>
      <c r="T736">
        <v>0</v>
      </c>
      <c r="U736">
        <v>2</v>
      </c>
      <c r="V736">
        <v>2</v>
      </c>
      <c r="W736">
        <v>0</v>
      </c>
      <c r="X736">
        <v>0</v>
      </c>
      <c r="Y736" t="s">
        <v>113</v>
      </c>
      <c r="Z736" t="s">
        <v>6716</v>
      </c>
      <c r="AA736" t="s">
        <v>6717</v>
      </c>
      <c r="AH736" t="s">
        <v>118</v>
      </c>
      <c r="AI736">
        <v>27</v>
      </c>
      <c r="AJ736">
        <v>0</v>
      </c>
      <c r="AK736">
        <v>0</v>
      </c>
      <c r="AL736">
        <v>0</v>
      </c>
      <c r="AM736">
        <v>0.18</v>
      </c>
      <c r="AN736">
        <v>0.14000000000000001</v>
      </c>
      <c r="AO736">
        <v>0.38</v>
      </c>
      <c r="AS736">
        <v>8</v>
      </c>
      <c r="AT736">
        <v>0</v>
      </c>
      <c r="AU736">
        <v>5</v>
      </c>
      <c r="AV736">
        <v>83</v>
      </c>
      <c r="AW736">
        <v>82</v>
      </c>
      <c r="AX736">
        <v>122</v>
      </c>
      <c r="AY736">
        <v>0</v>
      </c>
      <c r="AZ736" t="b">
        <v>0</v>
      </c>
      <c r="BA736">
        <v>1632</v>
      </c>
      <c r="BB736">
        <v>1646</v>
      </c>
      <c r="BC736">
        <v>6</v>
      </c>
      <c r="BD736" t="s">
        <v>6656</v>
      </c>
      <c r="BE736" s="1" t="s">
        <v>3594</v>
      </c>
      <c r="BF736">
        <v>0</v>
      </c>
      <c r="BG736">
        <v>71</v>
      </c>
      <c r="BH736">
        <v>1</v>
      </c>
      <c r="BI736">
        <v>10</v>
      </c>
      <c r="BJ736">
        <v>10</v>
      </c>
      <c r="BK736" s="1" t="s">
        <v>183</v>
      </c>
      <c r="BL736">
        <v>7.8</v>
      </c>
      <c r="BM736" s="1" t="s">
        <v>138</v>
      </c>
      <c r="BN736">
        <v>4.8</v>
      </c>
      <c r="BO736" s="1" t="s">
        <v>138</v>
      </c>
      <c r="BP736" s="1" t="s">
        <v>375</v>
      </c>
      <c r="BQ736">
        <v>0</v>
      </c>
      <c r="BR736">
        <v>0</v>
      </c>
      <c r="BS736" s="1" t="s">
        <v>126</v>
      </c>
      <c r="BT736" s="1" t="s">
        <v>399</v>
      </c>
      <c r="BU736" s="1" t="s">
        <v>126</v>
      </c>
      <c r="BV736">
        <v>0.8</v>
      </c>
      <c r="BW736" s="1" t="s">
        <v>129</v>
      </c>
      <c r="BX736">
        <v>6.6666666666666596E-2</v>
      </c>
      <c r="BY736">
        <v>0</v>
      </c>
      <c r="BZ736">
        <v>0</v>
      </c>
      <c r="CA736">
        <v>0.18</v>
      </c>
      <c r="CB736">
        <v>0.18</v>
      </c>
      <c r="CC736">
        <v>0.14000000000000001</v>
      </c>
      <c r="CD736">
        <v>0.14000000000000001</v>
      </c>
      <c r="CE736">
        <v>0.38</v>
      </c>
      <c r="CF736">
        <v>0.38</v>
      </c>
      <c r="CG736" s="1" t="s">
        <v>397</v>
      </c>
      <c r="CH736" s="1" t="s">
        <v>898</v>
      </c>
      <c r="CI736" s="1" t="s">
        <v>129</v>
      </c>
      <c r="CJ736">
        <v>0.6</v>
      </c>
      <c r="CK736">
        <v>4</v>
      </c>
      <c r="CL736" s="1" t="s">
        <v>255</v>
      </c>
      <c r="CM736" s="1" t="s">
        <v>364</v>
      </c>
      <c r="CN736">
        <v>78.599999999999994</v>
      </c>
      <c r="CO736">
        <v>81</v>
      </c>
      <c r="CP736" s="1" t="s">
        <v>994</v>
      </c>
      <c r="CQ736">
        <v>266</v>
      </c>
      <c r="CR736">
        <v>225.8</v>
      </c>
      <c r="CS736" s="1" t="s">
        <v>6004</v>
      </c>
      <c r="CT736">
        <v>1653</v>
      </c>
      <c r="CU736" s="1" t="s">
        <v>6718</v>
      </c>
      <c r="CV736" s="1" t="s">
        <v>6719</v>
      </c>
      <c r="CW736">
        <v>71.25</v>
      </c>
      <c r="CX736">
        <v>69.900000000000006</v>
      </c>
      <c r="CY736">
        <v>66.400000000000006</v>
      </c>
      <c r="CZ736" s="1" t="s">
        <v>516</v>
      </c>
      <c r="DA736">
        <v>1</v>
      </c>
      <c r="DB736" t="s">
        <v>6716</v>
      </c>
      <c r="DC736">
        <v>73</v>
      </c>
      <c r="DD736" s="1" t="s">
        <v>6720</v>
      </c>
      <c r="DE736">
        <v>-7.6841095497970704</v>
      </c>
      <c r="DF736" t="str">
        <f>_xlfn.XLOOKUP(Table1[[#This Row],[Player ID]],Table2[feed_id],Table2[trade_status])</f>
        <v>free_agent</v>
      </c>
      <c r="DG736">
        <f>_xlfn.NUMBERVALUE(Table1[[#This Row],[predicted]])</f>
        <v>80.684109549797</v>
      </c>
    </row>
    <row r="737" spans="1:111" x14ac:dyDescent="0.25">
      <c r="A737">
        <v>132643</v>
      </c>
      <c r="B737">
        <v>9239</v>
      </c>
      <c r="C737" t="s">
        <v>7040</v>
      </c>
      <c r="D737" t="s">
        <v>3116</v>
      </c>
      <c r="E737">
        <v>2025</v>
      </c>
      <c r="F737">
        <v>997933</v>
      </c>
      <c r="G737" t="s">
        <v>1732</v>
      </c>
      <c r="H737" t="s">
        <v>7120</v>
      </c>
      <c r="I737" t="s">
        <v>813</v>
      </c>
      <c r="J737">
        <v>5</v>
      </c>
      <c r="K737">
        <v>39</v>
      </c>
      <c r="L737">
        <v>64</v>
      </c>
      <c r="M737">
        <v>54</v>
      </c>
      <c r="N737">
        <v>38</v>
      </c>
      <c r="O737">
        <v>57</v>
      </c>
      <c r="P737">
        <v>5</v>
      </c>
      <c r="Q737">
        <v>6</v>
      </c>
      <c r="R737">
        <v>4</v>
      </c>
      <c r="S737">
        <v>3</v>
      </c>
      <c r="T737">
        <v>3</v>
      </c>
      <c r="U737">
        <v>0</v>
      </c>
      <c r="V737">
        <v>5</v>
      </c>
      <c r="W737">
        <v>0</v>
      </c>
      <c r="X737">
        <v>0</v>
      </c>
      <c r="Y737" t="s">
        <v>113</v>
      </c>
      <c r="Z737" t="s">
        <v>987</v>
      </c>
      <c r="AA737" t="s">
        <v>7121</v>
      </c>
      <c r="AE737">
        <v>0</v>
      </c>
      <c r="AH737" t="s">
        <v>181</v>
      </c>
      <c r="AI737">
        <v>19</v>
      </c>
      <c r="AJ737">
        <v>0</v>
      </c>
      <c r="AK737">
        <v>0</v>
      </c>
      <c r="AL737">
        <v>0</v>
      </c>
      <c r="AM737">
        <v>0</v>
      </c>
      <c r="AN737">
        <v>0.15</v>
      </c>
      <c r="AO737">
        <v>0.14000000000000001</v>
      </c>
      <c r="AS737">
        <v>3</v>
      </c>
      <c r="AT737">
        <v>2</v>
      </c>
      <c r="AU737">
        <v>5</v>
      </c>
      <c r="AV737">
        <v>72</v>
      </c>
      <c r="AW737">
        <v>84</v>
      </c>
      <c r="AX737">
        <v>123</v>
      </c>
      <c r="AY737">
        <v>0</v>
      </c>
      <c r="AZ737" t="b">
        <v>0</v>
      </c>
      <c r="BA737">
        <v>1678</v>
      </c>
      <c r="BB737">
        <v>1592</v>
      </c>
      <c r="BC737">
        <v>6</v>
      </c>
      <c r="BD737" t="s">
        <v>7044</v>
      </c>
      <c r="BE737" s="1" t="s">
        <v>3594</v>
      </c>
      <c r="BF737">
        <v>0</v>
      </c>
      <c r="BG737">
        <v>71</v>
      </c>
      <c r="BH737">
        <v>0</v>
      </c>
      <c r="BI737">
        <v>6</v>
      </c>
      <c r="BJ737" s="1" t="s">
        <v>430</v>
      </c>
      <c r="BK737">
        <v>4</v>
      </c>
      <c r="BL737">
        <v>5.6</v>
      </c>
      <c r="BM737">
        <v>4</v>
      </c>
      <c r="BN737" s="1" t="s">
        <v>499</v>
      </c>
      <c r="BO737" s="1" t="s">
        <v>161</v>
      </c>
      <c r="BP737" s="1" t="s">
        <v>257</v>
      </c>
      <c r="BQ737">
        <v>1</v>
      </c>
      <c r="BR737" s="1" t="s">
        <v>161</v>
      </c>
      <c r="BS737" s="1" t="s">
        <v>129</v>
      </c>
      <c r="BT737" s="1" t="s">
        <v>129</v>
      </c>
      <c r="BU737" s="1" t="s">
        <v>161</v>
      </c>
      <c r="BV737">
        <v>0.6</v>
      </c>
      <c r="BW737">
        <v>0</v>
      </c>
      <c r="BX737">
        <v>6.6666666666666596E-2</v>
      </c>
      <c r="BY737">
        <v>0</v>
      </c>
      <c r="BZ737">
        <v>6.6666666666666596E-2</v>
      </c>
      <c r="CA737">
        <v>0</v>
      </c>
      <c r="CB737">
        <v>0</v>
      </c>
      <c r="CC737">
        <v>0.15</v>
      </c>
      <c r="CD737" s="1" t="s">
        <v>7122</v>
      </c>
      <c r="CE737">
        <v>0.14000000000000001</v>
      </c>
      <c r="CF737" s="1" t="s">
        <v>7123</v>
      </c>
      <c r="CG737">
        <v>2</v>
      </c>
      <c r="CH737" s="1" t="s">
        <v>565</v>
      </c>
      <c r="CI737" s="1" t="s">
        <v>128</v>
      </c>
      <c r="CJ737">
        <v>0.2</v>
      </c>
      <c r="CK737" s="1" t="s">
        <v>161</v>
      </c>
      <c r="CL737" s="1" t="s">
        <v>566</v>
      </c>
      <c r="CM737">
        <v>88</v>
      </c>
      <c r="CN737">
        <v>77</v>
      </c>
      <c r="CO737" s="1" t="s">
        <v>350</v>
      </c>
      <c r="CP737" s="1" t="s">
        <v>1767</v>
      </c>
      <c r="CQ737" s="1" t="s">
        <v>6283</v>
      </c>
      <c r="CR737" s="1" t="s">
        <v>7124</v>
      </c>
      <c r="CS737">
        <v>1633</v>
      </c>
      <c r="CT737" s="1" t="s">
        <v>1150</v>
      </c>
      <c r="CU737" s="1" t="s">
        <v>4509</v>
      </c>
      <c r="CV737" s="1" t="s">
        <v>3276</v>
      </c>
      <c r="CW737">
        <v>66.55</v>
      </c>
      <c r="CX737">
        <v>66.3</v>
      </c>
      <c r="CY737">
        <v>62.8</v>
      </c>
      <c r="CZ737" s="1" t="s">
        <v>1166</v>
      </c>
      <c r="DA737">
        <v>1</v>
      </c>
      <c r="DB737" t="s">
        <v>987</v>
      </c>
      <c r="DC737">
        <v>64</v>
      </c>
      <c r="DD737" s="1" t="s">
        <v>7125</v>
      </c>
      <c r="DE737">
        <v>-16.346170767109498</v>
      </c>
      <c r="DF737" t="str">
        <f>_xlfn.XLOOKUP(Table1[[#This Row],[Player ID]],Table2[feed_id],Table2[trade_status])</f>
        <v>free_agent</v>
      </c>
      <c r="DG737">
        <f>_xlfn.NUMBERVALUE(Table1[[#This Row],[predicted]])</f>
        <v>80.346170767109498</v>
      </c>
    </row>
    <row r="738" spans="1:111" hidden="1" x14ac:dyDescent="0.25">
      <c r="A738">
        <v>132603</v>
      </c>
      <c r="B738">
        <v>9238</v>
      </c>
      <c r="C738" t="s">
        <v>6865</v>
      </c>
      <c r="D738" t="s">
        <v>3116</v>
      </c>
      <c r="E738">
        <v>2025</v>
      </c>
      <c r="F738">
        <v>293957</v>
      </c>
      <c r="G738" t="s">
        <v>4649</v>
      </c>
      <c r="H738" t="s">
        <v>2567</v>
      </c>
      <c r="I738" t="s">
        <v>338</v>
      </c>
      <c r="J738">
        <v>32</v>
      </c>
      <c r="K738">
        <v>106</v>
      </c>
      <c r="L738">
        <v>122</v>
      </c>
      <c r="M738">
        <v>109</v>
      </c>
      <c r="N738">
        <v>97</v>
      </c>
      <c r="O738">
        <v>127</v>
      </c>
      <c r="P738">
        <v>3</v>
      </c>
      <c r="Q738">
        <v>20</v>
      </c>
      <c r="R738">
        <v>2</v>
      </c>
      <c r="S738">
        <v>5</v>
      </c>
      <c r="T738">
        <v>37</v>
      </c>
      <c r="U738">
        <v>0</v>
      </c>
      <c r="V738">
        <v>2</v>
      </c>
      <c r="W738">
        <v>0</v>
      </c>
      <c r="X738">
        <v>0</v>
      </c>
      <c r="Y738" t="s">
        <v>113</v>
      </c>
      <c r="Z738" t="s">
        <v>339</v>
      </c>
      <c r="AA738" t="s">
        <v>6966</v>
      </c>
      <c r="AB738" t="s">
        <v>602</v>
      </c>
      <c r="AC738" t="s">
        <v>6967</v>
      </c>
      <c r="AE738">
        <v>0</v>
      </c>
      <c r="AH738" t="s">
        <v>274</v>
      </c>
      <c r="AI738">
        <v>4</v>
      </c>
      <c r="AJ738">
        <v>21</v>
      </c>
      <c r="AK738">
        <v>119.71</v>
      </c>
      <c r="AL738">
        <v>0</v>
      </c>
      <c r="AM738">
        <v>0</v>
      </c>
      <c r="AN738">
        <v>68.209999999999994</v>
      </c>
      <c r="AO738">
        <v>52.49</v>
      </c>
      <c r="AS738">
        <v>13</v>
      </c>
      <c r="AT738">
        <v>2</v>
      </c>
      <c r="AU738">
        <v>4</v>
      </c>
      <c r="AV738">
        <v>65</v>
      </c>
      <c r="AW738">
        <v>78</v>
      </c>
      <c r="AX738">
        <v>68</v>
      </c>
      <c r="AY738">
        <v>0</v>
      </c>
      <c r="AZ738" t="b">
        <v>0</v>
      </c>
      <c r="BA738">
        <v>1741</v>
      </c>
      <c r="BB738">
        <v>1546</v>
      </c>
      <c r="BC738">
        <v>6</v>
      </c>
      <c r="BD738" t="s">
        <v>6968</v>
      </c>
      <c r="BE738" s="1" t="s">
        <v>3594</v>
      </c>
      <c r="BF738">
        <v>1</v>
      </c>
      <c r="BG738">
        <v>71</v>
      </c>
      <c r="BH738">
        <v>1</v>
      </c>
      <c r="BI738">
        <v>6</v>
      </c>
      <c r="BJ738">
        <v>6</v>
      </c>
      <c r="BK738">
        <v>12</v>
      </c>
      <c r="BL738" s="1" t="s">
        <v>977</v>
      </c>
      <c r="BM738">
        <v>3</v>
      </c>
      <c r="BN738" s="1" t="s">
        <v>322</v>
      </c>
      <c r="BO738">
        <v>4</v>
      </c>
      <c r="BP738">
        <v>3.4</v>
      </c>
      <c r="BQ738">
        <v>27</v>
      </c>
      <c r="BR738">
        <v>32</v>
      </c>
      <c r="BS738" s="1" t="s">
        <v>126</v>
      </c>
      <c r="BT738" s="1" t="s">
        <v>327</v>
      </c>
      <c r="BU738" s="1" t="s">
        <v>161</v>
      </c>
      <c r="BV738">
        <v>2.2000000000000002</v>
      </c>
      <c r="BW738">
        <v>0</v>
      </c>
      <c r="BX738">
        <v>6.6666666666666596E-2</v>
      </c>
      <c r="BY738">
        <v>0</v>
      </c>
      <c r="BZ738">
        <v>0</v>
      </c>
      <c r="CA738">
        <v>0</v>
      </c>
      <c r="CB738">
        <v>0</v>
      </c>
      <c r="CC738">
        <v>68.209999999999994</v>
      </c>
      <c r="CD738">
        <v>68.209999999999994</v>
      </c>
      <c r="CE738">
        <v>52.49</v>
      </c>
      <c r="CF738">
        <v>52.49</v>
      </c>
      <c r="CG738" s="1" t="s">
        <v>977</v>
      </c>
      <c r="CH738" s="1" t="s">
        <v>879</v>
      </c>
      <c r="CI738" s="1" t="s">
        <v>169</v>
      </c>
      <c r="CJ738" s="1" t="s">
        <v>256</v>
      </c>
      <c r="CK738">
        <v>3</v>
      </c>
      <c r="CL738" s="1" t="s">
        <v>211</v>
      </c>
      <c r="CM738" s="1" t="s">
        <v>1838</v>
      </c>
      <c r="CN738">
        <v>66.8</v>
      </c>
      <c r="CO738" s="1" t="s">
        <v>2147</v>
      </c>
      <c r="CP738" s="1" t="s">
        <v>870</v>
      </c>
      <c r="CQ738" s="1" t="s">
        <v>6969</v>
      </c>
      <c r="CR738" s="1" t="s">
        <v>6576</v>
      </c>
      <c r="CS738" s="1" t="s">
        <v>6970</v>
      </c>
      <c r="CT738" s="1" t="s">
        <v>4868</v>
      </c>
      <c r="CU738">
        <v>1683</v>
      </c>
      <c r="CV738" s="1" t="s">
        <v>5588</v>
      </c>
      <c r="CW738">
        <v>102.5</v>
      </c>
      <c r="CX738">
        <v>98.1</v>
      </c>
      <c r="CY738">
        <v>99</v>
      </c>
      <c r="CZ738">
        <v>107</v>
      </c>
      <c r="DA738">
        <v>1</v>
      </c>
      <c r="DB738" t="s">
        <v>339</v>
      </c>
      <c r="DC738">
        <v>122</v>
      </c>
      <c r="DD738" s="1" t="s">
        <v>6971</v>
      </c>
      <c r="DE738" s="1" t="s">
        <v>6972</v>
      </c>
      <c r="DF738" t="e">
        <f>_xlfn.XLOOKUP(Table1[[#This Row],[Player ID]],Table2[feed_id],Table2[trade_status])</f>
        <v>#N/A</v>
      </c>
      <c r="DG738">
        <f>_xlfn.NUMBERVALUE(Table1[[#This Row],[predicted]])</f>
        <v>96.674180256137404</v>
      </c>
    </row>
    <row r="739" spans="1:111" hidden="1" x14ac:dyDescent="0.25">
      <c r="A739">
        <v>132604</v>
      </c>
      <c r="B739">
        <v>9238</v>
      </c>
      <c r="C739" t="s">
        <v>6865</v>
      </c>
      <c r="D739" t="s">
        <v>3116</v>
      </c>
      <c r="E739">
        <v>2025</v>
      </c>
      <c r="F739">
        <v>298539</v>
      </c>
      <c r="G739" t="s">
        <v>4961</v>
      </c>
      <c r="H739" t="s">
        <v>6973</v>
      </c>
      <c r="I739" t="s">
        <v>338</v>
      </c>
      <c r="J739">
        <v>22</v>
      </c>
      <c r="K739">
        <v>102</v>
      </c>
      <c r="L739">
        <v>118</v>
      </c>
      <c r="M739">
        <v>68</v>
      </c>
      <c r="N739">
        <v>84</v>
      </c>
      <c r="O739">
        <v>114</v>
      </c>
      <c r="P739">
        <v>14</v>
      </c>
      <c r="Q739">
        <v>14</v>
      </c>
      <c r="R739">
        <v>4</v>
      </c>
      <c r="S739">
        <v>2</v>
      </c>
      <c r="T739">
        <v>0</v>
      </c>
      <c r="U739">
        <v>0</v>
      </c>
      <c r="V739">
        <v>0</v>
      </c>
      <c r="W739">
        <v>2</v>
      </c>
      <c r="X739">
        <v>0</v>
      </c>
      <c r="Y739" t="s">
        <v>113</v>
      </c>
      <c r="Z739" t="s">
        <v>1813</v>
      </c>
      <c r="AA739" t="s">
        <v>815</v>
      </c>
      <c r="AB739" t="s">
        <v>877</v>
      </c>
      <c r="AC739" t="s">
        <v>6974</v>
      </c>
      <c r="AH739" t="s">
        <v>155</v>
      </c>
      <c r="AI739">
        <v>5</v>
      </c>
      <c r="AJ739">
        <v>0</v>
      </c>
      <c r="AK739">
        <v>0</v>
      </c>
      <c r="AL739">
        <v>0</v>
      </c>
      <c r="AM739">
        <v>1.73</v>
      </c>
      <c r="AN739">
        <v>1.87</v>
      </c>
      <c r="AO739">
        <v>1.46</v>
      </c>
      <c r="AS739">
        <v>13</v>
      </c>
      <c r="AT739">
        <v>8</v>
      </c>
      <c r="AU739">
        <v>4</v>
      </c>
      <c r="AV739">
        <v>75</v>
      </c>
      <c r="AW739">
        <v>84</v>
      </c>
      <c r="AX739">
        <v>605</v>
      </c>
      <c r="AY739">
        <v>0</v>
      </c>
      <c r="AZ739" t="b">
        <v>0</v>
      </c>
      <c r="BA739">
        <v>1741</v>
      </c>
      <c r="BB739">
        <v>1546</v>
      </c>
      <c r="BC739">
        <v>6</v>
      </c>
      <c r="BD739" t="s">
        <v>6968</v>
      </c>
      <c r="BE739" s="1" t="s">
        <v>3594</v>
      </c>
      <c r="BF739">
        <v>1</v>
      </c>
      <c r="BG739">
        <v>71</v>
      </c>
      <c r="BH739">
        <v>1</v>
      </c>
      <c r="BI739" s="1" t="s">
        <v>121</v>
      </c>
      <c r="BJ739">
        <v>12.6</v>
      </c>
      <c r="BK739" s="1" t="s">
        <v>294</v>
      </c>
      <c r="BL739" s="1" t="s">
        <v>2030</v>
      </c>
      <c r="BM739" s="1" t="s">
        <v>125</v>
      </c>
      <c r="BN739" s="1" t="s">
        <v>230</v>
      </c>
      <c r="BO739" s="1" t="s">
        <v>138</v>
      </c>
      <c r="BP739" s="1" t="s">
        <v>990</v>
      </c>
      <c r="BQ739">
        <v>0</v>
      </c>
      <c r="BR739">
        <v>0</v>
      </c>
      <c r="BS739" s="1" t="s">
        <v>128</v>
      </c>
      <c r="BT739" s="1" t="s">
        <v>327</v>
      </c>
      <c r="BU739" s="1" t="s">
        <v>128</v>
      </c>
      <c r="BV739" s="1" t="s">
        <v>162</v>
      </c>
      <c r="BW739" s="1" t="s">
        <v>128</v>
      </c>
      <c r="BX739" s="1" t="s">
        <v>298</v>
      </c>
      <c r="BY739">
        <v>0</v>
      </c>
      <c r="BZ739" s="1" t="s">
        <v>128</v>
      </c>
      <c r="CA739">
        <v>1.73</v>
      </c>
      <c r="CB739">
        <v>1.73</v>
      </c>
      <c r="CC739">
        <v>1.87</v>
      </c>
      <c r="CD739">
        <v>1.87</v>
      </c>
      <c r="CE739">
        <v>1.46</v>
      </c>
      <c r="CF739">
        <v>1.46</v>
      </c>
      <c r="CG739">
        <v>11</v>
      </c>
      <c r="CH739" s="1" t="s">
        <v>357</v>
      </c>
      <c r="CI739" s="1" t="s">
        <v>204</v>
      </c>
      <c r="CJ739" s="1" t="s">
        <v>963</v>
      </c>
      <c r="CK739" s="1" t="s">
        <v>125</v>
      </c>
      <c r="CL739" s="1" t="s">
        <v>189</v>
      </c>
      <c r="CM739" s="1" t="s">
        <v>787</v>
      </c>
      <c r="CN739" s="1" t="s">
        <v>1391</v>
      </c>
      <c r="CO739" s="1" t="s">
        <v>142</v>
      </c>
      <c r="CP739" s="1" t="s">
        <v>2385</v>
      </c>
      <c r="CQ739" s="1" t="s">
        <v>6975</v>
      </c>
      <c r="CR739" s="1" t="s">
        <v>6976</v>
      </c>
      <c r="CS739" s="1" t="s">
        <v>6970</v>
      </c>
      <c r="CT739" s="1" t="s">
        <v>6977</v>
      </c>
      <c r="CU739">
        <v>1683</v>
      </c>
      <c r="CV739" s="1" t="s">
        <v>873</v>
      </c>
      <c r="CW739">
        <v>104.65</v>
      </c>
      <c r="CX739">
        <v>106.8</v>
      </c>
      <c r="CY739">
        <v>99.6</v>
      </c>
      <c r="CZ739" s="1" t="s">
        <v>3951</v>
      </c>
      <c r="DA739">
        <v>1</v>
      </c>
      <c r="DB739" t="s">
        <v>1813</v>
      </c>
      <c r="DC739">
        <v>118</v>
      </c>
      <c r="DD739" s="1" t="s">
        <v>6978</v>
      </c>
      <c r="DE739" s="1" t="s">
        <v>6979</v>
      </c>
      <c r="DF739" t="e">
        <f>_xlfn.XLOOKUP(Table1[[#This Row],[Player ID]],Table2[feed_id],Table2[trade_status])</f>
        <v>#N/A</v>
      </c>
      <c r="DG739">
        <f>_xlfn.NUMBERVALUE(Table1[[#This Row],[predicted]])</f>
        <v>98.884037614037595</v>
      </c>
    </row>
    <row r="740" spans="1:111" hidden="1" x14ac:dyDescent="0.25">
      <c r="A740">
        <v>132605</v>
      </c>
      <c r="B740">
        <v>9238</v>
      </c>
      <c r="C740" t="s">
        <v>6865</v>
      </c>
      <c r="D740" t="s">
        <v>3116</v>
      </c>
      <c r="E740">
        <v>2025</v>
      </c>
      <c r="F740">
        <v>1006126</v>
      </c>
      <c r="G740" t="s">
        <v>617</v>
      </c>
      <c r="H740" t="s">
        <v>6980</v>
      </c>
      <c r="I740" t="s">
        <v>338</v>
      </c>
      <c r="J740">
        <v>43</v>
      </c>
      <c r="K740">
        <v>94</v>
      </c>
      <c r="L740">
        <v>89</v>
      </c>
      <c r="M740">
        <v>82</v>
      </c>
      <c r="N740">
        <v>67</v>
      </c>
      <c r="O740">
        <v>99</v>
      </c>
      <c r="P740">
        <v>11</v>
      </c>
      <c r="Q740">
        <v>11</v>
      </c>
      <c r="R740">
        <v>1</v>
      </c>
      <c r="S740">
        <v>10</v>
      </c>
      <c r="T740">
        <v>0</v>
      </c>
      <c r="U740">
        <v>2</v>
      </c>
      <c r="V740">
        <v>2</v>
      </c>
      <c r="W740">
        <v>0</v>
      </c>
      <c r="X740">
        <v>0</v>
      </c>
      <c r="Y740" t="s">
        <v>113</v>
      </c>
      <c r="Z740" t="s">
        <v>877</v>
      </c>
      <c r="AA740" t="s">
        <v>6981</v>
      </c>
      <c r="AH740" t="s">
        <v>118</v>
      </c>
      <c r="AI740">
        <v>8</v>
      </c>
      <c r="AJ740">
        <v>0</v>
      </c>
      <c r="AK740">
        <v>0</v>
      </c>
      <c r="AL740">
        <v>0</v>
      </c>
      <c r="AM740">
        <v>0.22</v>
      </c>
      <c r="AN740">
        <v>0.15</v>
      </c>
      <c r="AO740">
        <v>0.22</v>
      </c>
      <c r="AS740">
        <v>14</v>
      </c>
      <c r="AT740">
        <v>7</v>
      </c>
      <c r="AU740">
        <v>4</v>
      </c>
      <c r="AV740">
        <v>59</v>
      </c>
      <c r="AW740">
        <v>79</v>
      </c>
      <c r="AX740">
        <v>206</v>
      </c>
      <c r="AY740">
        <v>0</v>
      </c>
      <c r="AZ740" t="b">
        <v>0</v>
      </c>
      <c r="BA740">
        <v>1741</v>
      </c>
      <c r="BB740">
        <v>1546</v>
      </c>
      <c r="BC740">
        <v>6</v>
      </c>
      <c r="BD740" t="s">
        <v>6968</v>
      </c>
      <c r="BE740" s="1" t="s">
        <v>3594</v>
      </c>
      <c r="BF740">
        <v>0</v>
      </c>
      <c r="BG740">
        <v>71</v>
      </c>
      <c r="BH740">
        <v>1</v>
      </c>
      <c r="BI740" s="1" t="s">
        <v>356</v>
      </c>
      <c r="BJ740">
        <v>10.199999999999999</v>
      </c>
      <c r="BK740">
        <v>10</v>
      </c>
      <c r="BL740" s="1" t="s">
        <v>137</v>
      </c>
      <c r="BM740" s="1" t="s">
        <v>159</v>
      </c>
      <c r="BN740">
        <v>1.8</v>
      </c>
      <c r="BO740" s="1" t="s">
        <v>204</v>
      </c>
      <c r="BP740">
        <v>6.4</v>
      </c>
      <c r="BQ740">
        <v>0</v>
      </c>
      <c r="BR740">
        <v>0</v>
      </c>
      <c r="BS740" s="1" t="s">
        <v>126</v>
      </c>
      <c r="BT740" s="1" t="s">
        <v>304</v>
      </c>
      <c r="BU740">
        <v>1</v>
      </c>
      <c r="BV740">
        <v>1</v>
      </c>
      <c r="BW740">
        <v>0</v>
      </c>
      <c r="BX740" s="1" t="s">
        <v>184</v>
      </c>
      <c r="BY740">
        <v>0</v>
      </c>
      <c r="BZ740">
        <v>0.2</v>
      </c>
      <c r="CA740">
        <v>0.22</v>
      </c>
      <c r="CB740">
        <v>0.22</v>
      </c>
      <c r="CC740">
        <v>0.15</v>
      </c>
      <c r="CD740">
        <v>0.15</v>
      </c>
      <c r="CE740">
        <v>0.22</v>
      </c>
      <c r="CF740">
        <v>0.22</v>
      </c>
      <c r="CG740">
        <v>12</v>
      </c>
      <c r="CH740">
        <v>10</v>
      </c>
      <c r="CI740">
        <v>6</v>
      </c>
      <c r="CJ740">
        <v>5.4</v>
      </c>
      <c r="CK740" s="1" t="s">
        <v>211</v>
      </c>
      <c r="CL740" s="1" t="s">
        <v>640</v>
      </c>
      <c r="CM740" s="1" t="s">
        <v>141</v>
      </c>
      <c r="CN740" s="1" t="s">
        <v>2674</v>
      </c>
      <c r="CO740">
        <v>77</v>
      </c>
      <c r="CP740" s="1" t="s">
        <v>803</v>
      </c>
      <c r="CQ740" s="1" t="s">
        <v>6561</v>
      </c>
      <c r="CR740">
        <v>270.8</v>
      </c>
      <c r="CS740" s="1" t="s">
        <v>6970</v>
      </c>
      <c r="CT740" s="1" t="s">
        <v>6982</v>
      </c>
      <c r="CU740">
        <v>1683</v>
      </c>
      <c r="CV740" s="1" t="s">
        <v>1493</v>
      </c>
      <c r="CW740">
        <v>93.35</v>
      </c>
      <c r="CX740">
        <v>90.8</v>
      </c>
      <c r="CY740">
        <v>87.6</v>
      </c>
      <c r="CZ740" s="1" t="s">
        <v>2738</v>
      </c>
      <c r="DA740">
        <v>1</v>
      </c>
      <c r="DB740" t="s">
        <v>877</v>
      </c>
      <c r="DC740">
        <v>89</v>
      </c>
      <c r="DD740" s="1" t="s">
        <v>6983</v>
      </c>
      <c r="DE740" s="1" t="s">
        <v>6984</v>
      </c>
      <c r="DF740" t="e">
        <f>_xlfn.XLOOKUP(Table1[[#This Row],[Player ID]],Table2[feed_id],Table2[trade_status])</f>
        <v>#N/A</v>
      </c>
      <c r="DG740">
        <f>_xlfn.NUMBERVALUE(Table1[[#This Row],[predicted]])</f>
        <v>76.488131252884699</v>
      </c>
    </row>
    <row r="741" spans="1:111" hidden="1" x14ac:dyDescent="0.25">
      <c r="A741">
        <v>132607</v>
      </c>
      <c r="B741">
        <v>9238</v>
      </c>
      <c r="C741" t="s">
        <v>6865</v>
      </c>
      <c r="D741" t="s">
        <v>3116</v>
      </c>
      <c r="E741">
        <v>2025</v>
      </c>
      <c r="F741">
        <v>1012014</v>
      </c>
      <c r="G741" t="s">
        <v>4855</v>
      </c>
      <c r="H741" t="s">
        <v>6985</v>
      </c>
      <c r="I741" t="s">
        <v>338</v>
      </c>
      <c r="J741">
        <v>10</v>
      </c>
      <c r="K741">
        <v>86</v>
      </c>
      <c r="L741">
        <v>81</v>
      </c>
      <c r="M741">
        <v>51</v>
      </c>
      <c r="N741">
        <v>67</v>
      </c>
      <c r="O741">
        <v>94</v>
      </c>
      <c r="P741">
        <v>15</v>
      </c>
      <c r="Q741">
        <v>9</v>
      </c>
      <c r="R741">
        <v>4</v>
      </c>
      <c r="S741">
        <v>3</v>
      </c>
      <c r="T741">
        <v>0</v>
      </c>
      <c r="U741">
        <v>1</v>
      </c>
      <c r="V741">
        <v>1</v>
      </c>
      <c r="W741">
        <v>0</v>
      </c>
      <c r="X741">
        <v>1</v>
      </c>
      <c r="Y741" t="s">
        <v>113</v>
      </c>
      <c r="Z741" t="s">
        <v>5826</v>
      </c>
      <c r="AA741" t="s">
        <v>6986</v>
      </c>
      <c r="AH741" t="s">
        <v>118</v>
      </c>
      <c r="AI741">
        <v>1</v>
      </c>
      <c r="AJ741">
        <v>0</v>
      </c>
      <c r="AK741">
        <v>0</v>
      </c>
      <c r="AL741">
        <v>0</v>
      </c>
      <c r="AM741">
        <v>1.02</v>
      </c>
      <c r="AN741">
        <v>1.19</v>
      </c>
      <c r="AO741">
        <v>1.05</v>
      </c>
      <c r="AS741">
        <v>7</v>
      </c>
      <c r="AT741">
        <v>5</v>
      </c>
      <c r="AU741">
        <v>4</v>
      </c>
      <c r="AV741">
        <v>66</v>
      </c>
      <c r="AW741">
        <v>91</v>
      </c>
      <c r="AX741">
        <v>553</v>
      </c>
      <c r="AY741">
        <v>0</v>
      </c>
      <c r="AZ741" t="b">
        <v>0</v>
      </c>
      <c r="BA741">
        <v>1741</v>
      </c>
      <c r="BB741">
        <v>1546</v>
      </c>
      <c r="BC741">
        <v>6</v>
      </c>
      <c r="BD741" t="s">
        <v>6968</v>
      </c>
      <c r="BE741" s="1" t="s">
        <v>3594</v>
      </c>
      <c r="BF741">
        <v>0</v>
      </c>
      <c r="BG741">
        <v>71</v>
      </c>
      <c r="BH741">
        <v>1</v>
      </c>
      <c r="BI741" s="1" t="s">
        <v>123</v>
      </c>
      <c r="BJ741" s="1" t="s">
        <v>5110</v>
      </c>
      <c r="BK741" s="1" t="s">
        <v>124</v>
      </c>
      <c r="BL741" s="1" t="s">
        <v>183</v>
      </c>
      <c r="BM741">
        <v>5</v>
      </c>
      <c r="BN741" s="1" t="s">
        <v>230</v>
      </c>
      <c r="BO741" s="1" t="s">
        <v>169</v>
      </c>
      <c r="BP741" s="1" t="s">
        <v>170</v>
      </c>
      <c r="BQ741">
        <v>0</v>
      </c>
      <c r="BR741">
        <v>0</v>
      </c>
      <c r="BS741" s="1" t="s">
        <v>126</v>
      </c>
      <c r="BT741" s="1" t="s">
        <v>130</v>
      </c>
      <c r="BU741">
        <v>1</v>
      </c>
      <c r="BV741" s="1" t="s">
        <v>206</v>
      </c>
      <c r="BW741">
        <v>1</v>
      </c>
      <c r="BX741">
        <v>1.2</v>
      </c>
      <c r="BY741">
        <v>1</v>
      </c>
      <c r="BZ741">
        <v>0.8</v>
      </c>
      <c r="CA741">
        <v>1.02</v>
      </c>
      <c r="CB741">
        <v>1.02</v>
      </c>
      <c r="CC741">
        <v>1.19</v>
      </c>
      <c r="CD741">
        <v>1.19</v>
      </c>
      <c r="CE741">
        <v>1.05</v>
      </c>
      <c r="CF741">
        <v>1.05</v>
      </c>
      <c r="CG741">
        <v>7</v>
      </c>
      <c r="CH741">
        <v>7.2</v>
      </c>
      <c r="CI741" s="1" t="s">
        <v>125</v>
      </c>
      <c r="CJ741">
        <v>4</v>
      </c>
      <c r="CK741" s="1" t="s">
        <v>125</v>
      </c>
      <c r="CL741">
        <v>3.6</v>
      </c>
      <c r="CM741" s="1" t="s">
        <v>1615</v>
      </c>
      <c r="CN741">
        <v>70.8</v>
      </c>
      <c r="CO741" s="1" t="s">
        <v>994</v>
      </c>
      <c r="CP741" s="1" t="s">
        <v>2249</v>
      </c>
      <c r="CQ741">
        <v>478</v>
      </c>
      <c r="CR741" s="1" t="s">
        <v>6987</v>
      </c>
      <c r="CS741" s="1" t="s">
        <v>6970</v>
      </c>
      <c r="CT741">
        <v>1622.2</v>
      </c>
      <c r="CU741">
        <v>1683</v>
      </c>
      <c r="CV741" s="1" t="s">
        <v>6988</v>
      </c>
      <c r="CW741">
        <v>96.6</v>
      </c>
      <c r="CX741">
        <v>102.6</v>
      </c>
      <c r="CY741">
        <v>90</v>
      </c>
      <c r="CZ741" s="1" t="s">
        <v>403</v>
      </c>
      <c r="DA741">
        <v>1</v>
      </c>
      <c r="DB741" t="s">
        <v>5826</v>
      </c>
      <c r="DC741">
        <v>81</v>
      </c>
      <c r="DD741" s="1" t="s">
        <v>6989</v>
      </c>
      <c r="DE741">
        <v>-15.9915060939854</v>
      </c>
      <c r="DF741" t="e">
        <f>_xlfn.XLOOKUP(Table1[[#This Row],[Player ID]],Table2[feed_id],Table2[trade_status])</f>
        <v>#N/A</v>
      </c>
      <c r="DG741">
        <f>_xlfn.NUMBERVALUE(Table1[[#This Row],[predicted]])</f>
        <v>96.991506093985393</v>
      </c>
    </row>
    <row r="742" spans="1:111" hidden="1" x14ac:dyDescent="0.25">
      <c r="A742">
        <v>132608</v>
      </c>
      <c r="B742">
        <v>9238</v>
      </c>
      <c r="C742" t="s">
        <v>6865</v>
      </c>
      <c r="D742" t="s">
        <v>3116</v>
      </c>
      <c r="E742">
        <v>2025</v>
      </c>
      <c r="F742">
        <v>1012210</v>
      </c>
      <c r="G742" t="s">
        <v>889</v>
      </c>
      <c r="H742" t="s">
        <v>2689</v>
      </c>
      <c r="I742" t="s">
        <v>338</v>
      </c>
      <c r="J742">
        <v>10</v>
      </c>
      <c r="K742">
        <v>86</v>
      </c>
      <c r="L742">
        <v>79</v>
      </c>
      <c r="M742">
        <v>44</v>
      </c>
      <c r="N742">
        <v>67</v>
      </c>
      <c r="O742">
        <v>93</v>
      </c>
      <c r="P742">
        <v>17</v>
      </c>
      <c r="Q742">
        <v>7</v>
      </c>
      <c r="R742">
        <v>5</v>
      </c>
      <c r="S742">
        <v>2</v>
      </c>
      <c r="T742">
        <v>0</v>
      </c>
      <c r="U742">
        <v>1</v>
      </c>
      <c r="V742">
        <v>1</v>
      </c>
      <c r="W742">
        <v>0</v>
      </c>
      <c r="X742">
        <v>0</v>
      </c>
      <c r="Y742" t="s">
        <v>113</v>
      </c>
      <c r="Z742" t="s">
        <v>226</v>
      </c>
      <c r="AA742" t="s">
        <v>6990</v>
      </c>
      <c r="AH742" t="s">
        <v>118</v>
      </c>
      <c r="AI742">
        <v>34</v>
      </c>
      <c r="AJ742">
        <v>0</v>
      </c>
      <c r="AK742">
        <v>0</v>
      </c>
      <c r="AL742">
        <v>0</v>
      </c>
      <c r="AM742">
        <v>5.36</v>
      </c>
      <c r="AN742">
        <v>4.1900000000000004</v>
      </c>
      <c r="AO742">
        <v>6.99</v>
      </c>
      <c r="AS742">
        <v>9</v>
      </c>
      <c r="AT742">
        <v>3</v>
      </c>
      <c r="AU742">
        <v>5</v>
      </c>
      <c r="AV742">
        <v>70</v>
      </c>
      <c r="AW742">
        <v>83</v>
      </c>
      <c r="AX742">
        <v>451</v>
      </c>
      <c r="AY742">
        <v>0</v>
      </c>
      <c r="AZ742" t="b">
        <v>0</v>
      </c>
      <c r="BA742">
        <v>1741</v>
      </c>
      <c r="BB742">
        <v>1546</v>
      </c>
      <c r="BC742">
        <v>6</v>
      </c>
      <c r="BD742" t="s">
        <v>6968</v>
      </c>
      <c r="BE742" s="1" t="s">
        <v>3594</v>
      </c>
      <c r="BF742">
        <v>0</v>
      </c>
      <c r="BG742">
        <v>71</v>
      </c>
      <c r="BH742">
        <v>1</v>
      </c>
      <c r="BI742" s="1" t="s">
        <v>1609</v>
      </c>
      <c r="BJ742" s="1" t="s">
        <v>1609</v>
      </c>
      <c r="BK742" s="1" t="s">
        <v>204</v>
      </c>
      <c r="BL742">
        <v>6.6</v>
      </c>
      <c r="BM742" s="1" t="s">
        <v>449</v>
      </c>
      <c r="BN742">
        <v>6.2</v>
      </c>
      <c r="BO742" s="1" t="s">
        <v>161</v>
      </c>
      <c r="BP742" s="1" t="s">
        <v>373</v>
      </c>
      <c r="BQ742">
        <v>0</v>
      </c>
      <c r="BR742">
        <v>0</v>
      </c>
      <c r="BS742" s="1" t="s">
        <v>126</v>
      </c>
      <c r="BT742" s="1" t="s">
        <v>130</v>
      </c>
      <c r="BU742" s="1" t="s">
        <v>128</v>
      </c>
      <c r="BV742" s="1" t="s">
        <v>238</v>
      </c>
      <c r="BW742" s="1" t="s">
        <v>129</v>
      </c>
      <c r="BX742" s="1" t="s">
        <v>213</v>
      </c>
      <c r="BY742">
        <v>0</v>
      </c>
      <c r="BZ742">
        <v>6.6666666666666596E-2</v>
      </c>
      <c r="CA742">
        <v>5.36</v>
      </c>
      <c r="CB742">
        <v>5.36</v>
      </c>
      <c r="CC742">
        <v>4.1900000000000004</v>
      </c>
      <c r="CD742">
        <v>4.1900000000000004</v>
      </c>
      <c r="CE742">
        <v>6.99</v>
      </c>
      <c r="CF742">
        <v>6.99</v>
      </c>
      <c r="CG742">
        <v>6</v>
      </c>
      <c r="CH742">
        <v>5.8</v>
      </c>
      <c r="CI742" s="1" t="s">
        <v>159</v>
      </c>
      <c r="CJ742" s="1" t="s">
        <v>257</v>
      </c>
      <c r="CK742">
        <v>3</v>
      </c>
      <c r="CL742" s="1" t="s">
        <v>255</v>
      </c>
      <c r="CM742" s="1" t="s">
        <v>930</v>
      </c>
      <c r="CN742" s="1" t="s">
        <v>2533</v>
      </c>
      <c r="CO742" s="1" t="s">
        <v>310</v>
      </c>
      <c r="CP742" s="1" t="s">
        <v>2335</v>
      </c>
      <c r="CQ742">
        <v>449</v>
      </c>
      <c r="CR742">
        <v>425</v>
      </c>
      <c r="CS742" s="1" t="s">
        <v>6970</v>
      </c>
      <c r="CT742" s="1" t="s">
        <v>4868</v>
      </c>
      <c r="CU742">
        <v>1683</v>
      </c>
      <c r="CV742" s="1" t="s">
        <v>5588</v>
      </c>
      <c r="CW742">
        <v>87.45</v>
      </c>
      <c r="CX742">
        <v>93.1</v>
      </c>
      <c r="CY742">
        <v>98</v>
      </c>
      <c r="CZ742" s="1" t="s">
        <v>1013</v>
      </c>
      <c r="DA742">
        <v>1</v>
      </c>
      <c r="DB742" t="s">
        <v>226</v>
      </c>
      <c r="DC742">
        <v>79</v>
      </c>
      <c r="DD742" s="1" t="s">
        <v>6991</v>
      </c>
      <c r="DE742">
        <v>-28.688146576359198</v>
      </c>
      <c r="DF742" t="e">
        <f>_xlfn.XLOOKUP(Table1[[#This Row],[Player ID]],Table2[feed_id],Table2[trade_status])</f>
        <v>#N/A</v>
      </c>
      <c r="DG742">
        <f>_xlfn.NUMBERVALUE(Table1[[#This Row],[predicted]])</f>
        <v>107.688146576359</v>
      </c>
    </row>
    <row r="743" spans="1:111" x14ac:dyDescent="0.25">
      <c r="A743">
        <v>132820</v>
      </c>
      <c r="B743">
        <v>9243</v>
      </c>
      <c r="C743" t="s">
        <v>7798</v>
      </c>
      <c r="D743" t="s">
        <v>3116</v>
      </c>
      <c r="E743">
        <v>2025</v>
      </c>
      <c r="F743">
        <v>1002403</v>
      </c>
      <c r="G743" t="s">
        <v>670</v>
      </c>
      <c r="H743" t="s">
        <v>7155</v>
      </c>
      <c r="I743" t="s">
        <v>317</v>
      </c>
      <c r="J743">
        <v>8</v>
      </c>
      <c r="K743">
        <v>53</v>
      </c>
      <c r="L743">
        <v>44</v>
      </c>
      <c r="M743">
        <v>70</v>
      </c>
      <c r="N743">
        <v>42</v>
      </c>
      <c r="O743">
        <v>54</v>
      </c>
      <c r="P743">
        <v>11</v>
      </c>
      <c r="Q743">
        <v>1</v>
      </c>
      <c r="R743">
        <v>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113</v>
      </c>
      <c r="Z743" t="s">
        <v>7873</v>
      </c>
      <c r="AA743" t="s">
        <v>7874</v>
      </c>
      <c r="AH743" t="s">
        <v>181</v>
      </c>
      <c r="AI743">
        <v>12</v>
      </c>
      <c r="AJ743">
        <v>0</v>
      </c>
      <c r="AK743">
        <v>0</v>
      </c>
      <c r="AL743">
        <v>0</v>
      </c>
      <c r="AM743">
        <v>0.31</v>
      </c>
      <c r="AN743">
        <v>0.21</v>
      </c>
      <c r="AO743">
        <v>0.36</v>
      </c>
      <c r="AS743">
        <v>1</v>
      </c>
      <c r="AT743">
        <v>0</v>
      </c>
      <c r="AU743">
        <v>3</v>
      </c>
      <c r="AV743">
        <v>91</v>
      </c>
      <c r="AW743">
        <v>94</v>
      </c>
      <c r="AX743">
        <v>256</v>
      </c>
      <c r="AY743">
        <v>0</v>
      </c>
      <c r="AZ743" t="b">
        <v>0</v>
      </c>
      <c r="BA743">
        <v>1728</v>
      </c>
      <c r="BB743">
        <v>1559</v>
      </c>
      <c r="BC743">
        <v>6</v>
      </c>
      <c r="BD743" t="s">
        <v>7800</v>
      </c>
      <c r="BE743" s="1" t="s">
        <v>3594</v>
      </c>
      <c r="BF743">
        <v>0</v>
      </c>
      <c r="BG743">
        <v>71</v>
      </c>
      <c r="BH743">
        <v>0</v>
      </c>
      <c r="BI743" s="1" t="s">
        <v>977</v>
      </c>
      <c r="BJ743" s="1" t="s">
        <v>1106</v>
      </c>
      <c r="BK743" s="1" t="s">
        <v>161</v>
      </c>
      <c r="BL743" s="1" t="s">
        <v>125</v>
      </c>
      <c r="BM743" s="1" t="s">
        <v>545</v>
      </c>
      <c r="BN743" s="1" t="s">
        <v>429</v>
      </c>
      <c r="BO743">
        <v>2</v>
      </c>
      <c r="BP743" s="1" t="s">
        <v>206</v>
      </c>
      <c r="BQ743">
        <v>0</v>
      </c>
      <c r="BR743">
        <v>0</v>
      </c>
      <c r="BS743">
        <v>0</v>
      </c>
      <c r="BT743" s="1" t="s">
        <v>129</v>
      </c>
      <c r="BU743" s="1" t="s">
        <v>128</v>
      </c>
      <c r="BV743" s="1" t="s">
        <v>130</v>
      </c>
      <c r="BW743">
        <v>0</v>
      </c>
      <c r="BX743">
        <v>0</v>
      </c>
      <c r="BY743">
        <v>0</v>
      </c>
      <c r="BZ743">
        <v>0</v>
      </c>
      <c r="CA743">
        <v>0.31</v>
      </c>
      <c r="CB743">
        <v>0.31</v>
      </c>
      <c r="CC743">
        <v>0.21</v>
      </c>
      <c r="CD743">
        <v>0.21</v>
      </c>
      <c r="CE743">
        <v>0.36</v>
      </c>
      <c r="CF743">
        <v>0.36</v>
      </c>
      <c r="CG743">
        <v>1</v>
      </c>
      <c r="CH743">
        <v>3</v>
      </c>
      <c r="CI743">
        <v>0</v>
      </c>
      <c r="CJ743">
        <v>6.6666666666666596E-2</v>
      </c>
      <c r="CK743">
        <v>2</v>
      </c>
      <c r="CL743">
        <v>1.6</v>
      </c>
      <c r="CM743" s="1" t="s">
        <v>554</v>
      </c>
      <c r="CN743" s="1" t="s">
        <v>7875</v>
      </c>
      <c r="CO743">
        <v>94</v>
      </c>
      <c r="CP743" s="1" t="s">
        <v>645</v>
      </c>
      <c r="CQ743">
        <v>225</v>
      </c>
      <c r="CR743">
        <v>268.60000000000002</v>
      </c>
      <c r="CS743" s="1" t="s">
        <v>4221</v>
      </c>
      <c r="CT743" s="1" t="s">
        <v>7803</v>
      </c>
      <c r="CU743" s="1" t="s">
        <v>5939</v>
      </c>
      <c r="CV743">
        <v>1790.2</v>
      </c>
      <c r="CW743">
        <v>69.3</v>
      </c>
      <c r="CX743">
        <v>64.599999999999994</v>
      </c>
      <c r="CY743">
        <v>70.2</v>
      </c>
      <c r="CZ743" s="1" t="s">
        <v>329</v>
      </c>
      <c r="DA743">
        <v>1</v>
      </c>
      <c r="DB743" t="s">
        <v>7873</v>
      </c>
      <c r="DC743">
        <v>44</v>
      </c>
      <c r="DD743" s="1" t="s">
        <v>7876</v>
      </c>
      <c r="DE743">
        <v>-35.979514463900401</v>
      </c>
      <c r="DF743" t="str">
        <f>_xlfn.XLOOKUP(Table1[[#This Row],[Player ID]],Table2[feed_id],Table2[trade_status])</f>
        <v>free_agent</v>
      </c>
      <c r="DG743">
        <f>_xlfn.NUMBERVALUE(Table1[[#This Row],[predicted]])</f>
        <v>79.979514463900401</v>
      </c>
    </row>
    <row r="744" spans="1:111" x14ac:dyDescent="0.25">
      <c r="A744">
        <v>132621</v>
      </c>
      <c r="B744">
        <v>9238</v>
      </c>
      <c r="C744" t="s">
        <v>6865</v>
      </c>
      <c r="D744" t="s">
        <v>3116</v>
      </c>
      <c r="E744">
        <v>2025</v>
      </c>
      <c r="F744">
        <v>1008198</v>
      </c>
      <c r="G744" t="s">
        <v>776</v>
      </c>
      <c r="H744" t="s">
        <v>4624</v>
      </c>
      <c r="I744" t="s">
        <v>338</v>
      </c>
      <c r="J744">
        <v>8</v>
      </c>
      <c r="K744">
        <v>48</v>
      </c>
      <c r="L744">
        <v>67</v>
      </c>
      <c r="M744">
        <v>30</v>
      </c>
      <c r="N744">
        <v>40</v>
      </c>
      <c r="O744">
        <v>51</v>
      </c>
      <c r="P744">
        <v>8</v>
      </c>
      <c r="Q744">
        <v>3</v>
      </c>
      <c r="R744">
        <v>6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113</v>
      </c>
      <c r="Z744" t="s">
        <v>987</v>
      </c>
      <c r="AA744" t="s">
        <v>7024</v>
      </c>
      <c r="AH744" t="s">
        <v>181</v>
      </c>
      <c r="AI744">
        <v>30</v>
      </c>
      <c r="AJ744">
        <v>0</v>
      </c>
      <c r="AK744">
        <v>0</v>
      </c>
      <c r="AL744">
        <v>0</v>
      </c>
      <c r="AM744">
        <v>0.04</v>
      </c>
      <c r="AN744">
        <v>7.0000000000000007E-2</v>
      </c>
      <c r="AO744">
        <v>0.26</v>
      </c>
      <c r="AS744">
        <v>4</v>
      </c>
      <c r="AT744">
        <v>0</v>
      </c>
      <c r="AU744">
        <v>3</v>
      </c>
      <c r="AV744">
        <v>81</v>
      </c>
      <c r="AW744">
        <v>92</v>
      </c>
      <c r="AX744">
        <v>225</v>
      </c>
      <c r="AY744">
        <v>0</v>
      </c>
      <c r="AZ744" t="b">
        <v>0</v>
      </c>
      <c r="BA744">
        <v>1741</v>
      </c>
      <c r="BB744">
        <v>1546</v>
      </c>
      <c r="BC744">
        <v>6</v>
      </c>
      <c r="BD744" t="s">
        <v>6968</v>
      </c>
      <c r="BE744" s="1" t="s">
        <v>3594</v>
      </c>
      <c r="BF744">
        <v>0</v>
      </c>
      <c r="BG744">
        <v>71</v>
      </c>
      <c r="BH744">
        <v>0</v>
      </c>
      <c r="BI744" s="1" t="s">
        <v>294</v>
      </c>
      <c r="BJ744" s="1" t="s">
        <v>137</v>
      </c>
      <c r="BK744" s="1" t="s">
        <v>138</v>
      </c>
      <c r="BL744">
        <v>3.4</v>
      </c>
      <c r="BM744" s="1" t="s">
        <v>204</v>
      </c>
      <c r="BN744" s="1" t="s">
        <v>260</v>
      </c>
      <c r="BO744" s="1" t="s">
        <v>129</v>
      </c>
      <c r="BP744">
        <v>0.6</v>
      </c>
      <c r="BQ744">
        <v>0</v>
      </c>
      <c r="BR744" s="1" t="s">
        <v>213</v>
      </c>
      <c r="BS744" s="1" t="s">
        <v>129</v>
      </c>
      <c r="BT744">
        <v>0.6</v>
      </c>
      <c r="BU744">
        <v>1</v>
      </c>
      <c r="BV744" s="1" t="s">
        <v>399</v>
      </c>
      <c r="BW744">
        <v>0</v>
      </c>
      <c r="BX744" s="1" t="s">
        <v>213</v>
      </c>
      <c r="BY744">
        <v>0</v>
      </c>
      <c r="BZ744">
        <v>6.6666666666666596E-2</v>
      </c>
      <c r="CA744">
        <v>0.04</v>
      </c>
      <c r="CB744">
        <v>0.04</v>
      </c>
      <c r="CC744">
        <v>7.0000000000000007E-2</v>
      </c>
      <c r="CD744">
        <v>7.0000000000000007E-2</v>
      </c>
      <c r="CE744">
        <v>0.26</v>
      </c>
      <c r="CF744">
        <v>0.26</v>
      </c>
      <c r="CG744">
        <v>5</v>
      </c>
      <c r="CH744">
        <v>4.8</v>
      </c>
      <c r="CI744">
        <v>0</v>
      </c>
      <c r="CJ744" s="1" t="s">
        <v>213</v>
      </c>
      <c r="CK744">
        <v>3</v>
      </c>
      <c r="CL744" s="1" t="s">
        <v>170</v>
      </c>
      <c r="CM744" s="1" t="s">
        <v>968</v>
      </c>
      <c r="CN744">
        <v>73.8</v>
      </c>
      <c r="CO744" s="1" t="s">
        <v>4685</v>
      </c>
      <c r="CP744" s="1" t="s">
        <v>7025</v>
      </c>
      <c r="CQ744" s="1" t="s">
        <v>3575</v>
      </c>
      <c r="CR744" s="1" t="s">
        <v>7026</v>
      </c>
      <c r="CS744" s="1" t="s">
        <v>6970</v>
      </c>
      <c r="CT744">
        <v>1607.4</v>
      </c>
      <c r="CU744">
        <v>1683</v>
      </c>
      <c r="CV744">
        <v>1677.2</v>
      </c>
      <c r="CW744">
        <v>61.05</v>
      </c>
      <c r="CX744">
        <v>55.3</v>
      </c>
      <c r="CY744">
        <v>66.8</v>
      </c>
      <c r="CZ744" s="1" t="s">
        <v>572</v>
      </c>
      <c r="DA744">
        <v>1</v>
      </c>
      <c r="DB744" t="s">
        <v>987</v>
      </c>
      <c r="DC744">
        <v>67</v>
      </c>
      <c r="DD744" s="1" t="s">
        <v>7027</v>
      </c>
      <c r="DE744">
        <v>-12.875401749562</v>
      </c>
      <c r="DF744" t="str">
        <f>_xlfn.XLOOKUP(Table1[[#This Row],[Player ID]],Table2[feed_id],Table2[trade_status])</f>
        <v>free_agent</v>
      </c>
      <c r="DG744">
        <f>_xlfn.NUMBERVALUE(Table1[[#This Row],[predicted]])</f>
        <v>79.875401749562002</v>
      </c>
    </row>
    <row r="745" spans="1:111" x14ac:dyDescent="0.25">
      <c r="A745">
        <v>132910</v>
      </c>
      <c r="B745">
        <v>9245</v>
      </c>
      <c r="C745" t="s">
        <v>8180</v>
      </c>
      <c r="D745" t="s">
        <v>3116</v>
      </c>
      <c r="E745">
        <v>2025</v>
      </c>
      <c r="F745">
        <v>294469</v>
      </c>
      <c r="G745" t="s">
        <v>8254</v>
      </c>
      <c r="H745" t="s">
        <v>8254</v>
      </c>
      <c r="I745" t="s">
        <v>425</v>
      </c>
      <c r="J745">
        <v>8</v>
      </c>
      <c r="K745">
        <v>56</v>
      </c>
      <c r="L745">
        <v>57</v>
      </c>
      <c r="M745">
        <v>72</v>
      </c>
      <c r="N745">
        <v>49</v>
      </c>
      <c r="O745">
        <v>63</v>
      </c>
      <c r="P745">
        <v>7</v>
      </c>
      <c r="Q745">
        <v>6</v>
      </c>
      <c r="R745">
        <v>7</v>
      </c>
      <c r="S745">
        <v>1</v>
      </c>
      <c r="T745">
        <v>0</v>
      </c>
      <c r="U745">
        <v>1</v>
      </c>
      <c r="V745">
        <v>1</v>
      </c>
      <c r="W745">
        <v>0</v>
      </c>
      <c r="X745">
        <v>0</v>
      </c>
      <c r="Y745" t="s">
        <v>113</v>
      </c>
      <c r="Z745" t="s">
        <v>8255</v>
      </c>
      <c r="AA745" t="s">
        <v>8256</v>
      </c>
      <c r="AH745" t="s">
        <v>181</v>
      </c>
      <c r="AI745">
        <v>21</v>
      </c>
      <c r="AJ745">
        <v>0</v>
      </c>
      <c r="AK745">
        <v>0</v>
      </c>
      <c r="AL745">
        <v>0</v>
      </c>
      <c r="AM745">
        <v>0.4</v>
      </c>
      <c r="AN745">
        <v>0.43</v>
      </c>
      <c r="AO745">
        <v>1.71</v>
      </c>
      <c r="AS745">
        <v>6</v>
      </c>
      <c r="AT745">
        <v>0</v>
      </c>
      <c r="AU745">
        <v>3</v>
      </c>
      <c r="AV745">
        <v>84</v>
      </c>
      <c r="AW745">
        <v>100</v>
      </c>
      <c r="AX745">
        <v>129</v>
      </c>
      <c r="AY745">
        <v>0</v>
      </c>
      <c r="AZ745" t="b">
        <v>0</v>
      </c>
      <c r="BA745">
        <v>1477</v>
      </c>
      <c r="BB745">
        <v>1799</v>
      </c>
      <c r="BC745">
        <v>6</v>
      </c>
      <c r="BD745" t="s">
        <v>8182</v>
      </c>
      <c r="BE745" s="1" t="s">
        <v>3594</v>
      </c>
      <c r="BF745">
        <v>0</v>
      </c>
      <c r="BG745">
        <v>71</v>
      </c>
      <c r="BH745">
        <v>0</v>
      </c>
      <c r="BI745" s="1" t="s">
        <v>977</v>
      </c>
      <c r="BJ745" s="1" t="s">
        <v>2030</v>
      </c>
      <c r="BK745" s="1" t="s">
        <v>124</v>
      </c>
      <c r="BL745" s="1" t="s">
        <v>256</v>
      </c>
      <c r="BM745">
        <v>8</v>
      </c>
      <c r="BN745" s="1" t="s">
        <v>430</v>
      </c>
      <c r="BO745" s="1" t="s">
        <v>126</v>
      </c>
      <c r="BP745" s="1" t="s">
        <v>127</v>
      </c>
      <c r="BQ745">
        <v>0</v>
      </c>
      <c r="BR745">
        <v>0</v>
      </c>
      <c r="BS745" s="1" t="s">
        <v>129</v>
      </c>
      <c r="BT745">
        <v>0.4</v>
      </c>
      <c r="BU745" s="1" t="s">
        <v>169</v>
      </c>
      <c r="BV745" s="1" t="s">
        <v>257</v>
      </c>
      <c r="BW745">
        <v>0</v>
      </c>
      <c r="BX745">
        <v>0</v>
      </c>
      <c r="BY745">
        <v>0</v>
      </c>
      <c r="BZ745">
        <v>0</v>
      </c>
      <c r="CA745">
        <v>0.4</v>
      </c>
      <c r="CB745">
        <v>0.4</v>
      </c>
      <c r="CC745">
        <v>0.43</v>
      </c>
      <c r="CD745">
        <v>0.43</v>
      </c>
      <c r="CE745">
        <v>1.71</v>
      </c>
      <c r="CF745">
        <v>1.71</v>
      </c>
      <c r="CG745" s="1" t="s">
        <v>124</v>
      </c>
      <c r="CH745">
        <v>6</v>
      </c>
      <c r="CI745">
        <v>0</v>
      </c>
      <c r="CJ745" s="1" t="s">
        <v>213</v>
      </c>
      <c r="CK745">
        <v>4</v>
      </c>
      <c r="CL745">
        <v>2.8</v>
      </c>
      <c r="CM745">
        <v>84</v>
      </c>
      <c r="CN745" s="1" t="s">
        <v>1840</v>
      </c>
      <c r="CO745">
        <v>99</v>
      </c>
      <c r="CP745">
        <v>98.4</v>
      </c>
      <c r="CQ745">
        <v>232</v>
      </c>
      <c r="CR745">
        <v>238.2</v>
      </c>
      <c r="CS745" s="1" t="s">
        <v>3934</v>
      </c>
      <c r="CT745" s="1" t="s">
        <v>2124</v>
      </c>
      <c r="CU745" s="1" t="s">
        <v>1533</v>
      </c>
      <c r="CV745">
        <v>1606.6</v>
      </c>
      <c r="CW745">
        <v>81.25</v>
      </c>
      <c r="CX745">
        <v>72.900000000000006</v>
      </c>
      <c r="CY745">
        <v>73</v>
      </c>
      <c r="CZ745">
        <v>70</v>
      </c>
      <c r="DA745">
        <v>1</v>
      </c>
      <c r="DB745" t="s">
        <v>8255</v>
      </c>
      <c r="DC745">
        <v>57</v>
      </c>
      <c r="DD745">
        <v>79.426228050573499</v>
      </c>
      <c r="DE745">
        <v>-22.426228050573499</v>
      </c>
      <c r="DF745" t="str">
        <f>_xlfn.XLOOKUP(Table1[[#This Row],[Player ID]],Table2[feed_id],Table2[trade_status])</f>
        <v>free_agent</v>
      </c>
      <c r="DG745">
        <f>_xlfn.NUMBERVALUE(Table1[[#This Row],[predicted]])</f>
        <v>79.426228050573499</v>
      </c>
    </row>
    <row r="746" spans="1:111" hidden="1" x14ac:dyDescent="0.25">
      <c r="A746">
        <v>132613</v>
      </c>
      <c r="B746">
        <v>9238</v>
      </c>
      <c r="C746" t="s">
        <v>6865</v>
      </c>
      <c r="D746" t="s">
        <v>3116</v>
      </c>
      <c r="E746">
        <v>2025</v>
      </c>
      <c r="F746">
        <v>1006028</v>
      </c>
      <c r="G746" t="s">
        <v>740</v>
      </c>
      <c r="H746" t="s">
        <v>7005</v>
      </c>
      <c r="I746" t="s">
        <v>338</v>
      </c>
      <c r="J746">
        <v>8</v>
      </c>
      <c r="K746">
        <v>68</v>
      </c>
      <c r="L746">
        <v>67</v>
      </c>
      <c r="M746">
        <v>36</v>
      </c>
      <c r="N746">
        <v>53</v>
      </c>
      <c r="O746">
        <v>72</v>
      </c>
      <c r="P746">
        <v>13</v>
      </c>
      <c r="Q746">
        <v>5</v>
      </c>
      <c r="R746">
        <v>5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113</v>
      </c>
      <c r="Z746" t="s">
        <v>6247</v>
      </c>
      <c r="AA746" t="s">
        <v>7006</v>
      </c>
      <c r="AH746" t="s">
        <v>181</v>
      </c>
      <c r="AI746">
        <v>22</v>
      </c>
      <c r="AJ746">
        <v>0</v>
      </c>
      <c r="AK746">
        <v>0</v>
      </c>
      <c r="AL746">
        <v>0</v>
      </c>
      <c r="AM746">
        <v>1.24</v>
      </c>
      <c r="AN746">
        <v>1.04</v>
      </c>
      <c r="AO746">
        <v>1.87</v>
      </c>
      <c r="AS746">
        <v>3</v>
      </c>
      <c r="AT746">
        <v>0</v>
      </c>
      <c r="AU746">
        <v>2</v>
      </c>
      <c r="AV746">
        <v>72</v>
      </c>
      <c r="AW746">
        <v>86</v>
      </c>
      <c r="AX746">
        <v>374</v>
      </c>
      <c r="AY746">
        <v>0</v>
      </c>
      <c r="AZ746" t="b">
        <v>0</v>
      </c>
      <c r="BA746">
        <v>1741</v>
      </c>
      <c r="BB746">
        <v>1546</v>
      </c>
      <c r="BC746">
        <v>6</v>
      </c>
      <c r="BD746" t="s">
        <v>6968</v>
      </c>
      <c r="BE746" s="1" t="s">
        <v>3594</v>
      </c>
      <c r="BF746">
        <v>0</v>
      </c>
      <c r="BG746">
        <v>71</v>
      </c>
      <c r="BH746">
        <v>0</v>
      </c>
      <c r="BI746" s="1" t="s">
        <v>123</v>
      </c>
      <c r="BJ746">
        <v>16.2</v>
      </c>
      <c r="BK746">
        <v>3</v>
      </c>
      <c r="BL746">
        <v>4.4000000000000004</v>
      </c>
      <c r="BM746" s="1" t="s">
        <v>124</v>
      </c>
      <c r="BN746" s="1" t="s">
        <v>1092</v>
      </c>
      <c r="BO746">
        <v>1</v>
      </c>
      <c r="BP746" s="1" t="s">
        <v>162</v>
      </c>
      <c r="BQ746">
        <v>0</v>
      </c>
      <c r="BR746">
        <v>0</v>
      </c>
      <c r="BS746" s="1" t="s">
        <v>126</v>
      </c>
      <c r="BT746">
        <v>1</v>
      </c>
      <c r="BU746">
        <v>0</v>
      </c>
      <c r="BV746" s="1" t="s">
        <v>238</v>
      </c>
      <c r="BW746">
        <v>0</v>
      </c>
      <c r="BX746">
        <v>0.2</v>
      </c>
      <c r="BY746">
        <v>0</v>
      </c>
      <c r="BZ746">
        <v>0.2</v>
      </c>
      <c r="CA746">
        <v>1.24</v>
      </c>
      <c r="CB746">
        <v>1.24</v>
      </c>
      <c r="CC746">
        <v>1.04</v>
      </c>
      <c r="CD746">
        <v>1.04</v>
      </c>
      <c r="CE746">
        <v>1.87</v>
      </c>
      <c r="CF746">
        <v>1.87</v>
      </c>
      <c r="CG746" s="1" t="s">
        <v>211</v>
      </c>
      <c r="CH746">
        <v>4</v>
      </c>
      <c r="CI746">
        <v>0</v>
      </c>
      <c r="CJ746">
        <v>0.2</v>
      </c>
      <c r="CK746">
        <v>2</v>
      </c>
      <c r="CL746" s="1" t="s">
        <v>140</v>
      </c>
      <c r="CM746">
        <v>83</v>
      </c>
      <c r="CN746" s="1" t="s">
        <v>7007</v>
      </c>
      <c r="CO746">
        <v>85</v>
      </c>
      <c r="CP746" s="1" t="s">
        <v>2775</v>
      </c>
      <c r="CQ746">
        <v>387</v>
      </c>
      <c r="CR746">
        <v>505.6</v>
      </c>
      <c r="CS746" s="1" t="s">
        <v>6970</v>
      </c>
      <c r="CT746" s="1" t="s">
        <v>4868</v>
      </c>
      <c r="CU746">
        <v>1683</v>
      </c>
      <c r="CV746" s="1" t="s">
        <v>5588</v>
      </c>
      <c r="CW746">
        <v>91.85</v>
      </c>
      <c r="CX746">
        <v>89.7</v>
      </c>
      <c r="CY746">
        <v>92.4</v>
      </c>
      <c r="CZ746" s="1" t="s">
        <v>755</v>
      </c>
      <c r="DA746">
        <v>1</v>
      </c>
      <c r="DB746" t="s">
        <v>6247</v>
      </c>
      <c r="DC746">
        <v>67</v>
      </c>
      <c r="DD746" s="1" t="s">
        <v>7008</v>
      </c>
      <c r="DE746">
        <v>-9.4155019598192293</v>
      </c>
      <c r="DF746" t="e">
        <f>_xlfn.XLOOKUP(Table1[[#This Row],[Player ID]],Table2[feed_id],Table2[trade_status])</f>
        <v>#N/A</v>
      </c>
      <c r="DG746">
        <f>_xlfn.NUMBERVALUE(Table1[[#This Row],[predicted]])</f>
        <v>76.415501959819196</v>
      </c>
    </row>
    <row r="747" spans="1:111" x14ac:dyDescent="0.25">
      <c r="A747">
        <v>132698</v>
      </c>
      <c r="B747">
        <v>9240</v>
      </c>
      <c r="C747" t="s">
        <v>7230</v>
      </c>
      <c r="D747" t="s">
        <v>3116</v>
      </c>
      <c r="E747">
        <v>2025</v>
      </c>
      <c r="F747">
        <v>996554</v>
      </c>
      <c r="G747" t="s">
        <v>1235</v>
      </c>
      <c r="H747" t="s">
        <v>4176</v>
      </c>
      <c r="I747" t="s">
        <v>582</v>
      </c>
      <c r="J747">
        <v>15</v>
      </c>
      <c r="K747">
        <v>70</v>
      </c>
      <c r="L747">
        <v>53</v>
      </c>
      <c r="M747">
        <v>52</v>
      </c>
      <c r="N747">
        <v>62</v>
      </c>
      <c r="O747">
        <v>75</v>
      </c>
      <c r="P747">
        <v>10</v>
      </c>
      <c r="Q747">
        <v>2</v>
      </c>
      <c r="R747">
        <v>12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3</v>
      </c>
      <c r="Y747" t="s">
        <v>113</v>
      </c>
      <c r="Z747" t="s">
        <v>656</v>
      </c>
      <c r="AA747" t="s">
        <v>7368</v>
      </c>
      <c r="AH747" t="s">
        <v>155</v>
      </c>
      <c r="AI747">
        <v>2</v>
      </c>
      <c r="AJ747">
        <v>0</v>
      </c>
      <c r="AK747">
        <v>0</v>
      </c>
      <c r="AL747">
        <v>0</v>
      </c>
      <c r="AM747">
        <v>0.18</v>
      </c>
      <c r="AN747">
        <v>0.03</v>
      </c>
      <c r="AO747">
        <v>0.17</v>
      </c>
      <c r="AS747">
        <v>0</v>
      </c>
      <c r="AT747">
        <v>0</v>
      </c>
      <c r="AU747">
        <v>1</v>
      </c>
      <c r="AV747">
        <v>75</v>
      </c>
      <c r="AW747">
        <v>82</v>
      </c>
      <c r="AX747">
        <v>299</v>
      </c>
      <c r="AY747">
        <v>0</v>
      </c>
      <c r="AZ747" t="b">
        <v>0</v>
      </c>
      <c r="BA747">
        <v>1976</v>
      </c>
      <c r="BB747">
        <v>1285</v>
      </c>
      <c r="BC747">
        <v>6</v>
      </c>
      <c r="BD747" t="s">
        <v>7344</v>
      </c>
      <c r="BE747" s="1" t="s">
        <v>3594</v>
      </c>
      <c r="BF747">
        <v>0</v>
      </c>
      <c r="BG747">
        <v>71</v>
      </c>
      <c r="BH747">
        <v>0</v>
      </c>
      <c r="BI747">
        <v>8</v>
      </c>
      <c r="BJ747">
        <v>8.4</v>
      </c>
      <c r="BK747">
        <v>3</v>
      </c>
      <c r="BL747" s="1" t="s">
        <v>528</v>
      </c>
      <c r="BM747">
        <v>8</v>
      </c>
      <c r="BN747" s="1" t="s">
        <v>818</v>
      </c>
      <c r="BO747">
        <v>0</v>
      </c>
      <c r="BP747" s="1" t="s">
        <v>399</v>
      </c>
      <c r="BQ747">
        <v>0</v>
      </c>
      <c r="BR747">
        <v>0</v>
      </c>
      <c r="BS747">
        <v>0</v>
      </c>
      <c r="BT747" s="1" t="s">
        <v>231</v>
      </c>
      <c r="BU747" s="1" t="s">
        <v>129</v>
      </c>
      <c r="BV747" s="1" t="s">
        <v>184</v>
      </c>
      <c r="BW747" s="1" t="s">
        <v>126</v>
      </c>
      <c r="BX747" s="1" t="s">
        <v>170</v>
      </c>
      <c r="BY747" s="1" t="s">
        <v>161</v>
      </c>
      <c r="BZ747" s="1" t="s">
        <v>298</v>
      </c>
      <c r="CA747">
        <v>0.18</v>
      </c>
      <c r="CB747">
        <v>0.18</v>
      </c>
      <c r="CC747">
        <v>0.03</v>
      </c>
      <c r="CD747">
        <v>0.03</v>
      </c>
      <c r="CE747">
        <v>0.17</v>
      </c>
      <c r="CF747">
        <v>0.17</v>
      </c>
      <c r="CG747" s="1" t="s">
        <v>161</v>
      </c>
      <c r="CH747" s="1" t="s">
        <v>138</v>
      </c>
      <c r="CI747">
        <v>0</v>
      </c>
      <c r="CJ747">
        <v>6.6666666666666596E-2</v>
      </c>
      <c r="CK747" s="1" t="s">
        <v>129</v>
      </c>
      <c r="CL747" s="1" t="s">
        <v>298</v>
      </c>
      <c r="CM747" s="1" t="s">
        <v>683</v>
      </c>
      <c r="CN747" s="1" t="s">
        <v>2305</v>
      </c>
      <c r="CO747">
        <v>77</v>
      </c>
      <c r="CP747" s="1" t="s">
        <v>3558</v>
      </c>
      <c r="CQ747" s="1" t="s">
        <v>7186</v>
      </c>
      <c r="CR747">
        <v>204.2</v>
      </c>
      <c r="CS747">
        <v>1309</v>
      </c>
      <c r="CT747" s="1" t="s">
        <v>7369</v>
      </c>
      <c r="CU747">
        <v>1919</v>
      </c>
      <c r="CV747">
        <v>1813.6</v>
      </c>
      <c r="CW747">
        <v>80.900000000000006</v>
      </c>
      <c r="CX747">
        <v>62.7</v>
      </c>
      <c r="CY747">
        <v>57.2</v>
      </c>
      <c r="CZ747">
        <v>59</v>
      </c>
      <c r="DA747">
        <v>1</v>
      </c>
      <c r="DB747" t="s">
        <v>656</v>
      </c>
      <c r="DC747">
        <v>53</v>
      </c>
      <c r="DD747" s="1" t="s">
        <v>7370</v>
      </c>
      <c r="DE747">
        <v>-24.319472264602801</v>
      </c>
      <c r="DF747" t="str">
        <f>_xlfn.XLOOKUP(Table1[[#This Row],[Player ID]],Table2[feed_id],Table2[trade_status])</f>
        <v>free_agent</v>
      </c>
      <c r="DG747">
        <f>_xlfn.NUMBERVALUE(Table1[[#This Row],[predicted]])</f>
        <v>77.319472264602794</v>
      </c>
    </row>
    <row r="748" spans="1:111" x14ac:dyDescent="0.25">
      <c r="A748">
        <v>132601</v>
      </c>
      <c r="B748">
        <v>9238</v>
      </c>
      <c r="C748" t="s">
        <v>6865</v>
      </c>
      <c r="D748" t="s">
        <v>3116</v>
      </c>
      <c r="E748">
        <v>2025</v>
      </c>
      <c r="F748">
        <v>291313</v>
      </c>
      <c r="G748" t="s">
        <v>1196</v>
      </c>
      <c r="H748" t="s">
        <v>4951</v>
      </c>
      <c r="I748" t="s">
        <v>112</v>
      </c>
      <c r="J748">
        <v>3</v>
      </c>
      <c r="K748">
        <v>35</v>
      </c>
      <c r="L748">
        <v>35</v>
      </c>
      <c r="M748">
        <v>44</v>
      </c>
      <c r="N748">
        <v>28</v>
      </c>
      <c r="O748">
        <v>39</v>
      </c>
      <c r="P748">
        <v>7</v>
      </c>
      <c r="Q748">
        <v>4</v>
      </c>
      <c r="R748">
        <v>2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113</v>
      </c>
      <c r="Z748" t="s">
        <v>1074</v>
      </c>
      <c r="AA748" t="s">
        <v>6963</v>
      </c>
      <c r="AE748">
        <v>0</v>
      </c>
      <c r="AH748" t="s">
        <v>181</v>
      </c>
      <c r="AI748">
        <v>38</v>
      </c>
      <c r="AJ748">
        <v>17</v>
      </c>
      <c r="AK748">
        <v>82.29</v>
      </c>
      <c r="AL748">
        <v>0</v>
      </c>
      <c r="AM748">
        <v>0</v>
      </c>
      <c r="AN748">
        <v>0.56000000000000005</v>
      </c>
      <c r="AO748">
        <v>0.59</v>
      </c>
      <c r="AS748">
        <v>2</v>
      </c>
      <c r="AT748">
        <v>0</v>
      </c>
      <c r="AU748">
        <v>1</v>
      </c>
      <c r="AV748">
        <v>81</v>
      </c>
      <c r="AW748">
        <v>85</v>
      </c>
      <c r="AX748">
        <v>250</v>
      </c>
      <c r="AY748">
        <v>0</v>
      </c>
      <c r="AZ748" t="b">
        <v>0</v>
      </c>
      <c r="BA748">
        <v>1546</v>
      </c>
      <c r="BB748">
        <v>1741</v>
      </c>
      <c r="BC748">
        <v>6</v>
      </c>
      <c r="BD748" t="s">
        <v>6869</v>
      </c>
      <c r="BE748" s="1" t="s">
        <v>3594</v>
      </c>
      <c r="BF748">
        <v>0</v>
      </c>
      <c r="BG748">
        <v>71</v>
      </c>
      <c r="BH748">
        <v>0</v>
      </c>
      <c r="BI748">
        <v>10</v>
      </c>
      <c r="BJ748" s="1" t="s">
        <v>746</v>
      </c>
      <c r="BK748" s="1" t="s">
        <v>169</v>
      </c>
      <c r="BL748" s="1" t="s">
        <v>373</v>
      </c>
      <c r="BM748" s="1" t="s">
        <v>211</v>
      </c>
      <c r="BN748">
        <v>5.4</v>
      </c>
      <c r="BO748" s="1" t="s">
        <v>128</v>
      </c>
      <c r="BP748">
        <v>1</v>
      </c>
      <c r="BQ748">
        <v>0</v>
      </c>
      <c r="BR748">
        <v>0</v>
      </c>
      <c r="BS748" s="1" t="s">
        <v>128</v>
      </c>
      <c r="BT748" s="1" t="s">
        <v>238</v>
      </c>
      <c r="BU748">
        <v>0</v>
      </c>
      <c r="BV748" s="1" t="s">
        <v>238</v>
      </c>
      <c r="BW748">
        <v>0</v>
      </c>
      <c r="BX748" s="1" t="s">
        <v>184</v>
      </c>
      <c r="BY748">
        <v>0</v>
      </c>
      <c r="BZ748">
        <v>6.6666666666666596E-2</v>
      </c>
      <c r="CA748">
        <v>0</v>
      </c>
      <c r="CB748">
        <v>0</v>
      </c>
      <c r="CC748">
        <v>0.56000000000000005</v>
      </c>
      <c r="CD748">
        <v>0.56000000000000005</v>
      </c>
      <c r="CE748">
        <v>0.59</v>
      </c>
      <c r="CF748">
        <v>0.59</v>
      </c>
      <c r="CG748" s="1" t="s">
        <v>159</v>
      </c>
      <c r="CH748" s="1" t="s">
        <v>169</v>
      </c>
      <c r="CI748" s="1" t="s">
        <v>128</v>
      </c>
      <c r="CJ748">
        <v>0.2</v>
      </c>
      <c r="CK748" s="1" t="s">
        <v>161</v>
      </c>
      <c r="CL748" s="1" t="s">
        <v>170</v>
      </c>
      <c r="CM748">
        <v>85</v>
      </c>
      <c r="CN748" s="1" t="s">
        <v>3911</v>
      </c>
      <c r="CO748" s="1" t="s">
        <v>1013</v>
      </c>
      <c r="CP748">
        <v>86.4</v>
      </c>
      <c r="CQ748" s="1" t="s">
        <v>6964</v>
      </c>
      <c r="CR748">
        <v>335.4</v>
      </c>
      <c r="CS748">
        <v>1729</v>
      </c>
      <c r="CT748" s="1" t="s">
        <v>1522</v>
      </c>
      <c r="CU748" s="1" t="s">
        <v>5214</v>
      </c>
      <c r="CV748" s="1" t="s">
        <v>4095</v>
      </c>
      <c r="CW748">
        <v>77.2</v>
      </c>
      <c r="CX748">
        <v>76.900000000000006</v>
      </c>
      <c r="CY748">
        <v>60.4</v>
      </c>
      <c r="CZ748">
        <v>66</v>
      </c>
      <c r="DA748">
        <v>1</v>
      </c>
      <c r="DB748" t="s">
        <v>1074</v>
      </c>
      <c r="DC748">
        <v>35</v>
      </c>
      <c r="DD748" s="1" t="s">
        <v>6965</v>
      </c>
      <c r="DE748">
        <v>-42.208997986026098</v>
      </c>
      <c r="DF748" t="str">
        <f>_xlfn.XLOOKUP(Table1[[#This Row],[Player ID]],Table2[feed_id],Table2[trade_status])</f>
        <v>free_agent</v>
      </c>
      <c r="DG748">
        <f>_xlfn.NUMBERVALUE(Table1[[#This Row],[predicted]])</f>
        <v>77.208997986026105</v>
      </c>
    </row>
    <row r="749" spans="1:111" x14ac:dyDescent="0.25">
      <c r="A749">
        <v>132561</v>
      </c>
      <c r="B749">
        <v>9237</v>
      </c>
      <c r="C749" t="s">
        <v>6650</v>
      </c>
      <c r="D749" t="s">
        <v>3116</v>
      </c>
      <c r="E749">
        <v>2025</v>
      </c>
      <c r="F749">
        <v>1025034</v>
      </c>
      <c r="G749" t="s">
        <v>3871</v>
      </c>
      <c r="H749" t="s">
        <v>905</v>
      </c>
      <c r="I749" t="s">
        <v>1061</v>
      </c>
      <c r="J749">
        <v>17</v>
      </c>
      <c r="K749">
        <v>84</v>
      </c>
      <c r="L749">
        <v>100</v>
      </c>
      <c r="M749">
        <v>63</v>
      </c>
      <c r="N749">
        <v>72</v>
      </c>
      <c r="O749">
        <v>96</v>
      </c>
      <c r="P749">
        <v>10</v>
      </c>
      <c r="Q749">
        <v>11</v>
      </c>
      <c r="R749">
        <v>5</v>
      </c>
      <c r="S749">
        <v>2</v>
      </c>
      <c r="T749">
        <v>0</v>
      </c>
      <c r="U749">
        <v>0</v>
      </c>
      <c r="V749">
        <v>1</v>
      </c>
      <c r="W749">
        <v>2</v>
      </c>
      <c r="X749">
        <v>0</v>
      </c>
      <c r="Y749" t="s">
        <v>113</v>
      </c>
      <c r="Z749" t="s">
        <v>525</v>
      </c>
      <c r="AA749" t="s">
        <v>6793</v>
      </c>
      <c r="AH749" t="s">
        <v>155</v>
      </c>
      <c r="AI749">
        <v>28</v>
      </c>
      <c r="AJ749">
        <v>0</v>
      </c>
      <c r="AK749">
        <v>0</v>
      </c>
      <c r="AL749">
        <v>0</v>
      </c>
      <c r="AM749">
        <v>0.27</v>
      </c>
      <c r="AN749">
        <v>0.22</v>
      </c>
      <c r="AO749">
        <v>0.56999999999999995</v>
      </c>
      <c r="AS749">
        <v>7</v>
      </c>
      <c r="AT749">
        <v>0</v>
      </c>
      <c r="AU749">
        <v>3</v>
      </c>
      <c r="AV749">
        <v>76</v>
      </c>
      <c r="AW749">
        <v>92</v>
      </c>
      <c r="AX749">
        <v>288</v>
      </c>
      <c r="AY749">
        <v>1</v>
      </c>
      <c r="AZ749" t="b">
        <v>0</v>
      </c>
      <c r="BA749">
        <v>1646</v>
      </c>
      <c r="BB749">
        <v>1632</v>
      </c>
      <c r="BC749">
        <v>6</v>
      </c>
      <c r="BD749" t="s">
        <v>6772</v>
      </c>
      <c r="BE749" s="1" t="s">
        <v>3594</v>
      </c>
      <c r="BF749">
        <v>1</v>
      </c>
      <c r="BG749">
        <v>71</v>
      </c>
      <c r="BH749">
        <v>1</v>
      </c>
      <c r="BI749" s="1" t="s">
        <v>977</v>
      </c>
      <c r="BJ749" s="1" t="s">
        <v>2358</v>
      </c>
      <c r="BK749">
        <v>10</v>
      </c>
      <c r="BL749" s="1" t="s">
        <v>295</v>
      </c>
      <c r="BM749">
        <v>5</v>
      </c>
      <c r="BN749">
        <v>4.4000000000000004</v>
      </c>
      <c r="BO749" s="1" t="s">
        <v>169</v>
      </c>
      <c r="BP749" s="1" t="s">
        <v>169</v>
      </c>
      <c r="BQ749">
        <v>0</v>
      </c>
      <c r="BR749">
        <v>0</v>
      </c>
      <c r="BS749" s="1" t="s">
        <v>129</v>
      </c>
      <c r="BT749" s="1" t="s">
        <v>129</v>
      </c>
      <c r="BU749">
        <v>1</v>
      </c>
      <c r="BV749" s="1" t="s">
        <v>184</v>
      </c>
      <c r="BW749" s="1" t="s">
        <v>126</v>
      </c>
      <c r="BX749" s="1" t="s">
        <v>298</v>
      </c>
      <c r="BY749" s="1" t="s">
        <v>128</v>
      </c>
      <c r="BZ749" s="1" t="s">
        <v>128</v>
      </c>
      <c r="CA749">
        <v>0.27</v>
      </c>
      <c r="CB749">
        <v>0.27</v>
      </c>
      <c r="CC749">
        <v>0.22</v>
      </c>
      <c r="CD749">
        <v>0.22</v>
      </c>
      <c r="CE749">
        <v>0.56999999999999995</v>
      </c>
      <c r="CF749">
        <v>0.56999999999999995</v>
      </c>
      <c r="CG749" s="1" t="s">
        <v>137</v>
      </c>
      <c r="CH749" s="1" t="s">
        <v>398</v>
      </c>
      <c r="CI749">
        <v>2</v>
      </c>
      <c r="CJ749" s="1" t="s">
        <v>126</v>
      </c>
      <c r="CK749">
        <v>3</v>
      </c>
      <c r="CL749" s="1" t="s">
        <v>170</v>
      </c>
      <c r="CM749" s="1" t="s">
        <v>1615</v>
      </c>
      <c r="CN749">
        <v>70.2</v>
      </c>
      <c r="CO749" s="1" t="s">
        <v>1013</v>
      </c>
      <c r="CP749" s="1" t="s">
        <v>6794</v>
      </c>
      <c r="CQ749" s="1" t="s">
        <v>6795</v>
      </c>
      <c r="CR749" s="1" t="s">
        <v>6796</v>
      </c>
      <c r="CS749" s="1" t="s">
        <v>4075</v>
      </c>
      <c r="CT749">
        <v>1682</v>
      </c>
      <c r="CU749" s="1" t="s">
        <v>4024</v>
      </c>
      <c r="CV749" s="1" t="s">
        <v>6773</v>
      </c>
      <c r="CW749">
        <v>80</v>
      </c>
      <c r="CX749">
        <v>78.900000000000006</v>
      </c>
      <c r="CY749">
        <v>77.2</v>
      </c>
      <c r="CZ749" s="1" t="s">
        <v>268</v>
      </c>
      <c r="DA749">
        <v>1</v>
      </c>
      <c r="DB749" t="s">
        <v>525</v>
      </c>
      <c r="DC749">
        <v>100</v>
      </c>
      <c r="DD749" s="1" t="s">
        <v>6797</v>
      </c>
      <c r="DE749" s="1" t="s">
        <v>6798</v>
      </c>
      <c r="DF749" t="str">
        <f>_xlfn.XLOOKUP(Table1[[#This Row],[Player ID]],Table2[feed_id],Table2[trade_status])</f>
        <v>free_agent</v>
      </c>
      <c r="DG749">
        <f>_xlfn.NUMBERVALUE(Table1[[#This Row],[predicted]])</f>
        <v>77.197463418322599</v>
      </c>
    </row>
    <row r="750" spans="1:111" x14ac:dyDescent="0.25">
      <c r="A750">
        <v>132708</v>
      </c>
      <c r="B750">
        <v>9240</v>
      </c>
      <c r="C750" t="s">
        <v>7230</v>
      </c>
      <c r="D750" t="s">
        <v>3116</v>
      </c>
      <c r="E750">
        <v>2025</v>
      </c>
      <c r="F750">
        <v>1006114</v>
      </c>
      <c r="G750" t="s">
        <v>7408</v>
      </c>
      <c r="H750" t="s">
        <v>3370</v>
      </c>
      <c r="I750" t="s">
        <v>582</v>
      </c>
      <c r="J750">
        <v>8</v>
      </c>
      <c r="K750">
        <v>42</v>
      </c>
      <c r="L750">
        <v>12</v>
      </c>
      <c r="M750">
        <v>42</v>
      </c>
      <c r="N750">
        <v>41</v>
      </c>
      <c r="O750">
        <v>50</v>
      </c>
      <c r="P750">
        <v>1</v>
      </c>
      <c r="Q750">
        <v>6</v>
      </c>
      <c r="R750">
        <v>1</v>
      </c>
      <c r="S750">
        <v>1</v>
      </c>
      <c r="T750">
        <v>23</v>
      </c>
      <c r="U750">
        <v>0</v>
      </c>
      <c r="V750">
        <v>1</v>
      </c>
      <c r="W750">
        <v>0</v>
      </c>
      <c r="X750">
        <v>0</v>
      </c>
      <c r="Y750" t="s">
        <v>113</v>
      </c>
      <c r="Z750" t="s">
        <v>602</v>
      </c>
      <c r="AA750" t="s">
        <v>7409</v>
      </c>
      <c r="AH750" t="s">
        <v>274</v>
      </c>
      <c r="AI750">
        <v>32</v>
      </c>
      <c r="AJ750">
        <v>0</v>
      </c>
      <c r="AK750">
        <v>0</v>
      </c>
      <c r="AL750">
        <v>0</v>
      </c>
      <c r="AM750">
        <v>0.57999999999999996</v>
      </c>
      <c r="AN750">
        <v>0.24</v>
      </c>
      <c r="AO750">
        <v>0.42</v>
      </c>
      <c r="AS750">
        <v>3</v>
      </c>
      <c r="AT750">
        <v>1</v>
      </c>
      <c r="AU750">
        <v>1</v>
      </c>
      <c r="AV750">
        <v>100</v>
      </c>
      <c r="AW750">
        <v>79</v>
      </c>
      <c r="AX750">
        <v>-29</v>
      </c>
      <c r="AY750">
        <v>0</v>
      </c>
      <c r="AZ750" t="b">
        <v>0</v>
      </c>
      <c r="BA750">
        <v>1976</v>
      </c>
      <c r="BB750">
        <v>1285</v>
      </c>
      <c r="BC750">
        <v>6</v>
      </c>
      <c r="BD750" t="s">
        <v>7344</v>
      </c>
      <c r="BE750" s="1" t="s">
        <v>3594</v>
      </c>
      <c r="BF750">
        <v>0</v>
      </c>
      <c r="BG750">
        <v>71</v>
      </c>
      <c r="BH750">
        <v>0</v>
      </c>
      <c r="BI750" s="1" t="s">
        <v>211</v>
      </c>
      <c r="BJ750" s="1" t="s">
        <v>205</v>
      </c>
      <c r="BK750">
        <v>6</v>
      </c>
      <c r="BL750" s="1" t="s">
        <v>781</v>
      </c>
      <c r="BM750">
        <v>1</v>
      </c>
      <c r="BN750" s="1" t="s">
        <v>275</v>
      </c>
      <c r="BO750">
        <v>3</v>
      </c>
      <c r="BP750">
        <v>2.8</v>
      </c>
      <c r="BQ750" s="1" t="s">
        <v>2287</v>
      </c>
      <c r="BR750">
        <v>23.8</v>
      </c>
      <c r="BS750">
        <v>2</v>
      </c>
      <c r="BT750" s="1" t="s">
        <v>298</v>
      </c>
      <c r="BU750" s="1" t="s">
        <v>128</v>
      </c>
      <c r="BV750">
        <v>1.4</v>
      </c>
      <c r="BW750">
        <v>0</v>
      </c>
      <c r="BX750">
        <v>6.6666666666666596E-2</v>
      </c>
      <c r="BY750">
        <v>0</v>
      </c>
      <c r="BZ750" s="1" t="s">
        <v>213</v>
      </c>
      <c r="CA750">
        <v>0.57999999999999996</v>
      </c>
      <c r="CB750">
        <v>0.57999999999999996</v>
      </c>
      <c r="CC750">
        <v>0.24</v>
      </c>
      <c r="CD750">
        <v>0.24</v>
      </c>
      <c r="CE750">
        <v>0.42</v>
      </c>
      <c r="CF750">
        <v>0.42</v>
      </c>
      <c r="CG750" s="1" t="s">
        <v>253</v>
      </c>
      <c r="CH750" s="1" t="s">
        <v>139</v>
      </c>
      <c r="CI750">
        <v>3</v>
      </c>
      <c r="CJ750" s="1" t="s">
        <v>140</v>
      </c>
      <c r="CK750" s="1" t="s">
        <v>161</v>
      </c>
      <c r="CL750" s="1" t="s">
        <v>255</v>
      </c>
      <c r="CM750" s="1" t="s">
        <v>305</v>
      </c>
      <c r="CN750" s="1" t="s">
        <v>3733</v>
      </c>
      <c r="CO750">
        <v>77</v>
      </c>
      <c r="CP750" s="1" t="s">
        <v>4609</v>
      </c>
      <c r="CQ750" s="1" t="s">
        <v>6022</v>
      </c>
      <c r="CR750" s="1" t="s">
        <v>7410</v>
      </c>
      <c r="CS750" s="1" t="s">
        <v>7346</v>
      </c>
      <c r="CT750">
        <v>1434.2</v>
      </c>
      <c r="CU750" s="1" t="s">
        <v>7348</v>
      </c>
      <c r="CV750">
        <v>1843.2</v>
      </c>
      <c r="CW750">
        <v>64.150000000000006</v>
      </c>
      <c r="CX750">
        <v>62.8</v>
      </c>
      <c r="CY750">
        <v>57.8</v>
      </c>
      <c r="CZ750" s="1" t="s">
        <v>1969</v>
      </c>
      <c r="DA750">
        <v>1</v>
      </c>
      <c r="DB750" t="s">
        <v>602</v>
      </c>
      <c r="DC750">
        <v>12</v>
      </c>
      <c r="DD750" s="1" t="s">
        <v>7411</v>
      </c>
      <c r="DE750">
        <v>-65.185979669336902</v>
      </c>
      <c r="DF750" t="str">
        <f>_xlfn.XLOOKUP(Table1[[#This Row],[Player ID]],Table2[feed_id],Table2[trade_status])</f>
        <v>free_agent</v>
      </c>
      <c r="DG750">
        <f>_xlfn.NUMBERVALUE(Table1[[#This Row],[predicted]])</f>
        <v>77.185979669336902</v>
      </c>
    </row>
    <row r="751" spans="1:111" x14ac:dyDescent="0.25">
      <c r="A751">
        <v>132798</v>
      </c>
      <c r="B751">
        <v>9242</v>
      </c>
      <c r="C751" t="s">
        <v>7597</v>
      </c>
      <c r="D751" t="s">
        <v>3116</v>
      </c>
      <c r="E751">
        <v>2025</v>
      </c>
      <c r="F751">
        <v>1015873</v>
      </c>
      <c r="G751" t="s">
        <v>7777</v>
      </c>
      <c r="H751" t="s">
        <v>7778</v>
      </c>
      <c r="I751" t="s">
        <v>619</v>
      </c>
      <c r="J751">
        <v>14</v>
      </c>
      <c r="K751">
        <v>61</v>
      </c>
      <c r="L751">
        <v>47</v>
      </c>
      <c r="M751">
        <v>35</v>
      </c>
      <c r="N751">
        <v>53</v>
      </c>
      <c r="O751">
        <v>69</v>
      </c>
      <c r="P751">
        <v>10</v>
      </c>
      <c r="Q751">
        <v>7</v>
      </c>
      <c r="R751">
        <v>4</v>
      </c>
      <c r="S751">
        <v>0</v>
      </c>
      <c r="T751">
        <v>0</v>
      </c>
      <c r="U751">
        <v>2</v>
      </c>
      <c r="V751">
        <v>1</v>
      </c>
      <c r="W751">
        <v>1</v>
      </c>
      <c r="X751">
        <v>0</v>
      </c>
      <c r="Y751" t="s">
        <v>113</v>
      </c>
      <c r="Z751" t="s">
        <v>5826</v>
      </c>
      <c r="AA751" t="s">
        <v>7779</v>
      </c>
      <c r="AH751" t="s">
        <v>155</v>
      </c>
      <c r="AI751">
        <v>16</v>
      </c>
      <c r="AJ751">
        <v>0</v>
      </c>
      <c r="AK751">
        <v>0</v>
      </c>
      <c r="AL751">
        <v>0</v>
      </c>
      <c r="AM751">
        <v>0.57999999999999996</v>
      </c>
      <c r="AN751">
        <v>0.37</v>
      </c>
      <c r="AO751">
        <v>0.37</v>
      </c>
      <c r="AS751">
        <v>8</v>
      </c>
      <c r="AT751">
        <v>1</v>
      </c>
      <c r="AU751">
        <v>4</v>
      </c>
      <c r="AV751">
        <v>52</v>
      </c>
      <c r="AW751">
        <v>75</v>
      </c>
      <c r="AX751">
        <v>234</v>
      </c>
      <c r="AY751">
        <v>0</v>
      </c>
      <c r="AZ751" t="b">
        <v>0</v>
      </c>
      <c r="BA751">
        <v>1522</v>
      </c>
      <c r="BB751">
        <v>1764</v>
      </c>
      <c r="BC751">
        <v>6</v>
      </c>
      <c r="BD751" t="s">
        <v>7708</v>
      </c>
      <c r="BE751" s="1" t="s">
        <v>3594</v>
      </c>
      <c r="BF751">
        <v>0</v>
      </c>
      <c r="BG751">
        <v>71</v>
      </c>
      <c r="BH751">
        <v>0</v>
      </c>
      <c r="BI751" s="1" t="s">
        <v>977</v>
      </c>
      <c r="BJ751">
        <v>9.4</v>
      </c>
      <c r="BK751">
        <v>9</v>
      </c>
      <c r="BL751">
        <v>6</v>
      </c>
      <c r="BM751" s="1" t="s">
        <v>125</v>
      </c>
      <c r="BN751" s="1" t="s">
        <v>125</v>
      </c>
      <c r="BO751">
        <v>2</v>
      </c>
      <c r="BP751" s="1" t="s">
        <v>431</v>
      </c>
      <c r="BQ751">
        <v>0</v>
      </c>
      <c r="BR751">
        <v>0</v>
      </c>
      <c r="BS751">
        <v>1</v>
      </c>
      <c r="BT751">
        <v>0.6</v>
      </c>
      <c r="BU751" s="1" t="s">
        <v>128</v>
      </c>
      <c r="BV751" s="1" t="s">
        <v>128</v>
      </c>
      <c r="BW751" s="1" t="s">
        <v>128</v>
      </c>
      <c r="BX751" s="1" t="s">
        <v>184</v>
      </c>
      <c r="BY751" s="1" t="s">
        <v>128</v>
      </c>
      <c r="BZ751" s="1" t="s">
        <v>231</v>
      </c>
      <c r="CA751">
        <v>0.57999999999999996</v>
      </c>
      <c r="CB751">
        <v>0.57999999999999996</v>
      </c>
      <c r="CC751">
        <v>0.37</v>
      </c>
      <c r="CD751">
        <v>0.37</v>
      </c>
      <c r="CE751">
        <v>0.37</v>
      </c>
      <c r="CF751">
        <v>0.37</v>
      </c>
      <c r="CG751" s="1" t="s">
        <v>204</v>
      </c>
      <c r="CH751" s="1" t="s">
        <v>374</v>
      </c>
      <c r="CI751" s="1" t="s">
        <v>159</v>
      </c>
      <c r="CJ751" s="1" t="s">
        <v>161</v>
      </c>
      <c r="CK751" s="1" t="s">
        <v>138</v>
      </c>
      <c r="CL751">
        <v>2.4</v>
      </c>
      <c r="CM751" s="1" t="s">
        <v>572</v>
      </c>
      <c r="CN751" s="1" t="s">
        <v>7075</v>
      </c>
      <c r="CO751" s="1" t="s">
        <v>364</v>
      </c>
      <c r="CP751" s="1" t="s">
        <v>2924</v>
      </c>
      <c r="CQ751">
        <v>250</v>
      </c>
      <c r="CR751">
        <v>256</v>
      </c>
      <c r="CS751" s="1" t="s">
        <v>7780</v>
      </c>
      <c r="CT751">
        <v>1675.6</v>
      </c>
      <c r="CU751" s="1" t="s">
        <v>3629</v>
      </c>
      <c r="CV751" s="1" t="s">
        <v>4610</v>
      </c>
      <c r="CW751">
        <v>66.599999999999994</v>
      </c>
      <c r="CX751">
        <v>54</v>
      </c>
      <c r="CY751">
        <v>62.2</v>
      </c>
      <c r="CZ751" s="1" t="s">
        <v>2490</v>
      </c>
      <c r="DA751">
        <v>1</v>
      </c>
      <c r="DB751" t="s">
        <v>5826</v>
      </c>
      <c r="DC751">
        <v>47</v>
      </c>
      <c r="DD751" s="1" t="s">
        <v>7781</v>
      </c>
      <c r="DE751">
        <v>-30.175714414809701</v>
      </c>
      <c r="DF751" t="str">
        <f>_xlfn.XLOOKUP(Table1[[#This Row],[Player ID]],Table2[feed_id],Table2[trade_status])</f>
        <v>free_agent</v>
      </c>
      <c r="DG751">
        <f>_xlfn.NUMBERVALUE(Table1[[#This Row],[predicted]])</f>
        <v>77.175714414809704</v>
      </c>
    </row>
    <row r="752" spans="1:111" x14ac:dyDescent="0.25">
      <c r="A752">
        <v>132936</v>
      </c>
      <c r="B752">
        <v>9245</v>
      </c>
      <c r="C752" t="s">
        <v>8180</v>
      </c>
      <c r="D752" t="s">
        <v>3116</v>
      </c>
      <c r="E752">
        <v>2025</v>
      </c>
      <c r="F752">
        <v>1009421</v>
      </c>
      <c r="G752" t="s">
        <v>8126</v>
      </c>
      <c r="H752" t="s">
        <v>8364</v>
      </c>
      <c r="I752" t="s">
        <v>391</v>
      </c>
      <c r="J752">
        <v>4</v>
      </c>
      <c r="K752">
        <v>37</v>
      </c>
      <c r="L752">
        <v>31</v>
      </c>
      <c r="M752">
        <v>34</v>
      </c>
      <c r="N752">
        <v>34</v>
      </c>
      <c r="O752">
        <v>49</v>
      </c>
      <c r="P752">
        <v>3</v>
      </c>
      <c r="Q752">
        <v>9</v>
      </c>
      <c r="R752">
        <v>2</v>
      </c>
      <c r="S752">
        <v>2</v>
      </c>
      <c r="T752">
        <v>0</v>
      </c>
      <c r="U752">
        <v>1</v>
      </c>
      <c r="V752">
        <v>2</v>
      </c>
      <c r="W752">
        <v>0</v>
      </c>
      <c r="X752">
        <v>1</v>
      </c>
      <c r="Y752" t="s">
        <v>113</v>
      </c>
      <c r="Z752" t="s">
        <v>987</v>
      </c>
      <c r="AA752" t="s">
        <v>8365</v>
      </c>
      <c r="AH752" t="s">
        <v>118</v>
      </c>
      <c r="AI752">
        <v>20</v>
      </c>
      <c r="AJ752">
        <v>0</v>
      </c>
      <c r="AK752">
        <v>0</v>
      </c>
      <c r="AL752">
        <v>0</v>
      </c>
      <c r="AM752">
        <v>0.4</v>
      </c>
      <c r="AN752">
        <v>0.87</v>
      </c>
      <c r="AO752">
        <v>0.98</v>
      </c>
      <c r="AS752">
        <v>7</v>
      </c>
      <c r="AT752">
        <v>0</v>
      </c>
      <c r="AU752">
        <v>6</v>
      </c>
      <c r="AV752">
        <v>41</v>
      </c>
      <c r="AW752">
        <v>87</v>
      </c>
      <c r="AX752">
        <v>92</v>
      </c>
      <c r="AY752">
        <v>0</v>
      </c>
      <c r="AZ752" t="b">
        <v>0</v>
      </c>
      <c r="BA752">
        <v>1799</v>
      </c>
      <c r="BB752">
        <v>1477</v>
      </c>
      <c r="BC752">
        <v>6</v>
      </c>
      <c r="BD752" t="s">
        <v>8277</v>
      </c>
      <c r="BE752" s="1" t="s">
        <v>3594</v>
      </c>
      <c r="BF752">
        <v>0</v>
      </c>
      <c r="BG752">
        <v>71</v>
      </c>
      <c r="BH752">
        <v>0</v>
      </c>
      <c r="BI752" s="1" t="s">
        <v>253</v>
      </c>
      <c r="BJ752">
        <v>7.8</v>
      </c>
      <c r="BK752" s="1" t="s">
        <v>294</v>
      </c>
      <c r="BL752">
        <v>7.8</v>
      </c>
      <c r="BM752" s="1" t="s">
        <v>159</v>
      </c>
      <c r="BN752">
        <v>3.2</v>
      </c>
      <c r="BO752" s="1" t="s">
        <v>161</v>
      </c>
      <c r="BP752" s="1" t="s">
        <v>275</v>
      </c>
      <c r="BQ752">
        <v>0</v>
      </c>
      <c r="BR752">
        <v>0</v>
      </c>
      <c r="BS752" s="1" t="s">
        <v>129</v>
      </c>
      <c r="BT752" s="1" t="s">
        <v>213</v>
      </c>
      <c r="BU752" s="1" t="s">
        <v>126</v>
      </c>
      <c r="BV752" s="1" t="s">
        <v>238</v>
      </c>
      <c r="BW752">
        <v>0</v>
      </c>
      <c r="BX752" s="1" t="s">
        <v>238</v>
      </c>
      <c r="BY752">
        <v>1</v>
      </c>
      <c r="BZ752" s="1" t="s">
        <v>128</v>
      </c>
      <c r="CA752">
        <v>0.4</v>
      </c>
      <c r="CB752">
        <v>0.4</v>
      </c>
      <c r="CC752">
        <v>0.87</v>
      </c>
      <c r="CD752">
        <v>0.87</v>
      </c>
      <c r="CE752">
        <v>0.98</v>
      </c>
      <c r="CF752">
        <v>0.98</v>
      </c>
      <c r="CG752" s="1" t="s">
        <v>397</v>
      </c>
      <c r="CH752">
        <v>5.4</v>
      </c>
      <c r="CI752" s="1" t="s">
        <v>129</v>
      </c>
      <c r="CJ752">
        <v>0.8</v>
      </c>
      <c r="CK752" s="1" t="s">
        <v>211</v>
      </c>
      <c r="CL752">
        <v>2</v>
      </c>
      <c r="CM752" s="1" t="s">
        <v>1316</v>
      </c>
      <c r="CN752" s="1" t="s">
        <v>3033</v>
      </c>
      <c r="CO752" s="1" t="s">
        <v>1491</v>
      </c>
      <c r="CP752">
        <v>80.2</v>
      </c>
      <c r="CQ752" s="1" t="s">
        <v>8366</v>
      </c>
      <c r="CR752" s="1" t="s">
        <v>8367</v>
      </c>
      <c r="CS752" s="1" t="s">
        <v>4566</v>
      </c>
      <c r="CT752" s="1" t="s">
        <v>1151</v>
      </c>
      <c r="CU752">
        <v>1616</v>
      </c>
      <c r="CV752" s="1" t="s">
        <v>4732</v>
      </c>
      <c r="CW752">
        <v>54.5</v>
      </c>
      <c r="CX752">
        <v>57.1</v>
      </c>
      <c r="CY752">
        <v>54.2</v>
      </c>
      <c r="CZ752" s="1" t="s">
        <v>1927</v>
      </c>
      <c r="DA752">
        <v>1</v>
      </c>
      <c r="DB752" t="s">
        <v>987</v>
      </c>
      <c r="DC752">
        <v>31</v>
      </c>
      <c r="DD752" s="1" t="s">
        <v>8368</v>
      </c>
      <c r="DE752">
        <v>-45.314423694541198</v>
      </c>
      <c r="DF752" t="str">
        <f>_xlfn.XLOOKUP(Table1[[#This Row],[Player ID]],Table2[feed_id],Table2[trade_status])</f>
        <v>free_agent</v>
      </c>
      <c r="DG752">
        <f>_xlfn.NUMBERVALUE(Table1[[#This Row],[predicted]])</f>
        <v>76.314423694541205</v>
      </c>
    </row>
    <row r="753" spans="1:111" x14ac:dyDescent="0.25">
      <c r="A753">
        <v>132707</v>
      </c>
      <c r="B753">
        <v>9240</v>
      </c>
      <c r="C753" t="s">
        <v>7230</v>
      </c>
      <c r="D753" t="s">
        <v>3116</v>
      </c>
      <c r="E753">
        <v>2025</v>
      </c>
      <c r="F753">
        <v>1023167</v>
      </c>
      <c r="G753" t="s">
        <v>7403</v>
      </c>
      <c r="H753" t="s">
        <v>7404</v>
      </c>
      <c r="I753" t="s">
        <v>582</v>
      </c>
      <c r="J753">
        <v>4</v>
      </c>
      <c r="K753">
        <v>43</v>
      </c>
      <c r="L753">
        <v>69</v>
      </c>
      <c r="M753">
        <v>30</v>
      </c>
      <c r="N753">
        <v>39</v>
      </c>
      <c r="O753">
        <v>51</v>
      </c>
      <c r="P753">
        <v>6</v>
      </c>
      <c r="Q753">
        <v>6</v>
      </c>
      <c r="R753">
        <v>5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 t="s">
        <v>113</v>
      </c>
      <c r="Z753" t="s">
        <v>778</v>
      </c>
      <c r="AA753" t="s">
        <v>225</v>
      </c>
      <c r="AB753" t="s">
        <v>226</v>
      </c>
      <c r="AC753" t="s">
        <v>3679</v>
      </c>
      <c r="AH753" t="s">
        <v>181</v>
      </c>
      <c r="AI753">
        <v>19</v>
      </c>
      <c r="AJ753">
        <v>0</v>
      </c>
      <c r="AK753">
        <v>0</v>
      </c>
      <c r="AL753">
        <v>0</v>
      </c>
      <c r="AM753">
        <v>0.44</v>
      </c>
      <c r="AN753">
        <v>0.14000000000000001</v>
      </c>
      <c r="AO753">
        <v>0.6</v>
      </c>
      <c r="AS753">
        <v>2</v>
      </c>
      <c r="AT753">
        <v>1</v>
      </c>
      <c r="AU753">
        <v>1</v>
      </c>
      <c r="AV753">
        <v>100</v>
      </c>
      <c r="AW753">
        <v>87</v>
      </c>
      <c r="AX753">
        <v>153</v>
      </c>
      <c r="AY753">
        <v>0</v>
      </c>
      <c r="AZ753" t="b">
        <v>1</v>
      </c>
      <c r="BA753">
        <v>1976</v>
      </c>
      <c r="BB753">
        <v>1285</v>
      </c>
      <c r="BC753">
        <v>6</v>
      </c>
      <c r="BD753" t="s">
        <v>7344</v>
      </c>
      <c r="BE753" s="1" t="s">
        <v>3594</v>
      </c>
      <c r="BF753">
        <v>0</v>
      </c>
      <c r="BG753">
        <v>71</v>
      </c>
      <c r="BH753">
        <v>0</v>
      </c>
      <c r="BI753" s="1" t="s">
        <v>397</v>
      </c>
      <c r="BJ753" s="1" t="s">
        <v>1066</v>
      </c>
      <c r="BK753">
        <v>5</v>
      </c>
      <c r="BL753" s="1" t="s">
        <v>429</v>
      </c>
      <c r="BM753" s="1" t="s">
        <v>211</v>
      </c>
      <c r="BN753">
        <v>4.5999999999999996</v>
      </c>
      <c r="BO753" s="1" t="s">
        <v>129</v>
      </c>
      <c r="BP753" s="1" t="s">
        <v>322</v>
      </c>
      <c r="BQ753">
        <v>0</v>
      </c>
      <c r="BR753">
        <v>0</v>
      </c>
      <c r="BS753" s="1" t="s">
        <v>128</v>
      </c>
      <c r="BT753" s="1" t="s">
        <v>238</v>
      </c>
      <c r="BU753">
        <v>1</v>
      </c>
      <c r="BV753" s="1" t="s">
        <v>129</v>
      </c>
      <c r="BW753">
        <v>0</v>
      </c>
      <c r="BX753">
        <v>0</v>
      </c>
      <c r="BY753">
        <v>0</v>
      </c>
      <c r="BZ753">
        <v>0</v>
      </c>
      <c r="CA753">
        <v>0.44</v>
      </c>
      <c r="CB753">
        <v>0.44</v>
      </c>
      <c r="CC753">
        <v>0.14000000000000001</v>
      </c>
      <c r="CD753">
        <v>0.14000000000000001</v>
      </c>
      <c r="CE753">
        <v>0.6</v>
      </c>
      <c r="CF753">
        <v>0.6</v>
      </c>
      <c r="CG753" s="1" t="s">
        <v>169</v>
      </c>
      <c r="CH753" s="1" t="s">
        <v>436</v>
      </c>
      <c r="CI753" s="1" t="s">
        <v>129</v>
      </c>
      <c r="CJ753" s="1" t="s">
        <v>238</v>
      </c>
      <c r="CK753" s="1" t="s">
        <v>161</v>
      </c>
      <c r="CL753" s="1" t="s">
        <v>161</v>
      </c>
      <c r="CM753" s="1" t="s">
        <v>4375</v>
      </c>
      <c r="CN753" s="1" t="s">
        <v>6688</v>
      </c>
      <c r="CO753" s="1" t="s">
        <v>552</v>
      </c>
      <c r="CP753" s="1" t="s">
        <v>5457</v>
      </c>
      <c r="CQ753" s="1" t="s">
        <v>3925</v>
      </c>
      <c r="CR753">
        <v>209</v>
      </c>
      <c r="CS753" s="1" t="s">
        <v>7346</v>
      </c>
      <c r="CT753" s="1" t="s">
        <v>7405</v>
      </c>
      <c r="CU753" s="1" t="s">
        <v>7348</v>
      </c>
      <c r="CV753" s="1" t="s">
        <v>7406</v>
      </c>
      <c r="CW753">
        <v>65.849999999999994</v>
      </c>
      <c r="CX753">
        <v>65.2</v>
      </c>
      <c r="CY753">
        <v>59</v>
      </c>
      <c r="CZ753" s="1" t="s">
        <v>2998</v>
      </c>
      <c r="DA753">
        <v>1</v>
      </c>
      <c r="DB753" t="s">
        <v>778</v>
      </c>
      <c r="DC753">
        <v>69</v>
      </c>
      <c r="DD753" s="1" t="s">
        <v>7407</v>
      </c>
      <c r="DE753">
        <v>-5.5006263621462903</v>
      </c>
      <c r="DF753" t="str">
        <f>_xlfn.XLOOKUP(Table1[[#This Row],[Player ID]],Table2[feed_id],Table2[trade_status])</f>
        <v>free_agent</v>
      </c>
      <c r="DG753">
        <f>_xlfn.NUMBERVALUE(Table1[[#This Row],[predicted]])</f>
        <v>74.500626362146207</v>
      </c>
    </row>
    <row r="754" spans="1:111" x14ac:dyDescent="0.25">
      <c r="A754">
        <v>132799</v>
      </c>
      <c r="B754">
        <v>9242</v>
      </c>
      <c r="C754" t="s">
        <v>7597</v>
      </c>
      <c r="D754" t="s">
        <v>3116</v>
      </c>
      <c r="E754">
        <v>2025</v>
      </c>
      <c r="F754">
        <v>1006096</v>
      </c>
      <c r="G754" t="s">
        <v>580</v>
      </c>
      <c r="H754" t="s">
        <v>7782</v>
      </c>
      <c r="I754" t="s">
        <v>619</v>
      </c>
      <c r="J754">
        <v>13</v>
      </c>
      <c r="K754">
        <v>58</v>
      </c>
      <c r="L754">
        <v>56</v>
      </c>
      <c r="M754">
        <v>39</v>
      </c>
      <c r="N754">
        <v>50</v>
      </c>
      <c r="O754">
        <v>69</v>
      </c>
      <c r="P754">
        <v>8</v>
      </c>
      <c r="Q754">
        <v>9</v>
      </c>
      <c r="R754">
        <v>3</v>
      </c>
      <c r="S754">
        <v>1</v>
      </c>
      <c r="T754">
        <v>0</v>
      </c>
      <c r="U754">
        <v>0</v>
      </c>
      <c r="V754">
        <v>1</v>
      </c>
      <c r="W754">
        <v>1</v>
      </c>
      <c r="X754">
        <v>0</v>
      </c>
      <c r="Y754" t="s">
        <v>113</v>
      </c>
      <c r="Z754" t="s">
        <v>525</v>
      </c>
      <c r="AA754" t="s">
        <v>7783</v>
      </c>
      <c r="AH754" t="s">
        <v>118</v>
      </c>
      <c r="AI754">
        <v>28</v>
      </c>
      <c r="AJ754">
        <v>0</v>
      </c>
      <c r="AK754">
        <v>0</v>
      </c>
      <c r="AL754">
        <v>0</v>
      </c>
      <c r="AM754">
        <v>0.89</v>
      </c>
      <c r="AN754">
        <v>1.49</v>
      </c>
      <c r="AO754">
        <v>1.72</v>
      </c>
      <c r="AS754">
        <v>4</v>
      </c>
      <c r="AT754">
        <v>4</v>
      </c>
      <c r="AU754">
        <v>3</v>
      </c>
      <c r="AV754">
        <v>82</v>
      </c>
      <c r="AW754">
        <v>83</v>
      </c>
      <c r="AX754">
        <v>215</v>
      </c>
      <c r="AY754">
        <v>0</v>
      </c>
      <c r="AZ754" t="b">
        <v>0</v>
      </c>
      <c r="BA754">
        <v>1522</v>
      </c>
      <c r="BB754">
        <v>1764</v>
      </c>
      <c r="BC754">
        <v>6</v>
      </c>
      <c r="BD754" t="s">
        <v>7708</v>
      </c>
      <c r="BE754" s="1" t="s">
        <v>3594</v>
      </c>
      <c r="BF754">
        <v>0</v>
      </c>
      <c r="BG754">
        <v>71</v>
      </c>
      <c r="BH754">
        <v>0</v>
      </c>
      <c r="BI754">
        <v>9</v>
      </c>
      <c r="BJ754" s="1" t="s">
        <v>1398</v>
      </c>
      <c r="BK754" s="1" t="s">
        <v>157</v>
      </c>
      <c r="BL754" s="1" t="s">
        <v>358</v>
      </c>
      <c r="BM754" s="1" t="s">
        <v>449</v>
      </c>
      <c r="BN754">
        <v>6.6</v>
      </c>
      <c r="BO754">
        <v>2</v>
      </c>
      <c r="BP754" s="1" t="s">
        <v>373</v>
      </c>
      <c r="BQ754">
        <v>0</v>
      </c>
      <c r="BR754">
        <v>0</v>
      </c>
      <c r="BS754" s="1" t="s">
        <v>161</v>
      </c>
      <c r="BT754">
        <v>0.8</v>
      </c>
      <c r="BU754" s="1" t="s">
        <v>126</v>
      </c>
      <c r="BV754">
        <v>0.4</v>
      </c>
      <c r="BW754" s="1" t="s">
        <v>129</v>
      </c>
      <c r="BX754" s="1" t="s">
        <v>130</v>
      </c>
      <c r="BY754" s="1" t="s">
        <v>129</v>
      </c>
      <c r="BZ754">
        <v>6.6666666666666596E-2</v>
      </c>
      <c r="CA754">
        <v>0.89</v>
      </c>
      <c r="CB754">
        <v>0.89</v>
      </c>
      <c r="CC754">
        <v>1.49</v>
      </c>
      <c r="CD754">
        <v>1.49</v>
      </c>
      <c r="CE754">
        <v>1.72</v>
      </c>
      <c r="CF754">
        <v>1.72</v>
      </c>
      <c r="CG754" s="1" t="s">
        <v>204</v>
      </c>
      <c r="CH754">
        <v>4.5999999999999996</v>
      </c>
      <c r="CI754">
        <v>3</v>
      </c>
      <c r="CJ754" s="1" t="s">
        <v>298</v>
      </c>
      <c r="CK754">
        <v>3</v>
      </c>
      <c r="CL754" s="1" t="s">
        <v>275</v>
      </c>
      <c r="CM754">
        <v>80</v>
      </c>
      <c r="CN754" s="1" t="s">
        <v>5350</v>
      </c>
      <c r="CO754" s="1" t="s">
        <v>516</v>
      </c>
      <c r="CP754">
        <v>81</v>
      </c>
      <c r="CQ754" s="1" t="s">
        <v>6609</v>
      </c>
      <c r="CR754" s="1" t="s">
        <v>7784</v>
      </c>
      <c r="CS754" s="1" t="s">
        <v>144</v>
      </c>
      <c r="CT754">
        <v>1672.2</v>
      </c>
      <c r="CU754" s="1" t="s">
        <v>4416</v>
      </c>
      <c r="CV754" s="1" t="s">
        <v>7785</v>
      </c>
      <c r="CW754">
        <v>77.849999999999994</v>
      </c>
      <c r="CX754">
        <v>77.099999999999994</v>
      </c>
      <c r="CY754">
        <v>78.599999999999994</v>
      </c>
      <c r="CZ754">
        <v>76</v>
      </c>
      <c r="DA754">
        <v>1</v>
      </c>
      <c r="DB754" t="s">
        <v>525</v>
      </c>
      <c r="DC754">
        <v>56</v>
      </c>
      <c r="DD754" s="1" t="s">
        <v>7786</v>
      </c>
      <c r="DE754">
        <v>-18.485557343208601</v>
      </c>
      <c r="DF754" t="str">
        <f>_xlfn.XLOOKUP(Table1[[#This Row],[Player ID]],Table2[feed_id],Table2[trade_status])</f>
        <v>free_agent</v>
      </c>
      <c r="DG754">
        <f>_xlfn.NUMBERVALUE(Table1[[#This Row],[predicted]])</f>
        <v>74.485557343208598</v>
      </c>
    </row>
    <row r="755" spans="1:111" hidden="1" x14ac:dyDescent="0.25">
      <c r="A755">
        <v>132625</v>
      </c>
      <c r="B755">
        <v>9239</v>
      </c>
      <c r="C755" t="s">
        <v>7040</v>
      </c>
      <c r="D755" t="s">
        <v>3116</v>
      </c>
      <c r="E755">
        <v>2025</v>
      </c>
      <c r="F755">
        <v>993998</v>
      </c>
      <c r="G755" t="s">
        <v>4822</v>
      </c>
      <c r="H755" t="s">
        <v>7041</v>
      </c>
      <c r="I755" t="s">
        <v>813</v>
      </c>
      <c r="J755">
        <v>26</v>
      </c>
      <c r="K755">
        <v>110</v>
      </c>
      <c r="L755">
        <v>101</v>
      </c>
      <c r="M755">
        <v>137</v>
      </c>
      <c r="N755">
        <v>89</v>
      </c>
      <c r="O755">
        <v>114</v>
      </c>
      <c r="P755">
        <v>13</v>
      </c>
      <c r="Q755">
        <v>11</v>
      </c>
      <c r="R755">
        <v>6</v>
      </c>
      <c r="S755">
        <v>4</v>
      </c>
      <c r="T755">
        <v>0</v>
      </c>
      <c r="U755">
        <v>3</v>
      </c>
      <c r="V755">
        <v>0</v>
      </c>
      <c r="W755">
        <v>2</v>
      </c>
      <c r="X755">
        <v>0</v>
      </c>
      <c r="Y755" t="s">
        <v>113</v>
      </c>
      <c r="Z755" t="s">
        <v>339</v>
      </c>
      <c r="AA755" t="s">
        <v>7042</v>
      </c>
      <c r="AB755" t="s">
        <v>5826</v>
      </c>
      <c r="AC755" t="s">
        <v>7043</v>
      </c>
      <c r="AE755">
        <v>0</v>
      </c>
      <c r="AH755" t="s">
        <v>118</v>
      </c>
      <c r="AI755">
        <v>12</v>
      </c>
      <c r="AJ755">
        <v>21</v>
      </c>
      <c r="AK755">
        <v>59.76</v>
      </c>
      <c r="AL755">
        <v>0</v>
      </c>
      <c r="AM755">
        <v>0</v>
      </c>
      <c r="AN755">
        <v>1.06</v>
      </c>
      <c r="AO755">
        <v>3.34</v>
      </c>
      <c r="AS755">
        <v>9</v>
      </c>
      <c r="AT755">
        <v>3</v>
      </c>
      <c r="AU755">
        <v>3</v>
      </c>
      <c r="AV755">
        <v>79</v>
      </c>
      <c r="AW755">
        <v>88</v>
      </c>
      <c r="AX755">
        <v>296</v>
      </c>
      <c r="AY755">
        <v>0</v>
      </c>
      <c r="AZ755" t="b">
        <v>0</v>
      </c>
      <c r="BA755">
        <v>1678</v>
      </c>
      <c r="BB755">
        <v>1592</v>
      </c>
      <c r="BC755">
        <v>6</v>
      </c>
      <c r="BD755" t="s">
        <v>7044</v>
      </c>
      <c r="BE755" s="1" t="s">
        <v>3594</v>
      </c>
      <c r="BF755">
        <v>1</v>
      </c>
      <c r="BG755">
        <v>71</v>
      </c>
      <c r="BH755">
        <v>1</v>
      </c>
      <c r="BI755">
        <v>16</v>
      </c>
      <c r="BJ755" s="1" t="s">
        <v>6661</v>
      </c>
      <c r="BK755" s="1" t="s">
        <v>977</v>
      </c>
      <c r="BL755" s="1" t="s">
        <v>157</v>
      </c>
      <c r="BM755" s="1" t="s">
        <v>124</v>
      </c>
      <c r="BN755">
        <v>4</v>
      </c>
      <c r="BO755">
        <v>3</v>
      </c>
      <c r="BP755">
        <v>3.4</v>
      </c>
      <c r="BQ755">
        <v>0</v>
      </c>
      <c r="BR755">
        <v>0</v>
      </c>
      <c r="BS755" s="1" t="s">
        <v>161</v>
      </c>
      <c r="BT755" s="1" t="s">
        <v>126</v>
      </c>
      <c r="BU755">
        <v>0</v>
      </c>
      <c r="BV755" s="1" t="s">
        <v>206</v>
      </c>
      <c r="BW755">
        <v>1</v>
      </c>
      <c r="BX755" s="1" t="s">
        <v>130</v>
      </c>
      <c r="BY755">
        <v>0</v>
      </c>
      <c r="BZ755" s="1" t="s">
        <v>184</v>
      </c>
      <c r="CA755">
        <v>0</v>
      </c>
      <c r="CB755">
        <v>0</v>
      </c>
      <c r="CC755">
        <v>1.06</v>
      </c>
      <c r="CD755">
        <v>1.06</v>
      </c>
      <c r="CE755">
        <v>3.34</v>
      </c>
      <c r="CF755">
        <v>3.34</v>
      </c>
      <c r="CG755">
        <v>9</v>
      </c>
      <c r="CH755" s="1" t="s">
        <v>864</v>
      </c>
      <c r="CI755" s="1" t="s">
        <v>211</v>
      </c>
      <c r="CJ755">
        <v>5</v>
      </c>
      <c r="CK755">
        <v>4</v>
      </c>
      <c r="CL755" s="1" t="s">
        <v>125</v>
      </c>
      <c r="CM755" s="1" t="s">
        <v>215</v>
      </c>
      <c r="CN755" s="1" t="s">
        <v>417</v>
      </c>
      <c r="CO755" s="1" t="s">
        <v>1491</v>
      </c>
      <c r="CP755" s="1" t="s">
        <v>6669</v>
      </c>
      <c r="CQ755" s="1" t="s">
        <v>7045</v>
      </c>
      <c r="CR755">
        <v>366.8</v>
      </c>
      <c r="CS755" s="1" t="s">
        <v>2903</v>
      </c>
      <c r="CT755">
        <v>1623.8</v>
      </c>
      <c r="CU755">
        <v>1674</v>
      </c>
      <c r="CV755" s="1" t="s">
        <v>7046</v>
      </c>
      <c r="CW755">
        <v>88.3</v>
      </c>
      <c r="CX755">
        <v>95.7</v>
      </c>
      <c r="CY755">
        <v>99.8</v>
      </c>
      <c r="CZ755">
        <v>94</v>
      </c>
      <c r="DA755">
        <v>1</v>
      </c>
      <c r="DB755" t="s">
        <v>339</v>
      </c>
      <c r="DC755">
        <v>101</v>
      </c>
      <c r="DD755" s="1" t="s">
        <v>7047</v>
      </c>
      <c r="DE755" s="1" t="s">
        <v>7048</v>
      </c>
      <c r="DF755" t="e">
        <f>_xlfn.XLOOKUP(Table1[[#This Row],[Player ID]],Table2[feed_id],Table2[trade_status])</f>
        <v>#N/A</v>
      </c>
      <c r="DG755">
        <f>_xlfn.NUMBERVALUE(Table1[[#This Row],[predicted]])</f>
        <v>89.200063326339901</v>
      </c>
    </row>
    <row r="756" spans="1:111" hidden="1" x14ac:dyDescent="0.25">
      <c r="A756">
        <v>132626</v>
      </c>
      <c r="B756">
        <v>9239</v>
      </c>
      <c r="C756" t="s">
        <v>7040</v>
      </c>
      <c r="D756" t="s">
        <v>3116</v>
      </c>
      <c r="E756">
        <v>2025</v>
      </c>
      <c r="F756">
        <v>1002267</v>
      </c>
      <c r="G756" t="s">
        <v>176</v>
      </c>
      <c r="H756" t="s">
        <v>7049</v>
      </c>
      <c r="I756" t="s">
        <v>813</v>
      </c>
      <c r="J756">
        <v>24</v>
      </c>
      <c r="K756">
        <v>106</v>
      </c>
      <c r="L756">
        <v>101</v>
      </c>
      <c r="M756">
        <v>138</v>
      </c>
      <c r="N756">
        <v>83</v>
      </c>
      <c r="O756">
        <v>114</v>
      </c>
      <c r="P756">
        <v>17</v>
      </c>
      <c r="Q756">
        <v>9</v>
      </c>
      <c r="R756">
        <v>7</v>
      </c>
      <c r="S756">
        <v>4</v>
      </c>
      <c r="T756">
        <v>0</v>
      </c>
      <c r="U756">
        <v>0</v>
      </c>
      <c r="V756">
        <v>1</v>
      </c>
      <c r="W756">
        <v>0</v>
      </c>
      <c r="X756">
        <v>3</v>
      </c>
      <c r="Y756" t="s">
        <v>113</v>
      </c>
      <c r="Z756" t="s">
        <v>339</v>
      </c>
      <c r="AA756" t="s">
        <v>860</v>
      </c>
      <c r="AB756" t="s">
        <v>877</v>
      </c>
      <c r="AC756" t="s">
        <v>7050</v>
      </c>
      <c r="AE756">
        <v>0</v>
      </c>
      <c r="AH756" t="s">
        <v>118</v>
      </c>
      <c r="AI756">
        <v>9</v>
      </c>
      <c r="AJ756">
        <v>7</v>
      </c>
      <c r="AK756">
        <v>40.29</v>
      </c>
      <c r="AL756">
        <v>0</v>
      </c>
      <c r="AM756">
        <v>0</v>
      </c>
      <c r="AN756">
        <v>16.809999999999999</v>
      </c>
      <c r="AO756">
        <v>12.55</v>
      </c>
      <c r="AS756">
        <v>9</v>
      </c>
      <c r="AT756">
        <v>8</v>
      </c>
      <c r="AU756">
        <v>3</v>
      </c>
      <c r="AV756">
        <v>73</v>
      </c>
      <c r="AW756">
        <v>85</v>
      </c>
      <c r="AX756">
        <v>564</v>
      </c>
      <c r="AY756">
        <v>0</v>
      </c>
      <c r="AZ756" t="b">
        <v>0</v>
      </c>
      <c r="BA756">
        <v>1678</v>
      </c>
      <c r="BB756">
        <v>1592</v>
      </c>
      <c r="BC756">
        <v>6</v>
      </c>
      <c r="BD756" t="s">
        <v>7044</v>
      </c>
      <c r="BE756" s="1" t="s">
        <v>3594</v>
      </c>
      <c r="BF756">
        <v>1</v>
      </c>
      <c r="BG756">
        <v>71</v>
      </c>
      <c r="BH756">
        <v>1</v>
      </c>
      <c r="BI756">
        <v>14</v>
      </c>
      <c r="BJ756">
        <v>13</v>
      </c>
      <c r="BK756" s="1" t="s">
        <v>294</v>
      </c>
      <c r="BL756" s="1" t="s">
        <v>5337</v>
      </c>
      <c r="BM756">
        <v>6</v>
      </c>
      <c r="BN756" s="1" t="s">
        <v>230</v>
      </c>
      <c r="BO756" s="1" t="s">
        <v>125</v>
      </c>
      <c r="BP756">
        <v>4.2</v>
      </c>
      <c r="BQ756">
        <v>0</v>
      </c>
      <c r="BR756">
        <v>0</v>
      </c>
      <c r="BS756">
        <v>0</v>
      </c>
      <c r="BT756">
        <v>1</v>
      </c>
      <c r="BU756">
        <v>1</v>
      </c>
      <c r="BV756" s="1" t="s">
        <v>206</v>
      </c>
      <c r="BW756">
        <v>0</v>
      </c>
      <c r="BX756" s="1" t="s">
        <v>231</v>
      </c>
      <c r="BY756" s="1" t="s">
        <v>126</v>
      </c>
      <c r="BZ756" s="1" t="s">
        <v>129</v>
      </c>
      <c r="CA756">
        <v>0</v>
      </c>
      <c r="CB756">
        <v>0</v>
      </c>
      <c r="CC756">
        <v>16.809999999999999</v>
      </c>
      <c r="CD756">
        <v>16.809999999999999</v>
      </c>
      <c r="CE756">
        <v>12.55</v>
      </c>
      <c r="CF756">
        <v>12.55</v>
      </c>
      <c r="CG756">
        <v>7</v>
      </c>
      <c r="CH756" s="1" t="s">
        <v>5507</v>
      </c>
      <c r="CI756">
        <v>5</v>
      </c>
      <c r="CJ756">
        <v>6</v>
      </c>
      <c r="CK756">
        <v>3</v>
      </c>
      <c r="CL756" s="1" t="s">
        <v>321</v>
      </c>
      <c r="CM756" s="1" t="s">
        <v>1053</v>
      </c>
      <c r="CN756" s="1" t="s">
        <v>1204</v>
      </c>
      <c r="CO756" s="1" t="s">
        <v>268</v>
      </c>
      <c r="CP756" s="1" t="s">
        <v>7051</v>
      </c>
      <c r="CQ756">
        <v>421</v>
      </c>
      <c r="CR756" s="1" t="s">
        <v>7052</v>
      </c>
      <c r="CS756" s="1" t="s">
        <v>2903</v>
      </c>
      <c r="CT756">
        <v>1623.8</v>
      </c>
      <c r="CU756">
        <v>1674</v>
      </c>
      <c r="CV756" s="1" t="s">
        <v>7046</v>
      </c>
      <c r="CW756">
        <v>110.15</v>
      </c>
      <c r="CX756">
        <v>100</v>
      </c>
      <c r="CY756">
        <v>92.8</v>
      </c>
      <c r="CZ756" s="1" t="s">
        <v>1665</v>
      </c>
      <c r="DA756">
        <v>1</v>
      </c>
      <c r="DB756" t="s">
        <v>339</v>
      </c>
      <c r="DC756">
        <v>101</v>
      </c>
      <c r="DD756" s="1" t="s">
        <v>7053</v>
      </c>
      <c r="DE756">
        <v>-0.155331933660662</v>
      </c>
      <c r="DF756" t="e">
        <f>_xlfn.XLOOKUP(Table1[[#This Row],[Player ID]],Table2[feed_id],Table2[trade_status])</f>
        <v>#N/A</v>
      </c>
      <c r="DG756">
        <f>_xlfn.NUMBERVALUE(Table1[[#This Row],[predicted]])</f>
        <v>101.15533193365999</v>
      </c>
    </row>
    <row r="757" spans="1:111" hidden="1" x14ac:dyDescent="0.25">
      <c r="A757">
        <v>132627</v>
      </c>
      <c r="B757">
        <v>9239</v>
      </c>
      <c r="C757" t="s">
        <v>7040</v>
      </c>
      <c r="D757" t="s">
        <v>3116</v>
      </c>
      <c r="E757">
        <v>2025</v>
      </c>
      <c r="F757">
        <v>1023518</v>
      </c>
      <c r="G757" t="s">
        <v>2192</v>
      </c>
      <c r="H757" t="s">
        <v>7054</v>
      </c>
      <c r="I757" t="s">
        <v>813</v>
      </c>
      <c r="J757">
        <v>26</v>
      </c>
      <c r="K757">
        <v>100</v>
      </c>
      <c r="L757">
        <v>102</v>
      </c>
      <c r="M757">
        <v>124</v>
      </c>
      <c r="N757">
        <v>80</v>
      </c>
      <c r="O757">
        <v>111</v>
      </c>
      <c r="P757">
        <v>12</v>
      </c>
      <c r="Q757">
        <v>15</v>
      </c>
      <c r="R757">
        <v>4</v>
      </c>
      <c r="S757">
        <v>4</v>
      </c>
      <c r="T757">
        <v>0</v>
      </c>
      <c r="U757">
        <v>0</v>
      </c>
      <c r="V757">
        <v>0</v>
      </c>
      <c r="W757">
        <v>1</v>
      </c>
      <c r="X757">
        <v>0</v>
      </c>
      <c r="Y757" t="s">
        <v>113</v>
      </c>
      <c r="Z757" t="s">
        <v>339</v>
      </c>
      <c r="AA757" t="s">
        <v>815</v>
      </c>
      <c r="AB757" t="s">
        <v>877</v>
      </c>
      <c r="AC757" t="s">
        <v>7055</v>
      </c>
      <c r="AH757" t="s">
        <v>155</v>
      </c>
      <c r="AI757">
        <v>3</v>
      </c>
      <c r="AJ757">
        <v>0</v>
      </c>
      <c r="AK757">
        <v>0</v>
      </c>
      <c r="AL757">
        <v>0</v>
      </c>
      <c r="AM757">
        <v>16.16</v>
      </c>
      <c r="AN757">
        <v>11.99</v>
      </c>
      <c r="AO757">
        <v>14.59</v>
      </c>
      <c r="AS757">
        <v>8</v>
      </c>
      <c r="AT757">
        <v>3</v>
      </c>
      <c r="AU757">
        <v>2</v>
      </c>
      <c r="AV757">
        <v>74</v>
      </c>
      <c r="AW757">
        <v>85</v>
      </c>
      <c r="AX757">
        <v>273</v>
      </c>
      <c r="AY757">
        <v>0</v>
      </c>
      <c r="AZ757" t="b">
        <v>0</v>
      </c>
      <c r="BA757">
        <v>1678</v>
      </c>
      <c r="BB757">
        <v>1592</v>
      </c>
      <c r="BC757">
        <v>6</v>
      </c>
      <c r="BD757" t="s">
        <v>7044</v>
      </c>
      <c r="BE757" s="1" t="s">
        <v>3594</v>
      </c>
      <c r="BF757">
        <v>1</v>
      </c>
      <c r="BG757">
        <v>71</v>
      </c>
      <c r="BH757">
        <v>1</v>
      </c>
      <c r="BI757">
        <v>14</v>
      </c>
      <c r="BJ757" s="1" t="s">
        <v>5110</v>
      </c>
      <c r="BK757">
        <v>15</v>
      </c>
      <c r="BL757" s="1" t="s">
        <v>1035</v>
      </c>
      <c r="BM757">
        <v>5</v>
      </c>
      <c r="BN757" s="1" t="s">
        <v>752</v>
      </c>
      <c r="BO757">
        <v>4</v>
      </c>
      <c r="BP757">
        <v>3.8</v>
      </c>
      <c r="BQ757">
        <v>0</v>
      </c>
      <c r="BR757">
        <v>0</v>
      </c>
      <c r="BS757" s="1" t="s">
        <v>128</v>
      </c>
      <c r="BT757" s="1" t="s">
        <v>130</v>
      </c>
      <c r="BU757" s="1" t="s">
        <v>129</v>
      </c>
      <c r="BV757">
        <v>0.6</v>
      </c>
      <c r="BW757" s="1" t="s">
        <v>129</v>
      </c>
      <c r="BX757" s="1" t="s">
        <v>399</v>
      </c>
      <c r="BY757" s="1" t="s">
        <v>129</v>
      </c>
      <c r="BZ757" s="1" t="s">
        <v>129</v>
      </c>
      <c r="CA757">
        <v>16.16</v>
      </c>
      <c r="CB757">
        <v>16.16</v>
      </c>
      <c r="CC757">
        <v>11.99</v>
      </c>
      <c r="CD757">
        <v>11.99</v>
      </c>
      <c r="CE757">
        <v>14.59</v>
      </c>
      <c r="CF757">
        <v>14.59</v>
      </c>
      <c r="CG757" s="1" t="s">
        <v>545</v>
      </c>
      <c r="CH757" s="1" t="s">
        <v>356</v>
      </c>
      <c r="CI757" s="1" t="s">
        <v>138</v>
      </c>
      <c r="CJ757">
        <v>4.5999999999999996</v>
      </c>
      <c r="CK757" s="1" t="s">
        <v>159</v>
      </c>
      <c r="CL757" s="1" t="s">
        <v>140</v>
      </c>
      <c r="CM757">
        <v>80</v>
      </c>
      <c r="CN757" s="1" t="s">
        <v>263</v>
      </c>
      <c r="CO757">
        <v>87</v>
      </c>
      <c r="CP757" s="1" t="s">
        <v>5930</v>
      </c>
      <c r="CQ757" s="1" t="s">
        <v>7056</v>
      </c>
      <c r="CR757" s="1" t="s">
        <v>7057</v>
      </c>
      <c r="CS757" s="1" t="s">
        <v>2903</v>
      </c>
      <c r="CT757" s="1" t="s">
        <v>243</v>
      </c>
      <c r="CU757">
        <v>1674</v>
      </c>
      <c r="CV757" s="1" t="s">
        <v>7058</v>
      </c>
      <c r="CW757">
        <v>111.75</v>
      </c>
      <c r="CX757">
        <v>112.2</v>
      </c>
      <c r="CY757">
        <v>104.4</v>
      </c>
      <c r="CZ757" s="1" t="s">
        <v>3283</v>
      </c>
      <c r="DA757">
        <v>1</v>
      </c>
      <c r="DB757" t="s">
        <v>339</v>
      </c>
      <c r="DC757">
        <v>102</v>
      </c>
      <c r="DD757" s="1" t="s">
        <v>7059</v>
      </c>
      <c r="DE757">
        <v>-2.6970508724859799</v>
      </c>
      <c r="DF757" t="e">
        <f>_xlfn.XLOOKUP(Table1[[#This Row],[Player ID]],Table2[feed_id],Table2[trade_status])</f>
        <v>#N/A</v>
      </c>
      <c r="DG757">
        <f>_xlfn.NUMBERVALUE(Table1[[#This Row],[predicted]])</f>
        <v>104.69705087248499</v>
      </c>
    </row>
    <row r="758" spans="1:111" hidden="1" x14ac:dyDescent="0.25">
      <c r="A758">
        <v>132628</v>
      </c>
      <c r="B758">
        <v>9239</v>
      </c>
      <c r="C758" t="s">
        <v>7040</v>
      </c>
      <c r="D758" t="s">
        <v>3116</v>
      </c>
      <c r="E758">
        <v>2025</v>
      </c>
      <c r="F758">
        <v>295136</v>
      </c>
      <c r="G758" t="s">
        <v>4451</v>
      </c>
      <c r="H758" t="s">
        <v>289</v>
      </c>
      <c r="I758" t="s">
        <v>813</v>
      </c>
      <c r="J758">
        <v>15</v>
      </c>
      <c r="K758">
        <v>98</v>
      </c>
      <c r="L758">
        <v>116</v>
      </c>
      <c r="M758">
        <v>121</v>
      </c>
      <c r="N758">
        <v>78</v>
      </c>
      <c r="O758">
        <v>111</v>
      </c>
      <c r="P758">
        <v>16</v>
      </c>
      <c r="Q758">
        <v>16</v>
      </c>
      <c r="R758">
        <v>3</v>
      </c>
      <c r="S758">
        <v>2</v>
      </c>
      <c r="T758">
        <v>0</v>
      </c>
      <c r="U758">
        <v>1</v>
      </c>
      <c r="V758">
        <v>0</v>
      </c>
      <c r="W758">
        <v>0</v>
      </c>
      <c r="X758">
        <v>0</v>
      </c>
      <c r="Y758" t="s">
        <v>113</v>
      </c>
      <c r="Z758" t="s">
        <v>226</v>
      </c>
      <c r="AA758" t="s">
        <v>7060</v>
      </c>
      <c r="AH758" t="s">
        <v>181</v>
      </c>
      <c r="AI758">
        <v>5</v>
      </c>
      <c r="AJ758">
        <v>0</v>
      </c>
      <c r="AK758">
        <v>0</v>
      </c>
      <c r="AL758">
        <v>0</v>
      </c>
      <c r="AM758">
        <v>7.26</v>
      </c>
      <c r="AN758">
        <v>4.6100000000000003</v>
      </c>
      <c r="AO758">
        <v>4.9800000000000004</v>
      </c>
      <c r="AS758">
        <v>10</v>
      </c>
      <c r="AT758">
        <v>6</v>
      </c>
      <c r="AU758">
        <v>1</v>
      </c>
      <c r="AV758">
        <v>87</v>
      </c>
      <c r="AW758">
        <v>85</v>
      </c>
      <c r="AX758">
        <v>434</v>
      </c>
      <c r="AY758">
        <v>0</v>
      </c>
      <c r="AZ758" t="b">
        <v>0</v>
      </c>
      <c r="BA758">
        <v>1678</v>
      </c>
      <c r="BB758">
        <v>1592</v>
      </c>
      <c r="BC758">
        <v>6</v>
      </c>
      <c r="BD758" t="s">
        <v>7044</v>
      </c>
      <c r="BE758" s="1" t="s">
        <v>3594</v>
      </c>
      <c r="BF758">
        <v>1</v>
      </c>
      <c r="BG758">
        <v>71</v>
      </c>
      <c r="BH758">
        <v>1</v>
      </c>
      <c r="BI758" s="1" t="s">
        <v>5221</v>
      </c>
      <c r="BJ758" s="1" t="s">
        <v>4169</v>
      </c>
      <c r="BK758" s="1" t="s">
        <v>1829</v>
      </c>
      <c r="BL758">
        <v>8.1999999999999993</v>
      </c>
      <c r="BM758" s="1" t="s">
        <v>124</v>
      </c>
      <c r="BN758" s="1" t="s">
        <v>189</v>
      </c>
      <c r="BO758" s="1" t="s">
        <v>126</v>
      </c>
      <c r="BP758" s="1" t="s">
        <v>214</v>
      </c>
      <c r="BQ758">
        <v>0</v>
      </c>
      <c r="BR758">
        <v>0</v>
      </c>
      <c r="BS758" s="1" t="s">
        <v>129</v>
      </c>
      <c r="BT758" s="1" t="s">
        <v>231</v>
      </c>
      <c r="BU758">
        <v>0</v>
      </c>
      <c r="BV758" s="1" t="s">
        <v>184</v>
      </c>
      <c r="BW758">
        <v>0</v>
      </c>
      <c r="BX758">
        <v>6.6666666666666596E-2</v>
      </c>
      <c r="BY758">
        <v>0</v>
      </c>
      <c r="BZ758" s="1" t="s">
        <v>184</v>
      </c>
      <c r="CA758">
        <v>7.26</v>
      </c>
      <c r="CB758">
        <v>7.26</v>
      </c>
      <c r="CC758">
        <v>4.6100000000000003</v>
      </c>
      <c r="CD758">
        <v>4.6100000000000003</v>
      </c>
      <c r="CE758">
        <v>4.9800000000000004</v>
      </c>
      <c r="CF758">
        <v>4.9800000000000004</v>
      </c>
      <c r="CG758" s="1" t="s">
        <v>183</v>
      </c>
      <c r="CH758">
        <v>5.4</v>
      </c>
      <c r="CI758">
        <v>3</v>
      </c>
      <c r="CJ758" s="1" t="s">
        <v>275</v>
      </c>
      <c r="CK758" s="1" t="s">
        <v>159</v>
      </c>
      <c r="CL758" s="1" t="s">
        <v>214</v>
      </c>
      <c r="CM758" s="1" t="s">
        <v>142</v>
      </c>
      <c r="CN758" s="1" t="s">
        <v>930</v>
      </c>
      <c r="CO758">
        <v>82</v>
      </c>
      <c r="CP758" s="1" t="s">
        <v>593</v>
      </c>
      <c r="CQ758" s="1" t="s">
        <v>7061</v>
      </c>
      <c r="CR758">
        <v>318.2</v>
      </c>
      <c r="CS758" s="1" t="s">
        <v>2903</v>
      </c>
      <c r="CT758">
        <v>1661.4</v>
      </c>
      <c r="CU758">
        <v>1674</v>
      </c>
      <c r="CV758">
        <v>1622.2</v>
      </c>
      <c r="CW758">
        <v>71</v>
      </c>
      <c r="CX758">
        <v>87.9</v>
      </c>
      <c r="CY758">
        <v>104.2</v>
      </c>
      <c r="CZ758">
        <v>108</v>
      </c>
      <c r="DA758">
        <v>1</v>
      </c>
      <c r="DB758" t="s">
        <v>226</v>
      </c>
      <c r="DC758">
        <v>116</v>
      </c>
      <c r="DD758" s="1" t="s">
        <v>7062</v>
      </c>
      <c r="DE758" s="1" t="s">
        <v>7063</v>
      </c>
      <c r="DF758" t="e">
        <f>_xlfn.XLOOKUP(Table1[[#This Row],[Player ID]],Table2[feed_id],Table2[trade_status])</f>
        <v>#N/A</v>
      </c>
      <c r="DG758">
        <f>_xlfn.NUMBERVALUE(Table1[[#This Row],[predicted]])</f>
        <v>104.30082289603401</v>
      </c>
    </row>
    <row r="759" spans="1:111" x14ac:dyDescent="0.25">
      <c r="A759">
        <v>132776</v>
      </c>
      <c r="B759">
        <v>9242</v>
      </c>
      <c r="C759" t="s">
        <v>7597</v>
      </c>
      <c r="D759" t="s">
        <v>3116</v>
      </c>
      <c r="E759">
        <v>2025</v>
      </c>
      <c r="F759">
        <v>1008893</v>
      </c>
      <c r="G759" t="s">
        <v>7674</v>
      </c>
      <c r="H759" t="s">
        <v>7675</v>
      </c>
      <c r="I759" t="s">
        <v>291</v>
      </c>
      <c r="J759">
        <v>10</v>
      </c>
      <c r="K759">
        <v>44</v>
      </c>
      <c r="L759">
        <v>57</v>
      </c>
      <c r="M759">
        <v>54</v>
      </c>
      <c r="N759">
        <v>41</v>
      </c>
      <c r="O759">
        <v>51</v>
      </c>
      <c r="P759">
        <v>5</v>
      </c>
      <c r="Q759">
        <v>5</v>
      </c>
      <c r="R759">
        <v>5</v>
      </c>
      <c r="S759">
        <v>0</v>
      </c>
      <c r="T759">
        <v>0</v>
      </c>
      <c r="U759">
        <v>1</v>
      </c>
      <c r="V759">
        <v>1</v>
      </c>
      <c r="W759">
        <v>1</v>
      </c>
      <c r="X759">
        <v>0</v>
      </c>
      <c r="Y759" t="s">
        <v>113</v>
      </c>
      <c r="Z759" t="s">
        <v>987</v>
      </c>
      <c r="AA759" t="s">
        <v>7676</v>
      </c>
      <c r="AE759">
        <v>0</v>
      </c>
      <c r="AH759" t="s">
        <v>181</v>
      </c>
      <c r="AI759">
        <v>35</v>
      </c>
      <c r="AJ759">
        <v>1</v>
      </c>
      <c r="AK759">
        <v>44</v>
      </c>
      <c r="AL759">
        <v>0</v>
      </c>
      <c r="AM759">
        <v>0</v>
      </c>
      <c r="AN759">
        <v>0.45</v>
      </c>
      <c r="AO759">
        <v>0.53</v>
      </c>
      <c r="AS759">
        <v>3</v>
      </c>
      <c r="AT759">
        <v>0</v>
      </c>
      <c r="AU759">
        <v>2</v>
      </c>
      <c r="AV759">
        <v>90</v>
      </c>
      <c r="AW759">
        <v>88</v>
      </c>
      <c r="AX759">
        <v>140</v>
      </c>
      <c r="AY759">
        <v>1</v>
      </c>
      <c r="AZ759" t="b">
        <v>0</v>
      </c>
      <c r="BA759">
        <v>1764</v>
      </c>
      <c r="BB759">
        <v>1522</v>
      </c>
      <c r="BC759">
        <v>6</v>
      </c>
      <c r="BD759" t="s">
        <v>7599</v>
      </c>
      <c r="BE759" s="1" t="s">
        <v>3594</v>
      </c>
      <c r="BF759">
        <v>0</v>
      </c>
      <c r="BG759">
        <v>71</v>
      </c>
      <c r="BH759">
        <v>0</v>
      </c>
      <c r="BI759" s="1" t="s">
        <v>211</v>
      </c>
      <c r="BJ759" s="1" t="s">
        <v>124</v>
      </c>
      <c r="BK759" s="1" t="s">
        <v>211</v>
      </c>
      <c r="BL759" s="1" t="s">
        <v>160</v>
      </c>
      <c r="BM759" s="1" t="s">
        <v>125</v>
      </c>
      <c r="BN759">
        <v>5.4</v>
      </c>
      <c r="BO759" s="1" t="s">
        <v>126</v>
      </c>
      <c r="BP759" s="1" t="s">
        <v>373</v>
      </c>
      <c r="BQ759">
        <v>0</v>
      </c>
      <c r="BR759" s="1" t="s">
        <v>126</v>
      </c>
      <c r="BS759" s="1" t="s">
        <v>128</v>
      </c>
      <c r="BT759" s="1" t="s">
        <v>162</v>
      </c>
      <c r="BU759">
        <v>1</v>
      </c>
      <c r="BV759">
        <v>1.2</v>
      </c>
      <c r="BW759" s="1" t="s">
        <v>129</v>
      </c>
      <c r="BX759" s="1" t="s">
        <v>231</v>
      </c>
      <c r="BY759">
        <v>0</v>
      </c>
      <c r="BZ759" s="1" t="s">
        <v>231</v>
      </c>
      <c r="CA759">
        <v>0</v>
      </c>
      <c r="CB759">
        <v>0</v>
      </c>
      <c r="CC759">
        <v>0.45</v>
      </c>
      <c r="CD759">
        <v>0.45</v>
      </c>
      <c r="CE759">
        <v>0.53</v>
      </c>
      <c r="CF759">
        <v>0.53</v>
      </c>
      <c r="CG759">
        <v>3</v>
      </c>
      <c r="CH759" s="1" t="s">
        <v>781</v>
      </c>
      <c r="CI759">
        <v>0</v>
      </c>
      <c r="CJ759" s="1" t="s">
        <v>213</v>
      </c>
      <c r="CK759">
        <v>2</v>
      </c>
      <c r="CL759" s="1" t="s">
        <v>375</v>
      </c>
      <c r="CM759" s="1" t="s">
        <v>1273</v>
      </c>
      <c r="CN759" s="1" t="s">
        <v>733</v>
      </c>
      <c r="CO759">
        <v>89</v>
      </c>
      <c r="CP759" s="1" t="s">
        <v>1740</v>
      </c>
      <c r="CQ759" s="1" t="s">
        <v>7677</v>
      </c>
      <c r="CR759" s="1" t="s">
        <v>4947</v>
      </c>
      <c r="CS759" s="1" t="s">
        <v>2460</v>
      </c>
      <c r="CT759">
        <v>1546</v>
      </c>
      <c r="CU759" s="1" t="s">
        <v>7601</v>
      </c>
      <c r="CV759">
        <v>1737.4</v>
      </c>
      <c r="CW759">
        <v>55.75</v>
      </c>
      <c r="CX759">
        <v>58.4</v>
      </c>
      <c r="CY759">
        <v>55.2</v>
      </c>
      <c r="CZ759" s="1" t="s">
        <v>2742</v>
      </c>
      <c r="DA759">
        <v>1</v>
      </c>
      <c r="DB759" t="s">
        <v>987</v>
      </c>
      <c r="DC759">
        <v>57</v>
      </c>
      <c r="DD759" s="1" t="s">
        <v>7678</v>
      </c>
      <c r="DE759">
        <v>-17.212709153275998</v>
      </c>
      <c r="DF759" t="str">
        <f>_xlfn.XLOOKUP(Table1[[#This Row],[Player ID]],Table2[feed_id],Table2[trade_status])</f>
        <v>free_agent</v>
      </c>
      <c r="DG759">
        <f>_xlfn.NUMBERVALUE(Table1[[#This Row],[predicted]])</f>
        <v>74.212709153275995</v>
      </c>
    </row>
    <row r="760" spans="1:111" hidden="1" x14ac:dyDescent="0.25">
      <c r="A760">
        <v>132630</v>
      </c>
      <c r="B760">
        <v>9239</v>
      </c>
      <c r="C760" t="s">
        <v>7040</v>
      </c>
      <c r="D760" t="s">
        <v>3116</v>
      </c>
      <c r="E760">
        <v>2025</v>
      </c>
      <c r="F760">
        <v>1011659</v>
      </c>
      <c r="G760" t="s">
        <v>776</v>
      </c>
      <c r="H760" t="s">
        <v>7068</v>
      </c>
      <c r="I760" t="s">
        <v>813</v>
      </c>
      <c r="J760">
        <v>20</v>
      </c>
      <c r="K760">
        <v>81</v>
      </c>
      <c r="L760">
        <v>84</v>
      </c>
      <c r="M760">
        <v>106</v>
      </c>
      <c r="N760">
        <v>60</v>
      </c>
      <c r="O760">
        <v>88</v>
      </c>
      <c r="P760">
        <v>9</v>
      </c>
      <c r="Q760">
        <v>11</v>
      </c>
      <c r="R760">
        <v>2</v>
      </c>
      <c r="S760">
        <v>7</v>
      </c>
      <c r="T760">
        <v>0</v>
      </c>
      <c r="U760">
        <v>0</v>
      </c>
      <c r="V760">
        <v>1</v>
      </c>
      <c r="W760">
        <v>0</v>
      </c>
      <c r="X760">
        <v>1</v>
      </c>
      <c r="Y760" t="s">
        <v>113</v>
      </c>
      <c r="Z760" t="s">
        <v>877</v>
      </c>
      <c r="AA760" t="s">
        <v>7069</v>
      </c>
      <c r="AH760" t="s">
        <v>118</v>
      </c>
      <c r="AI760">
        <v>24</v>
      </c>
      <c r="AJ760">
        <v>0</v>
      </c>
      <c r="AK760">
        <v>0</v>
      </c>
      <c r="AL760">
        <v>0</v>
      </c>
      <c r="AM760">
        <v>0.04</v>
      </c>
      <c r="AN760">
        <v>0.16</v>
      </c>
      <c r="AO760">
        <v>0.21</v>
      </c>
      <c r="AS760">
        <v>5</v>
      </c>
      <c r="AT760">
        <v>2</v>
      </c>
      <c r="AU760">
        <v>3</v>
      </c>
      <c r="AV760">
        <v>70</v>
      </c>
      <c r="AW760">
        <v>68</v>
      </c>
      <c r="AX760">
        <v>274</v>
      </c>
      <c r="AY760">
        <v>1</v>
      </c>
      <c r="AZ760" t="b">
        <v>0</v>
      </c>
      <c r="BA760">
        <v>1678</v>
      </c>
      <c r="BB760">
        <v>1592</v>
      </c>
      <c r="BC760">
        <v>6</v>
      </c>
      <c r="BD760" t="s">
        <v>7044</v>
      </c>
      <c r="BE760" s="1" t="s">
        <v>3594</v>
      </c>
      <c r="BF760">
        <v>0</v>
      </c>
      <c r="BG760">
        <v>71</v>
      </c>
      <c r="BH760">
        <v>1</v>
      </c>
      <c r="BI760">
        <v>9</v>
      </c>
      <c r="BJ760" s="1" t="s">
        <v>1159</v>
      </c>
      <c r="BK760">
        <v>12</v>
      </c>
      <c r="BL760" s="1" t="s">
        <v>5920</v>
      </c>
      <c r="BM760">
        <v>4</v>
      </c>
      <c r="BN760" s="1" t="s">
        <v>230</v>
      </c>
      <c r="BO760">
        <v>5</v>
      </c>
      <c r="BP760">
        <v>4.4000000000000004</v>
      </c>
      <c r="BQ760">
        <v>0</v>
      </c>
      <c r="BR760">
        <v>0</v>
      </c>
      <c r="BS760" s="1" t="s">
        <v>129</v>
      </c>
      <c r="BT760" s="1" t="s">
        <v>184</v>
      </c>
      <c r="BU760" s="1" t="s">
        <v>128</v>
      </c>
      <c r="BV760" s="1" t="s">
        <v>238</v>
      </c>
      <c r="BW760">
        <v>0</v>
      </c>
      <c r="BX760" s="1" t="s">
        <v>184</v>
      </c>
      <c r="BY760" s="1" t="s">
        <v>129</v>
      </c>
      <c r="BZ760" s="1" t="s">
        <v>213</v>
      </c>
      <c r="CA760">
        <v>0.04</v>
      </c>
      <c r="CB760">
        <v>0.04</v>
      </c>
      <c r="CC760">
        <v>0.16</v>
      </c>
      <c r="CD760">
        <v>0.16</v>
      </c>
      <c r="CE760">
        <v>0.21</v>
      </c>
      <c r="CF760">
        <v>0.21</v>
      </c>
      <c r="CG760" s="1" t="s">
        <v>204</v>
      </c>
      <c r="CH760" s="1" t="s">
        <v>204</v>
      </c>
      <c r="CI760" s="1" t="s">
        <v>125</v>
      </c>
      <c r="CJ760" s="1" t="s">
        <v>640</v>
      </c>
      <c r="CK760" s="1" t="s">
        <v>138</v>
      </c>
      <c r="CL760">
        <v>2.4</v>
      </c>
      <c r="CM760" s="1" t="s">
        <v>822</v>
      </c>
      <c r="CN760">
        <v>78.2</v>
      </c>
      <c r="CO760" s="1" t="s">
        <v>261</v>
      </c>
      <c r="CP760">
        <v>77.2</v>
      </c>
      <c r="CQ760">
        <v>205</v>
      </c>
      <c r="CR760" s="1" t="s">
        <v>7070</v>
      </c>
      <c r="CS760" s="1" t="s">
        <v>2903</v>
      </c>
      <c r="CT760">
        <v>1623.8</v>
      </c>
      <c r="CU760">
        <v>1674</v>
      </c>
      <c r="CV760" s="1" t="s">
        <v>7046</v>
      </c>
      <c r="CW760">
        <v>79.5</v>
      </c>
      <c r="CX760">
        <v>88.2</v>
      </c>
      <c r="CY760">
        <v>85.4</v>
      </c>
      <c r="CZ760" s="1" t="s">
        <v>2147</v>
      </c>
      <c r="DA760">
        <v>1</v>
      </c>
      <c r="DB760" t="s">
        <v>877</v>
      </c>
      <c r="DC760">
        <v>84</v>
      </c>
      <c r="DD760" s="1" t="s">
        <v>7071</v>
      </c>
      <c r="DE760" s="1" t="s">
        <v>7072</v>
      </c>
      <c r="DF760" t="e">
        <f>_xlfn.XLOOKUP(Table1[[#This Row],[Player ID]],Table2[feed_id],Table2[trade_status])</f>
        <v>#N/A</v>
      </c>
      <c r="DG760">
        <f>_xlfn.NUMBERVALUE(Table1[[#This Row],[predicted]])</f>
        <v>64.382964284447894</v>
      </c>
    </row>
    <row r="761" spans="1:111" x14ac:dyDescent="0.25">
      <c r="A761">
        <v>132935</v>
      </c>
      <c r="B761">
        <v>9245</v>
      </c>
      <c r="C761" t="s">
        <v>8180</v>
      </c>
      <c r="D761" t="s">
        <v>3116</v>
      </c>
      <c r="E761">
        <v>2025</v>
      </c>
      <c r="F761">
        <v>1023473</v>
      </c>
      <c r="G761" t="s">
        <v>740</v>
      </c>
      <c r="H761" t="s">
        <v>1797</v>
      </c>
      <c r="I761" t="s">
        <v>391</v>
      </c>
      <c r="J761">
        <v>2</v>
      </c>
      <c r="K761">
        <v>39</v>
      </c>
      <c r="L761">
        <v>33</v>
      </c>
      <c r="M761">
        <v>31</v>
      </c>
      <c r="N761">
        <v>28</v>
      </c>
      <c r="O761">
        <v>39</v>
      </c>
      <c r="P761">
        <v>5</v>
      </c>
      <c r="Q761">
        <v>4</v>
      </c>
      <c r="R761">
        <v>1</v>
      </c>
      <c r="S761">
        <v>3</v>
      </c>
      <c r="T761">
        <v>0</v>
      </c>
      <c r="U761">
        <v>1</v>
      </c>
      <c r="V761">
        <v>0</v>
      </c>
      <c r="W761">
        <v>0</v>
      </c>
      <c r="X761">
        <v>0</v>
      </c>
      <c r="Y761" t="s">
        <v>113</v>
      </c>
      <c r="Z761" t="s">
        <v>6040</v>
      </c>
      <c r="AA761" t="s">
        <v>8360</v>
      </c>
      <c r="AB761" t="s">
        <v>525</v>
      </c>
      <c r="AC761" t="s">
        <v>7458</v>
      </c>
      <c r="AH761" t="s">
        <v>118</v>
      </c>
      <c r="AI761">
        <v>34</v>
      </c>
      <c r="AJ761">
        <v>0</v>
      </c>
      <c r="AK761">
        <v>0</v>
      </c>
      <c r="AL761">
        <v>0</v>
      </c>
      <c r="AM761">
        <v>28.3</v>
      </c>
      <c r="AN761">
        <v>27.81</v>
      </c>
      <c r="AO761">
        <v>24.02</v>
      </c>
      <c r="AS761">
        <v>4</v>
      </c>
      <c r="AT761">
        <v>0</v>
      </c>
      <c r="AU761">
        <v>2</v>
      </c>
      <c r="AV761">
        <v>33</v>
      </c>
      <c r="AW761">
        <v>80</v>
      </c>
      <c r="AX761">
        <v>201</v>
      </c>
      <c r="AY761">
        <v>0</v>
      </c>
      <c r="AZ761" t="b">
        <v>0</v>
      </c>
      <c r="BA761">
        <v>1799</v>
      </c>
      <c r="BB761">
        <v>1477</v>
      </c>
      <c r="BC761">
        <v>6</v>
      </c>
      <c r="BD761" t="s">
        <v>8277</v>
      </c>
      <c r="BE761" s="1" t="s">
        <v>3594</v>
      </c>
      <c r="BF761">
        <v>0</v>
      </c>
      <c r="BG761">
        <v>71</v>
      </c>
      <c r="BH761">
        <v>0</v>
      </c>
      <c r="BI761" s="1" t="s">
        <v>545</v>
      </c>
      <c r="BJ761">
        <v>7</v>
      </c>
      <c r="BK761">
        <v>7</v>
      </c>
      <c r="BL761">
        <v>4.5999999999999996</v>
      </c>
      <c r="BM761">
        <v>3</v>
      </c>
      <c r="BN761">
        <v>2.8</v>
      </c>
      <c r="BO761" s="1" t="s">
        <v>138</v>
      </c>
      <c r="BP761">
        <v>2.8</v>
      </c>
      <c r="BQ761">
        <v>0</v>
      </c>
      <c r="BR761">
        <v>0</v>
      </c>
      <c r="BS761" s="1" t="s">
        <v>159</v>
      </c>
      <c r="BT761" s="1" t="s">
        <v>214</v>
      </c>
      <c r="BU761" s="1" t="s">
        <v>128</v>
      </c>
      <c r="BV761">
        <v>1</v>
      </c>
      <c r="BW761">
        <v>1</v>
      </c>
      <c r="BX761" s="1" t="s">
        <v>161</v>
      </c>
      <c r="BY761">
        <v>1</v>
      </c>
      <c r="BZ761" s="1" t="s">
        <v>399</v>
      </c>
      <c r="CA761">
        <v>28.3</v>
      </c>
      <c r="CB761">
        <v>28.3</v>
      </c>
      <c r="CC761">
        <v>27.81</v>
      </c>
      <c r="CD761">
        <v>27.81</v>
      </c>
      <c r="CE761">
        <v>24.02</v>
      </c>
      <c r="CF761">
        <v>24.02</v>
      </c>
      <c r="CG761" s="1" t="s">
        <v>204</v>
      </c>
      <c r="CH761" s="1" t="s">
        <v>416</v>
      </c>
      <c r="CI761" s="1" t="s">
        <v>128</v>
      </c>
      <c r="CJ761" s="1" t="s">
        <v>128</v>
      </c>
      <c r="CK761" s="1" t="s">
        <v>161</v>
      </c>
      <c r="CL761">
        <v>1.8</v>
      </c>
      <c r="CM761">
        <v>62</v>
      </c>
      <c r="CN761">
        <v>68.8</v>
      </c>
      <c r="CO761" s="1" t="s">
        <v>755</v>
      </c>
      <c r="CP761">
        <v>77</v>
      </c>
      <c r="CQ761" s="1" t="s">
        <v>8361</v>
      </c>
      <c r="CR761" s="1" t="s">
        <v>8362</v>
      </c>
      <c r="CS761" s="1" t="s">
        <v>4566</v>
      </c>
      <c r="CT761">
        <v>1730.8</v>
      </c>
      <c r="CU761">
        <v>1616</v>
      </c>
      <c r="CV761">
        <v>1553</v>
      </c>
      <c r="CW761">
        <v>73.2</v>
      </c>
      <c r="CX761">
        <v>78</v>
      </c>
      <c r="CY761">
        <v>72.2</v>
      </c>
      <c r="CZ761">
        <v>82</v>
      </c>
      <c r="DA761">
        <v>1</v>
      </c>
      <c r="DB761" t="s">
        <v>6040</v>
      </c>
      <c r="DC761">
        <v>33</v>
      </c>
      <c r="DD761" s="1" t="s">
        <v>8363</v>
      </c>
      <c r="DE761">
        <v>-41.036832335643403</v>
      </c>
      <c r="DF761" t="str">
        <f>_xlfn.XLOOKUP(Table1[[#This Row],[Player ID]],Table2[feed_id],Table2[trade_status])</f>
        <v>waiver</v>
      </c>
      <c r="DG761">
        <f>_xlfn.NUMBERVALUE(Table1[[#This Row],[predicted]])</f>
        <v>74.036832335643396</v>
      </c>
    </row>
    <row r="762" spans="1:111" hidden="1" x14ac:dyDescent="0.25">
      <c r="A762">
        <v>132632</v>
      </c>
      <c r="B762">
        <v>9239</v>
      </c>
      <c r="C762" t="s">
        <v>7040</v>
      </c>
      <c r="D762" t="s">
        <v>3116</v>
      </c>
      <c r="E762">
        <v>2025</v>
      </c>
      <c r="F762">
        <v>1004965</v>
      </c>
      <c r="G762" t="s">
        <v>7080</v>
      </c>
      <c r="H762" t="s">
        <v>7081</v>
      </c>
      <c r="I762" t="s">
        <v>813</v>
      </c>
      <c r="J762">
        <v>26</v>
      </c>
      <c r="K762">
        <v>73</v>
      </c>
      <c r="L762">
        <v>83</v>
      </c>
      <c r="M762">
        <v>89</v>
      </c>
      <c r="N762">
        <v>64</v>
      </c>
      <c r="O762">
        <v>81</v>
      </c>
      <c r="P762">
        <v>3</v>
      </c>
      <c r="Q762">
        <v>6</v>
      </c>
      <c r="R762">
        <v>1</v>
      </c>
      <c r="S762">
        <v>6</v>
      </c>
      <c r="T762">
        <v>33</v>
      </c>
      <c r="U762">
        <v>1</v>
      </c>
      <c r="V762">
        <v>3</v>
      </c>
      <c r="W762">
        <v>0</v>
      </c>
      <c r="X762">
        <v>0</v>
      </c>
      <c r="Y762" t="s">
        <v>113</v>
      </c>
      <c r="Z762" t="s">
        <v>602</v>
      </c>
      <c r="AA762" t="s">
        <v>7082</v>
      </c>
      <c r="AE762">
        <v>0</v>
      </c>
      <c r="AH762" t="s">
        <v>274</v>
      </c>
      <c r="AI762">
        <v>38</v>
      </c>
      <c r="AJ762">
        <v>0</v>
      </c>
      <c r="AK762">
        <v>0</v>
      </c>
      <c r="AL762">
        <v>0</v>
      </c>
      <c r="AM762">
        <v>0</v>
      </c>
      <c r="AN762">
        <v>4.43</v>
      </c>
      <c r="AO762">
        <v>14.38</v>
      </c>
      <c r="AS762">
        <v>7</v>
      </c>
      <c r="AT762">
        <v>4</v>
      </c>
      <c r="AU762">
        <v>3</v>
      </c>
      <c r="AV762">
        <v>66</v>
      </c>
      <c r="AW762">
        <v>76</v>
      </c>
      <c r="AX762">
        <v>132</v>
      </c>
      <c r="AY762">
        <v>1</v>
      </c>
      <c r="AZ762" t="b">
        <v>0</v>
      </c>
      <c r="BA762">
        <v>1678</v>
      </c>
      <c r="BB762">
        <v>1592</v>
      </c>
      <c r="BC762">
        <v>6</v>
      </c>
      <c r="BD762" t="s">
        <v>7044</v>
      </c>
      <c r="BE762" s="1" t="s">
        <v>3594</v>
      </c>
      <c r="BF762">
        <v>0</v>
      </c>
      <c r="BG762">
        <v>71</v>
      </c>
      <c r="BH762">
        <v>1</v>
      </c>
      <c r="BI762" s="1" t="s">
        <v>211</v>
      </c>
      <c r="BJ762">
        <v>8.4</v>
      </c>
      <c r="BK762" s="1" t="s">
        <v>1008</v>
      </c>
      <c r="BL762" s="1" t="s">
        <v>157</v>
      </c>
      <c r="BM762" s="1" t="s">
        <v>126</v>
      </c>
      <c r="BN762" s="1" t="s">
        <v>640</v>
      </c>
      <c r="BO762" s="1" t="s">
        <v>211</v>
      </c>
      <c r="BP762">
        <v>6.6</v>
      </c>
      <c r="BQ762">
        <v>28</v>
      </c>
      <c r="BR762" s="1" t="s">
        <v>7083</v>
      </c>
      <c r="BS762">
        <v>3</v>
      </c>
      <c r="BT762">
        <v>2.2000000000000002</v>
      </c>
      <c r="BU762" s="1" t="s">
        <v>138</v>
      </c>
      <c r="BV762" s="1" t="s">
        <v>322</v>
      </c>
      <c r="BW762">
        <v>0</v>
      </c>
      <c r="BX762" s="1" t="s">
        <v>184</v>
      </c>
      <c r="BY762">
        <v>0</v>
      </c>
      <c r="BZ762" s="1" t="s">
        <v>213</v>
      </c>
      <c r="CA762">
        <v>0</v>
      </c>
      <c r="CB762">
        <v>0</v>
      </c>
      <c r="CC762">
        <v>4.43</v>
      </c>
      <c r="CD762">
        <v>4.43</v>
      </c>
      <c r="CE762">
        <v>14.38</v>
      </c>
      <c r="CF762">
        <v>14.38</v>
      </c>
      <c r="CG762" s="1" t="s">
        <v>157</v>
      </c>
      <c r="CH762">
        <v>13</v>
      </c>
      <c r="CI762" s="1" t="s">
        <v>124</v>
      </c>
      <c r="CJ762" s="1" t="s">
        <v>430</v>
      </c>
      <c r="CK762" s="1" t="s">
        <v>449</v>
      </c>
      <c r="CL762" s="1" t="s">
        <v>160</v>
      </c>
      <c r="CM762">
        <v>69</v>
      </c>
      <c r="CN762" s="1" t="s">
        <v>2914</v>
      </c>
      <c r="CO762">
        <v>77</v>
      </c>
      <c r="CP762" s="1" t="s">
        <v>5252</v>
      </c>
      <c r="CQ762">
        <v>107</v>
      </c>
      <c r="CR762" s="1" t="s">
        <v>7084</v>
      </c>
      <c r="CS762" s="1" t="s">
        <v>2903</v>
      </c>
      <c r="CT762">
        <v>1623.8</v>
      </c>
      <c r="CU762">
        <v>1674</v>
      </c>
      <c r="CV762" s="1" t="s">
        <v>7046</v>
      </c>
      <c r="CW762">
        <v>119.5</v>
      </c>
      <c r="CX762">
        <v>126.8</v>
      </c>
      <c r="CY762">
        <v>104.8</v>
      </c>
      <c r="CZ762" s="1" t="s">
        <v>552</v>
      </c>
      <c r="DA762">
        <v>1</v>
      </c>
      <c r="DB762" t="s">
        <v>602</v>
      </c>
      <c r="DC762">
        <v>83</v>
      </c>
      <c r="DD762" s="1" t="s">
        <v>7085</v>
      </c>
      <c r="DE762">
        <v>-31.221647554927799</v>
      </c>
      <c r="DF762" t="e">
        <f>_xlfn.XLOOKUP(Table1[[#This Row],[Player ID]],Table2[feed_id],Table2[trade_status])</f>
        <v>#N/A</v>
      </c>
      <c r="DG762">
        <f>_xlfn.NUMBERVALUE(Table1[[#This Row],[predicted]])</f>
        <v>114.221647554927</v>
      </c>
    </row>
    <row r="763" spans="1:111" hidden="1" x14ac:dyDescent="0.25">
      <c r="A763">
        <v>132633</v>
      </c>
      <c r="B763">
        <v>9239</v>
      </c>
      <c r="C763" t="s">
        <v>7040</v>
      </c>
      <c r="D763" t="s">
        <v>3116</v>
      </c>
      <c r="E763">
        <v>2025</v>
      </c>
      <c r="F763">
        <v>290778</v>
      </c>
      <c r="G763" t="s">
        <v>176</v>
      </c>
      <c r="H763" t="s">
        <v>4070</v>
      </c>
      <c r="I763" t="s">
        <v>813</v>
      </c>
      <c r="J763">
        <v>9</v>
      </c>
      <c r="K763">
        <v>69</v>
      </c>
      <c r="L763">
        <v>69</v>
      </c>
      <c r="M763">
        <v>86</v>
      </c>
      <c r="N763">
        <v>58</v>
      </c>
      <c r="O763">
        <v>87</v>
      </c>
      <c r="P763">
        <v>9</v>
      </c>
      <c r="Q763">
        <v>15</v>
      </c>
      <c r="R763">
        <v>2</v>
      </c>
      <c r="S763">
        <v>3</v>
      </c>
      <c r="T763">
        <v>0</v>
      </c>
      <c r="U763">
        <v>0</v>
      </c>
      <c r="V763">
        <v>2</v>
      </c>
      <c r="W763">
        <v>0</v>
      </c>
      <c r="X763">
        <v>0</v>
      </c>
      <c r="Y763" t="s">
        <v>113</v>
      </c>
      <c r="Z763" t="s">
        <v>5826</v>
      </c>
      <c r="AA763" t="s">
        <v>7086</v>
      </c>
      <c r="AH763" t="s">
        <v>118</v>
      </c>
      <c r="AI763">
        <v>26</v>
      </c>
      <c r="AJ763">
        <v>0</v>
      </c>
      <c r="AK763">
        <v>0</v>
      </c>
      <c r="AL763">
        <v>0</v>
      </c>
      <c r="AM763">
        <v>0.22</v>
      </c>
      <c r="AN763">
        <v>0.1</v>
      </c>
      <c r="AO763">
        <v>0.13</v>
      </c>
      <c r="AS763">
        <v>10</v>
      </c>
      <c r="AT763">
        <v>7</v>
      </c>
      <c r="AU763">
        <v>5</v>
      </c>
      <c r="AV763">
        <v>62</v>
      </c>
      <c r="AW763">
        <v>74</v>
      </c>
      <c r="AX763">
        <v>276</v>
      </c>
      <c r="AY763">
        <v>0</v>
      </c>
      <c r="AZ763" t="b">
        <v>0</v>
      </c>
      <c r="BA763">
        <v>1678</v>
      </c>
      <c r="BB763">
        <v>1592</v>
      </c>
      <c r="BC763">
        <v>6</v>
      </c>
      <c r="BD763" t="s">
        <v>7044</v>
      </c>
      <c r="BE763" s="1" t="s">
        <v>3594</v>
      </c>
      <c r="BF763">
        <v>0</v>
      </c>
      <c r="BG763">
        <v>71</v>
      </c>
      <c r="BH763">
        <v>0</v>
      </c>
      <c r="BI763">
        <v>10</v>
      </c>
      <c r="BJ763" s="1" t="s">
        <v>674</v>
      </c>
      <c r="BK763">
        <v>14</v>
      </c>
      <c r="BL763" s="1" t="s">
        <v>545</v>
      </c>
      <c r="BM763" s="1" t="s">
        <v>169</v>
      </c>
      <c r="BN763">
        <v>3.2</v>
      </c>
      <c r="BO763" s="1" t="s">
        <v>124</v>
      </c>
      <c r="BP763" s="1" t="s">
        <v>237</v>
      </c>
      <c r="BQ763">
        <v>0</v>
      </c>
      <c r="BR763">
        <v>0</v>
      </c>
      <c r="BS763" s="1" t="s">
        <v>128</v>
      </c>
      <c r="BT763" s="1" t="s">
        <v>399</v>
      </c>
      <c r="BU763" s="1" t="s">
        <v>161</v>
      </c>
      <c r="BV763" s="1" t="s">
        <v>399</v>
      </c>
      <c r="BW763" s="1" t="s">
        <v>128</v>
      </c>
      <c r="BX763" s="1" t="s">
        <v>298</v>
      </c>
      <c r="BY763">
        <v>0</v>
      </c>
      <c r="BZ763" s="1" t="s">
        <v>129</v>
      </c>
      <c r="CA763">
        <v>0.22</v>
      </c>
      <c r="CB763">
        <v>0.22</v>
      </c>
      <c r="CC763">
        <v>0.1</v>
      </c>
      <c r="CD763">
        <v>0.1</v>
      </c>
      <c r="CE763">
        <v>0.13</v>
      </c>
      <c r="CF763">
        <v>0.13</v>
      </c>
      <c r="CG763" s="1" t="s">
        <v>157</v>
      </c>
      <c r="CH763" s="1" t="s">
        <v>1079</v>
      </c>
      <c r="CI763" s="1" t="s">
        <v>124</v>
      </c>
      <c r="CJ763" s="1" t="s">
        <v>237</v>
      </c>
      <c r="CK763">
        <v>5</v>
      </c>
      <c r="CL763" s="1" t="s">
        <v>373</v>
      </c>
      <c r="CM763" s="1" t="s">
        <v>418</v>
      </c>
      <c r="CN763" s="1" t="s">
        <v>7075</v>
      </c>
      <c r="CO763">
        <v>75</v>
      </c>
      <c r="CP763">
        <v>74</v>
      </c>
      <c r="CQ763" s="1" t="s">
        <v>7087</v>
      </c>
      <c r="CR763" s="1" t="s">
        <v>7088</v>
      </c>
      <c r="CS763" s="1" t="s">
        <v>2903</v>
      </c>
      <c r="CT763" s="1" t="s">
        <v>702</v>
      </c>
      <c r="CU763">
        <v>1674</v>
      </c>
      <c r="CV763" s="1" t="s">
        <v>7089</v>
      </c>
      <c r="CW763">
        <v>73.599999999999994</v>
      </c>
      <c r="CX763">
        <v>72.8</v>
      </c>
      <c r="CY763">
        <v>83.2</v>
      </c>
      <c r="CZ763" s="1" t="s">
        <v>1665</v>
      </c>
      <c r="DA763">
        <v>1</v>
      </c>
      <c r="DB763" t="s">
        <v>5826</v>
      </c>
      <c r="DC763">
        <v>69</v>
      </c>
      <c r="DD763">
        <v>85.578003299451396</v>
      </c>
      <c r="DE763">
        <v>-16.5780032994513</v>
      </c>
      <c r="DF763" t="e">
        <f>_xlfn.XLOOKUP(Table1[[#This Row],[Player ID]],Table2[feed_id],Table2[trade_status])</f>
        <v>#N/A</v>
      </c>
      <c r="DG763">
        <f>_xlfn.NUMBERVALUE(Table1[[#This Row],[predicted]])</f>
        <v>85.578003299451396</v>
      </c>
    </row>
    <row r="764" spans="1:111" x14ac:dyDescent="0.25">
      <c r="A764">
        <v>132902</v>
      </c>
      <c r="B764">
        <v>9245</v>
      </c>
      <c r="C764" t="s">
        <v>8180</v>
      </c>
      <c r="D764" t="s">
        <v>3116</v>
      </c>
      <c r="E764">
        <v>2025</v>
      </c>
      <c r="F764">
        <v>1010174</v>
      </c>
      <c r="G764" t="s">
        <v>1718</v>
      </c>
      <c r="H764" t="s">
        <v>8216</v>
      </c>
      <c r="I764" t="s">
        <v>425</v>
      </c>
      <c r="J764">
        <v>21</v>
      </c>
      <c r="K764">
        <v>82</v>
      </c>
      <c r="L764">
        <v>73</v>
      </c>
      <c r="M764">
        <v>103</v>
      </c>
      <c r="N764">
        <v>69</v>
      </c>
      <c r="O764">
        <v>86</v>
      </c>
      <c r="P764">
        <v>11</v>
      </c>
      <c r="Q764">
        <v>3</v>
      </c>
      <c r="R764">
        <v>6</v>
      </c>
      <c r="S764">
        <v>2</v>
      </c>
      <c r="T764">
        <v>0</v>
      </c>
      <c r="U764">
        <v>0</v>
      </c>
      <c r="V764">
        <v>1</v>
      </c>
      <c r="W764">
        <v>3</v>
      </c>
      <c r="X764">
        <v>2</v>
      </c>
      <c r="Y764" t="s">
        <v>113</v>
      </c>
      <c r="Z764" t="s">
        <v>656</v>
      </c>
      <c r="AA764" t="s">
        <v>8217</v>
      </c>
      <c r="AH764" t="s">
        <v>155</v>
      </c>
      <c r="AI764">
        <v>19</v>
      </c>
      <c r="AJ764">
        <v>0</v>
      </c>
      <c r="AK764">
        <v>0</v>
      </c>
      <c r="AL764">
        <v>0</v>
      </c>
      <c r="AM764">
        <v>0.97</v>
      </c>
      <c r="AN764">
        <v>0.92</v>
      </c>
      <c r="AO764">
        <v>0.57999999999999996</v>
      </c>
      <c r="AS764">
        <v>4</v>
      </c>
      <c r="AT764">
        <v>0</v>
      </c>
      <c r="AU764">
        <v>4</v>
      </c>
      <c r="AV764">
        <v>57</v>
      </c>
      <c r="AW764">
        <v>88</v>
      </c>
      <c r="AX764">
        <v>365</v>
      </c>
      <c r="AY764">
        <v>0</v>
      </c>
      <c r="AZ764" t="b">
        <v>0</v>
      </c>
      <c r="BA764">
        <v>1477</v>
      </c>
      <c r="BB764">
        <v>1799</v>
      </c>
      <c r="BC764">
        <v>6</v>
      </c>
      <c r="BD764" t="s">
        <v>8182</v>
      </c>
      <c r="BE764" s="1" t="s">
        <v>3594</v>
      </c>
      <c r="BF764">
        <v>0</v>
      </c>
      <c r="BG764">
        <v>71</v>
      </c>
      <c r="BH764">
        <v>1</v>
      </c>
      <c r="BI764" s="1" t="s">
        <v>1008</v>
      </c>
      <c r="BJ764" s="1" t="s">
        <v>1066</v>
      </c>
      <c r="BK764" s="1" t="s">
        <v>138</v>
      </c>
      <c r="BL764" s="1" t="s">
        <v>766</v>
      </c>
      <c r="BM764" s="1" t="s">
        <v>204</v>
      </c>
      <c r="BN764" s="1" t="s">
        <v>429</v>
      </c>
      <c r="BO764" s="1" t="s">
        <v>161</v>
      </c>
      <c r="BP764" s="1" t="s">
        <v>275</v>
      </c>
      <c r="BQ764">
        <v>0</v>
      </c>
      <c r="BR764">
        <v>0</v>
      </c>
      <c r="BS764" s="1" t="s">
        <v>128</v>
      </c>
      <c r="BT764" s="1" t="s">
        <v>130</v>
      </c>
      <c r="BU764">
        <v>1</v>
      </c>
      <c r="BV764" s="1" t="s">
        <v>298</v>
      </c>
      <c r="BW764" s="1" t="s">
        <v>169</v>
      </c>
      <c r="BX764" s="1" t="s">
        <v>322</v>
      </c>
      <c r="BY764">
        <v>2</v>
      </c>
      <c r="BZ764" s="1" t="s">
        <v>327</v>
      </c>
      <c r="CA764">
        <v>0.97</v>
      </c>
      <c r="CB764">
        <v>0.97</v>
      </c>
      <c r="CC764">
        <v>0.92</v>
      </c>
      <c r="CD764">
        <v>0.92</v>
      </c>
      <c r="CE764">
        <v>0.57999999999999996</v>
      </c>
      <c r="CF764">
        <v>0.57999999999999996</v>
      </c>
      <c r="CG764" s="1" t="s">
        <v>449</v>
      </c>
      <c r="CH764" s="1" t="s">
        <v>189</v>
      </c>
      <c r="CI764">
        <v>0</v>
      </c>
      <c r="CJ764">
        <v>6.6666666666666596E-2</v>
      </c>
      <c r="CK764" s="1" t="s">
        <v>169</v>
      </c>
      <c r="CL764">
        <v>2.4</v>
      </c>
      <c r="CM764" s="1" t="s">
        <v>1459</v>
      </c>
      <c r="CN764" s="1" t="s">
        <v>1692</v>
      </c>
      <c r="CO764" s="1" t="s">
        <v>941</v>
      </c>
      <c r="CP764">
        <v>84.2</v>
      </c>
      <c r="CQ764" s="1" t="s">
        <v>8218</v>
      </c>
      <c r="CR764" s="1" t="s">
        <v>8219</v>
      </c>
      <c r="CS764" s="1" t="s">
        <v>3934</v>
      </c>
      <c r="CT764" s="1" t="s">
        <v>8220</v>
      </c>
      <c r="CU764" s="1" t="s">
        <v>1533</v>
      </c>
      <c r="CV764" s="1" t="s">
        <v>6015</v>
      </c>
      <c r="CW764">
        <v>73.3</v>
      </c>
      <c r="CX764">
        <v>78.5</v>
      </c>
      <c r="CY764">
        <v>79.400000000000006</v>
      </c>
      <c r="CZ764" s="1" t="s">
        <v>2738</v>
      </c>
      <c r="DA764">
        <v>1</v>
      </c>
      <c r="DB764" t="s">
        <v>656</v>
      </c>
      <c r="DC764">
        <v>73</v>
      </c>
      <c r="DD764" s="1" t="s">
        <v>8221</v>
      </c>
      <c r="DE764">
        <v>-0.97671588423366895</v>
      </c>
      <c r="DF764" t="str">
        <f>_xlfn.XLOOKUP(Table1[[#This Row],[Player ID]],Table2[feed_id],Table2[trade_status])</f>
        <v>free_agent</v>
      </c>
      <c r="DG764">
        <f>_xlfn.NUMBERVALUE(Table1[[#This Row],[predicted]])</f>
        <v>73.976715884233599</v>
      </c>
    </row>
    <row r="765" spans="1:111" hidden="1" x14ac:dyDescent="0.25">
      <c r="A765">
        <v>132635</v>
      </c>
      <c r="B765">
        <v>9239</v>
      </c>
      <c r="C765" t="s">
        <v>7040</v>
      </c>
      <c r="D765" t="s">
        <v>3116</v>
      </c>
      <c r="E765">
        <v>2025</v>
      </c>
      <c r="F765">
        <v>1002947</v>
      </c>
      <c r="G765" t="s">
        <v>223</v>
      </c>
      <c r="H765" t="s">
        <v>5469</v>
      </c>
      <c r="I765" t="s">
        <v>813</v>
      </c>
      <c r="J765">
        <v>16</v>
      </c>
      <c r="K765">
        <v>66</v>
      </c>
      <c r="L765">
        <v>73</v>
      </c>
      <c r="M765">
        <v>85</v>
      </c>
      <c r="N765">
        <v>58</v>
      </c>
      <c r="O765">
        <v>77</v>
      </c>
      <c r="P765">
        <v>8</v>
      </c>
      <c r="Q765">
        <v>6</v>
      </c>
      <c r="R765">
        <v>3</v>
      </c>
      <c r="S765">
        <v>4</v>
      </c>
      <c r="T765">
        <v>0</v>
      </c>
      <c r="U765">
        <v>3</v>
      </c>
      <c r="V765">
        <v>4</v>
      </c>
      <c r="W765">
        <v>2</v>
      </c>
      <c r="X765">
        <v>2</v>
      </c>
      <c r="Y765" t="s">
        <v>113</v>
      </c>
      <c r="Z765" t="s">
        <v>861</v>
      </c>
      <c r="AA765" t="s">
        <v>7094</v>
      </c>
      <c r="AH765" t="s">
        <v>155</v>
      </c>
      <c r="AI765">
        <v>25</v>
      </c>
      <c r="AJ765">
        <v>0</v>
      </c>
      <c r="AK765">
        <v>0</v>
      </c>
      <c r="AL765">
        <v>0</v>
      </c>
      <c r="AM765">
        <v>0.18</v>
      </c>
      <c r="AN765">
        <v>0.18</v>
      </c>
      <c r="AO765">
        <v>0.39</v>
      </c>
      <c r="AS765">
        <v>9</v>
      </c>
      <c r="AT765">
        <v>3</v>
      </c>
      <c r="AU765">
        <v>4</v>
      </c>
      <c r="AV765">
        <v>57</v>
      </c>
      <c r="AW765">
        <v>82</v>
      </c>
      <c r="AX765">
        <v>208</v>
      </c>
      <c r="AY765">
        <v>0</v>
      </c>
      <c r="AZ765" t="b">
        <v>0</v>
      </c>
      <c r="BA765">
        <v>1678</v>
      </c>
      <c r="BB765">
        <v>1592</v>
      </c>
      <c r="BC765">
        <v>6</v>
      </c>
      <c r="BD765" t="s">
        <v>7044</v>
      </c>
      <c r="BE765" s="1" t="s">
        <v>3594</v>
      </c>
      <c r="BF765">
        <v>0</v>
      </c>
      <c r="BG765">
        <v>71</v>
      </c>
      <c r="BH765">
        <v>1</v>
      </c>
      <c r="BI765" s="1" t="s">
        <v>253</v>
      </c>
      <c r="BJ765">
        <v>7.2</v>
      </c>
      <c r="BK765">
        <v>5</v>
      </c>
      <c r="BL765" s="1" t="s">
        <v>374</v>
      </c>
      <c r="BM765">
        <v>4</v>
      </c>
      <c r="BN765">
        <v>4</v>
      </c>
      <c r="BO765" s="1" t="s">
        <v>211</v>
      </c>
      <c r="BP765" s="1" t="s">
        <v>256</v>
      </c>
      <c r="BQ765">
        <v>0</v>
      </c>
      <c r="BR765">
        <v>0</v>
      </c>
      <c r="BS765">
        <v>2</v>
      </c>
      <c r="BT765" s="1" t="s">
        <v>298</v>
      </c>
      <c r="BU765" s="1" t="s">
        <v>159</v>
      </c>
      <c r="BV765" s="1" t="s">
        <v>327</v>
      </c>
      <c r="BW765">
        <v>2</v>
      </c>
      <c r="BX765" s="1" t="s">
        <v>327</v>
      </c>
      <c r="BY765" s="1" t="s">
        <v>128</v>
      </c>
      <c r="BZ765">
        <v>0.8</v>
      </c>
      <c r="CA765">
        <v>0.18</v>
      </c>
      <c r="CB765">
        <v>0.18</v>
      </c>
      <c r="CC765">
        <v>0.18</v>
      </c>
      <c r="CD765">
        <v>0.18</v>
      </c>
      <c r="CE765">
        <v>0.39</v>
      </c>
      <c r="CF765">
        <v>0.39</v>
      </c>
      <c r="CG765" s="1" t="s">
        <v>253</v>
      </c>
      <c r="CH765" s="1" t="s">
        <v>139</v>
      </c>
      <c r="CI765">
        <v>1</v>
      </c>
      <c r="CJ765" s="1" t="s">
        <v>184</v>
      </c>
      <c r="CK765">
        <v>3</v>
      </c>
      <c r="CL765" s="1" t="s">
        <v>640</v>
      </c>
      <c r="CM765" s="1" t="s">
        <v>417</v>
      </c>
      <c r="CN765" s="1" t="s">
        <v>1012</v>
      </c>
      <c r="CO765" s="1" t="s">
        <v>364</v>
      </c>
      <c r="CP765">
        <v>81.8</v>
      </c>
      <c r="CQ765">
        <v>211</v>
      </c>
      <c r="CR765">
        <v>201.6</v>
      </c>
      <c r="CS765" s="1" t="s">
        <v>2903</v>
      </c>
      <c r="CT765">
        <v>1623.8</v>
      </c>
      <c r="CU765">
        <v>1674</v>
      </c>
      <c r="CV765" s="1" t="s">
        <v>7046</v>
      </c>
      <c r="CW765">
        <v>69.7</v>
      </c>
      <c r="CX765">
        <v>76.599999999999994</v>
      </c>
      <c r="CY765">
        <v>89.8</v>
      </c>
      <c r="CZ765">
        <v>88</v>
      </c>
      <c r="DA765">
        <v>1</v>
      </c>
      <c r="DB765" t="s">
        <v>861</v>
      </c>
      <c r="DC765">
        <v>73</v>
      </c>
      <c r="DD765" s="1" t="s">
        <v>7095</v>
      </c>
      <c r="DE765" s="1" t="s">
        <v>7096</v>
      </c>
      <c r="DF765" t="e">
        <f>_xlfn.XLOOKUP(Table1[[#This Row],[Player ID]],Table2[feed_id],Table2[trade_status])</f>
        <v>#N/A</v>
      </c>
      <c r="DG765">
        <f>_xlfn.NUMBERVALUE(Table1[[#This Row],[predicted]])</f>
        <v>71.046768911637002</v>
      </c>
    </row>
    <row r="766" spans="1:111" hidden="1" x14ac:dyDescent="0.25">
      <c r="A766">
        <v>132636</v>
      </c>
      <c r="B766">
        <v>9239</v>
      </c>
      <c r="C766" t="s">
        <v>7040</v>
      </c>
      <c r="D766" t="s">
        <v>3116</v>
      </c>
      <c r="E766">
        <v>2025</v>
      </c>
      <c r="F766">
        <v>999827</v>
      </c>
      <c r="G766" t="s">
        <v>1139</v>
      </c>
      <c r="H766" t="s">
        <v>959</v>
      </c>
      <c r="I766" t="s">
        <v>813</v>
      </c>
      <c r="J766">
        <v>12</v>
      </c>
      <c r="K766">
        <v>66</v>
      </c>
      <c r="L766">
        <v>95</v>
      </c>
      <c r="M766">
        <v>78</v>
      </c>
      <c r="N766">
        <v>54</v>
      </c>
      <c r="O766">
        <v>81</v>
      </c>
      <c r="P766">
        <v>12</v>
      </c>
      <c r="Q766">
        <v>15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113</v>
      </c>
      <c r="Z766" t="s">
        <v>226</v>
      </c>
      <c r="AA766" t="s">
        <v>7097</v>
      </c>
      <c r="AE766">
        <v>0</v>
      </c>
      <c r="AH766" t="s">
        <v>155</v>
      </c>
      <c r="AI766">
        <v>16</v>
      </c>
      <c r="AJ766">
        <v>17</v>
      </c>
      <c r="AK766">
        <v>69.47</v>
      </c>
      <c r="AL766">
        <v>0</v>
      </c>
      <c r="AM766">
        <v>0</v>
      </c>
      <c r="AN766">
        <v>9</v>
      </c>
      <c r="AO766">
        <v>9.07</v>
      </c>
      <c r="AS766">
        <v>7</v>
      </c>
      <c r="AT766">
        <v>0</v>
      </c>
      <c r="AU766">
        <v>1</v>
      </c>
      <c r="AV766">
        <v>92</v>
      </c>
      <c r="AW766">
        <v>85</v>
      </c>
      <c r="AX766">
        <v>478</v>
      </c>
      <c r="AY766">
        <v>0</v>
      </c>
      <c r="AZ766" t="b">
        <v>0</v>
      </c>
      <c r="BA766">
        <v>1678</v>
      </c>
      <c r="BB766">
        <v>1592</v>
      </c>
      <c r="BC766">
        <v>6</v>
      </c>
      <c r="BD766" t="s">
        <v>7044</v>
      </c>
      <c r="BE766" s="1" t="s">
        <v>3594</v>
      </c>
      <c r="BF766">
        <v>0</v>
      </c>
      <c r="BG766">
        <v>71</v>
      </c>
      <c r="BH766">
        <v>1</v>
      </c>
      <c r="BI766" s="1" t="s">
        <v>1609</v>
      </c>
      <c r="BJ766" s="1" t="s">
        <v>7098</v>
      </c>
      <c r="BK766" s="1" t="s">
        <v>157</v>
      </c>
      <c r="BL766" s="1" t="s">
        <v>254</v>
      </c>
      <c r="BM766">
        <v>3</v>
      </c>
      <c r="BN766" s="1" t="s">
        <v>499</v>
      </c>
      <c r="BO766" s="1" t="s">
        <v>128</v>
      </c>
      <c r="BP766" s="1" t="s">
        <v>130</v>
      </c>
      <c r="BQ766">
        <v>0</v>
      </c>
      <c r="BR766">
        <v>0</v>
      </c>
      <c r="BS766" s="1" t="s">
        <v>128</v>
      </c>
      <c r="BT766" s="1" t="s">
        <v>128</v>
      </c>
      <c r="BU766">
        <v>1</v>
      </c>
      <c r="BV766">
        <v>0.6</v>
      </c>
      <c r="BW766">
        <v>0</v>
      </c>
      <c r="BX766">
        <v>0</v>
      </c>
      <c r="BY766">
        <v>0</v>
      </c>
      <c r="BZ766">
        <v>6.6666666666666596E-2</v>
      </c>
      <c r="CA766">
        <v>0</v>
      </c>
      <c r="CB766">
        <v>0</v>
      </c>
      <c r="CC766">
        <v>9</v>
      </c>
      <c r="CD766">
        <v>9</v>
      </c>
      <c r="CE766">
        <v>9.07</v>
      </c>
      <c r="CF766">
        <v>9.07</v>
      </c>
      <c r="CG766" s="1" t="s">
        <v>397</v>
      </c>
      <c r="CH766" s="1" t="s">
        <v>124</v>
      </c>
      <c r="CI766">
        <v>0</v>
      </c>
      <c r="CJ766" s="1" t="s">
        <v>231</v>
      </c>
      <c r="CK766" s="1" t="s">
        <v>125</v>
      </c>
      <c r="CL766">
        <v>2.6</v>
      </c>
      <c r="CM766">
        <v>75</v>
      </c>
      <c r="CN766" s="1" t="s">
        <v>1387</v>
      </c>
      <c r="CO766">
        <v>77</v>
      </c>
      <c r="CP766" s="1" t="s">
        <v>3346</v>
      </c>
      <c r="CQ766" s="1" t="s">
        <v>7099</v>
      </c>
      <c r="CR766">
        <v>407.2</v>
      </c>
      <c r="CS766" s="1" t="s">
        <v>7100</v>
      </c>
      <c r="CT766" s="1" t="s">
        <v>7101</v>
      </c>
      <c r="CU766" s="1" t="s">
        <v>7102</v>
      </c>
      <c r="CV766" s="1" t="s">
        <v>7103</v>
      </c>
      <c r="CW766">
        <v>84.3</v>
      </c>
      <c r="CX766">
        <v>91.9</v>
      </c>
      <c r="CY766">
        <v>78.2</v>
      </c>
      <c r="CZ766">
        <v>90</v>
      </c>
      <c r="DA766">
        <v>1</v>
      </c>
      <c r="DB766" t="s">
        <v>226</v>
      </c>
      <c r="DC766">
        <v>95</v>
      </c>
      <c r="DD766" s="1" t="s">
        <v>7104</v>
      </c>
      <c r="DE766">
        <v>-13.450361947302</v>
      </c>
      <c r="DF766" t="e">
        <f>_xlfn.XLOOKUP(Table1[[#This Row],[Player ID]],Table2[feed_id],Table2[trade_status])</f>
        <v>#N/A</v>
      </c>
      <c r="DG766">
        <f>_xlfn.NUMBERVALUE(Table1[[#This Row],[predicted]])</f>
        <v>108.450361947302</v>
      </c>
    </row>
    <row r="767" spans="1:111" x14ac:dyDescent="0.25">
      <c r="A767">
        <v>132830</v>
      </c>
      <c r="B767">
        <v>9243</v>
      </c>
      <c r="C767" t="s">
        <v>7798</v>
      </c>
      <c r="D767" t="s">
        <v>3116</v>
      </c>
      <c r="E767">
        <v>2025</v>
      </c>
      <c r="F767">
        <v>1013224</v>
      </c>
      <c r="G767" t="s">
        <v>2566</v>
      </c>
      <c r="H767" t="s">
        <v>7912</v>
      </c>
      <c r="I767" t="s">
        <v>178</v>
      </c>
      <c r="J767">
        <v>24</v>
      </c>
      <c r="K767">
        <v>103</v>
      </c>
      <c r="L767">
        <v>86</v>
      </c>
      <c r="M767">
        <v>61</v>
      </c>
      <c r="N767">
        <v>85</v>
      </c>
      <c r="O767">
        <v>111</v>
      </c>
      <c r="P767">
        <v>18</v>
      </c>
      <c r="Q767">
        <v>8</v>
      </c>
      <c r="R767">
        <v>10</v>
      </c>
      <c r="S767">
        <v>1</v>
      </c>
      <c r="T767">
        <v>0</v>
      </c>
      <c r="U767">
        <v>2</v>
      </c>
      <c r="V767">
        <v>1</v>
      </c>
      <c r="W767">
        <v>0</v>
      </c>
      <c r="X767">
        <v>0</v>
      </c>
      <c r="Y767" t="s">
        <v>113</v>
      </c>
      <c r="Z767" t="s">
        <v>339</v>
      </c>
      <c r="AA767" t="s">
        <v>225</v>
      </c>
      <c r="AB767" t="s">
        <v>226</v>
      </c>
      <c r="AC767" t="s">
        <v>1607</v>
      </c>
      <c r="AH767" t="s">
        <v>181</v>
      </c>
      <c r="AI767">
        <v>5</v>
      </c>
      <c r="AJ767">
        <v>0</v>
      </c>
      <c r="AK767">
        <v>0</v>
      </c>
      <c r="AL767">
        <v>0</v>
      </c>
      <c r="AM767">
        <v>26.48</v>
      </c>
      <c r="AN767">
        <v>16.11</v>
      </c>
      <c r="AO767">
        <v>9.18</v>
      </c>
      <c r="AS767">
        <v>3</v>
      </c>
      <c r="AT767">
        <v>1</v>
      </c>
      <c r="AU767">
        <v>1</v>
      </c>
      <c r="AV767">
        <v>84</v>
      </c>
      <c r="AW767">
        <v>87</v>
      </c>
      <c r="AX767">
        <v>551</v>
      </c>
      <c r="AY767">
        <v>0</v>
      </c>
      <c r="AZ767" t="b">
        <v>0</v>
      </c>
      <c r="BA767">
        <v>1559</v>
      </c>
      <c r="BB767">
        <v>1728</v>
      </c>
      <c r="BC767">
        <v>6</v>
      </c>
      <c r="BD767" t="s">
        <v>7901</v>
      </c>
      <c r="BE767" s="1" t="s">
        <v>3594</v>
      </c>
      <c r="BF767">
        <v>0</v>
      </c>
      <c r="BG767">
        <v>71</v>
      </c>
      <c r="BH767">
        <v>1</v>
      </c>
      <c r="BI767">
        <v>12</v>
      </c>
      <c r="BJ767">
        <v>10.4</v>
      </c>
      <c r="BK767" s="1" t="s">
        <v>124</v>
      </c>
      <c r="BL767" s="1" t="s">
        <v>898</v>
      </c>
      <c r="BM767" s="1" t="s">
        <v>253</v>
      </c>
      <c r="BN767" s="1" t="s">
        <v>260</v>
      </c>
      <c r="BO767">
        <v>1</v>
      </c>
      <c r="BP767" s="1" t="s">
        <v>161</v>
      </c>
      <c r="BQ767">
        <v>0</v>
      </c>
      <c r="BR767">
        <v>0</v>
      </c>
      <c r="BS767" s="1" t="s">
        <v>126</v>
      </c>
      <c r="BT767">
        <v>0.6</v>
      </c>
      <c r="BU767">
        <v>1</v>
      </c>
      <c r="BV767" s="1" t="s">
        <v>128</v>
      </c>
      <c r="BW767">
        <v>0</v>
      </c>
      <c r="BX767">
        <v>6.6666666666666596E-2</v>
      </c>
      <c r="BY767">
        <v>0</v>
      </c>
      <c r="BZ767">
        <v>0</v>
      </c>
      <c r="CA767">
        <v>26.48</v>
      </c>
      <c r="CB767">
        <v>26.48</v>
      </c>
      <c r="CC767">
        <v>16.11</v>
      </c>
      <c r="CD767">
        <v>16.11</v>
      </c>
      <c r="CE767">
        <v>9.18</v>
      </c>
      <c r="CF767">
        <v>9.18</v>
      </c>
      <c r="CG767" s="1" t="s">
        <v>169</v>
      </c>
      <c r="CH767">
        <v>4</v>
      </c>
      <c r="CI767" s="1" t="s">
        <v>129</v>
      </c>
      <c r="CJ767" s="1" t="s">
        <v>129</v>
      </c>
      <c r="CK767" s="1" t="s">
        <v>161</v>
      </c>
      <c r="CL767">
        <v>2</v>
      </c>
      <c r="CM767">
        <v>89</v>
      </c>
      <c r="CN767" s="1" t="s">
        <v>2336</v>
      </c>
      <c r="CO767" s="1" t="s">
        <v>1123</v>
      </c>
      <c r="CP767">
        <v>79.8</v>
      </c>
      <c r="CQ767" s="1" t="s">
        <v>7913</v>
      </c>
      <c r="CR767" s="1" t="s">
        <v>7914</v>
      </c>
      <c r="CS767" s="1" t="s">
        <v>7903</v>
      </c>
      <c r="CT767">
        <v>1710.6</v>
      </c>
      <c r="CU767" s="1" t="s">
        <v>6535</v>
      </c>
      <c r="CV767">
        <v>1572.4</v>
      </c>
      <c r="CW767">
        <v>71.150000000000006</v>
      </c>
      <c r="CX767">
        <v>70</v>
      </c>
      <c r="CY767">
        <v>74</v>
      </c>
      <c r="CZ767">
        <v>78</v>
      </c>
      <c r="DA767">
        <v>1</v>
      </c>
      <c r="DB767" t="s">
        <v>339</v>
      </c>
      <c r="DC767">
        <v>86</v>
      </c>
      <c r="DD767" s="1" t="s">
        <v>7915</v>
      </c>
      <c r="DE767" s="1" t="s">
        <v>7916</v>
      </c>
      <c r="DF767" t="str">
        <f>_xlfn.XLOOKUP(Table1[[#This Row],[Player ID]],Table2[feed_id],Table2[trade_status])</f>
        <v>free_agent</v>
      </c>
      <c r="DG767">
        <f>_xlfn.NUMBERVALUE(Table1[[#This Row],[predicted]])</f>
        <v>73.221803655187102</v>
      </c>
    </row>
    <row r="768" spans="1:111" x14ac:dyDescent="0.25">
      <c r="A768">
        <v>132623</v>
      </c>
      <c r="B768">
        <v>9238</v>
      </c>
      <c r="C768" t="s">
        <v>6865</v>
      </c>
      <c r="D768" t="s">
        <v>3116</v>
      </c>
      <c r="E768">
        <v>2025</v>
      </c>
      <c r="F768">
        <v>997142</v>
      </c>
      <c r="G768" t="s">
        <v>5596</v>
      </c>
      <c r="H768" t="s">
        <v>7030</v>
      </c>
      <c r="I768" t="s">
        <v>338</v>
      </c>
      <c r="J768">
        <v>8</v>
      </c>
      <c r="K768">
        <v>46</v>
      </c>
      <c r="L768">
        <v>38</v>
      </c>
      <c r="M768">
        <v>35</v>
      </c>
      <c r="N768">
        <v>44</v>
      </c>
      <c r="O768">
        <v>60</v>
      </c>
      <c r="P768">
        <v>4</v>
      </c>
      <c r="Q768">
        <v>11</v>
      </c>
      <c r="R768">
        <v>1</v>
      </c>
      <c r="S768">
        <v>0</v>
      </c>
      <c r="T768">
        <v>11</v>
      </c>
      <c r="U768">
        <v>0</v>
      </c>
      <c r="V768">
        <v>1</v>
      </c>
      <c r="W768">
        <v>0</v>
      </c>
      <c r="X768">
        <v>1</v>
      </c>
      <c r="Y768" t="s">
        <v>113</v>
      </c>
      <c r="Z768" t="s">
        <v>5152</v>
      </c>
      <c r="AA768" t="s">
        <v>7031</v>
      </c>
      <c r="AE768">
        <v>0</v>
      </c>
      <c r="AH768" t="s">
        <v>274</v>
      </c>
      <c r="AI768">
        <v>19</v>
      </c>
      <c r="AJ768">
        <v>0</v>
      </c>
      <c r="AK768">
        <v>0</v>
      </c>
      <c r="AL768">
        <v>0</v>
      </c>
      <c r="AM768">
        <v>0</v>
      </c>
      <c r="AN768">
        <v>0.04</v>
      </c>
      <c r="AO768">
        <v>0.06</v>
      </c>
      <c r="AS768">
        <v>6</v>
      </c>
      <c r="AT768">
        <v>2</v>
      </c>
      <c r="AU768">
        <v>2</v>
      </c>
      <c r="AV768">
        <v>60</v>
      </c>
      <c r="AW768">
        <v>63</v>
      </c>
      <c r="AX768">
        <v>104</v>
      </c>
      <c r="AY768">
        <v>1</v>
      </c>
      <c r="AZ768" t="b">
        <v>0</v>
      </c>
      <c r="BA768">
        <v>1741</v>
      </c>
      <c r="BB768">
        <v>1546</v>
      </c>
      <c r="BC768">
        <v>6</v>
      </c>
      <c r="BD768" t="s">
        <v>6968</v>
      </c>
      <c r="BE768" s="1" t="s">
        <v>3594</v>
      </c>
      <c r="BF768">
        <v>0</v>
      </c>
      <c r="BG768">
        <v>71</v>
      </c>
      <c r="BH768">
        <v>0</v>
      </c>
      <c r="BI768">
        <v>6</v>
      </c>
      <c r="BJ768" s="1" t="s">
        <v>624</v>
      </c>
      <c r="BK768" s="1" t="s">
        <v>183</v>
      </c>
      <c r="BL768" s="1" t="s">
        <v>139</v>
      </c>
      <c r="BM768" s="1" t="s">
        <v>159</v>
      </c>
      <c r="BN768" s="1" t="s">
        <v>169</v>
      </c>
      <c r="BO768">
        <v>1</v>
      </c>
      <c r="BP768" s="1" t="s">
        <v>327</v>
      </c>
      <c r="BQ768" s="1" t="s">
        <v>545</v>
      </c>
      <c r="BR768" s="1" t="s">
        <v>3068</v>
      </c>
      <c r="BS768" s="1" t="s">
        <v>129</v>
      </c>
      <c r="BT768" s="1" t="s">
        <v>298</v>
      </c>
      <c r="BU768" s="1" t="s">
        <v>128</v>
      </c>
      <c r="BV768">
        <v>1.4</v>
      </c>
      <c r="BW768" s="1" t="s">
        <v>128</v>
      </c>
      <c r="BX768" s="1" t="s">
        <v>231</v>
      </c>
      <c r="BY768" s="1" t="s">
        <v>129</v>
      </c>
      <c r="BZ768">
        <v>0.2</v>
      </c>
      <c r="CA768">
        <v>0</v>
      </c>
      <c r="CB768" s="1" t="s">
        <v>4758</v>
      </c>
      <c r="CC768">
        <v>0.04</v>
      </c>
      <c r="CD768">
        <v>7.6666666666666605E-2</v>
      </c>
      <c r="CE768">
        <v>0.06</v>
      </c>
      <c r="CF768">
        <v>0.14199999999999999</v>
      </c>
      <c r="CG768" s="1" t="s">
        <v>124</v>
      </c>
      <c r="CH768">
        <v>6.8</v>
      </c>
      <c r="CI768">
        <v>2</v>
      </c>
      <c r="CJ768">
        <v>3.2</v>
      </c>
      <c r="CK768">
        <v>2</v>
      </c>
      <c r="CL768" s="1" t="s">
        <v>587</v>
      </c>
      <c r="CM768" s="1" t="s">
        <v>1176</v>
      </c>
      <c r="CN768" s="1" t="s">
        <v>5848</v>
      </c>
      <c r="CO768">
        <v>67</v>
      </c>
      <c r="CP768" s="1" t="s">
        <v>1354</v>
      </c>
      <c r="CQ768" s="1" t="s">
        <v>4375</v>
      </c>
      <c r="CR768" s="1" t="s">
        <v>7032</v>
      </c>
      <c r="CS768" s="1" t="s">
        <v>6970</v>
      </c>
      <c r="CT768">
        <v>1607.2</v>
      </c>
      <c r="CU768">
        <v>1683</v>
      </c>
      <c r="CV768" s="1" t="s">
        <v>5165</v>
      </c>
      <c r="CW768">
        <v>62.35</v>
      </c>
      <c r="CX768">
        <v>62.6</v>
      </c>
      <c r="CY768">
        <v>45</v>
      </c>
      <c r="CZ768">
        <v>51</v>
      </c>
      <c r="DA768">
        <v>1</v>
      </c>
      <c r="DB768" t="s">
        <v>5152</v>
      </c>
      <c r="DC768">
        <v>38</v>
      </c>
      <c r="DD768" s="1" t="s">
        <v>7033</v>
      </c>
      <c r="DE768">
        <v>-34.824134520461598</v>
      </c>
      <c r="DF768" t="str">
        <f>_xlfn.XLOOKUP(Table1[[#This Row],[Player ID]],Table2[feed_id],Table2[trade_status])</f>
        <v>free_agent</v>
      </c>
      <c r="DG768">
        <f>_xlfn.NUMBERVALUE(Table1[[#This Row],[predicted]])</f>
        <v>72.824134520461598</v>
      </c>
    </row>
    <row r="769" spans="1:111" x14ac:dyDescent="0.25">
      <c r="A769">
        <v>132749</v>
      </c>
      <c r="B769">
        <v>9241</v>
      </c>
      <c r="C769" t="s">
        <v>7418</v>
      </c>
      <c r="D769" t="s">
        <v>3116</v>
      </c>
      <c r="E769">
        <v>2025</v>
      </c>
      <c r="F769">
        <v>996059</v>
      </c>
      <c r="G769" t="s">
        <v>7548</v>
      </c>
      <c r="H769" t="s">
        <v>7549</v>
      </c>
      <c r="I769" t="s">
        <v>201</v>
      </c>
      <c r="J769">
        <v>14</v>
      </c>
      <c r="K769">
        <v>78</v>
      </c>
      <c r="L769">
        <v>78</v>
      </c>
      <c r="M769">
        <v>52</v>
      </c>
      <c r="N769">
        <v>63</v>
      </c>
      <c r="O769">
        <v>78</v>
      </c>
      <c r="P769">
        <v>13</v>
      </c>
      <c r="Q769">
        <v>1</v>
      </c>
      <c r="R769">
        <v>11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 t="s">
        <v>113</v>
      </c>
      <c r="Z769" t="s">
        <v>7550</v>
      </c>
      <c r="AA769" t="s">
        <v>7551</v>
      </c>
      <c r="AE769">
        <v>0</v>
      </c>
      <c r="AH769" t="s">
        <v>181</v>
      </c>
      <c r="AI769">
        <v>31</v>
      </c>
      <c r="AJ769">
        <v>17</v>
      </c>
      <c r="AK769">
        <v>67</v>
      </c>
      <c r="AL769">
        <v>0</v>
      </c>
      <c r="AM769">
        <v>0</v>
      </c>
      <c r="AN769">
        <v>0.69</v>
      </c>
      <c r="AO769">
        <v>0.55000000000000004</v>
      </c>
      <c r="AS769">
        <v>7</v>
      </c>
      <c r="AT769">
        <v>0</v>
      </c>
      <c r="AU769">
        <v>1</v>
      </c>
      <c r="AV769">
        <v>85</v>
      </c>
      <c r="AW769">
        <v>92</v>
      </c>
      <c r="AX769">
        <v>143</v>
      </c>
      <c r="AY769">
        <v>0</v>
      </c>
      <c r="AZ769" t="b">
        <v>0</v>
      </c>
      <c r="BA769">
        <v>1518</v>
      </c>
      <c r="BB769">
        <v>1780</v>
      </c>
      <c r="BC769">
        <v>6</v>
      </c>
      <c r="BD769" t="s">
        <v>7502</v>
      </c>
      <c r="BE769" s="1" t="s">
        <v>3594</v>
      </c>
      <c r="BF769">
        <v>0</v>
      </c>
      <c r="BG769">
        <v>71</v>
      </c>
      <c r="BH769">
        <v>1</v>
      </c>
      <c r="BI769" s="1" t="s">
        <v>276</v>
      </c>
      <c r="BJ769">
        <v>9.6</v>
      </c>
      <c r="BK769" s="1" t="s">
        <v>125</v>
      </c>
      <c r="BL769">
        <v>3.4</v>
      </c>
      <c r="BM769">
        <v>10</v>
      </c>
      <c r="BN769" s="1" t="s">
        <v>1079</v>
      </c>
      <c r="BO769">
        <v>1</v>
      </c>
      <c r="BP769" s="1" t="s">
        <v>127</v>
      </c>
      <c r="BQ769">
        <v>0</v>
      </c>
      <c r="BR769">
        <v>0</v>
      </c>
      <c r="BS769">
        <v>0</v>
      </c>
      <c r="BT769" s="1" t="s">
        <v>129</v>
      </c>
      <c r="BU769" s="1" t="s">
        <v>129</v>
      </c>
      <c r="BV769" s="1" t="s">
        <v>127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0.69</v>
      </c>
      <c r="CD769">
        <v>0.69</v>
      </c>
      <c r="CE769">
        <v>0.55000000000000004</v>
      </c>
      <c r="CF769">
        <v>0.55000000000000004</v>
      </c>
      <c r="CG769" s="1" t="s">
        <v>397</v>
      </c>
      <c r="CH769">
        <v>4.5999999999999996</v>
      </c>
      <c r="CI769" s="1" t="s">
        <v>129</v>
      </c>
      <c r="CJ769">
        <v>0.2</v>
      </c>
      <c r="CK769" s="1" t="s">
        <v>159</v>
      </c>
      <c r="CL769">
        <v>2.2000000000000002</v>
      </c>
      <c r="CM769" s="1" t="s">
        <v>142</v>
      </c>
      <c r="CN769" s="1" t="s">
        <v>2696</v>
      </c>
      <c r="CO769">
        <v>93</v>
      </c>
      <c r="CP769" s="1" t="s">
        <v>7552</v>
      </c>
      <c r="CQ769" s="1" t="s">
        <v>7553</v>
      </c>
      <c r="CR769">
        <v>164</v>
      </c>
      <c r="CS769" s="1" t="s">
        <v>7505</v>
      </c>
      <c r="CT769" s="1" t="s">
        <v>7554</v>
      </c>
      <c r="CU769" s="1" t="s">
        <v>7506</v>
      </c>
      <c r="CV769">
        <v>1561.2</v>
      </c>
      <c r="CW769">
        <v>72.45</v>
      </c>
      <c r="CX769">
        <v>72.400000000000006</v>
      </c>
      <c r="CY769">
        <v>69.599999999999994</v>
      </c>
      <c r="CZ769">
        <v>76</v>
      </c>
      <c r="DA769">
        <v>1</v>
      </c>
      <c r="DB769" t="s">
        <v>7550</v>
      </c>
      <c r="DC769">
        <v>78</v>
      </c>
      <c r="DD769" s="1" t="s">
        <v>7555</v>
      </c>
      <c r="DE769" s="1" t="s">
        <v>7556</v>
      </c>
      <c r="DF769" t="str">
        <f>_xlfn.XLOOKUP(Table1[[#This Row],[Player ID]],Table2[feed_id],Table2[trade_status])</f>
        <v>free_agent</v>
      </c>
      <c r="DG769">
        <f>_xlfn.NUMBERVALUE(Table1[[#This Row],[predicted]])</f>
        <v>72.6726276415515</v>
      </c>
    </row>
    <row r="770" spans="1:111" x14ac:dyDescent="0.25">
      <c r="A770">
        <v>132889</v>
      </c>
      <c r="B770">
        <v>9244</v>
      </c>
      <c r="C770" t="s">
        <v>7983</v>
      </c>
      <c r="D770" t="s">
        <v>3116</v>
      </c>
      <c r="E770">
        <v>2025</v>
      </c>
      <c r="F770">
        <v>1014038</v>
      </c>
      <c r="G770" t="s">
        <v>8158</v>
      </c>
      <c r="H770" t="s">
        <v>2955</v>
      </c>
      <c r="I770" t="s">
        <v>1089</v>
      </c>
      <c r="J770">
        <v>4</v>
      </c>
      <c r="K770">
        <v>54</v>
      </c>
      <c r="L770">
        <v>81</v>
      </c>
      <c r="M770">
        <v>37</v>
      </c>
      <c r="N770">
        <v>46</v>
      </c>
      <c r="O770">
        <v>62</v>
      </c>
      <c r="P770">
        <v>8</v>
      </c>
      <c r="Q770">
        <v>6</v>
      </c>
      <c r="R770">
        <v>5</v>
      </c>
      <c r="S770">
        <v>1</v>
      </c>
      <c r="T770">
        <v>1</v>
      </c>
      <c r="U770">
        <v>0</v>
      </c>
      <c r="V770">
        <v>1</v>
      </c>
      <c r="W770">
        <v>0</v>
      </c>
      <c r="X770">
        <v>1</v>
      </c>
      <c r="Y770" t="s">
        <v>113</v>
      </c>
      <c r="Z770" t="s">
        <v>8159</v>
      </c>
      <c r="AA770" t="s">
        <v>8160</v>
      </c>
      <c r="AH770" t="s">
        <v>181</v>
      </c>
      <c r="AI770">
        <v>46</v>
      </c>
      <c r="AJ770">
        <v>0</v>
      </c>
      <c r="AK770">
        <v>0</v>
      </c>
      <c r="AL770">
        <v>0</v>
      </c>
      <c r="AM770">
        <v>0</v>
      </c>
      <c r="AN770">
        <v>0.08</v>
      </c>
      <c r="AO770">
        <v>0.24</v>
      </c>
      <c r="AS770">
        <v>6</v>
      </c>
      <c r="AT770">
        <v>1</v>
      </c>
      <c r="AU770">
        <v>2</v>
      </c>
      <c r="AV770">
        <v>78</v>
      </c>
      <c r="AW770">
        <v>71</v>
      </c>
      <c r="AX770">
        <v>284</v>
      </c>
      <c r="AY770">
        <v>1</v>
      </c>
      <c r="AZ770" t="b">
        <v>0</v>
      </c>
      <c r="BA770">
        <v>1473</v>
      </c>
      <c r="BB770">
        <v>1816</v>
      </c>
      <c r="BC770">
        <v>6</v>
      </c>
      <c r="BD770" t="s">
        <v>8080</v>
      </c>
      <c r="BE770" s="1" t="s">
        <v>3594</v>
      </c>
      <c r="BF770">
        <v>0</v>
      </c>
      <c r="BG770">
        <v>71</v>
      </c>
      <c r="BH770">
        <v>1</v>
      </c>
      <c r="BI770" s="1" t="s">
        <v>204</v>
      </c>
      <c r="BJ770">
        <v>5.8</v>
      </c>
      <c r="BK770" s="1" t="s">
        <v>124</v>
      </c>
      <c r="BL770" s="1" t="s">
        <v>436</v>
      </c>
      <c r="BM770" s="1" t="s">
        <v>169</v>
      </c>
      <c r="BN770">
        <v>3.2</v>
      </c>
      <c r="BO770" s="1" t="s">
        <v>169</v>
      </c>
      <c r="BP770" s="1" t="s">
        <v>170</v>
      </c>
      <c r="BQ770" s="1" t="s">
        <v>211</v>
      </c>
      <c r="BR770">
        <v>1</v>
      </c>
      <c r="BS770">
        <v>1</v>
      </c>
      <c r="BT770" s="1" t="s">
        <v>128</v>
      </c>
      <c r="BU770">
        <v>1</v>
      </c>
      <c r="BV770" s="1" t="s">
        <v>128</v>
      </c>
      <c r="BW770">
        <v>0</v>
      </c>
      <c r="BX770" s="1" t="s">
        <v>126</v>
      </c>
      <c r="BY770" s="1" t="s">
        <v>129</v>
      </c>
      <c r="BZ770" s="1" t="s">
        <v>238</v>
      </c>
      <c r="CA770">
        <v>0</v>
      </c>
      <c r="CB770">
        <v>5.3333333333333297E-3</v>
      </c>
      <c r="CC770">
        <v>0.08</v>
      </c>
      <c r="CD770">
        <v>0.08</v>
      </c>
      <c r="CE770">
        <v>0.24</v>
      </c>
      <c r="CF770">
        <v>0.22</v>
      </c>
      <c r="CG770" s="1" t="s">
        <v>124</v>
      </c>
      <c r="CH770" s="1" t="s">
        <v>565</v>
      </c>
      <c r="CI770">
        <v>2</v>
      </c>
      <c r="CJ770" s="1" t="s">
        <v>130</v>
      </c>
      <c r="CK770" s="1" t="s">
        <v>159</v>
      </c>
      <c r="CL770" s="1" t="s">
        <v>566</v>
      </c>
      <c r="CM770" s="1" t="s">
        <v>1406</v>
      </c>
      <c r="CN770">
        <v>77.599999999999994</v>
      </c>
      <c r="CO770">
        <v>78</v>
      </c>
      <c r="CP770" s="1" t="s">
        <v>928</v>
      </c>
      <c r="CQ770">
        <v>220</v>
      </c>
      <c r="CR770">
        <v>177.4</v>
      </c>
      <c r="CS770">
        <v>1829</v>
      </c>
      <c r="CT770">
        <v>1761</v>
      </c>
      <c r="CU770">
        <v>1466</v>
      </c>
      <c r="CV770" s="1" t="s">
        <v>8161</v>
      </c>
      <c r="CW770">
        <v>62.45</v>
      </c>
      <c r="CX770">
        <v>64.3</v>
      </c>
      <c r="CY770">
        <v>63</v>
      </c>
      <c r="CZ770" s="1" t="s">
        <v>593</v>
      </c>
      <c r="DA770">
        <v>1</v>
      </c>
      <c r="DB770" t="s">
        <v>8159</v>
      </c>
      <c r="DC770">
        <v>81</v>
      </c>
      <c r="DD770" s="1" t="s">
        <v>8162</v>
      </c>
      <c r="DE770" s="1" t="s">
        <v>8163</v>
      </c>
      <c r="DF770" t="str">
        <f>_xlfn.XLOOKUP(Table1[[#This Row],[Player ID]],Table2[feed_id],Table2[trade_status])</f>
        <v>free_agent</v>
      </c>
      <c r="DG770">
        <f>_xlfn.NUMBERVALUE(Table1[[#This Row],[predicted]])</f>
        <v>71.894042455995702</v>
      </c>
    </row>
    <row r="771" spans="1:111" x14ac:dyDescent="0.25">
      <c r="A771">
        <v>132780</v>
      </c>
      <c r="B771">
        <v>9242</v>
      </c>
      <c r="C771" t="s">
        <v>7597</v>
      </c>
      <c r="D771" t="s">
        <v>3116</v>
      </c>
      <c r="E771">
        <v>2025</v>
      </c>
      <c r="F771">
        <v>999391</v>
      </c>
      <c r="G771" t="s">
        <v>776</v>
      </c>
      <c r="H771" t="s">
        <v>7697</v>
      </c>
      <c r="I771" t="s">
        <v>291</v>
      </c>
      <c r="J771">
        <v>9</v>
      </c>
      <c r="K771">
        <v>33</v>
      </c>
      <c r="L771">
        <v>27</v>
      </c>
      <c r="M771">
        <v>43</v>
      </c>
      <c r="N771">
        <v>28</v>
      </c>
      <c r="O771">
        <v>36</v>
      </c>
      <c r="P771">
        <v>3</v>
      </c>
      <c r="Q771">
        <v>2</v>
      </c>
      <c r="R771">
        <v>3</v>
      </c>
      <c r="S771">
        <v>2</v>
      </c>
      <c r="T771">
        <v>0</v>
      </c>
      <c r="U771">
        <v>0</v>
      </c>
      <c r="V771">
        <v>1</v>
      </c>
      <c r="W771">
        <v>1</v>
      </c>
      <c r="X771">
        <v>0</v>
      </c>
      <c r="Y771" t="s">
        <v>113</v>
      </c>
      <c r="Z771" t="s">
        <v>1563</v>
      </c>
      <c r="AA771" t="s">
        <v>7698</v>
      </c>
      <c r="AH771" t="s">
        <v>118</v>
      </c>
      <c r="AI771">
        <v>32</v>
      </c>
      <c r="AJ771">
        <v>0</v>
      </c>
      <c r="AK771">
        <v>0</v>
      </c>
      <c r="AL771">
        <v>0</v>
      </c>
      <c r="AM771">
        <v>0.27</v>
      </c>
      <c r="AN771">
        <v>0.21</v>
      </c>
      <c r="AO771">
        <v>0.19</v>
      </c>
      <c r="AS771">
        <v>1</v>
      </c>
      <c r="AT771">
        <v>0</v>
      </c>
      <c r="AU771">
        <v>1</v>
      </c>
      <c r="AV771">
        <v>100</v>
      </c>
      <c r="AW771">
        <v>63</v>
      </c>
      <c r="AX771">
        <v>81</v>
      </c>
      <c r="AY771">
        <v>1</v>
      </c>
      <c r="AZ771" t="b">
        <v>0</v>
      </c>
      <c r="BA771">
        <v>1764</v>
      </c>
      <c r="BB771">
        <v>1522</v>
      </c>
      <c r="BC771">
        <v>6</v>
      </c>
      <c r="BD771" t="s">
        <v>7599</v>
      </c>
      <c r="BE771" s="1" t="s">
        <v>3594</v>
      </c>
      <c r="BF771">
        <v>0</v>
      </c>
      <c r="BG771">
        <v>71</v>
      </c>
      <c r="BH771">
        <v>0</v>
      </c>
      <c r="BI771" s="1" t="s">
        <v>160</v>
      </c>
      <c r="BJ771" s="1" t="s">
        <v>2358</v>
      </c>
      <c r="BK771" s="1" t="s">
        <v>138</v>
      </c>
      <c r="BL771" s="1" t="s">
        <v>1092</v>
      </c>
      <c r="BM771" s="1" t="s">
        <v>138</v>
      </c>
      <c r="BN771">
        <v>3.8</v>
      </c>
      <c r="BO771">
        <v>3</v>
      </c>
      <c r="BP771" s="1" t="s">
        <v>431</v>
      </c>
      <c r="BQ771">
        <v>0</v>
      </c>
      <c r="BR771">
        <v>0</v>
      </c>
      <c r="BS771">
        <v>0</v>
      </c>
      <c r="BT771">
        <v>0.4</v>
      </c>
      <c r="BU771" s="1" t="s">
        <v>128</v>
      </c>
      <c r="BV771" s="1" t="s">
        <v>238</v>
      </c>
      <c r="BW771" s="1" t="s">
        <v>129</v>
      </c>
      <c r="BX771" s="1" t="s">
        <v>129</v>
      </c>
      <c r="BY771" s="1" t="s">
        <v>128</v>
      </c>
      <c r="BZ771">
        <v>0.6</v>
      </c>
      <c r="CA771">
        <v>0.27</v>
      </c>
      <c r="CB771">
        <v>0.27</v>
      </c>
      <c r="CC771">
        <v>0.21</v>
      </c>
      <c r="CD771">
        <v>0.21</v>
      </c>
      <c r="CE771">
        <v>0.19</v>
      </c>
      <c r="CF771">
        <v>0.19</v>
      </c>
      <c r="CG771">
        <v>3</v>
      </c>
      <c r="CH771" s="1" t="s">
        <v>416</v>
      </c>
      <c r="CI771" s="1" t="s">
        <v>129</v>
      </c>
      <c r="CJ771">
        <v>2.2000000000000002</v>
      </c>
      <c r="CK771">
        <v>2</v>
      </c>
      <c r="CL771" s="1" t="s">
        <v>255</v>
      </c>
      <c r="CM771">
        <v>68</v>
      </c>
      <c r="CN771" s="1" t="s">
        <v>3733</v>
      </c>
      <c r="CO771">
        <v>74</v>
      </c>
      <c r="CP771">
        <v>75.599999999999994</v>
      </c>
      <c r="CQ771" s="1" t="s">
        <v>7699</v>
      </c>
      <c r="CR771" s="1" t="s">
        <v>7700</v>
      </c>
      <c r="CS771" s="1" t="s">
        <v>2460</v>
      </c>
      <c r="CT771">
        <v>1567.6</v>
      </c>
      <c r="CU771" s="1" t="s">
        <v>7601</v>
      </c>
      <c r="CV771" s="1" t="s">
        <v>4631</v>
      </c>
      <c r="CW771">
        <v>62.4</v>
      </c>
      <c r="CX771">
        <v>58.8</v>
      </c>
      <c r="CY771">
        <v>53</v>
      </c>
      <c r="CZ771" s="1" t="s">
        <v>576</v>
      </c>
      <c r="DA771">
        <v>1</v>
      </c>
      <c r="DB771" t="s">
        <v>1563</v>
      </c>
      <c r="DC771">
        <v>27</v>
      </c>
      <c r="DD771" s="1" t="s">
        <v>7701</v>
      </c>
      <c r="DE771">
        <v>-44.531047196261802</v>
      </c>
      <c r="DF771" t="str">
        <f>_xlfn.XLOOKUP(Table1[[#This Row],[Player ID]],Table2[feed_id],Table2[trade_status])</f>
        <v>free_agent</v>
      </c>
      <c r="DG771">
        <f>_xlfn.NUMBERVALUE(Table1[[#This Row],[predicted]])</f>
        <v>71.531047196261795</v>
      </c>
    </row>
    <row r="772" spans="1:111" x14ac:dyDescent="0.25">
      <c r="A772">
        <v>132622</v>
      </c>
      <c r="B772">
        <v>9238</v>
      </c>
      <c r="C772" t="s">
        <v>6865</v>
      </c>
      <c r="D772" t="s">
        <v>3116</v>
      </c>
      <c r="E772">
        <v>2025</v>
      </c>
      <c r="F772">
        <v>1013409</v>
      </c>
      <c r="G772" t="s">
        <v>617</v>
      </c>
      <c r="H772" t="s">
        <v>5512</v>
      </c>
      <c r="I772" t="s">
        <v>338</v>
      </c>
      <c r="J772">
        <v>12</v>
      </c>
      <c r="K772">
        <v>48</v>
      </c>
      <c r="L772">
        <v>52</v>
      </c>
      <c r="M772">
        <v>39</v>
      </c>
      <c r="N772">
        <v>40</v>
      </c>
      <c r="O772">
        <v>63</v>
      </c>
      <c r="P772">
        <v>6</v>
      </c>
      <c r="Q772">
        <v>10</v>
      </c>
      <c r="R772">
        <v>1</v>
      </c>
      <c r="S772">
        <v>4</v>
      </c>
      <c r="T772">
        <v>0</v>
      </c>
      <c r="U772">
        <v>0</v>
      </c>
      <c r="V772">
        <v>3</v>
      </c>
      <c r="W772">
        <v>0</v>
      </c>
      <c r="X772">
        <v>0</v>
      </c>
      <c r="Y772" t="s">
        <v>113</v>
      </c>
      <c r="Z772" t="s">
        <v>5909</v>
      </c>
      <c r="AA772" t="s">
        <v>7028</v>
      </c>
      <c r="AH772" t="s">
        <v>118</v>
      </c>
      <c r="AI772">
        <v>17</v>
      </c>
      <c r="AJ772">
        <v>0</v>
      </c>
      <c r="AK772">
        <v>0</v>
      </c>
      <c r="AL772">
        <v>0</v>
      </c>
      <c r="AM772">
        <v>20.059999999999999</v>
      </c>
      <c r="AN772">
        <v>21.07</v>
      </c>
      <c r="AO772">
        <v>14.05</v>
      </c>
      <c r="AS772">
        <v>9</v>
      </c>
      <c r="AT772">
        <v>4</v>
      </c>
      <c r="AU772">
        <v>5</v>
      </c>
      <c r="AV772">
        <v>68</v>
      </c>
      <c r="AW772">
        <v>80</v>
      </c>
      <c r="AX772">
        <v>156</v>
      </c>
      <c r="AY772">
        <v>0</v>
      </c>
      <c r="AZ772" t="b">
        <v>0</v>
      </c>
      <c r="BA772">
        <v>1741</v>
      </c>
      <c r="BB772">
        <v>1546</v>
      </c>
      <c r="BC772">
        <v>6</v>
      </c>
      <c r="BD772" t="s">
        <v>6968</v>
      </c>
      <c r="BE772" s="1" t="s">
        <v>3594</v>
      </c>
      <c r="BF772">
        <v>0</v>
      </c>
      <c r="BG772">
        <v>71</v>
      </c>
      <c r="BH772">
        <v>0</v>
      </c>
      <c r="BI772">
        <v>7</v>
      </c>
      <c r="BJ772">
        <v>6.8</v>
      </c>
      <c r="BK772" s="1" t="s">
        <v>276</v>
      </c>
      <c r="BL772">
        <v>8</v>
      </c>
      <c r="BM772" s="1" t="s">
        <v>159</v>
      </c>
      <c r="BN772" s="1" t="s">
        <v>140</v>
      </c>
      <c r="BO772">
        <v>3</v>
      </c>
      <c r="BP772" s="1" t="s">
        <v>321</v>
      </c>
      <c r="BQ772">
        <v>0</v>
      </c>
      <c r="BR772">
        <v>0</v>
      </c>
      <c r="BS772" s="1" t="s">
        <v>129</v>
      </c>
      <c r="BT772" s="1" t="s">
        <v>238</v>
      </c>
      <c r="BU772" s="1" t="s">
        <v>126</v>
      </c>
      <c r="BV772" s="1" t="s">
        <v>127</v>
      </c>
      <c r="BW772">
        <v>0</v>
      </c>
      <c r="BX772" s="1" t="s">
        <v>213</v>
      </c>
      <c r="BY772" s="1" t="s">
        <v>129</v>
      </c>
      <c r="BZ772" s="1" t="s">
        <v>213</v>
      </c>
      <c r="CA772">
        <v>20.059999999999999</v>
      </c>
      <c r="CB772">
        <v>20.059999999999999</v>
      </c>
      <c r="CC772">
        <v>21.07</v>
      </c>
      <c r="CD772">
        <v>21.07</v>
      </c>
      <c r="CE772">
        <v>14.05</v>
      </c>
      <c r="CF772">
        <v>14.05</v>
      </c>
      <c r="CG772" s="1" t="s">
        <v>157</v>
      </c>
      <c r="CH772" s="1" t="s">
        <v>1092</v>
      </c>
      <c r="CI772" s="1" t="s">
        <v>124</v>
      </c>
      <c r="CJ772" s="1" t="s">
        <v>159</v>
      </c>
      <c r="CK772" s="1" t="s">
        <v>211</v>
      </c>
      <c r="CL772">
        <v>2.4</v>
      </c>
      <c r="CM772" s="1" t="s">
        <v>1176</v>
      </c>
      <c r="CN772" s="1" t="s">
        <v>3365</v>
      </c>
      <c r="CO772">
        <v>85</v>
      </c>
      <c r="CP772" s="1" t="s">
        <v>3408</v>
      </c>
      <c r="CQ772" s="1" t="s">
        <v>5074</v>
      </c>
      <c r="CR772" s="1" t="s">
        <v>4360</v>
      </c>
      <c r="CS772" s="1" t="s">
        <v>6970</v>
      </c>
      <c r="CT772" s="1" t="s">
        <v>4868</v>
      </c>
      <c r="CU772">
        <v>1683</v>
      </c>
      <c r="CV772" s="1" t="s">
        <v>5588</v>
      </c>
      <c r="CW772">
        <v>61</v>
      </c>
      <c r="CX772">
        <v>60.6</v>
      </c>
      <c r="CY772">
        <v>64.2</v>
      </c>
      <c r="CZ772">
        <v>63</v>
      </c>
      <c r="DA772">
        <v>1</v>
      </c>
      <c r="DB772" t="s">
        <v>5909</v>
      </c>
      <c r="DC772">
        <v>52</v>
      </c>
      <c r="DD772" s="1" t="s">
        <v>7029</v>
      </c>
      <c r="DE772">
        <v>-19.049664335418399</v>
      </c>
      <c r="DF772" t="str">
        <f>_xlfn.XLOOKUP(Table1[[#This Row],[Player ID]],Table2[feed_id],Table2[trade_status])</f>
        <v>free_agent</v>
      </c>
      <c r="DG772">
        <f>_xlfn.NUMBERVALUE(Table1[[#This Row],[predicted]])</f>
        <v>71.049664335418399</v>
      </c>
    </row>
    <row r="773" spans="1:111" x14ac:dyDescent="0.25">
      <c r="A773">
        <v>132577</v>
      </c>
      <c r="B773">
        <v>9237</v>
      </c>
      <c r="C773" t="s">
        <v>6650</v>
      </c>
      <c r="D773" t="s">
        <v>3116</v>
      </c>
      <c r="E773">
        <v>2025</v>
      </c>
      <c r="F773">
        <v>1024982</v>
      </c>
      <c r="G773" t="s">
        <v>6852</v>
      </c>
      <c r="H773" t="s">
        <v>6853</v>
      </c>
      <c r="I773" t="s">
        <v>1061</v>
      </c>
      <c r="J773">
        <v>3</v>
      </c>
      <c r="K773">
        <v>34</v>
      </c>
      <c r="L773">
        <v>26</v>
      </c>
      <c r="M773">
        <v>23</v>
      </c>
      <c r="N773">
        <v>29</v>
      </c>
      <c r="O773">
        <v>36</v>
      </c>
      <c r="P773">
        <v>5</v>
      </c>
      <c r="Q773">
        <v>3</v>
      </c>
      <c r="R773">
        <v>4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 t="s">
        <v>113</v>
      </c>
      <c r="Z773" t="s">
        <v>226</v>
      </c>
      <c r="AA773" t="s">
        <v>6854</v>
      </c>
      <c r="AB773" t="s">
        <v>116</v>
      </c>
      <c r="AC773" t="s">
        <v>3427</v>
      </c>
      <c r="AH773" t="s">
        <v>181</v>
      </c>
      <c r="AI773">
        <v>34</v>
      </c>
      <c r="AJ773">
        <v>0</v>
      </c>
      <c r="AK773">
        <v>0</v>
      </c>
      <c r="AL773">
        <v>0</v>
      </c>
      <c r="AM773">
        <v>0.66</v>
      </c>
      <c r="AN773">
        <v>1.04</v>
      </c>
      <c r="AO773">
        <v>2.4300000000000002</v>
      </c>
      <c r="AS773">
        <v>3</v>
      </c>
      <c r="AT773">
        <v>0</v>
      </c>
      <c r="AU773">
        <v>3</v>
      </c>
      <c r="AV773">
        <v>75</v>
      </c>
      <c r="AW773">
        <v>73</v>
      </c>
      <c r="AX773">
        <v>61</v>
      </c>
      <c r="AY773">
        <v>1</v>
      </c>
      <c r="AZ773" t="b">
        <v>1</v>
      </c>
      <c r="BA773">
        <v>1646</v>
      </c>
      <c r="BB773">
        <v>1632</v>
      </c>
      <c r="BC773">
        <v>6</v>
      </c>
      <c r="BD773" t="s">
        <v>6772</v>
      </c>
      <c r="BE773" s="1" t="s">
        <v>3594</v>
      </c>
      <c r="BF773">
        <v>0</v>
      </c>
      <c r="BG773">
        <v>71</v>
      </c>
      <c r="BH773">
        <v>0</v>
      </c>
      <c r="BI773" s="1" t="s">
        <v>397</v>
      </c>
      <c r="BJ773" s="1" t="s">
        <v>449</v>
      </c>
      <c r="BK773">
        <v>4</v>
      </c>
      <c r="BL773" s="1" t="s">
        <v>565</v>
      </c>
      <c r="BM773">
        <v>4</v>
      </c>
      <c r="BN773">
        <v>2.4</v>
      </c>
      <c r="BO773" s="1" t="s">
        <v>161</v>
      </c>
      <c r="BP773" s="1" t="s">
        <v>373</v>
      </c>
      <c r="BQ773">
        <v>0</v>
      </c>
      <c r="BR773">
        <v>0</v>
      </c>
      <c r="BS773">
        <v>1</v>
      </c>
      <c r="BT773" s="1" t="s">
        <v>128</v>
      </c>
      <c r="BU773" s="1" t="s">
        <v>128</v>
      </c>
      <c r="BV773">
        <v>0.6</v>
      </c>
      <c r="BW773">
        <v>0</v>
      </c>
      <c r="BX773">
        <v>0</v>
      </c>
      <c r="BY773">
        <v>0</v>
      </c>
      <c r="BZ773">
        <v>6.6666666666666596E-2</v>
      </c>
      <c r="CA773">
        <v>0.66</v>
      </c>
      <c r="CB773">
        <v>0.66</v>
      </c>
      <c r="CC773">
        <v>1.04</v>
      </c>
      <c r="CD773">
        <v>1.04</v>
      </c>
      <c r="CE773">
        <v>2.4300000000000002</v>
      </c>
      <c r="CF773">
        <v>2.4300000000000002</v>
      </c>
      <c r="CG773" s="1" t="s">
        <v>125</v>
      </c>
      <c r="CH773" s="1" t="s">
        <v>230</v>
      </c>
      <c r="CI773" s="1" t="s">
        <v>129</v>
      </c>
      <c r="CJ773" s="1" t="s">
        <v>238</v>
      </c>
      <c r="CK773">
        <v>3</v>
      </c>
      <c r="CL773">
        <v>2</v>
      </c>
      <c r="CM773" s="1" t="s">
        <v>483</v>
      </c>
      <c r="CN773">
        <v>66.599999999999994</v>
      </c>
      <c r="CO773" s="1" t="s">
        <v>755</v>
      </c>
      <c r="CP773">
        <v>77.599999999999994</v>
      </c>
      <c r="CQ773" s="1" t="s">
        <v>3004</v>
      </c>
      <c r="CR773" s="1" t="s">
        <v>6855</v>
      </c>
      <c r="CS773" s="1" t="s">
        <v>4075</v>
      </c>
      <c r="CT773">
        <v>1620.4</v>
      </c>
      <c r="CU773" s="1" t="s">
        <v>4024</v>
      </c>
      <c r="CV773" s="1" t="s">
        <v>6856</v>
      </c>
      <c r="CW773">
        <v>39.950000000000003</v>
      </c>
      <c r="CX773">
        <v>41.3</v>
      </c>
      <c r="CY773">
        <v>42.6</v>
      </c>
      <c r="CZ773">
        <v>39</v>
      </c>
      <c r="DA773">
        <v>1</v>
      </c>
      <c r="DB773" t="s">
        <v>226</v>
      </c>
      <c r="DC773">
        <v>26</v>
      </c>
      <c r="DD773" s="1" t="s">
        <v>6857</v>
      </c>
      <c r="DE773">
        <v>-44.939264192640699</v>
      </c>
      <c r="DF773" t="str">
        <f>_xlfn.XLOOKUP(Table1[[#This Row],[Player ID]],Table2[feed_id],Table2[trade_status])</f>
        <v>free_agent</v>
      </c>
      <c r="DG773">
        <f>_xlfn.NUMBERVALUE(Table1[[#This Row],[predicted]])</f>
        <v>70.939264192640707</v>
      </c>
    </row>
    <row r="774" spans="1:111" x14ac:dyDescent="0.25">
      <c r="A774">
        <v>132634</v>
      </c>
      <c r="B774">
        <v>9239</v>
      </c>
      <c r="C774" t="s">
        <v>7040</v>
      </c>
      <c r="D774" t="s">
        <v>3116</v>
      </c>
      <c r="E774">
        <v>2025</v>
      </c>
      <c r="F774">
        <v>993816</v>
      </c>
      <c r="G774" t="s">
        <v>3105</v>
      </c>
      <c r="H774" t="s">
        <v>7090</v>
      </c>
      <c r="I774" t="s">
        <v>813</v>
      </c>
      <c r="J774">
        <v>9</v>
      </c>
      <c r="K774">
        <v>68</v>
      </c>
      <c r="L774">
        <v>55</v>
      </c>
      <c r="M774">
        <v>83</v>
      </c>
      <c r="N774">
        <v>57</v>
      </c>
      <c r="O774">
        <v>75</v>
      </c>
      <c r="P774">
        <v>11</v>
      </c>
      <c r="Q774">
        <v>10</v>
      </c>
      <c r="R774">
        <v>4</v>
      </c>
      <c r="S774">
        <v>0</v>
      </c>
      <c r="T774">
        <v>0</v>
      </c>
      <c r="U774">
        <v>3</v>
      </c>
      <c r="V774">
        <v>0</v>
      </c>
      <c r="W774">
        <v>0</v>
      </c>
      <c r="X774">
        <v>0</v>
      </c>
      <c r="Y774" t="s">
        <v>113</v>
      </c>
      <c r="Z774" t="s">
        <v>525</v>
      </c>
      <c r="AA774" t="s">
        <v>7091</v>
      </c>
      <c r="AE774">
        <v>0</v>
      </c>
      <c r="AH774" t="s">
        <v>118</v>
      </c>
      <c r="AI774">
        <v>13</v>
      </c>
      <c r="AJ774">
        <v>16</v>
      </c>
      <c r="AK774">
        <v>61</v>
      </c>
      <c r="AL774">
        <v>0</v>
      </c>
      <c r="AM774">
        <v>0</v>
      </c>
      <c r="AN774">
        <v>7.0000000000000007E-2</v>
      </c>
      <c r="AO774">
        <v>0.1</v>
      </c>
      <c r="AS774">
        <v>6</v>
      </c>
      <c r="AT774">
        <v>0</v>
      </c>
      <c r="AU774">
        <v>0</v>
      </c>
      <c r="AV774">
        <v>81</v>
      </c>
      <c r="AW774">
        <v>85</v>
      </c>
      <c r="AX774">
        <v>102</v>
      </c>
      <c r="AY774">
        <v>0</v>
      </c>
      <c r="AZ774" t="b">
        <v>0</v>
      </c>
      <c r="BA774">
        <v>1678</v>
      </c>
      <c r="BB774">
        <v>1592</v>
      </c>
      <c r="BC774">
        <v>6</v>
      </c>
      <c r="BD774" t="s">
        <v>7044</v>
      </c>
      <c r="BE774" s="1" t="s">
        <v>3594</v>
      </c>
      <c r="BF774">
        <v>0</v>
      </c>
      <c r="BG774">
        <v>71</v>
      </c>
      <c r="BH774">
        <v>0</v>
      </c>
      <c r="BI774">
        <v>12</v>
      </c>
      <c r="BJ774" s="1" t="s">
        <v>1366</v>
      </c>
      <c r="BK774">
        <v>8</v>
      </c>
      <c r="BL774">
        <v>7.6</v>
      </c>
      <c r="BM774" s="1" t="s">
        <v>449</v>
      </c>
      <c r="BN774" s="1" t="s">
        <v>230</v>
      </c>
      <c r="BO774" s="1" t="s">
        <v>126</v>
      </c>
      <c r="BP774" s="1" t="s">
        <v>159</v>
      </c>
      <c r="BQ774">
        <v>0</v>
      </c>
      <c r="BR774">
        <v>0</v>
      </c>
      <c r="BS774" s="1" t="s">
        <v>161</v>
      </c>
      <c r="BT774" s="1" t="s">
        <v>130</v>
      </c>
      <c r="BU774" s="1" t="s">
        <v>129</v>
      </c>
      <c r="BV774">
        <v>0.4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7.0000000000000007E-2</v>
      </c>
      <c r="CD774">
        <v>7.0000000000000007E-2</v>
      </c>
      <c r="CE774">
        <v>0.1</v>
      </c>
      <c r="CF774">
        <v>0.1</v>
      </c>
      <c r="CG774" s="1" t="s">
        <v>138</v>
      </c>
      <c r="CH774" s="1" t="s">
        <v>125</v>
      </c>
      <c r="CI774" s="1" t="s">
        <v>129</v>
      </c>
      <c r="CJ774" s="1" t="s">
        <v>238</v>
      </c>
      <c r="CK774" s="1" t="s">
        <v>126</v>
      </c>
      <c r="CL774" s="1" t="s">
        <v>275</v>
      </c>
      <c r="CM774" s="1" t="s">
        <v>1273</v>
      </c>
      <c r="CN774" s="1" t="s">
        <v>789</v>
      </c>
      <c r="CO774">
        <v>82</v>
      </c>
      <c r="CP774" s="1" t="s">
        <v>2600</v>
      </c>
      <c r="CQ774">
        <v>227</v>
      </c>
      <c r="CR774" s="1" t="s">
        <v>7092</v>
      </c>
      <c r="CS774" s="1" t="s">
        <v>2903</v>
      </c>
      <c r="CT774" s="1" t="s">
        <v>6115</v>
      </c>
      <c r="CU774">
        <v>1674</v>
      </c>
      <c r="CV774">
        <v>1646.8</v>
      </c>
      <c r="CW774">
        <v>69.55</v>
      </c>
      <c r="CX774">
        <v>59.9</v>
      </c>
      <c r="CY774">
        <v>61.4</v>
      </c>
      <c r="CZ774">
        <v>72</v>
      </c>
      <c r="DA774">
        <v>1</v>
      </c>
      <c r="DB774" t="s">
        <v>525</v>
      </c>
      <c r="DC774">
        <v>55</v>
      </c>
      <c r="DD774" s="1" t="s">
        <v>7093</v>
      </c>
      <c r="DE774">
        <v>-15.759764761019399</v>
      </c>
      <c r="DF774" t="str">
        <f>_xlfn.XLOOKUP(Table1[[#This Row],[Player ID]],Table2[feed_id],Table2[trade_status])</f>
        <v>free_agent</v>
      </c>
      <c r="DG774">
        <f>_xlfn.NUMBERVALUE(Table1[[#This Row],[predicted]])</f>
        <v>70.759764761019397</v>
      </c>
    </row>
    <row r="775" spans="1:111" hidden="1" x14ac:dyDescent="0.25">
      <c r="A775">
        <v>132649</v>
      </c>
      <c r="B775">
        <v>9239</v>
      </c>
      <c r="C775" t="s">
        <v>7040</v>
      </c>
      <c r="D775" t="s">
        <v>3116</v>
      </c>
      <c r="E775">
        <v>2025</v>
      </c>
      <c r="F775">
        <v>1009208</v>
      </c>
      <c r="G775" t="s">
        <v>889</v>
      </c>
      <c r="H775" t="s">
        <v>7143</v>
      </c>
      <c r="I775" t="s">
        <v>524</v>
      </c>
      <c r="J775">
        <v>30</v>
      </c>
      <c r="K775">
        <v>99</v>
      </c>
      <c r="L775">
        <v>126</v>
      </c>
      <c r="M775">
        <v>78</v>
      </c>
      <c r="N775">
        <v>77</v>
      </c>
      <c r="O775">
        <v>109</v>
      </c>
      <c r="P775">
        <v>12</v>
      </c>
      <c r="Q775">
        <v>14</v>
      </c>
      <c r="R775">
        <v>1</v>
      </c>
      <c r="S775">
        <v>7</v>
      </c>
      <c r="T775">
        <v>0</v>
      </c>
      <c r="U775">
        <v>3</v>
      </c>
      <c r="V775">
        <v>2</v>
      </c>
      <c r="W775">
        <v>1</v>
      </c>
      <c r="X775">
        <v>1</v>
      </c>
      <c r="Y775" t="s">
        <v>113</v>
      </c>
      <c r="Z775" t="s">
        <v>6775</v>
      </c>
      <c r="AA775" t="s">
        <v>7144</v>
      </c>
      <c r="AB775" t="s">
        <v>877</v>
      </c>
      <c r="AC775" t="s">
        <v>4993</v>
      </c>
      <c r="AI775">
        <v>18</v>
      </c>
      <c r="AJ775">
        <v>0</v>
      </c>
      <c r="AK775">
        <v>0</v>
      </c>
      <c r="AL775">
        <v>0</v>
      </c>
      <c r="AM775">
        <v>2.13</v>
      </c>
      <c r="AN775">
        <v>1.73</v>
      </c>
      <c r="AO775">
        <v>1.08</v>
      </c>
      <c r="AS775">
        <v>15</v>
      </c>
      <c r="AT775">
        <v>11</v>
      </c>
      <c r="AU775">
        <v>4</v>
      </c>
      <c r="AV775">
        <v>80</v>
      </c>
      <c r="AW775">
        <v>81</v>
      </c>
      <c r="AX775">
        <v>442</v>
      </c>
      <c r="AY775">
        <v>1</v>
      </c>
      <c r="AZ775" t="b">
        <v>0</v>
      </c>
      <c r="BA775">
        <v>1592</v>
      </c>
      <c r="BB775">
        <v>1678</v>
      </c>
      <c r="BC775">
        <v>6</v>
      </c>
      <c r="BD775" t="s">
        <v>7138</v>
      </c>
      <c r="BE775" s="1" t="s">
        <v>3594</v>
      </c>
      <c r="BF775">
        <v>1</v>
      </c>
      <c r="BG775">
        <v>71</v>
      </c>
      <c r="BH775">
        <v>1</v>
      </c>
      <c r="BI775">
        <v>13</v>
      </c>
      <c r="BJ775">
        <v>11</v>
      </c>
      <c r="BK775" s="1" t="s">
        <v>121</v>
      </c>
      <c r="BL775" s="1" t="s">
        <v>1816</v>
      </c>
      <c r="BM775" s="1" t="s">
        <v>169</v>
      </c>
      <c r="BN775" s="1" t="s">
        <v>566</v>
      </c>
      <c r="BO775" s="1" t="s">
        <v>253</v>
      </c>
      <c r="BP775" s="1" t="s">
        <v>398</v>
      </c>
      <c r="BQ775">
        <v>0</v>
      </c>
      <c r="BR775">
        <v>0</v>
      </c>
      <c r="BS775">
        <v>2</v>
      </c>
      <c r="BT775">
        <v>2</v>
      </c>
      <c r="BU775" s="1" t="s">
        <v>159</v>
      </c>
      <c r="BV775">
        <v>1.6</v>
      </c>
      <c r="BW775" s="1" t="s">
        <v>129</v>
      </c>
      <c r="BX775">
        <v>0.2</v>
      </c>
      <c r="BY775" s="1" t="s">
        <v>128</v>
      </c>
      <c r="BZ775" s="1" t="s">
        <v>184</v>
      </c>
      <c r="CA775">
        <v>2.13</v>
      </c>
      <c r="CB775">
        <v>2.13</v>
      </c>
      <c r="CC775">
        <v>1.73</v>
      </c>
      <c r="CD775">
        <v>1.73</v>
      </c>
      <c r="CE775">
        <v>1.08</v>
      </c>
      <c r="CF775">
        <v>1.08</v>
      </c>
      <c r="CG775" s="1" t="s">
        <v>622</v>
      </c>
      <c r="CH775">
        <v>13.6</v>
      </c>
      <c r="CI775" s="1" t="s">
        <v>294</v>
      </c>
      <c r="CJ775" s="1" t="s">
        <v>448</v>
      </c>
      <c r="CK775">
        <v>6</v>
      </c>
      <c r="CL775" s="1" t="s">
        <v>752</v>
      </c>
      <c r="CM775">
        <v>71</v>
      </c>
      <c r="CN775" s="1" t="s">
        <v>6743</v>
      </c>
      <c r="CO775">
        <v>83</v>
      </c>
      <c r="CP775">
        <v>81</v>
      </c>
      <c r="CQ775" s="1" t="s">
        <v>7145</v>
      </c>
      <c r="CR775">
        <v>335.2</v>
      </c>
      <c r="CS775" s="1" t="s">
        <v>806</v>
      </c>
      <c r="CT775">
        <v>1616</v>
      </c>
      <c r="CU775">
        <v>1593</v>
      </c>
      <c r="CV775" s="1" t="s">
        <v>7146</v>
      </c>
      <c r="CW775">
        <v>95.25</v>
      </c>
      <c r="CX775">
        <v>103.7</v>
      </c>
      <c r="CY775">
        <v>117.2</v>
      </c>
      <c r="CZ775">
        <v>112</v>
      </c>
      <c r="DA775">
        <v>1</v>
      </c>
      <c r="DB775" t="s">
        <v>6775</v>
      </c>
      <c r="DC775">
        <v>126</v>
      </c>
      <c r="DD775">
        <v>96.133977245181399</v>
      </c>
      <c r="DE775">
        <v>29.866022754818601</v>
      </c>
      <c r="DF775" t="e">
        <f>_xlfn.XLOOKUP(Table1[[#This Row],[Player ID]],Table2[feed_id],Table2[trade_status])</f>
        <v>#N/A</v>
      </c>
      <c r="DG775">
        <f>_xlfn.NUMBERVALUE(Table1[[#This Row],[predicted]])</f>
        <v>96.133977245181399</v>
      </c>
    </row>
    <row r="776" spans="1:111" hidden="1" x14ac:dyDescent="0.25">
      <c r="A776">
        <v>132650</v>
      </c>
      <c r="B776">
        <v>9239</v>
      </c>
      <c r="C776" t="s">
        <v>7040</v>
      </c>
      <c r="D776" t="s">
        <v>3116</v>
      </c>
      <c r="E776">
        <v>2025</v>
      </c>
      <c r="F776">
        <v>1000072</v>
      </c>
      <c r="G776" t="s">
        <v>7147</v>
      </c>
      <c r="H776" t="s">
        <v>7148</v>
      </c>
      <c r="I776" t="s">
        <v>524</v>
      </c>
      <c r="J776">
        <v>24</v>
      </c>
      <c r="K776">
        <v>98</v>
      </c>
      <c r="L776">
        <v>100</v>
      </c>
      <c r="M776">
        <v>37</v>
      </c>
      <c r="N776">
        <v>79</v>
      </c>
      <c r="O776">
        <v>111</v>
      </c>
      <c r="P776">
        <v>23</v>
      </c>
      <c r="Q776">
        <v>5</v>
      </c>
      <c r="R776">
        <v>6</v>
      </c>
      <c r="S776">
        <v>1</v>
      </c>
      <c r="T776">
        <v>0</v>
      </c>
      <c r="U776">
        <v>0</v>
      </c>
      <c r="V776">
        <v>3</v>
      </c>
      <c r="W776">
        <v>1</v>
      </c>
      <c r="X776">
        <v>0</v>
      </c>
      <c r="Y776" t="s">
        <v>113</v>
      </c>
      <c r="Z776" t="s">
        <v>778</v>
      </c>
      <c r="AA776" t="s">
        <v>7149</v>
      </c>
      <c r="AB776" t="s">
        <v>226</v>
      </c>
      <c r="AC776" t="s">
        <v>7150</v>
      </c>
      <c r="AH776" t="s">
        <v>181</v>
      </c>
      <c r="AI776">
        <v>2</v>
      </c>
      <c r="AJ776">
        <v>0</v>
      </c>
      <c r="AK776">
        <v>0</v>
      </c>
      <c r="AL776">
        <v>0</v>
      </c>
      <c r="AM776">
        <v>0.18</v>
      </c>
      <c r="AN776">
        <v>0.1</v>
      </c>
      <c r="AO776">
        <v>0.44</v>
      </c>
      <c r="AS776">
        <v>5</v>
      </c>
      <c r="AT776">
        <v>0</v>
      </c>
      <c r="AU776">
        <v>7</v>
      </c>
      <c r="AV776">
        <v>71</v>
      </c>
      <c r="AW776">
        <v>84</v>
      </c>
      <c r="AX776">
        <v>712</v>
      </c>
      <c r="AY776">
        <v>0</v>
      </c>
      <c r="AZ776" t="b">
        <v>1</v>
      </c>
      <c r="BA776">
        <v>1592</v>
      </c>
      <c r="BB776">
        <v>1678</v>
      </c>
      <c r="BC776">
        <v>6</v>
      </c>
      <c r="BD776" t="s">
        <v>7138</v>
      </c>
      <c r="BE776" s="1" t="s">
        <v>3594</v>
      </c>
      <c r="BF776">
        <v>1</v>
      </c>
      <c r="BG776">
        <v>71</v>
      </c>
      <c r="BH776">
        <v>1</v>
      </c>
      <c r="BI776">
        <v>19</v>
      </c>
      <c r="BJ776" s="1" t="s">
        <v>1829</v>
      </c>
      <c r="BK776" s="1" t="s">
        <v>204</v>
      </c>
      <c r="BL776" s="1" t="s">
        <v>204</v>
      </c>
      <c r="BM776">
        <v>6</v>
      </c>
      <c r="BN776" s="1" t="s">
        <v>212</v>
      </c>
      <c r="BO776">
        <v>3</v>
      </c>
      <c r="BP776" s="1" t="s">
        <v>140</v>
      </c>
      <c r="BQ776">
        <v>0</v>
      </c>
      <c r="BR776">
        <v>0</v>
      </c>
      <c r="BS776" s="1" t="s">
        <v>129</v>
      </c>
      <c r="BT776" s="1" t="s">
        <v>128</v>
      </c>
      <c r="BU776">
        <v>2</v>
      </c>
      <c r="BV776" s="1" t="s">
        <v>238</v>
      </c>
      <c r="BW776" s="1" t="s">
        <v>128</v>
      </c>
      <c r="BX776" s="1" t="s">
        <v>213</v>
      </c>
      <c r="BY776" s="1" t="s">
        <v>129</v>
      </c>
      <c r="BZ776">
        <v>6.6666666666666596E-2</v>
      </c>
      <c r="CA776">
        <v>0.18</v>
      </c>
      <c r="CB776">
        <v>0.18</v>
      </c>
      <c r="CC776">
        <v>0.1</v>
      </c>
      <c r="CD776">
        <v>0.1</v>
      </c>
      <c r="CE776">
        <v>0.44</v>
      </c>
      <c r="CF776">
        <v>0.44</v>
      </c>
      <c r="CG776" s="1" t="s">
        <v>160</v>
      </c>
      <c r="CH776">
        <v>3.6</v>
      </c>
      <c r="CI776" s="1" t="s">
        <v>128</v>
      </c>
      <c r="CJ776">
        <v>0.6</v>
      </c>
      <c r="CK776">
        <v>5</v>
      </c>
      <c r="CL776" s="1" t="s">
        <v>255</v>
      </c>
      <c r="CM776" s="1" t="s">
        <v>1406</v>
      </c>
      <c r="CN776">
        <v>77.599999999999994</v>
      </c>
      <c r="CO776" s="1" t="s">
        <v>1491</v>
      </c>
      <c r="CP776" s="1" t="s">
        <v>969</v>
      </c>
      <c r="CQ776">
        <v>530</v>
      </c>
      <c r="CR776" s="1" t="s">
        <v>7151</v>
      </c>
      <c r="CS776" s="1" t="s">
        <v>806</v>
      </c>
      <c r="CT776" s="1" t="s">
        <v>3259</v>
      </c>
      <c r="CU776">
        <v>1593</v>
      </c>
      <c r="CV776">
        <v>1643.8</v>
      </c>
      <c r="CW776">
        <v>82.45</v>
      </c>
      <c r="CX776">
        <v>79.400000000000006</v>
      </c>
      <c r="CY776">
        <v>91.6</v>
      </c>
      <c r="CZ776" s="1" t="s">
        <v>645</v>
      </c>
      <c r="DA776">
        <v>1</v>
      </c>
      <c r="DB776" t="s">
        <v>778</v>
      </c>
      <c r="DC776">
        <v>100</v>
      </c>
      <c r="DD776" s="1" t="s">
        <v>7152</v>
      </c>
      <c r="DE776" s="1" t="s">
        <v>7153</v>
      </c>
      <c r="DF776" t="e">
        <f>_xlfn.XLOOKUP(Table1[[#This Row],[Player ID]],Table2[feed_id],Table2[trade_status])</f>
        <v>#N/A</v>
      </c>
      <c r="DG776">
        <f>_xlfn.NUMBERVALUE(Table1[[#This Row],[predicted]])</f>
        <v>95.346947712123495</v>
      </c>
    </row>
    <row r="777" spans="1:111" hidden="1" x14ac:dyDescent="0.25">
      <c r="A777">
        <v>132651</v>
      </c>
      <c r="B777">
        <v>9239</v>
      </c>
      <c r="C777" t="s">
        <v>7040</v>
      </c>
      <c r="D777" t="s">
        <v>3116</v>
      </c>
      <c r="E777">
        <v>2025</v>
      </c>
      <c r="F777">
        <v>298272</v>
      </c>
      <c r="G777" t="s">
        <v>7154</v>
      </c>
      <c r="H777" t="s">
        <v>7155</v>
      </c>
      <c r="I777" t="s">
        <v>524</v>
      </c>
      <c r="J777">
        <v>25</v>
      </c>
      <c r="K777">
        <v>97</v>
      </c>
      <c r="L777">
        <v>106</v>
      </c>
      <c r="M777">
        <v>78</v>
      </c>
      <c r="N777">
        <v>79</v>
      </c>
      <c r="O777">
        <v>109</v>
      </c>
      <c r="P777">
        <v>10</v>
      </c>
      <c r="Q777">
        <v>17</v>
      </c>
      <c r="R777">
        <v>3</v>
      </c>
      <c r="S777">
        <v>4</v>
      </c>
      <c r="T777">
        <v>0</v>
      </c>
      <c r="U777">
        <v>1</v>
      </c>
      <c r="V777">
        <v>0</v>
      </c>
      <c r="W777">
        <v>1</v>
      </c>
      <c r="X777">
        <v>1</v>
      </c>
      <c r="Y777" t="s">
        <v>113</v>
      </c>
      <c r="Z777" t="s">
        <v>5826</v>
      </c>
      <c r="AA777" t="s">
        <v>7156</v>
      </c>
      <c r="AE777">
        <v>0</v>
      </c>
      <c r="AH777" t="s">
        <v>118</v>
      </c>
      <c r="AI777">
        <v>11</v>
      </c>
      <c r="AJ777">
        <v>21</v>
      </c>
      <c r="AK777">
        <v>86</v>
      </c>
      <c r="AL777">
        <v>0</v>
      </c>
      <c r="AM777">
        <v>0</v>
      </c>
      <c r="AN777">
        <v>27.09</v>
      </c>
      <c r="AO777">
        <v>15.14</v>
      </c>
      <c r="AS777">
        <v>11</v>
      </c>
      <c r="AT777">
        <v>5</v>
      </c>
      <c r="AU777">
        <v>1</v>
      </c>
      <c r="AV777">
        <v>70</v>
      </c>
      <c r="AW777">
        <v>83</v>
      </c>
      <c r="AX777">
        <v>411</v>
      </c>
      <c r="AY777">
        <v>0</v>
      </c>
      <c r="AZ777" t="b">
        <v>0</v>
      </c>
      <c r="BA777">
        <v>1592</v>
      </c>
      <c r="BB777">
        <v>1678</v>
      </c>
      <c r="BC777">
        <v>6</v>
      </c>
      <c r="BD777" t="s">
        <v>7138</v>
      </c>
      <c r="BE777" s="1" t="s">
        <v>3594</v>
      </c>
      <c r="BF777">
        <v>1</v>
      </c>
      <c r="BG777">
        <v>71</v>
      </c>
      <c r="BH777">
        <v>1</v>
      </c>
      <c r="BI777" s="1" t="s">
        <v>356</v>
      </c>
      <c r="BJ777" s="1" t="s">
        <v>3207</v>
      </c>
      <c r="BK777" s="1" t="s">
        <v>121</v>
      </c>
      <c r="BL777" s="1" t="s">
        <v>5110</v>
      </c>
      <c r="BM777">
        <v>5</v>
      </c>
      <c r="BN777" s="1" t="s">
        <v>321</v>
      </c>
      <c r="BO777" s="1" t="s">
        <v>138</v>
      </c>
      <c r="BP777" s="1" t="s">
        <v>189</v>
      </c>
      <c r="BQ777">
        <v>0</v>
      </c>
      <c r="BR777">
        <v>0</v>
      </c>
      <c r="BS777" s="1" t="s">
        <v>161</v>
      </c>
      <c r="BT777">
        <v>1.4</v>
      </c>
      <c r="BU777" s="1" t="s">
        <v>128</v>
      </c>
      <c r="BV777" s="1" t="s">
        <v>127</v>
      </c>
      <c r="BW777" s="1" t="s">
        <v>161</v>
      </c>
      <c r="BX777" s="1" t="s">
        <v>128</v>
      </c>
      <c r="BY777" s="1" t="s">
        <v>128</v>
      </c>
      <c r="BZ777">
        <v>0.6</v>
      </c>
      <c r="CA777">
        <v>0</v>
      </c>
      <c r="CB777">
        <v>0</v>
      </c>
      <c r="CC777">
        <v>27.09</v>
      </c>
      <c r="CD777">
        <v>27.09</v>
      </c>
      <c r="CE777">
        <v>15.14</v>
      </c>
      <c r="CF777">
        <v>15.14</v>
      </c>
      <c r="CG777">
        <v>9</v>
      </c>
      <c r="CH777" s="1" t="s">
        <v>879</v>
      </c>
      <c r="CI777">
        <v>4</v>
      </c>
      <c r="CJ777" s="1" t="s">
        <v>565</v>
      </c>
      <c r="CK777" s="1" t="s">
        <v>126</v>
      </c>
      <c r="CL777" s="1" t="s">
        <v>990</v>
      </c>
      <c r="CM777">
        <v>80</v>
      </c>
      <c r="CN777">
        <v>70.8</v>
      </c>
      <c r="CO777" s="1" t="s">
        <v>406</v>
      </c>
      <c r="CP777" s="1" t="s">
        <v>1490</v>
      </c>
      <c r="CQ777" s="1" t="s">
        <v>7157</v>
      </c>
      <c r="CR777" s="1" t="s">
        <v>7158</v>
      </c>
      <c r="CS777" s="1" t="s">
        <v>806</v>
      </c>
      <c r="CT777" s="1" t="s">
        <v>7159</v>
      </c>
      <c r="CU777">
        <v>1593</v>
      </c>
      <c r="CV777">
        <v>1624.6</v>
      </c>
      <c r="CW777">
        <v>103.1</v>
      </c>
      <c r="CX777">
        <v>97.3</v>
      </c>
      <c r="CY777">
        <v>113.8</v>
      </c>
      <c r="CZ777" s="1" t="s">
        <v>7160</v>
      </c>
      <c r="DA777">
        <v>1</v>
      </c>
      <c r="DB777" t="s">
        <v>5826</v>
      </c>
      <c r="DC777">
        <v>106</v>
      </c>
      <c r="DD777" s="1" t="s">
        <v>7161</v>
      </c>
      <c r="DE777" s="1" t="s">
        <v>7162</v>
      </c>
      <c r="DF777" t="e">
        <f>_xlfn.XLOOKUP(Table1[[#This Row],[Player ID]],Table2[feed_id],Table2[trade_status])</f>
        <v>#N/A</v>
      </c>
      <c r="DG777">
        <f>_xlfn.NUMBERVALUE(Table1[[#This Row],[predicted]])</f>
        <v>102.301179541048</v>
      </c>
    </row>
    <row r="778" spans="1:111" hidden="1" x14ac:dyDescent="0.25">
      <c r="A778">
        <v>132652</v>
      </c>
      <c r="B778">
        <v>9239</v>
      </c>
      <c r="C778" t="s">
        <v>7040</v>
      </c>
      <c r="D778" t="s">
        <v>3116</v>
      </c>
      <c r="E778">
        <v>2025</v>
      </c>
      <c r="F778">
        <v>1009199</v>
      </c>
      <c r="G778" t="s">
        <v>5462</v>
      </c>
      <c r="H778" t="s">
        <v>4419</v>
      </c>
      <c r="I778" t="s">
        <v>524</v>
      </c>
      <c r="J778">
        <v>19</v>
      </c>
      <c r="K778">
        <v>94</v>
      </c>
      <c r="L778">
        <v>113</v>
      </c>
      <c r="M778">
        <v>57</v>
      </c>
      <c r="N778">
        <v>72</v>
      </c>
      <c r="O778">
        <v>103</v>
      </c>
      <c r="P778">
        <v>16</v>
      </c>
      <c r="Q778">
        <v>11</v>
      </c>
      <c r="R778">
        <v>3</v>
      </c>
      <c r="S778">
        <v>4</v>
      </c>
      <c r="T778">
        <v>0</v>
      </c>
      <c r="U778">
        <v>1</v>
      </c>
      <c r="V778">
        <v>1</v>
      </c>
      <c r="W778">
        <v>0</v>
      </c>
      <c r="X778">
        <v>1</v>
      </c>
      <c r="Y778" t="s">
        <v>113</v>
      </c>
      <c r="Z778" t="s">
        <v>877</v>
      </c>
      <c r="AA778" t="s">
        <v>7163</v>
      </c>
      <c r="AH778" t="s">
        <v>118</v>
      </c>
      <c r="AI778">
        <v>15</v>
      </c>
      <c r="AJ778">
        <v>0</v>
      </c>
      <c r="AK778">
        <v>0</v>
      </c>
      <c r="AL778">
        <v>0</v>
      </c>
      <c r="AM778">
        <v>1.95</v>
      </c>
      <c r="AN778">
        <v>2.67</v>
      </c>
      <c r="AO778">
        <v>2.2799999999999998</v>
      </c>
      <c r="AS778">
        <v>8</v>
      </c>
      <c r="AT778">
        <v>6</v>
      </c>
      <c r="AU778">
        <v>5</v>
      </c>
      <c r="AV778">
        <v>77</v>
      </c>
      <c r="AW778">
        <v>82</v>
      </c>
      <c r="AX778">
        <v>522</v>
      </c>
      <c r="AY778">
        <v>1</v>
      </c>
      <c r="AZ778" t="b">
        <v>0</v>
      </c>
      <c r="BA778">
        <v>1592</v>
      </c>
      <c r="BB778">
        <v>1678</v>
      </c>
      <c r="BC778">
        <v>6</v>
      </c>
      <c r="BD778" t="s">
        <v>7138</v>
      </c>
      <c r="BE778" s="1" t="s">
        <v>3594</v>
      </c>
      <c r="BF778">
        <v>1</v>
      </c>
      <c r="BG778">
        <v>71</v>
      </c>
      <c r="BH778">
        <v>1</v>
      </c>
      <c r="BI778" s="1" t="s">
        <v>1830</v>
      </c>
      <c r="BJ778">
        <v>16</v>
      </c>
      <c r="BK778" s="1" t="s">
        <v>121</v>
      </c>
      <c r="BL778">
        <v>13.4</v>
      </c>
      <c r="BM778">
        <v>3</v>
      </c>
      <c r="BN778" s="1" t="s">
        <v>781</v>
      </c>
      <c r="BO778">
        <v>4</v>
      </c>
      <c r="BP778" s="1" t="s">
        <v>140</v>
      </c>
      <c r="BQ778">
        <v>0</v>
      </c>
      <c r="BR778">
        <v>0</v>
      </c>
      <c r="BS778" s="1" t="s">
        <v>126</v>
      </c>
      <c r="BT778" s="1" t="s">
        <v>162</v>
      </c>
      <c r="BU778" s="1" t="s">
        <v>129</v>
      </c>
      <c r="BV778" s="1" t="s">
        <v>129</v>
      </c>
      <c r="BW778" s="1" t="s">
        <v>129</v>
      </c>
      <c r="BX778" s="1" t="s">
        <v>129</v>
      </c>
      <c r="BY778">
        <v>1</v>
      </c>
      <c r="BZ778">
        <v>0.4</v>
      </c>
      <c r="CA778">
        <v>1.95</v>
      </c>
      <c r="CB778">
        <v>1.95</v>
      </c>
      <c r="CC778">
        <v>2.67</v>
      </c>
      <c r="CD778">
        <v>2.67</v>
      </c>
      <c r="CE778">
        <v>2.2799999999999998</v>
      </c>
      <c r="CF778">
        <v>2.2799999999999998</v>
      </c>
      <c r="CG778" s="1" t="s">
        <v>157</v>
      </c>
      <c r="CH778" s="1" t="s">
        <v>1366</v>
      </c>
      <c r="CI778">
        <v>5</v>
      </c>
      <c r="CJ778" s="1" t="s">
        <v>416</v>
      </c>
      <c r="CK778" s="1" t="s">
        <v>160</v>
      </c>
      <c r="CL778" s="1" t="s">
        <v>990</v>
      </c>
      <c r="CM778" s="1" t="s">
        <v>141</v>
      </c>
      <c r="CN778" s="1" t="s">
        <v>2924</v>
      </c>
      <c r="CO778" s="1" t="s">
        <v>1273</v>
      </c>
      <c r="CP778" s="1" t="s">
        <v>1273</v>
      </c>
      <c r="CQ778">
        <v>450</v>
      </c>
      <c r="CR778">
        <v>510.8</v>
      </c>
      <c r="CS778" s="1" t="s">
        <v>806</v>
      </c>
      <c r="CT778">
        <v>1616</v>
      </c>
      <c r="CU778">
        <v>1593</v>
      </c>
      <c r="CV778" s="1" t="s">
        <v>7146</v>
      </c>
      <c r="CW778">
        <v>106</v>
      </c>
      <c r="CX778">
        <v>104.3</v>
      </c>
      <c r="CY778">
        <v>117.6</v>
      </c>
      <c r="CZ778">
        <v>108</v>
      </c>
      <c r="DA778">
        <v>1</v>
      </c>
      <c r="DB778" t="s">
        <v>877</v>
      </c>
      <c r="DC778">
        <v>113</v>
      </c>
      <c r="DD778">
        <v>85.032915649931994</v>
      </c>
      <c r="DE778" s="1" t="s">
        <v>7164</v>
      </c>
      <c r="DF778" t="e">
        <f>_xlfn.XLOOKUP(Table1[[#This Row],[Player ID]],Table2[feed_id],Table2[trade_status])</f>
        <v>#N/A</v>
      </c>
      <c r="DG778">
        <f>_xlfn.NUMBERVALUE(Table1[[#This Row],[predicted]])</f>
        <v>85.032915649931994</v>
      </c>
    </row>
    <row r="779" spans="1:111" hidden="1" x14ac:dyDescent="0.25">
      <c r="A779">
        <v>132653</v>
      </c>
      <c r="B779">
        <v>9239</v>
      </c>
      <c r="C779" t="s">
        <v>7040</v>
      </c>
      <c r="D779" t="s">
        <v>3116</v>
      </c>
      <c r="E779">
        <v>2025</v>
      </c>
      <c r="F779">
        <v>291975</v>
      </c>
      <c r="G779" t="s">
        <v>2604</v>
      </c>
      <c r="H779" t="s">
        <v>7165</v>
      </c>
      <c r="I779" t="s">
        <v>524</v>
      </c>
      <c r="J779">
        <v>26</v>
      </c>
      <c r="K779">
        <v>85</v>
      </c>
      <c r="L779">
        <v>73</v>
      </c>
      <c r="M779">
        <v>78</v>
      </c>
      <c r="N779">
        <v>74</v>
      </c>
      <c r="O779">
        <v>86</v>
      </c>
      <c r="P779">
        <v>5</v>
      </c>
      <c r="Q779">
        <v>7</v>
      </c>
      <c r="R779">
        <v>0</v>
      </c>
      <c r="S779">
        <v>4</v>
      </c>
      <c r="T779">
        <v>38</v>
      </c>
      <c r="U779">
        <v>5</v>
      </c>
      <c r="V779">
        <v>1</v>
      </c>
      <c r="W779">
        <v>0</v>
      </c>
      <c r="X779">
        <v>0</v>
      </c>
      <c r="Y779" t="s">
        <v>113</v>
      </c>
      <c r="Z779" t="s">
        <v>602</v>
      </c>
      <c r="AA779" t="s">
        <v>7166</v>
      </c>
      <c r="AE779">
        <v>0</v>
      </c>
      <c r="AH779" t="s">
        <v>274</v>
      </c>
      <c r="AI779">
        <v>28</v>
      </c>
      <c r="AJ779">
        <v>21</v>
      </c>
      <c r="AK779">
        <v>94.33</v>
      </c>
      <c r="AL779">
        <v>0</v>
      </c>
      <c r="AM779">
        <v>0</v>
      </c>
      <c r="AN779">
        <v>1.82</v>
      </c>
      <c r="AO779">
        <v>0.91</v>
      </c>
      <c r="AS779">
        <v>8</v>
      </c>
      <c r="AT779">
        <v>5</v>
      </c>
      <c r="AU779">
        <v>2</v>
      </c>
      <c r="AV779">
        <v>75</v>
      </c>
      <c r="AW779">
        <v>81</v>
      </c>
      <c r="AX779">
        <v>162</v>
      </c>
      <c r="AY779">
        <v>0</v>
      </c>
      <c r="AZ779" t="b">
        <v>0</v>
      </c>
      <c r="BA779">
        <v>1592</v>
      </c>
      <c r="BB779">
        <v>1678</v>
      </c>
      <c r="BC779">
        <v>6</v>
      </c>
      <c r="BD779" t="s">
        <v>7138</v>
      </c>
      <c r="BE779" s="1" t="s">
        <v>3594</v>
      </c>
      <c r="BF779">
        <v>0</v>
      </c>
      <c r="BG779">
        <v>71</v>
      </c>
      <c r="BH779">
        <v>1</v>
      </c>
      <c r="BI779" s="1" t="s">
        <v>160</v>
      </c>
      <c r="BJ779" s="1" t="s">
        <v>139</v>
      </c>
      <c r="BK779" s="1" t="s">
        <v>545</v>
      </c>
      <c r="BL779" s="1" t="s">
        <v>253</v>
      </c>
      <c r="BM779">
        <v>1</v>
      </c>
      <c r="BN779" s="1" t="s">
        <v>214</v>
      </c>
      <c r="BO779" s="1" t="s">
        <v>125</v>
      </c>
      <c r="BP779" s="1" t="s">
        <v>189</v>
      </c>
      <c r="BQ779">
        <v>36</v>
      </c>
      <c r="BR779" s="1" t="s">
        <v>7167</v>
      </c>
      <c r="BS779">
        <v>3</v>
      </c>
      <c r="BT779">
        <v>2</v>
      </c>
      <c r="BU779">
        <v>1</v>
      </c>
      <c r="BV779" s="1" t="s">
        <v>298</v>
      </c>
      <c r="BW779" s="1" t="s">
        <v>129</v>
      </c>
      <c r="BX779">
        <v>0.6</v>
      </c>
      <c r="BY779" s="1" t="s">
        <v>129</v>
      </c>
      <c r="BZ779" s="1" t="s">
        <v>213</v>
      </c>
      <c r="CA779">
        <v>0</v>
      </c>
      <c r="CB779">
        <v>0</v>
      </c>
      <c r="CC779">
        <v>1.82</v>
      </c>
      <c r="CD779">
        <v>1.82</v>
      </c>
      <c r="CE779">
        <v>0.91</v>
      </c>
      <c r="CF779">
        <v>0.91</v>
      </c>
      <c r="CG779">
        <v>8</v>
      </c>
      <c r="CH779" s="1" t="s">
        <v>674</v>
      </c>
      <c r="CI779" s="1" t="s">
        <v>211</v>
      </c>
      <c r="CJ779" s="1" t="s">
        <v>211</v>
      </c>
      <c r="CK779" s="1" t="s">
        <v>161</v>
      </c>
      <c r="CL779" s="1" t="s">
        <v>159</v>
      </c>
      <c r="CM779" s="1" t="s">
        <v>1406</v>
      </c>
      <c r="CN779" s="1" t="s">
        <v>1012</v>
      </c>
      <c r="CO779" s="1" t="s">
        <v>268</v>
      </c>
      <c r="CP779">
        <v>81.599999999999994</v>
      </c>
      <c r="CQ779">
        <v>141</v>
      </c>
      <c r="CR779">
        <v>165.6</v>
      </c>
      <c r="CS779" s="1" t="s">
        <v>806</v>
      </c>
      <c r="CT779">
        <v>1624</v>
      </c>
      <c r="CU779">
        <v>1593</v>
      </c>
      <c r="CV779" s="1" t="s">
        <v>1523</v>
      </c>
      <c r="CW779">
        <v>107.6</v>
      </c>
      <c r="CX779">
        <v>111</v>
      </c>
      <c r="CY779">
        <v>109.4</v>
      </c>
      <c r="CZ779">
        <v>94</v>
      </c>
      <c r="DA779">
        <v>1</v>
      </c>
      <c r="DB779" t="s">
        <v>602</v>
      </c>
      <c r="DC779">
        <v>73</v>
      </c>
      <c r="DD779" s="1" t="s">
        <v>7168</v>
      </c>
      <c r="DE779">
        <v>-31.956679524045601</v>
      </c>
      <c r="DF779" t="e">
        <f>_xlfn.XLOOKUP(Table1[[#This Row],[Player ID]],Table2[feed_id],Table2[trade_status])</f>
        <v>#N/A</v>
      </c>
      <c r="DG779">
        <f>_xlfn.NUMBERVALUE(Table1[[#This Row],[predicted]])</f>
        <v>104.956679524045</v>
      </c>
    </row>
    <row r="780" spans="1:111" hidden="1" x14ac:dyDescent="0.25">
      <c r="A780">
        <v>132654</v>
      </c>
      <c r="B780">
        <v>9239</v>
      </c>
      <c r="C780" t="s">
        <v>7040</v>
      </c>
      <c r="D780" t="s">
        <v>3116</v>
      </c>
      <c r="E780">
        <v>2025</v>
      </c>
      <c r="F780">
        <v>998130</v>
      </c>
      <c r="G780" t="s">
        <v>670</v>
      </c>
      <c r="H780" t="s">
        <v>7169</v>
      </c>
      <c r="I780" t="s">
        <v>524</v>
      </c>
      <c r="J780">
        <v>20</v>
      </c>
      <c r="K780">
        <v>85</v>
      </c>
      <c r="L780">
        <v>91</v>
      </c>
      <c r="M780">
        <v>60</v>
      </c>
      <c r="N780">
        <v>67</v>
      </c>
      <c r="O780">
        <v>93</v>
      </c>
      <c r="P780">
        <v>12</v>
      </c>
      <c r="Q780">
        <v>10</v>
      </c>
      <c r="R780">
        <v>3</v>
      </c>
      <c r="S780">
        <v>4</v>
      </c>
      <c r="T780">
        <v>0</v>
      </c>
      <c r="U780">
        <v>1</v>
      </c>
      <c r="V780">
        <v>1</v>
      </c>
      <c r="W780">
        <v>1</v>
      </c>
      <c r="X780">
        <v>0</v>
      </c>
      <c r="Y780" t="s">
        <v>113</v>
      </c>
      <c r="Z780" t="s">
        <v>525</v>
      </c>
      <c r="AA780" t="s">
        <v>7170</v>
      </c>
      <c r="AE780">
        <v>0</v>
      </c>
      <c r="AH780" t="s">
        <v>155</v>
      </c>
      <c r="AI780">
        <v>9</v>
      </c>
      <c r="AJ780">
        <v>16</v>
      </c>
      <c r="AK780">
        <v>60.88</v>
      </c>
      <c r="AL780">
        <v>0</v>
      </c>
      <c r="AM780">
        <v>0</v>
      </c>
      <c r="AN780">
        <v>0.46</v>
      </c>
      <c r="AO780">
        <v>0.47</v>
      </c>
      <c r="AS780">
        <v>6</v>
      </c>
      <c r="AT780">
        <v>2</v>
      </c>
      <c r="AU780">
        <v>2</v>
      </c>
      <c r="AV780">
        <v>90</v>
      </c>
      <c r="AW780">
        <v>83</v>
      </c>
      <c r="AX780">
        <v>360</v>
      </c>
      <c r="AY780">
        <v>0</v>
      </c>
      <c r="AZ780" t="b">
        <v>0</v>
      </c>
      <c r="BA780">
        <v>1592</v>
      </c>
      <c r="BB780">
        <v>1678</v>
      </c>
      <c r="BC780">
        <v>6</v>
      </c>
      <c r="BD780" t="s">
        <v>7138</v>
      </c>
      <c r="BE780" s="1" t="s">
        <v>3594</v>
      </c>
      <c r="BF780">
        <v>0</v>
      </c>
      <c r="BG780">
        <v>71</v>
      </c>
      <c r="BH780">
        <v>1</v>
      </c>
      <c r="BI780" s="1" t="s">
        <v>1008</v>
      </c>
      <c r="BJ780" s="1" t="s">
        <v>586</v>
      </c>
      <c r="BK780" s="1" t="s">
        <v>545</v>
      </c>
      <c r="BL780" s="1" t="s">
        <v>898</v>
      </c>
      <c r="BM780" s="1" t="s">
        <v>160</v>
      </c>
      <c r="BN780" s="1" t="s">
        <v>499</v>
      </c>
      <c r="BO780" s="1" t="s">
        <v>169</v>
      </c>
      <c r="BP780">
        <v>1.4</v>
      </c>
      <c r="BQ780">
        <v>0</v>
      </c>
      <c r="BR780">
        <v>0</v>
      </c>
      <c r="BS780" s="1" t="s">
        <v>128</v>
      </c>
      <c r="BT780" s="1" t="s">
        <v>231</v>
      </c>
      <c r="BU780" s="1" t="s">
        <v>129</v>
      </c>
      <c r="BV780" s="1" t="s">
        <v>238</v>
      </c>
      <c r="BW780" s="1" t="s">
        <v>129</v>
      </c>
      <c r="BX780" s="1" t="s">
        <v>399</v>
      </c>
      <c r="BY780" s="1" t="s">
        <v>129</v>
      </c>
      <c r="BZ780" s="1" t="s">
        <v>238</v>
      </c>
      <c r="CA780">
        <v>0</v>
      </c>
      <c r="CB780">
        <v>0</v>
      </c>
      <c r="CC780">
        <v>0.46</v>
      </c>
      <c r="CD780">
        <v>0.46</v>
      </c>
      <c r="CE780">
        <v>0.47</v>
      </c>
      <c r="CF780">
        <v>0.47</v>
      </c>
      <c r="CG780" s="1" t="s">
        <v>449</v>
      </c>
      <c r="CH780" s="1" t="s">
        <v>766</v>
      </c>
      <c r="CI780">
        <v>2</v>
      </c>
      <c r="CJ780">
        <v>0.8</v>
      </c>
      <c r="CK780" s="1" t="s">
        <v>159</v>
      </c>
      <c r="CL780">
        <v>2</v>
      </c>
      <c r="CM780">
        <v>71</v>
      </c>
      <c r="CN780" s="1" t="s">
        <v>5301</v>
      </c>
      <c r="CO780">
        <v>82</v>
      </c>
      <c r="CP780" s="1" t="s">
        <v>928</v>
      </c>
      <c r="CQ780" s="1" t="s">
        <v>7171</v>
      </c>
      <c r="CR780" s="1" t="s">
        <v>7172</v>
      </c>
      <c r="CS780" s="1" t="s">
        <v>7173</v>
      </c>
      <c r="CT780">
        <v>1651.6</v>
      </c>
      <c r="CU780">
        <v>1536</v>
      </c>
      <c r="CV780">
        <v>1628.6</v>
      </c>
      <c r="CW780">
        <v>67.150000000000006</v>
      </c>
      <c r="CX780">
        <v>63.5</v>
      </c>
      <c r="CY780">
        <v>65.400000000000006</v>
      </c>
      <c r="CZ780" s="1" t="s">
        <v>215</v>
      </c>
      <c r="DA780">
        <v>1</v>
      </c>
      <c r="DB780" t="s">
        <v>525</v>
      </c>
      <c r="DC780">
        <v>91</v>
      </c>
      <c r="DD780" s="1" t="s">
        <v>7174</v>
      </c>
      <c r="DE780" s="1" t="s">
        <v>7175</v>
      </c>
      <c r="DF780" t="e">
        <f>_xlfn.XLOOKUP(Table1[[#This Row],[Player ID]],Table2[feed_id],Table2[trade_status])</f>
        <v>#N/A</v>
      </c>
      <c r="DG780">
        <f>_xlfn.NUMBERVALUE(Table1[[#This Row],[predicted]])</f>
        <v>68.713258310096904</v>
      </c>
    </row>
    <row r="781" spans="1:111" hidden="1" x14ac:dyDescent="0.25">
      <c r="A781">
        <v>132655</v>
      </c>
      <c r="B781">
        <v>9239</v>
      </c>
      <c r="C781" t="s">
        <v>7040</v>
      </c>
      <c r="D781" t="s">
        <v>3116</v>
      </c>
      <c r="E781">
        <v>2025</v>
      </c>
      <c r="F781">
        <v>993917</v>
      </c>
      <c r="G781" t="s">
        <v>670</v>
      </c>
      <c r="H781" t="s">
        <v>6472</v>
      </c>
      <c r="I781" t="s">
        <v>524</v>
      </c>
      <c r="J781">
        <v>20</v>
      </c>
      <c r="K781">
        <v>80</v>
      </c>
      <c r="L781">
        <v>101</v>
      </c>
      <c r="M781">
        <v>56</v>
      </c>
      <c r="N781">
        <v>65</v>
      </c>
      <c r="O781">
        <v>83</v>
      </c>
      <c r="P781">
        <v>11</v>
      </c>
      <c r="Q781">
        <v>4</v>
      </c>
      <c r="R781">
        <v>3</v>
      </c>
      <c r="S781">
        <v>3</v>
      </c>
      <c r="T781">
        <v>0</v>
      </c>
      <c r="U781">
        <v>1</v>
      </c>
      <c r="V781">
        <v>1</v>
      </c>
      <c r="W781">
        <v>3</v>
      </c>
      <c r="X781">
        <v>2</v>
      </c>
      <c r="Y781" t="s">
        <v>113</v>
      </c>
      <c r="Z781" t="s">
        <v>525</v>
      </c>
      <c r="AA781" t="s">
        <v>7176</v>
      </c>
      <c r="AH781" t="s">
        <v>181</v>
      </c>
      <c r="AI781">
        <v>22</v>
      </c>
      <c r="AJ781">
        <v>0</v>
      </c>
      <c r="AK781">
        <v>0</v>
      </c>
      <c r="AL781">
        <v>0</v>
      </c>
      <c r="AM781">
        <v>0.04</v>
      </c>
      <c r="AN781">
        <v>0.19</v>
      </c>
      <c r="AO781">
        <v>0.11</v>
      </c>
      <c r="AS781">
        <v>9</v>
      </c>
      <c r="AT781">
        <v>1</v>
      </c>
      <c r="AU781">
        <v>3</v>
      </c>
      <c r="AV781">
        <v>66</v>
      </c>
      <c r="AW781">
        <v>78</v>
      </c>
      <c r="AX781">
        <v>358</v>
      </c>
      <c r="AY781">
        <v>0</v>
      </c>
      <c r="AZ781" t="b">
        <v>0</v>
      </c>
      <c r="BA781">
        <v>1592</v>
      </c>
      <c r="BB781">
        <v>1678</v>
      </c>
      <c r="BC781">
        <v>6</v>
      </c>
      <c r="BD781" t="s">
        <v>7138</v>
      </c>
      <c r="BE781" s="1" t="s">
        <v>3594</v>
      </c>
      <c r="BF781">
        <v>1</v>
      </c>
      <c r="BG781">
        <v>71</v>
      </c>
      <c r="BH781">
        <v>1</v>
      </c>
      <c r="BI781" s="1" t="s">
        <v>294</v>
      </c>
      <c r="BJ781" s="1" t="s">
        <v>1066</v>
      </c>
      <c r="BK781" s="1" t="s">
        <v>138</v>
      </c>
      <c r="BL781" s="1" t="s">
        <v>237</v>
      </c>
      <c r="BM781" s="1" t="s">
        <v>125</v>
      </c>
      <c r="BN781" s="1" t="s">
        <v>256</v>
      </c>
      <c r="BO781" s="1" t="s">
        <v>138</v>
      </c>
      <c r="BP781">
        <v>2.6</v>
      </c>
      <c r="BQ781">
        <v>0</v>
      </c>
      <c r="BR781">
        <v>0</v>
      </c>
      <c r="BS781" s="1" t="s">
        <v>128</v>
      </c>
      <c r="BT781">
        <v>0.4</v>
      </c>
      <c r="BU781" s="1" t="s">
        <v>129</v>
      </c>
      <c r="BV781">
        <v>1</v>
      </c>
      <c r="BW781">
        <v>2</v>
      </c>
      <c r="BX781" s="1" t="s">
        <v>161</v>
      </c>
      <c r="BY781">
        <v>1</v>
      </c>
      <c r="BZ781" s="1" t="s">
        <v>127</v>
      </c>
      <c r="CA781">
        <v>0.04</v>
      </c>
      <c r="CB781">
        <v>0.04</v>
      </c>
      <c r="CC781">
        <v>0.19</v>
      </c>
      <c r="CD781">
        <v>0.19</v>
      </c>
      <c r="CE781">
        <v>0.11</v>
      </c>
      <c r="CF781">
        <v>0.11</v>
      </c>
      <c r="CG781" s="1" t="s">
        <v>397</v>
      </c>
      <c r="CH781" s="1" t="s">
        <v>449</v>
      </c>
      <c r="CI781" s="1" t="s">
        <v>128</v>
      </c>
      <c r="CJ781" s="1" t="s">
        <v>238</v>
      </c>
      <c r="CK781" s="1" t="s">
        <v>138</v>
      </c>
      <c r="CL781" s="1" t="s">
        <v>528</v>
      </c>
      <c r="CM781" s="1" t="s">
        <v>2953</v>
      </c>
      <c r="CN781">
        <v>55.4</v>
      </c>
      <c r="CO781" s="1" t="s">
        <v>239</v>
      </c>
      <c r="CP781">
        <v>83</v>
      </c>
      <c r="CQ781" s="1" t="s">
        <v>7177</v>
      </c>
      <c r="CR781" s="1" t="s">
        <v>7178</v>
      </c>
      <c r="CS781" s="1" t="s">
        <v>806</v>
      </c>
      <c r="CT781">
        <v>1616</v>
      </c>
      <c r="CU781">
        <v>1593</v>
      </c>
      <c r="CV781" s="1" t="s">
        <v>7146</v>
      </c>
      <c r="CW781">
        <v>66.7</v>
      </c>
      <c r="CX781">
        <v>68.5</v>
      </c>
      <c r="CY781">
        <v>84.2</v>
      </c>
      <c r="CZ781" s="1" t="s">
        <v>968</v>
      </c>
      <c r="DA781">
        <v>1</v>
      </c>
      <c r="DB781" t="s">
        <v>525</v>
      </c>
      <c r="DC781">
        <v>101</v>
      </c>
      <c r="DD781">
        <v>66.4517347013728</v>
      </c>
      <c r="DE781">
        <v>34.5482652986272</v>
      </c>
      <c r="DF781" t="e">
        <f>_xlfn.XLOOKUP(Table1[[#This Row],[Player ID]],Table2[feed_id],Table2[trade_status])</f>
        <v>#N/A</v>
      </c>
      <c r="DG781">
        <f>_xlfn.NUMBERVALUE(Table1[[#This Row],[predicted]])</f>
        <v>66.4517347013728</v>
      </c>
    </row>
    <row r="782" spans="1:111" hidden="1" x14ac:dyDescent="0.25">
      <c r="A782">
        <v>132656</v>
      </c>
      <c r="B782">
        <v>9239</v>
      </c>
      <c r="C782" t="s">
        <v>7040</v>
      </c>
      <c r="D782" t="s">
        <v>3116</v>
      </c>
      <c r="E782">
        <v>2025</v>
      </c>
      <c r="F782">
        <v>1009260</v>
      </c>
      <c r="G782" t="s">
        <v>958</v>
      </c>
      <c r="H782" t="s">
        <v>7179</v>
      </c>
      <c r="I782" t="s">
        <v>524</v>
      </c>
      <c r="J782">
        <v>16</v>
      </c>
      <c r="K782">
        <v>78</v>
      </c>
      <c r="L782">
        <v>93</v>
      </c>
      <c r="M782">
        <v>58</v>
      </c>
      <c r="N782">
        <v>67</v>
      </c>
      <c r="O782">
        <v>90</v>
      </c>
      <c r="P782">
        <v>9</v>
      </c>
      <c r="Q782">
        <v>12</v>
      </c>
      <c r="R782">
        <v>3</v>
      </c>
      <c r="S782">
        <v>2</v>
      </c>
      <c r="T782">
        <v>0</v>
      </c>
      <c r="U782">
        <v>1</v>
      </c>
      <c r="V782">
        <v>1</v>
      </c>
      <c r="W782">
        <v>2</v>
      </c>
      <c r="X782">
        <v>0</v>
      </c>
      <c r="Y782" t="s">
        <v>113</v>
      </c>
      <c r="Z782" t="s">
        <v>5826</v>
      </c>
      <c r="AA782" t="s">
        <v>7180</v>
      </c>
      <c r="AH782" t="s">
        <v>118</v>
      </c>
      <c r="AI782">
        <v>3</v>
      </c>
      <c r="AJ782">
        <v>0</v>
      </c>
      <c r="AK782">
        <v>0</v>
      </c>
      <c r="AL782">
        <v>0</v>
      </c>
      <c r="AM782">
        <v>40.119999999999997</v>
      </c>
      <c r="AN782">
        <v>36.369999999999997</v>
      </c>
      <c r="AO782">
        <v>39.15</v>
      </c>
      <c r="AS782">
        <v>5</v>
      </c>
      <c r="AT782">
        <v>3</v>
      </c>
      <c r="AU782">
        <v>2</v>
      </c>
      <c r="AV782">
        <v>76</v>
      </c>
      <c r="AW782">
        <v>77</v>
      </c>
      <c r="AX782">
        <v>193</v>
      </c>
      <c r="AY782">
        <v>0</v>
      </c>
      <c r="AZ782" t="b">
        <v>0</v>
      </c>
      <c r="BA782">
        <v>1592</v>
      </c>
      <c r="BB782">
        <v>1678</v>
      </c>
      <c r="BC782">
        <v>6</v>
      </c>
      <c r="BD782" t="s">
        <v>7138</v>
      </c>
      <c r="BE782" s="1" t="s">
        <v>3594</v>
      </c>
      <c r="BF782">
        <v>0</v>
      </c>
      <c r="BG782">
        <v>71</v>
      </c>
      <c r="BH782">
        <v>1</v>
      </c>
      <c r="BI782">
        <v>12</v>
      </c>
      <c r="BJ782" s="1" t="s">
        <v>1831</v>
      </c>
      <c r="BK782">
        <v>12</v>
      </c>
      <c r="BL782" s="1" t="s">
        <v>1035</v>
      </c>
      <c r="BM782">
        <v>5</v>
      </c>
      <c r="BN782">
        <v>4.8</v>
      </c>
      <c r="BO782">
        <v>2</v>
      </c>
      <c r="BP782">
        <v>2.2000000000000002</v>
      </c>
      <c r="BQ782">
        <v>0</v>
      </c>
      <c r="BR782">
        <v>0</v>
      </c>
      <c r="BS782" s="1" t="s">
        <v>126</v>
      </c>
      <c r="BT782" s="1" t="s">
        <v>257</v>
      </c>
      <c r="BU782" s="1" t="s">
        <v>128</v>
      </c>
      <c r="BV782" s="1" t="s">
        <v>231</v>
      </c>
      <c r="BW782">
        <v>1</v>
      </c>
      <c r="BX782" s="1" t="s">
        <v>399</v>
      </c>
      <c r="BY782" s="1" t="s">
        <v>129</v>
      </c>
      <c r="BZ782" s="1" t="s">
        <v>129</v>
      </c>
      <c r="CA782">
        <v>40.119999999999997</v>
      </c>
      <c r="CB782">
        <v>40.119999999999997</v>
      </c>
      <c r="CC782">
        <v>36.369999999999997</v>
      </c>
      <c r="CD782">
        <v>36.369999999999997</v>
      </c>
      <c r="CE782">
        <v>39.15</v>
      </c>
      <c r="CF782">
        <v>39.15</v>
      </c>
      <c r="CG782" s="1" t="s">
        <v>137</v>
      </c>
      <c r="CH782" s="1" t="s">
        <v>879</v>
      </c>
      <c r="CI782">
        <v>4</v>
      </c>
      <c r="CJ782" s="1" t="s">
        <v>436</v>
      </c>
      <c r="CK782" s="1" t="s">
        <v>160</v>
      </c>
      <c r="CL782" s="1" t="s">
        <v>640</v>
      </c>
      <c r="CM782">
        <v>67</v>
      </c>
      <c r="CN782" s="1" t="s">
        <v>1177</v>
      </c>
      <c r="CO782">
        <v>75</v>
      </c>
      <c r="CP782">
        <v>81.400000000000006</v>
      </c>
      <c r="CQ782" s="1" t="s">
        <v>5950</v>
      </c>
      <c r="CR782">
        <v>396</v>
      </c>
      <c r="CS782" s="1" t="s">
        <v>806</v>
      </c>
      <c r="CT782" s="1" t="s">
        <v>7181</v>
      </c>
      <c r="CU782">
        <v>1593</v>
      </c>
      <c r="CV782" s="1" t="s">
        <v>7182</v>
      </c>
      <c r="CW782">
        <v>113.6</v>
      </c>
      <c r="CX782">
        <v>108.8</v>
      </c>
      <c r="CY782">
        <v>105.8</v>
      </c>
      <c r="CZ782" s="1" t="s">
        <v>142</v>
      </c>
      <c r="DA782">
        <v>1</v>
      </c>
      <c r="DB782" t="s">
        <v>5826</v>
      </c>
      <c r="DC782">
        <v>93</v>
      </c>
      <c r="DD782" s="1" t="s">
        <v>7183</v>
      </c>
      <c r="DE782">
        <v>-13.2727572612848</v>
      </c>
      <c r="DF782" t="e">
        <f>_xlfn.XLOOKUP(Table1[[#This Row],[Player ID]],Table2[feed_id],Table2[trade_status])</f>
        <v>#N/A</v>
      </c>
      <c r="DG782">
        <f>_xlfn.NUMBERVALUE(Table1[[#This Row],[predicted]])</f>
        <v>106.272757261284</v>
      </c>
    </row>
    <row r="783" spans="1:111" hidden="1" x14ac:dyDescent="0.25">
      <c r="A783">
        <v>132657</v>
      </c>
      <c r="B783">
        <v>9239</v>
      </c>
      <c r="C783" t="s">
        <v>7040</v>
      </c>
      <c r="D783" t="s">
        <v>3116</v>
      </c>
      <c r="E783">
        <v>2025</v>
      </c>
      <c r="F783">
        <v>1023500</v>
      </c>
      <c r="G783" t="s">
        <v>6558</v>
      </c>
      <c r="H783" t="s">
        <v>7184</v>
      </c>
      <c r="I783" t="s">
        <v>524</v>
      </c>
      <c r="J783">
        <v>15</v>
      </c>
      <c r="K783">
        <v>68</v>
      </c>
      <c r="L783">
        <v>74</v>
      </c>
      <c r="M783">
        <v>70</v>
      </c>
      <c r="N783">
        <v>51</v>
      </c>
      <c r="O783">
        <v>72</v>
      </c>
      <c r="P783">
        <v>5</v>
      </c>
      <c r="Q783">
        <v>9</v>
      </c>
      <c r="R783">
        <v>3</v>
      </c>
      <c r="S783">
        <v>7</v>
      </c>
      <c r="T783">
        <v>0</v>
      </c>
      <c r="U783">
        <v>1</v>
      </c>
      <c r="V783">
        <v>1</v>
      </c>
      <c r="W783">
        <v>0</v>
      </c>
      <c r="X783">
        <v>0</v>
      </c>
      <c r="Y783" t="s">
        <v>113</v>
      </c>
      <c r="Z783" t="s">
        <v>5826</v>
      </c>
      <c r="AA783" t="s">
        <v>7185</v>
      </c>
      <c r="AH783" t="s">
        <v>118</v>
      </c>
      <c r="AI783">
        <v>19</v>
      </c>
      <c r="AJ783">
        <v>0</v>
      </c>
      <c r="AK783">
        <v>0</v>
      </c>
      <c r="AL783">
        <v>0</v>
      </c>
      <c r="AM783">
        <v>2.04</v>
      </c>
      <c r="AN783">
        <v>2.33</v>
      </c>
      <c r="AO783">
        <v>2.91</v>
      </c>
      <c r="AS783">
        <v>9</v>
      </c>
      <c r="AT783">
        <v>4</v>
      </c>
      <c r="AU783">
        <v>2</v>
      </c>
      <c r="AV783">
        <v>85</v>
      </c>
      <c r="AW783">
        <v>77</v>
      </c>
      <c r="AX783">
        <v>143</v>
      </c>
      <c r="AY783">
        <v>1</v>
      </c>
      <c r="AZ783" t="b">
        <v>0</v>
      </c>
      <c r="BA783">
        <v>1592</v>
      </c>
      <c r="BB783">
        <v>1678</v>
      </c>
      <c r="BC783">
        <v>6</v>
      </c>
      <c r="BD783" t="s">
        <v>7138</v>
      </c>
      <c r="BE783" s="1" t="s">
        <v>3594</v>
      </c>
      <c r="BF783">
        <v>0</v>
      </c>
      <c r="BG783">
        <v>71</v>
      </c>
      <c r="BH783">
        <v>1</v>
      </c>
      <c r="BI783" s="1" t="s">
        <v>253</v>
      </c>
      <c r="BJ783" s="1" t="s">
        <v>964</v>
      </c>
      <c r="BK783" s="1" t="s">
        <v>294</v>
      </c>
      <c r="BL783">
        <v>5.8</v>
      </c>
      <c r="BM783" s="1" t="s">
        <v>159</v>
      </c>
      <c r="BN783" s="1" t="s">
        <v>322</v>
      </c>
      <c r="BO783" s="1" t="s">
        <v>124</v>
      </c>
      <c r="BP783" s="1" t="s">
        <v>528</v>
      </c>
      <c r="BQ783">
        <v>0</v>
      </c>
      <c r="BR783">
        <v>0</v>
      </c>
      <c r="BS783">
        <v>1</v>
      </c>
      <c r="BT783" s="1" t="s">
        <v>130</v>
      </c>
      <c r="BU783" s="1" t="s">
        <v>128</v>
      </c>
      <c r="BV783" s="1" t="s">
        <v>128</v>
      </c>
      <c r="BW783" s="1" t="s">
        <v>128</v>
      </c>
      <c r="BX783" s="1" t="s">
        <v>238</v>
      </c>
      <c r="BY783" s="1" t="s">
        <v>129</v>
      </c>
      <c r="BZ783">
        <v>0.6</v>
      </c>
      <c r="CA783">
        <v>2.04</v>
      </c>
      <c r="CB783">
        <v>2.04</v>
      </c>
      <c r="CC783">
        <v>2.33</v>
      </c>
      <c r="CD783">
        <v>2.33</v>
      </c>
      <c r="CE783">
        <v>2.91</v>
      </c>
      <c r="CF783">
        <v>2.91</v>
      </c>
      <c r="CG783">
        <v>11</v>
      </c>
      <c r="CH783" s="1" t="s">
        <v>964</v>
      </c>
      <c r="CI783" s="1" t="s">
        <v>138</v>
      </c>
      <c r="CJ783" s="1" t="s">
        <v>275</v>
      </c>
      <c r="CK783">
        <v>3</v>
      </c>
      <c r="CL783">
        <v>2.4</v>
      </c>
      <c r="CM783">
        <v>66</v>
      </c>
      <c r="CN783">
        <v>64.2</v>
      </c>
      <c r="CO783">
        <v>79</v>
      </c>
      <c r="CP783" s="1" t="s">
        <v>1080</v>
      </c>
      <c r="CQ783" s="1" t="s">
        <v>7186</v>
      </c>
      <c r="CR783" s="1" t="s">
        <v>7187</v>
      </c>
      <c r="CS783" s="1" t="s">
        <v>806</v>
      </c>
      <c r="CT783" s="1" t="s">
        <v>6125</v>
      </c>
      <c r="CU783">
        <v>1593</v>
      </c>
      <c r="CV783" s="1" t="s">
        <v>7188</v>
      </c>
      <c r="CW783">
        <v>60.05</v>
      </c>
      <c r="CX783">
        <v>63.8</v>
      </c>
      <c r="CY783">
        <v>78</v>
      </c>
      <c r="CZ783">
        <v>83</v>
      </c>
      <c r="DA783">
        <v>1</v>
      </c>
      <c r="DB783" t="s">
        <v>5826</v>
      </c>
      <c r="DC783">
        <v>74</v>
      </c>
      <c r="DD783">
        <v>72.537873489149405</v>
      </c>
      <c r="DE783" s="1" t="s">
        <v>7189</v>
      </c>
      <c r="DF783" t="e">
        <f>_xlfn.XLOOKUP(Table1[[#This Row],[Player ID]],Table2[feed_id],Table2[trade_status])</f>
        <v>#N/A</v>
      </c>
      <c r="DG783">
        <f>_xlfn.NUMBERVALUE(Table1[[#This Row],[predicted]])</f>
        <v>72.537873489149405</v>
      </c>
    </row>
    <row r="784" spans="1:111" x14ac:dyDescent="0.25">
      <c r="A784">
        <v>132848</v>
      </c>
      <c r="B784">
        <v>9243</v>
      </c>
      <c r="C784" t="s">
        <v>7798</v>
      </c>
      <c r="D784" t="s">
        <v>3116</v>
      </c>
      <c r="E784">
        <v>2025</v>
      </c>
      <c r="F784">
        <v>992059</v>
      </c>
      <c r="G784" t="s">
        <v>958</v>
      </c>
      <c r="H784" t="s">
        <v>7980</v>
      </c>
      <c r="I784" t="s">
        <v>178</v>
      </c>
      <c r="J784">
        <v>7</v>
      </c>
      <c r="K784">
        <v>36</v>
      </c>
      <c r="L784">
        <v>31</v>
      </c>
      <c r="M784">
        <v>35</v>
      </c>
      <c r="N784">
        <v>24</v>
      </c>
      <c r="O784">
        <v>36</v>
      </c>
      <c r="P784">
        <v>4</v>
      </c>
      <c r="Q784">
        <v>2</v>
      </c>
      <c r="R784">
        <v>1</v>
      </c>
      <c r="S784">
        <v>5</v>
      </c>
      <c r="T784">
        <v>0</v>
      </c>
      <c r="U784">
        <v>0</v>
      </c>
      <c r="V784">
        <v>1</v>
      </c>
      <c r="W784">
        <v>0</v>
      </c>
      <c r="X784">
        <v>0</v>
      </c>
      <c r="Y784" t="s">
        <v>113</v>
      </c>
      <c r="Z784" t="s">
        <v>861</v>
      </c>
      <c r="AA784" t="s">
        <v>7981</v>
      </c>
      <c r="AE784">
        <v>0</v>
      </c>
      <c r="AI784">
        <v>39</v>
      </c>
      <c r="AJ784">
        <v>1</v>
      </c>
      <c r="AK784">
        <v>47</v>
      </c>
      <c r="AL784">
        <v>0</v>
      </c>
      <c r="AM784">
        <v>0</v>
      </c>
      <c r="AN784">
        <v>0.08</v>
      </c>
      <c r="AO784">
        <v>0.15</v>
      </c>
      <c r="AS784">
        <v>1</v>
      </c>
      <c r="AT784">
        <v>0</v>
      </c>
      <c r="AU784">
        <v>2</v>
      </c>
      <c r="AV784">
        <v>50</v>
      </c>
      <c r="AW784">
        <v>69</v>
      </c>
      <c r="AX784">
        <v>178</v>
      </c>
      <c r="AY784">
        <v>1</v>
      </c>
      <c r="AZ784" t="b">
        <v>0</v>
      </c>
      <c r="BA784">
        <v>1559</v>
      </c>
      <c r="BB784">
        <v>1728</v>
      </c>
      <c r="BC784">
        <v>6</v>
      </c>
      <c r="BD784" t="s">
        <v>7901</v>
      </c>
      <c r="BE784" s="1" t="s">
        <v>3594</v>
      </c>
      <c r="BF784">
        <v>0</v>
      </c>
      <c r="BG784">
        <v>71</v>
      </c>
      <c r="BH784">
        <v>0</v>
      </c>
      <c r="BI784" s="1" t="s">
        <v>449</v>
      </c>
      <c r="BJ784" s="1" t="s">
        <v>204</v>
      </c>
      <c r="BK784" s="1" t="s">
        <v>397</v>
      </c>
      <c r="BL784">
        <v>8</v>
      </c>
      <c r="BM784">
        <v>2</v>
      </c>
      <c r="BN784" s="1" t="s">
        <v>640</v>
      </c>
      <c r="BO784" s="1" t="s">
        <v>138</v>
      </c>
      <c r="BP784" s="1" t="s">
        <v>211</v>
      </c>
      <c r="BQ784">
        <v>0</v>
      </c>
      <c r="BR784">
        <v>0</v>
      </c>
      <c r="BS784" s="1" t="s">
        <v>128</v>
      </c>
      <c r="BT784">
        <v>1.2</v>
      </c>
      <c r="BU784" s="1" t="s">
        <v>129</v>
      </c>
      <c r="BV784">
        <v>0.4</v>
      </c>
      <c r="BW784" s="1" t="s">
        <v>129</v>
      </c>
      <c r="BX784">
        <v>0.6</v>
      </c>
      <c r="BY784" s="1" t="s">
        <v>129</v>
      </c>
      <c r="BZ784" s="1" t="s">
        <v>129</v>
      </c>
      <c r="CA784">
        <v>0</v>
      </c>
      <c r="CB784">
        <v>0</v>
      </c>
      <c r="CC784">
        <v>0.08</v>
      </c>
      <c r="CD784">
        <v>0.08</v>
      </c>
      <c r="CE784">
        <v>0.15</v>
      </c>
      <c r="CF784">
        <v>0.15</v>
      </c>
      <c r="CG784" s="1" t="s">
        <v>449</v>
      </c>
      <c r="CH784" s="1" t="s">
        <v>1092</v>
      </c>
      <c r="CI784" s="1" t="s">
        <v>128</v>
      </c>
      <c r="CJ784">
        <v>1.2</v>
      </c>
      <c r="CK784" s="1" t="s">
        <v>126</v>
      </c>
      <c r="CL784" s="1" t="s">
        <v>126</v>
      </c>
      <c r="CM784" s="1" t="s">
        <v>329</v>
      </c>
      <c r="CN784" s="1" t="s">
        <v>4609</v>
      </c>
      <c r="CO784" s="1" t="s">
        <v>1979</v>
      </c>
      <c r="CP784" s="1" t="s">
        <v>803</v>
      </c>
      <c r="CQ784" s="1" t="s">
        <v>3147</v>
      </c>
      <c r="CR784" s="1" t="s">
        <v>7982</v>
      </c>
      <c r="CS784" s="1" t="s">
        <v>5452</v>
      </c>
      <c r="CT784">
        <v>1666.2</v>
      </c>
      <c r="CU784">
        <v>1678</v>
      </c>
      <c r="CV784">
        <v>1615.4</v>
      </c>
      <c r="CW784">
        <v>72.8</v>
      </c>
      <c r="CX784">
        <v>70.599999999999994</v>
      </c>
      <c r="CY784">
        <v>67.8</v>
      </c>
      <c r="CZ784" s="1" t="s">
        <v>772</v>
      </c>
      <c r="DA784">
        <v>1</v>
      </c>
      <c r="DB784" t="s">
        <v>861</v>
      </c>
      <c r="DC784">
        <v>31</v>
      </c>
      <c r="DD784">
        <v>70.620598597050503</v>
      </c>
      <c r="DE784">
        <v>-39.620598597050503</v>
      </c>
      <c r="DF784" t="str">
        <f>_xlfn.XLOOKUP(Table1[[#This Row],[Player ID]],Table2[feed_id],Table2[trade_status])</f>
        <v>free_agent</v>
      </c>
      <c r="DG784">
        <f>_xlfn.NUMBERVALUE(Table1[[#This Row],[predicted]])</f>
        <v>70.620598597050503</v>
      </c>
    </row>
    <row r="785" spans="1:111" x14ac:dyDescent="0.25">
      <c r="A785">
        <v>132664</v>
      </c>
      <c r="B785">
        <v>9239</v>
      </c>
      <c r="C785" t="s">
        <v>7040</v>
      </c>
      <c r="D785" t="s">
        <v>3116</v>
      </c>
      <c r="E785">
        <v>2025</v>
      </c>
      <c r="F785">
        <v>1026960</v>
      </c>
      <c r="G785" t="s">
        <v>2115</v>
      </c>
      <c r="H785" t="s">
        <v>2320</v>
      </c>
      <c r="I785" t="s">
        <v>524</v>
      </c>
      <c r="J785">
        <v>10</v>
      </c>
      <c r="K785">
        <v>48</v>
      </c>
      <c r="L785">
        <v>42</v>
      </c>
      <c r="M785">
        <v>41</v>
      </c>
      <c r="N785">
        <v>39</v>
      </c>
      <c r="O785">
        <v>54</v>
      </c>
      <c r="P785">
        <v>5</v>
      </c>
      <c r="Q785">
        <v>6</v>
      </c>
      <c r="R785">
        <v>2</v>
      </c>
      <c r="S785">
        <v>3</v>
      </c>
      <c r="T785">
        <v>0</v>
      </c>
      <c r="U785">
        <v>0</v>
      </c>
      <c r="V785">
        <v>1</v>
      </c>
      <c r="W785">
        <v>1</v>
      </c>
      <c r="X785">
        <v>0</v>
      </c>
      <c r="Y785" t="s">
        <v>113</v>
      </c>
      <c r="Z785" t="s">
        <v>5826</v>
      </c>
      <c r="AA785" t="s">
        <v>7208</v>
      </c>
      <c r="AH785" t="s">
        <v>118</v>
      </c>
      <c r="AI785">
        <v>26</v>
      </c>
      <c r="AJ785">
        <v>0</v>
      </c>
      <c r="AK785">
        <v>0</v>
      </c>
      <c r="AL785">
        <v>0</v>
      </c>
      <c r="AM785">
        <v>2.66</v>
      </c>
      <c r="AN785">
        <v>2.92</v>
      </c>
      <c r="AO785">
        <v>1.75</v>
      </c>
      <c r="AS785">
        <v>7</v>
      </c>
      <c r="AT785">
        <v>1</v>
      </c>
      <c r="AU785">
        <v>4</v>
      </c>
      <c r="AV785">
        <v>54</v>
      </c>
      <c r="AW785">
        <v>83</v>
      </c>
      <c r="AX785">
        <v>129</v>
      </c>
      <c r="AY785">
        <v>0</v>
      </c>
      <c r="AZ785" t="b">
        <v>0</v>
      </c>
      <c r="BA785">
        <v>1592</v>
      </c>
      <c r="BB785">
        <v>1678</v>
      </c>
      <c r="BC785">
        <v>6</v>
      </c>
      <c r="BD785" t="s">
        <v>7138</v>
      </c>
      <c r="BE785" s="1" t="s">
        <v>3594</v>
      </c>
      <c r="BF785">
        <v>0</v>
      </c>
      <c r="BG785">
        <v>71</v>
      </c>
      <c r="BH785">
        <v>0</v>
      </c>
      <c r="BI785" s="1" t="s">
        <v>397</v>
      </c>
      <c r="BJ785">
        <v>5.8</v>
      </c>
      <c r="BK785">
        <v>6</v>
      </c>
      <c r="BL785" s="1" t="s">
        <v>204</v>
      </c>
      <c r="BM785" s="1" t="s">
        <v>169</v>
      </c>
      <c r="BN785" s="1" t="s">
        <v>214</v>
      </c>
      <c r="BO785" s="1" t="s">
        <v>169</v>
      </c>
      <c r="BP785" s="1" t="s">
        <v>766</v>
      </c>
      <c r="BQ785">
        <v>0</v>
      </c>
      <c r="BR785">
        <v>0</v>
      </c>
      <c r="BS785" s="1" t="s">
        <v>128</v>
      </c>
      <c r="BT785">
        <v>1</v>
      </c>
      <c r="BU785" s="1" t="s">
        <v>126</v>
      </c>
      <c r="BV785">
        <v>0.8</v>
      </c>
      <c r="BW785" s="1" t="s">
        <v>161</v>
      </c>
      <c r="BX785" s="1" t="s">
        <v>399</v>
      </c>
      <c r="BY785" s="1" t="s">
        <v>129</v>
      </c>
      <c r="BZ785" s="1" t="s">
        <v>129</v>
      </c>
      <c r="CA785">
        <v>2.66</v>
      </c>
      <c r="CB785">
        <v>2.66</v>
      </c>
      <c r="CC785">
        <v>2.92</v>
      </c>
      <c r="CD785">
        <v>2.92</v>
      </c>
      <c r="CE785">
        <v>1.75</v>
      </c>
      <c r="CF785">
        <v>1.75</v>
      </c>
      <c r="CG785">
        <v>6</v>
      </c>
      <c r="CH785" s="1" t="s">
        <v>124</v>
      </c>
      <c r="CI785" s="1" t="s">
        <v>128</v>
      </c>
      <c r="CJ785" s="1" t="s">
        <v>298</v>
      </c>
      <c r="CK785">
        <v>3</v>
      </c>
      <c r="CL785" s="1" t="s">
        <v>170</v>
      </c>
      <c r="CM785" s="1" t="s">
        <v>1406</v>
      </c>
      <c r="CN785" s="1" t="s">
        <v>1532</v>
      </c>
      <c r="CO785">
        <v>81</v>
      </c>
      <c r="CP785">
        <v>69.400000000000006</v>
      </c>
      <c r="CQ785">
        <v>222</v>
      </c>
      <c r="CR785" s="1" t="s">
        <v>7209</v>
      </c>
      <c r="CS785" s="1" t="s">
        <v>806</v>
      </c>
      <c r="CT785">
        <v>1616</v>
      </c>
      <c r="CU785">
        <v>1593</v>
      </c>
      <c r="CV785" s="1" t="s">
        <v>7146</v>
      </c>
      <c r="CW785">
        <v>63.85</v>
      </c>
      <c r="CX785">
        <v>65</v>
      </c>
      <c r="CY785">
        <v>71.2</v>
      </c>
      <c r="CZ785" s="1" t="s">
        <v>1242</v>
      </c>
      <c r="DA785">
        <v>1</v>
      </c>
      <c r="DB785" t="s">
        <v>5826</v>
      </c>
      <c r="DC785">
        <v>42</v>
      </c>
      <c r="DD785" s="1" t="s">
        <v>7210</v>
      </c>
      <c r="DE785">
        <v>-28.5815333895337</v>
      </c>
      <c r="DF785" t="str">
        <f>_xlfn.XLOOKUP(Table1[[#This Row],[Player ID]],Table2[feed_id],Table2[trade_status])</f>
        <v>free_agent</v>
      </c>
      <c r="DG785">
        <f>_xlfn.NUMBERVALUE(Table1[[#This Row],[predicted]])</f>
        <v>70.581533389533703</v>
      </c>
    </row>
    <row r="786" spans="1:111" hidden="1" x14ac:dyDescent="0.25">
      <c r="A786">
        <v>132661</v>
      </c>
      <c r="B786">
        <v>9239</v>
      </c>
      <c r="C786" t="s">
        <v>7040</v>
      </c>
      <c r="D786" t="s">
        <v>3116</v>
      </c>
      <c r="E786">
        <v>2025</v>
      </c>
      <c r="F786">
        <v>1000981</v>
      </c>
      <c r="G786" t="s">
        <v>289</v>
      </c>
      <c r="H786" t="s">
        <v>1957</v>
      </c>
      <c r="I786" t="s">
        <v>524</v>
      </c>
      <c r="J786">
        <v>8</v>
      </c>
      <c r="K786">
        <v>56</v>
      </c>
      <c r="L786">
        <v>66</v>
      </c>
      <c r="M786">
        <v>39</v>
      </c>
      <c r="N786">
        <v>46</v>
      </c>
      <c r="O786">
        <v>64</v>
      </c>
      <c r="P786">
        <v>8</v>
      </c>
      <c r="Q786">
        <v>8</v>
      </c>
      <c r="R786">
        <v>3</v>
      </c>
      <c r="S786">
        <v>2</v>
      </c>
      <c r="T786">
        <v>0</v>
      </c>
      <c r="U786">
        <v>1</v>
      </c>
      <c r="V786">
        <v>1</v>
      </c>
      <c r="W786">
        <v>0</v>
      </c>
      <c r="X786">
        <v>1</v>
      </c>
      <c r="Y786" t="s">
        <v>113</v>
      </c>
      <c r="Z786" t="s">
        <v>226</v>
      </c>
      <c r="AA786" t="s">
        <v>7196</v>
      </c>
      <c r="AH786" t="s">
        <v>181</v>
      </c>
      <c r="AI786">
        <v>17</v>
      </c>
      <c r="AJ786">
        <v>0</v>
      </c>
      <c r="AK786">
        <v>0</v>
      </c>
      <c r="AL786">
        <v>0</v>
      </c>
      <c r="AM786">
        <v>0.53</v>
      </c>
      <c r="AN786">
        <v>0.61</v>
      </c>
      <c r="AO786">
        <v>0.86</v>
      </c>
      <c r="AS786">
        <v>6</v>
      </c>
      <c r="AT786">
        <v>1</v>
      </c>
      <c r="AU786">
        <v>3</v>
      </c>
      <c r="AV786">
        <v>68</v>
      </c>
      <c r="AW786">
        <v>81</v>
      </c>
      <c r="AX786">
        <v>212</v>
      </c>
      <c r="AY786">
        <v>0</v>
      </c>
      <c r="AZ786" t="b">
        <v>0</v>
      </c>
      <c r="BA786">
        <v>1592</v>
      </c>
      <c r="BB786">
        <v>1678</v>
      </c>
      <c r="BC786">
        <v>6</v>
      </c>
      <c r="BD786" t="s">
        <v>7138</v>
      </c>
      <c r="BE786" s="1" t="s">
        <v>3594</v>
      </c>
      <c r="BF786">
        <v>0</v>
      </c>
      <c r="BG786">
        <v>71</v>
      </c>
      <c r="BH786">
        <v>0</v>
      </c>
      <c r="BI786">
        <v>13</v>
      </c>
      <c r="BJ786" s="1" t="s">
        <v>1816</v>
      </c>
      <c r="BK786" s="1" t="s">
        <v>183</v>
      </c>
      <c r="BL786" s="1" t="s">
        <v>1672</v>
      </c>
      <c r="BM786">
        <v>4</v>
      </c>
      <c r="BN786" s="1" t="s">
        <v>499</v>
      </c>
      <c r="BO786" s="1" t="s">
        <v>169</v>
      </c>
      <c r="BP786" s="1" t="s">
        <v>170</v>
      </c>
      <c r="BQ786">
        <v>0</v>
      </c>
      <c r="BR786">
        <v>0</v>
      </c>
      <c r="BS786">
        <v>1</v>
      </c>
      <c r="BT786" s="1" t="s">
        <v>128</v>
      </c>
      <c r="BU786" s="1" t="s">
        <v>129</v>
      </c>
      <c r="BV786" s="1" t="s">
        <v>238</v>
      </c>
      <c r="BW786">
        <v>0</v>
      </c>
      <c r="BX786" s="1" t="s">
        <v>231</v>
      </c>
      <c r="BY786" s="1" t="s">
        <v>129</v>
      </c>
      <c r="BZ786" s="1" t="s">
        <v>213</v>
      </c>
      <c r="CA786">
        <v>0.53</v>
      </c>
      <c r="CB786">
        <v>0.53</v>
      </c>
      <c r="CC786">
        <v>0.61</v>
      </c>
      <c r="CD786">
        <v>0.61</v>
      </c>
      <c r="CE786">
        <v>0.86</v>
      </c>
      <c r="CF786">
        <v>0.86</v>
      </c>
      <c r="CG786" s="1" t="s">
        <v>124</v>
      </c>
      <c r="CH786" s="1" t="s">
        <v>1092</v>
      </c>
      <c r="CI786" s="1" t="s">
        <v>126</v>
      </c>
      <c r="CJ786" s="1" t="s">
        <v>257</v>
      </c>
      <c r="CK786" s="1" t="s">
        <v>161</v>
      </c>
      <c r="CL786" s="1" t="s">
        <v>255</v>
      </c>
      <c r="CM786">
        <v>80</v>
      </c>
      <c r="CN786" s="1" t="s">
        <v>4628</v>
      </c>
      <c r="CO786" s="1" t="s">
        <v>1258</v>
      </c>
      <c r="CP786" s="1" t="s">
        <v>2849</v>
      </c>
      <c r="CQ786" s="1" t="s">
        <v>7197</v>
      </c>
      <c r="CR786">
        <v>387.6</v>
      </c>
      <c r="CS786" s="1" t="s">
        <v>806</v>
      </c>
      <c r="CT786" s="1" t="s">
        <v>7198</v>
      </c>
      <c r="CU786">
        <v>1593</v>
      </c>
      <c r="CV786">
        <v>1707</v>
      </c>
      <c r="CW786">
        <v>95.2</v>
      </c>
      <c r="CX786">
        <v>102.9</v>
      </c>
      <c r="CY786">
        <v>103.4</v>
      </c>
      <c r="CZ786" s="1" t="s">
        <v>4316</v>
      </c>
      <c r="DA786">
        <v>1</v>
      </c>
      <c r="DB786" t="s">
        <v>226</v>
      </c>
      <c r="DC786">
        <v>66</v>
      </c>
      <c r="DD786" s="1" t="s">
        <v>7199</v>
      </c>
      <c r="DE786">
        <v>-44.278817887276901</v>
      </c>
      <c r="DF786" t="e">
        <f>_xlfn.XLOOKUP(Table1[[#This Row],[Player ID]],Table2[feed_id],Table2[trade_status])</f>
        <v>#N/A</v>
      </c>
      <c r="DG786">
        <f>_xlfn.NUMBERVALUE(Table1[[#This Row],[predicted]])</f>
        <v>110.27881788727601</v>
      </c>
    </row>
    <row r="787" spans="1:111" hidden="1" x14ac:dyDescent="0.25">
      <c r="A787">
        <v>132662</v>
      </c>
      <c r="B787">
        <v>9239</v>
      </c>
      <c r="C787" t="s">
        <v>7040</v>
      </c>
      <c r="D787" t="s">
        <v>3116</v>
      </c>
      <c r="E787">
        <v>2025</v>
      </c>
      <c r="F787">
        <v>1006144</v>
      </c>
      <c r="G787" t="s">
        <v>670</v>
      </c>
      <c r="H787" t="s">
        <v>5440</v>
      </c>
      <c r="I787" t="s">
        <v>524</v>
      </c>
      <c r="J787">
        <v>20</v>
      </c>
      <c r="K787">
        <v>55</v>
      </c>
      <c r="L787">
        <v>71</v>
      </c>
      <c r="M787">
        <v>42</v>
      </c>
      <c r="N787">
        <v>50</v>
      </c>
      <c r="O787">
        <v>54</v>
      </c>
      <c r="P787">
        <v>5</v>
      </c>
      <c r="Q787">
        <v>1</v>
      </c>
      <c r="R787">
        <v>2</v>
      </c>
      <c r="S787">
        <v>0</v>
      </c>
      <c r="T787">
        <v>0</v>
      </c>
      <c r="U787">
        <v>2</v>
      </c>
      <c r="V787">
        <v>0</v>
      </c>
      <c r="W787">
        <v>5</v>
      </c>
      <c r="X787">
        <v>0</v>
      </c>
      <c r="Y787" t="s">
        <v>113</v>
      </c>
      <c r="Z787" t="s">
        <v>4395</v>
      </c>
      <c r="AA787" t="s">
        <v>7200</v>
      </c>
      <c r="AB787" t="s">
        <v>7201</v>
      </c>
      <c r="AC787" t="s">
        <v>7202</v>
      </c>
      <c r="AH787" t="s">
        <v>155</v>
      </c>
      <c r="AI787">
        <v>34</v>
      </c>
      <c r="AJ787">
        <v>0</v>
      </c>
      <c r="AK787">
        <v>0</v>
      </c>
      <c r="AL787">
        <v>0</v>
      </c>
      <c r="AM787">
        <v>0.71</v>
      </c>
      <c r="AN787">
        <v>0.57999999999999996</v>
      </c>
      <c r="AO787">
        <v>0.63</v>
      </c>
      <c r="AS787">
        <v>2</v>
      </c>
      <c r="AT787">
        <v>0</v>
      </c>
      <c r="AU787">
        <v>0</v>
      </c>
      <c r="AV787">
        <v>83</v>
      </c>
      <c r="AW787">
        <v>83</v>
      </c>
      <c r="AX787">
        <v>109</v>
      </c>
      <c r="AY787">
        <v>0</v>
      </c>
      <c r="AZ787" t="b">
        <v>0</v>
      </c>
      <c r="BA787">
        <v>1592</v>
      </c>
      <c r="BB787">
        <v>1678</v>
      </c>
      <c r="BC787">
        <v>6</v>
      </c>
      <c r="BD787" t="s">
        <v>7138</v>
      </c>
      <c r="BE787" s="1" t="s">
        <v>3594</v>
      </c>
      <c r="BF787">
        <v>0</v>
      </c>
      <c r="BG787">
        <v>71</v>
      </c>
      <c r="BH787">
        <v>1</v>
      </c>
      <c r="BI787" s="1" t="s">
        <v>397</v>
      </c>
      <c r="BJ787" s="1" t="s">
        <v>398</v>
      </c>
      <c r="BK787" s="1" t="s">
        <v>169</v>
      </c>
      <c r="BL787" s="1" t="s">
        <v>275</v>
      </c>
      <c r="BM787">
        <v>3</v>
      </c>
      <c r="BN787">
        <v>5</v>
      </c>
      <c r="BO787" s="1" t="s">
        <v>128</v>
      </c>
      <c r="BP787">
        <v>0.6</v>
      </c>
      <c r="BQ787">
        <v>0</v>
      </c>
      <c r="BR787">
        <v>0</v>
      </c>
      <c r="BS787" s="1" t="s">
        <v>159</v>
      </c>
      <c r="BT787">
        <v>1.2</v>
      </c>
      <c r="BU787" s="1" t="s">
        <v>129</v>
      </c>
      <c r="BV787">
        <v>0.4</v>
      </c>
      <c r="BW787" s="1" t="s">
        <v>125</v>
      </c>
      <c r="BX787">
        <v>2.8</v>
      </c>
      <c r="BY787" s="1" t="s">
        <v>161</v>
      </c>
      <c r="BZ787" s="1" t="s">
        <v>327</v>
      </c>
      <c r="CA787">
        <v>0.71</v>
      </c>
      <c r="CB787">
        <v>0.71</v>
      </c>
      <c r="CC787">
        <v>0.57999999999999996</v>
      </c>
      <c r="CD787">
        <v>0.57999999999999996</v>
      </c>
      <c r="CE787">
        <v>0.63</v>
      </c>
      <c r="CF787">
        <v>0.63</v>
      </c>
      <c r="CG787" s="1" t="s">
        <v>449</v>
      </c>
      <c r="CH787" s="1" t="s">
        <v>212</v>
      </c>
      <c r="CI787">
        <v>0</v>
      </c>
      <c r="CJ787">
        <v>6.6666666666666596E-2</v>
      </c>
      <c r="CK787">
        <v>1</v>
      </c>
      <c r="CL787" s="1" t="s">
        <v>206</v>
      </c>
      <c r="CM787" s="1" t="s">
        <v>1012</v>
      </c>
      <c r="CN787">
        <v>60.8</v>
      </c>
      <c r="CO787" s="1" t="s">
        <v>437</v>
      </c>
      <c r="CP787" s="1" t="s">
        <v>403</v>
      </c>
      <c r="CQ787">
        <v>130</v>
      </c>
      <c r="CR787" s="1" t="s">
        <v>7203</v>
      </c>
      <c r="CS787" s="1" t="s">
        <v>806</v>
      </c>
      <c r="CT787" s="1" t="s">
        <v>7204</v>
      </c>
      <c r="CU787">
        <v>1593</v>
      </c>
      <c r="CV787" s="1" t="s">
        <v>7205</v>
      </c>
      <c r="CW787">
        <v>63.9</v>
      </c>
      <c r="CX787">
        <v>67</v>
      </c>
      <c r="CY787">
        <v>71.8</v>
      </c>
      <c r="CZ787">
        <v>69</v>
      </c>
      <c r="DA787">
        <v>1</v>
      </c>
      <c r="DB787" t="s">
        <v>4395</v>
      </c>
      <c r="DC787">
        <v>71</v>
      </c>
      <c r="DD787" s="1" t="s">
        <v>7206</v>
      </c>
      <c r="DE787" s="1" t="s">
        <v>7207</v>
      </c>
      <c r="DF787" t="e">
        <f>_xlfn.XLOOKUP(Table1[[#This Row],[Player ID]],Table2[feed_id],Table2[trade_status])</f>
        <v>#N/A</v>
      </c>
      <c r="DG787">
        <f>_xlfn.NUMBERVALUE(Table1[[#This Row],[predicted]])</f>
        <v>60.377161456566903</v>
      </c>
    </row>
    <row r="788" spans="1:111" x14ac:dyDescent="0.25">
      <c r="A788">
        <v>132927</v>
      </c>
      <c r="B788">
        <v>9245</v>
      </c>
      <c r="C788" t="s">
        <v>8180</v>
      </c>
      <c r="D788" t="s">
        <v>3116</v>
      </c>
      <c r="E788">
        <v>2025</v>
      </c>
      <c r="F788">
        <v>998134</v>
      </c>
      <c r="G788" t="s">
        <v>1318</v>
      </c>
      <c r="H788" t="s">
        <v>8319</v>
      </c>
      <c r="I788" t="s">
        <v>391</v>
      </c>
      <c r="J788">
        <v>8</v>
      </c>
      <c r="K788">
        <v>66</v>
      </c>
      <c r="L788">
        <v>80</v>
      </c>
      <c r="M788">
        <v>43</v>
      </c>
      <c r="N788">
        <v>52</v>
      </c>
      <c r="O788">
        <v>72</v>
      </c>
      <c r="P788">
        <v>10</v>
      </c>
      <c r="Q788">
        <v>9</v>
      </c>
      <c r="R788">
        <v>3</v>
      </c>
      <c r="S788">
        <v>2</v>
      </c>
      <c r="T788">
        <v>0</v>
      </c>
      <c r="U788">
        <v>1</v>
      </c>
      <c r="V788">
        <v>0</v>
      </c>
      <c r="W788">
        <v>0</v>
      </c>
      <c r="X788">
        <v>0</v>
      </c>
      <c r="Y788" t="s">
        <v>113</v>
      </c>
      <c r="Z788" t="s">
        <v>179</v>
      </c>
      <c r="AA788" t="s">
        <v>8320</v>
      </c>
      <c r="AH788" t="s">
        <v>181</v>
      </c>
      <c r="AI788">
        <v>24</v>
      </c>
      <c r="AJ788">
        <v>0</v>
      </c>
      <c r="AK788">
        <v>0</v>
      </c>
      <c r="AL788">
        <v>0</v>
      </c>
      <c r="AM788">
        <v>0.18</v>
      </c>
      <c r="AN788">
        <v>0.12</v>
      </c>
      <c r="AO788">
        <v>0.09</v>
      </c>
      <c r="AS788">
        <v>6</v>
      </c>
      <c r="AT788">
        <v>1</v>
      </c>
      <c r="AU788">
        <v>1</v>
      </c>
      <c r="AV788">
        <v>68</v>
      </c>
      <c r="AW788">
        <v>94</v>
      </c>
      <c r="AX788">
        <v>242</v>
      </c>
      <c r="AY788">
        <v>0</v>
      </c>
      <c r="AZ788" t="b">
        <v>0</v>
      </c>
      <c r="BA788">
        <v>1799</v>
      </c>
      <c r="BB788">
        <v>1477</v>
      </c>
      <c r="BC788">
        <v>6</v>
      </c>
      <c r="BD788" t="s">
        <v>8277</v>
      </c>
      <c r="BE788" s="1" t="s">
        <v>3594</v>
      </c>
      <c r="BF788">
        <v>0</v>
      </c>
      <c r="BG788">
        <v>71</v>
      </c>
      <c r="BH788">
        <v>1</v>
      </c>
      <c r="BI788" s="1" t="s">
        <v>294</v>
      </c>
      <c r="BJ788" s="1" t="s">
        <v>949</v>
      </c>
      <c r="BK788" s="1" t="s">
        <v>545</v>
      </c>
      <c r="BL788" s="1" t="s">
        <v>168</v>
      </c>
      <c r="BM788" s="1" t="s">
        <v>211</v>
      </c>
      <c r="BN788">
        <v>6.4</v>
      </c>
      <c r="BO788" s="1" t="s">
        <v>161</v>
      </c>
      <c r="BP788">
        <v>1.4</v>
      </c>
      <c r="BQ788">
        <v>0</v>
      </c>
      <c r="BR788">
        <v>0</v>
      </c>
      <c r="BS788" s="1" t="s">
        <v>129</v>
      </c>
      <c r="BT788" s="1" t="s">
        <v>238</v>
      </c>
      <c r="BU788" s="1" t="s">
        <v>129</v>
      </c>
      <c r="BV788">
        <v>0.6</v>
      </c>
      <c r="BW788">
        <v>0</v>
      </c>
      <c r="BX788">
        <v>6.6666666666666596E-2</v>
      </c>
      <c r="BY788">
        <v>0</v>
      </c>
      <c r="BZ788" s="1" t="s">
        <v>213</v>
      </c>
      <c r="CA788">
        <v>0.18</v>
      </c>
      <c r="CB788">
        <v>0.18</v>
      </c>
      <c r="CC788">
        <v>0.12</v>
      </c>
      <c r="CD788">
        <v>0.12</v>
      </c>
      <c r="CE788">
        <v>0.09</v>
      </c>
      <c r="CF788">
        <v>0.09</v>
      </c>
      <c r="CG788">
        <v>5</v>
      </c>
      <c r="CH788" s="1" t="s">
        <v>449</v>
      </c>
      <c r="CI788" s="1" t="s">
        <v>129</v>
      </c>
      <c r="CJ788">
        <v>0.2</v>
      </c>
      <c r="CK788">
        <v>2</v>
      </c>
      <c r="CL788">
        <v>2</v>
      </c>
      <c r="CM788" s="1" t="s">
        <v>350</v>
      </c>
      <c r="CN788" s="1" t="s">
        <v>3984</v>
      </c>
      <c r="CO788" s="1" t="s">
        <v>645</v>
      </c>
      <c r="CP788">
        <v>90.2</v>
      </c>
      <c r="CQ788" s="1" t="s">
        <v>8321</v>
      </c>
      <c r="CR788" s="1" t="s">
        <v>8322</v>
      </c>
      <c r="CS788" s="1" t="s">
        <v>4566</v>
      </c>
      <c r="CT788">
        <v>1679</v>
      </c>
      <c r="CU788">
        <v>1616</v>
      </c>
      <c r="CV788">
        <v>1594.8</v>
      </c>
      <c r="CW788">
        <v>85.05</v>
      </c>
      <c r="CX788">
        <v>83.6</v>
      </c>
      <c r="CY788">
        <v>72.2</v>
      </c>
      <c r="CZ788" s="1" t="s">
        <v>754</v>
      </c>
      <c r="DA788">
        <v>1</v>
      </c>
      <c r="DB788" t="s">
        <v>179</v>
      </c>
      <c r="DC788">
        <v>80</v>
      </c>
      <c r="DD788">
        <v>70.480152601481194</v>
      </c>
      <c r="DE788" s="1" t="s">
        <v>8323</v>
      </c>
      <c r="DF788" t="str">
        <f>_xlfn.XLOOKUP(Table1[[#This Row],[Player ID]],Table2[feed_id],Table2[trade_status])</f>
        <v>free_agent</v>
      </c>
      <c r="DG788">
        <f>_xlfn.NUMBERVALUE(Table1[[#This Row],[predicted]])</f>
        <v>70.480152601481194</v>
      </c>
    </row>
    <row r="789" spans="1:111" x14ac:dyDescent="0.25">
      <c r="A789">
        <v>132860</v>
      </c>
      <c r="B789">
        <v>9244</v>
      </c>
      <c r="C789" t="s">
        <v>7983</v>
      </c>
      <c r="D789" t="s">
        <v>3116</v>
      </c>
      <c r="E789">
        <v>2025</v>
      </c>
      <c r="F789">
        <v>295584</v>
      </c>
      <c r="G789" t="s">
        <v>8034</v>
      </c>
      <c r="H789" t="s">
        <v>1378</v>
      </c>
      <c r="I789" t="s">
        <v>152</v>
      </c>
      <c r="J789">
        <v>8</v>
      </c>
      <c r="K789">
        <v>68</v>
      </c>
      <c r="L789">
        <v>67</v>
      </c>
      <c r="M789">
        <v>86</v>
      </c>
      <c r="N789">
        <v>55</v>
      </c>
      <c r="O789">
        <v>79</v>
      </c>
      <c r="P789">
        <v>13</v>
      </c>
      <c r="Q789">
        <v>9</v>
      </c>
      <c r="R789">
        <v>3</v>
      </c>
      <c r="S789">
        <v>1</v>
      </c>
      <c r="T789">
        <v>0</v>
      </c>
      <c r="U789">
        <v>0</v>
      </c>
      <c r="V789">
        <v>1</v>
      </c>
      <c r="W789">
        <v>0</v>
      </c>
      <c r="X789">
        <v>1</v>
      </c>
      <c r="Y789" t="s">
        <v>113</v>
      </c>
      <c r="Z789" t="s">
        <v>525</v>
      </c>
      <c r="AA789" t="s">
        <v>8035</v>
      </c>
      <c r="AE789">
        <v>0</v>
      </c>
      <c r="AH789" t="s">
        <v>181</v>
      </c>
      <c r="AI789">
        <v>8</v>
      </c>
      <c r="AJ789">
        <v>9</v>
      </c>
      <c r="AK789">
        <v>76.89</v>
      </c>
      <c r="AL789">
        <v>0</v>
      </c>
      <c r="AM789">
        <v>0</v>
      </c>
      <c r="AN789">
        <v>0.68</v>
      </c>
      <c r="AO789">
        <v>0.84</v>
      </c>
      <c r="AS789">
        <v>3</v>
      </c>
      <c r="AT789">
        <v>1</v>
      </c>
      <c r="AU789">
        <v>4</v>
      </c>
      <c r="AV789">
        <v>77</v>
      </c>
      <c r="AW789">
        <v>83</v>
      </c>
      <c r="AX789">
        <v>381</v>
      </c>
      <c r="AY789">
        <v>0</v>
      </c>
      <c r="AZ789" t="b">
        <v>0</v>
      </c>
      <c r="BA789">
        <v>1816</v>
      </c>
      <c r="BB789">
        <v>1473</v>
      </c>
      <c r="BC789">
        <v>6</v>
      </c>
      <c r="BD789" t="s">
        <v>7985</v>
      </c>
      <c r="BE789" s="1" t="s">
        <v>3594</v>
      </c>
      <c r="BF789">
        <v>0</v>
      </c>
      <c r="BG789">
        <v>71</v>
      </c>
      <c r="BH789">
        <v>0</v>
      </c>
      <c r="BI789">
        <v>13</v>
      </c>
      <c r="BJ789" s="1" t="s">
        <v>949</v>
      </c>
      <c r="BK789" s="1" t="s">
        <v>183</v>
      </c>
      <c r="BL789" s="1" t="s">
        <v>1092</v>
      </c>
      <c r="BM789" s="1" t="s">
        <v>211</v>
      </c>
      <c r="BN789" s="1" t="s">
        <v>565</v>
      </c>
      <c r="BO789">
        <v>1</v>
      </c>
      <c r="BP789">
        <v>1.2</v>
      </c>
      <c r="BQ789">
        <v>0</v>
      </c>
      <c r="BR789">
        <v>0</v>
      </c>
      <c r="BS789">
        <v>0</v>
      </c>
      <c r="BT789">
        <v>6.6666666666666596E-2</v>
      </c>
      <c r="BU789" s="1" t="s">
        <v>128</v>
      </c>
      <c r="BV789" s="1" t="s">
        <v>128</v>
      </c>
      <c r="BW789" s="1" t="s">
        <v>129</v>
      </c>
      <c r="BX789" s="1" t="s">
        <v>184</v>
      </c>
      <c r="BY789">
        <v>1</v>
      </c>
      <c r="BZ789">
        <v>0.2</v>
      </c>
      <c r="CA789">
        <v>0</v>
      </c>
      <c r="CB789">
        <v>0</v>
      </c>
      <c r="CC789">
        <v>0.68</v>
      </c>
      <c r="CD789">
        <v>0.68</v>
      </c>
      <c r="CE789">
        <v>0.84</v>
      </c>
      <c r="CF789">
        <v>0.84</v>
      </c>
      <c r="CG789" s="1" t="s">
        <v>211</v>
      </c>
      <c r="CH789" s="1" t="s">
        <v>237</v>
      </c>
      <c r="CI789" s="1" t="s">
        <v>161</v>
      </c>
      <c r="CJ789">
        <v>1</v>
      </c>
      <c r="CK789">
        <v>2</v>
      </c>
      <c r="CL789" s="1" t="s">
        <v>275</v>
      </c>
      <c r="CM789" s="1" t="s">
        <v>516</v>
      </c>
      <c r="CN789">
        <v>76.2</v>
      </c>
      <c r="CO789" s="1" t="s">
        <v>1491</v>
      </c>
      <c r="CP789">
        <v>82.8</v>
      </c>
      <c r="CQ789">
        <v>386</v>
      </c>
      <c r="CR789" s="1" t="s">
        <v>8036</v>
      </c>
      <c r="CS789" s="1" t="s">
        <v>7987</v>
      </c>
      <c r="CT789" s="1" t="s">
        <v>3736</v>
      </c>
      <c r="CU789" s="1" t="s">
        <v>7988</v>
      </c>
      <c r="CV789" s="1" t="s">
        <v>704</v>
      </c>
      <c r="CW789">
        <v>67.849999999999994</v>
      </c>
      <c r="CX789">
        <v>62.5</v>
      </c>
      <c r="CY789">
        <v>67.2</v>
      </c>
      <c r="CZ789" s="1" t="s">
        <v>552</v>
      </c>
      <c r="DA789">
        <v>1</v>
      </c>
      <c r="DB789" t="s">
        <v>525</v>
      </c>
      <c r="DC789">
        <v>67</v>
      </c>
      <c r="DD789" s="1" t="s">
        <v>8037</v>
      </c>
      <c r="DE789">
        <v>-3.23770565395307</v>
      </c>
      <c r="DF789" t="str">
        <f>_xlfn.XLOOKUP(Table1[[#This Row],[Player ID]],Table2[feed_id],Table2[trade_status])</f>
        <v>free_agent</v>
      </c>
      <c r="DG789">
        <f>_xlfn.NUMBERVALUE(Table1[[#This Row],[predicted]])</f>
        <v>70.237705653953</v>
      </c>
    </row>
    <row r="790" spans="1:111" x14ac:dyDescent="0.25">
      <c r="A790">
        <v>132908</v>
      </c>
      <c r="B790">
        <v>9245</v>
      </c>
      <c r="C790" t="s">
        <v>8180</v>
      </c>
      <c r="D790" t="s">
        <v>3116</v>
      </c>
      <c r="E790">
        <v>2025</v>
      </c>
      <c r="F790">
        <v>1005326</v>
      </c>
      <c r="G790" t="s">
        <v>2003</v>
      </c>
      <c r="H790" t="s">
        <v>8245</v>
      </c>
      <c r="I790" t="s">
        <v>425</v>
      </c>
      <c r="J790">
        <v>9</v>
      </c>
      <c r="K790">
        <v>57</v>
      </c>
      <c r="L790">
        <v>78</v>
      </c>
      <c r="M790">
        <v>69</v>
      </c>
      <c r="N790">
        <v>46</v>
      </c>
      <c r="O790">
        <v>61</v>
      </c>
      <c r="P790">
        <v>9</v>
      </c>
      <c r="Q790">
        <v>5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2</v>
      </c>
      <c r="X790">
        <v>1</v>
      </c>
      <c r="Y790" t="s">
        <v>113</v>
      </c>
      <c r="Z790" t="s">
        <v>5826</v>
      </c>
      <c r="AA790" t="s">
        <v>8246</v>
      </c>
      <c r="AH790" t="s">
        <v>118</v>
      </c>
      <c r="AI790">
        <v>44</v>
      </c>
      <c r="AJ790">
        <v>0</v>
      </c>
      <c r="AK790">
        <v>0</v>
      </c>
      <c r="AL790">
        <v>0</v>
      </c>
      <c r="AM790">
        <v>0.89</v>
      </c>
      <c r="AN790">
        <v>0.43</v>
      </c>
      <c r="AO790">
        <v>0.39</v>
      </c>
      <c r="AS790">
        <v>3</v>
      </c>
      <c r="AT790">
        <v>1</v>
      </c>
      <c r="AU790">
        <v>0</v>
      </c>
      <c r="AV790">
        <v>64</v>
      </c>
      <c r="AW790">
        <v>83</v>
      </c>
      <c r="AX790">
        <v>290</v>
      </c>
      <c r="AY790">
        <v>1</v>
      </c>
      <c r="AZ790" t="b">
        <v>0</v>
      </c>
      <c r="BA790">
        <v>1477</v>
      </c>
      <c r="BB790">
        <v>1799</v>
      </c>
      <c r="BC790">
        <v>6</v>
      </c>
      <c r="BD790" t="s">
        <v>8182</v>
      </c>
      <c r="BE790" s="1" t="s">
        <v>3594</v>
      </c>
      <c r="BF790">
        <v>0</v>
      </c>
      <c r="BG790">
        <v>71</v>
      </c>
      <c r="BH790">
        <v>1</v>
      </c>
      <c r="BI790">
        <v>7</v>
      </c>
      <c r="BJ790" s="1" t="s">
        <v>1079</v>
      </c>
      <c r="BK790" s="1" t="s">
        <v>183</v>
      </c>
      <c r="BL790" s="1" t="s">
        <v>398</v>
      </c>
      <c r="BM790">
        <v>2</v>
      </c>
      <c r="BN790" s="1" t="s">
        <v>140</v>
      </c>
      <c r="BO790" s="1" t="s">
        <v>159</v>
      </c>
      <c r="BP790">
        <v>3</v>
      </c>
      <c r="BQ790">
        <v>0</v>
      </c>
      <c r="BR790">
        <v>0</v>
      </c>
      <c r="BS790">
        <v>0</v>
      </c>
      <c r="BT790" s="1" t="s">
        <v>238</v>
      </c>
      <c r="BU790" s="1" t="s">
        <v>129</v>
      </c>
      <c r="BV790">
        <v>0.6</v>
      </c>
      <c r="BW790" s="1" t="s">
        <v>128</v>
      </c>
      <c r="BX790" s="1" t="s">
        <v>129</v>
      </c>
      <c r="BY790" s="1" t="s">
        <v>129</v>
      </c>
      <c r="BZ790">
        <v>0.2</v>
      </c>
      <c r="CA790">
        <v>0.89</v>
      </c>
      <c r="CB790">
        <v>0.89</v>
      </c>
      <c r="CC790">
        <v>0.43</v>
      </c>
      <c r="CD790">
        <v>0.43</v>
      </c>
      <c r="CE790">
        <v>0.39</v>
      </c>
      <c r="CF790">
        <v>0.39</v>
      </c>
      <c r="CG790" s="1" t="s">
        <v>138</v>
      </c>
      <c r="CH790" s="1" t="s">
        <v>160</v>
      </c>
      <c r="CI790" s="1" t="s">
        <v>129</v>
      </c>
      <c r="CJ790" s="1" t="s">
        <v>161</v>
      </c>
      <c r="CK790">
        <v>1</v>
      </c>
      <c r="CL790">
        <v>2</v>
      </c>
      <c r="CM790">
        <v>79</v>
      </c>
      <c r="CN790" s="1" t="s">
        <v>4144</v>
      </c>
      <c r="CO790" s="1" t="s">
        <v>305</v>
      </c>
      <c r="CP790">
        <v>76</v>
      </c>
      <c r="CQ790" s="1" t="s">
        <v>5760</v>
      </c>
      <c r="CR790">
        <v>206</v>
      </c>
      <c r="CS790" s="1" t="s">
        <v>3934</v>
      </c>
      <c r="CT790" s="1" t="s">
        <v>2124</v>
      </c>
      <c r="CU790" s="1" t="s">
        <v>1533</v>
      </c>
      <c r="CV790">
        <v>1606.6</v>
      </c>
      <c r="CW790">
        <v>61.75</v>
      </c>
      <c r="CX790">
        <v>54.7</v>
      </c>
      <c r="CY790">
        <v>71.2</v>
      </c>
      <c r="CZ790" s="1" t="s">
        <v>141</v>
      </c>
      <c r="DA790">
        <v>1</v>
      </c>
      <c r="DB790" t="s">
        <v>5826</v>
      </c>
      <c r="DC790">
        <v>78</v>
      </c>
      <c r="DD790" s="1" t="s">
        <v>8247</v>
      </c>
      <c r="DE790" s="1" t="s">
        <v>8248</v>
      </c>
      <c r="DF790" t="str">
        <f>_xlfn.XLOOKUP(Table1[[#This Row],[Player ID]],Table2[feed_id],Table2[trade_status])</f>
        <v>free_agent</v>
      </c>
      <c r="DG790">
        <f>_xlfn.NUMBERVALUE(Table1[[#This Row],[predicted]])</f>
        <v>70.224073858478107</v>
      </c>
    </row>
    <row r="791" spans="1:111" x14ac:dyDescent="0.25">
      <c r="A791">
        <v>132823</v>
      </c>
      <c r="B791">
        <v>9243</v>
      </c>
      <c r="C791" t="s">
        <v>7798</v>
      </c>
      <c r="D791" t="s">
        <v>3116</v>
      </c>
      <c r="E791">
        <v>2025</v>
      </c>
      <c r="F791">
        <v>293813</v>
      </c>
      <c r="G791" t="s">
        <v>7877</v>
      </c>
      <c r="H791" t="s">
        <v>3943</v>
      </c>
      <c r="I791" t="s">
        <v>317</v>
      </c>
      <c r="J791">
        <v>8</v>
      </c>
      <c r="K791">
        <v>29</v>
      </c>
      <c r="L791">
        <v>34</v>
      </c>
      <c r="M791">
        <v>36</v>
      </c>
      <c r="N791">
        <v>24</v>
      </c>
      <c r="O791">
        <v>30</v>
      </c>
      <c r="P791">
        <v>3</v>
      </c>
      <c r="Q791">
        <v>2</v>
      </c>
      <c r="R791">
        <v>2</v>
      </c>
      <c r="S791">
        <v>1</v>
      </c>
      <c r="T791">
        <v>0</v>
      </c>
      <c r="U791">
        <v>0</v>
      </c>
      <c r="V791">
        <v>0</v>
      </c>
      <c r="W791">
        <v>1</v>
      </c>
      <c r="X791">
        <v>0</v>
      </c>
      <c r="Y791" t="s">
        <v>113</v>
      </c>
      <c r="Z791" t="s">
        <v>656</v>
      </c>
      <c r="AA791" t="s">
        <v>7878</v>
      </c>
      <c r="AB791" t="s">
        <v>116</v>
      </c>
      <c r="AC791" t="s">
        <v>7879</v>
      </c>
      <c r="AE791">
        <v>0</v>
      </c>
      <c r="AH791" t="s">
        <v>155</v>
      </c>
      <c r="AI791">
        <v>19</v>
      </c>
      <c r="AJ791">
        <v>10</v>
      </c>
      <c r="AK791">
        <v>67.099999999999994</v>
      </c>
      <c r="AL791">
        <v>0</v>
      </c>
      <c r="AM791">
        <v>0</v>
      </c>
      <c r="AN791">
        <v>16.28</v>
      </c>
      <c r="AO791">
        <v>1.3</v>
      </c>
      <c r="AS791">
        <v>1</v>
      </c>
      <c r="AT791">
        <v>0</v>
      </c>
      <c r="AU791">
        <v>1</v>
      </c>
      <c r="AV791">
        <v>60</v>
      </c>
      <c r="AW791">
        <v>62</v>
      </c>
      <c r="AX791">
        <v>123</v>
      </c>
      <c r="AY791">
        <v>1</v>
      </c>
      <c r="AZ791" t="b">
        <v>1</v>
      </c>
      <c r="BA791">
        <v>1728</v>
      </c>
      <c r="BB791">
        <v>1559</v>
      </c>
      <c r="BC791">
        <v>6</v>
      </c>
      <c r="BD791" t="s">
        <v>7800</v>
      </c>
      <c r="BE791" s="1" t="s">
        <v>3594</v>
      </c>
      <c r="BF791">
        <v>0</v>
      </c>
      <c r="BG791">
        <v>71</v>
      </c>
      <c r="BH791">
        <v>0</v>
      </c>
      <c r="BI791" s="1" t="s">
        <v>160</v>
      </c>
      <c r="BJ791" s="1" t="s">
        <v>729</v>
      </c>
      <c r="BK791" s="1" t="s">
        <v>161</v>
      </c>
      <c r="BL791" s="1" t="s">
        <v>169</v>
      </c>
      <c r="BM791">
        <v>3</v>
      </c>
      <c r="BN791" s="1" t="s">
        <v>781</v>
      </c>
      <c r="BO791">
        <v>1</v>
      </c>
      <c r="BP791" s="1" t="s">
        <v>399</v>
      </c>
      <c r="BQ791">
        <v>0</v>
      </c>
      <c r="BR791">
        <v>0.2</v>
      </c>
      <c r="BS791" s="1" t="s">
        <v>129</v>
      </c>
      <c r="BT791">
        <v>1.2</v>
      </c>
      <c r="BU791" s="1" t="s">
        <v>128</v>
      </c>
      <c r="BV791" s="1" t="s">
        <v>126</v>
      </c>
      <c r="BW791">
        <v>1</v>
      </c>
      <c r="BX791" s="1" t="s">
        <v>159</v>
      </c>
      <c r="BY791" s="1" t="s">
        <v>128</v>
      </c>
      <c r="BZ791" s="1" t="s">
        <v>127</v>
      </c>
      <c r="CA791">
        <v>0</v>
      </c>
      <c r="CB791">
        <v>0.60399999999999998</v>
      </c>
      <c r="CC791">
        <v>16.28</v>
      </c>
      <c r="CD791" s="1" t="s">
        <v>7880</v>
      </c>
      <c r="CE791">
        <v>1.3</v>
      </c>
      <c r="CF791" s="1" t="s">
        <v>7881</v>
      </c>
      <c r="CG791" s="1" t="s">
        <v>138</v>
      </c>
      <c r="CH791" s="1" t="s">
        <v>260</v>
      </c>
      <c r="CI791">
        <v>0</v>
      </c>
      <c r="CJ791" s="1" t="s">
        <v>184</v>
      </c>
      <c r="CK791" s="1" t="s">
        <v>126</v>
      </c>
      <c r="CL791" s="1" t="s">
        <v>140</v>
      </c>
      <c r="CM791" s="1" t="s">
        <v>1838</v>
      </c>
      <c r="CN791">
        <v>64.599999999999994</v>
      </c>
      <c r="CO791" s="1" t="s">
        <v>241</v>
      </c>
      <c r="CP791" s="1" t="s">
        <v>720</v>
      </c>
      <c r="CQ791" s="1" t="s">
        <v>7882</v>
      </c>
      <c r="CR791" s="1" t="s">
        <v>7883</v>
      </c>
      <c r="CS791" s="1" t="s">
        <v>4221</v>
      </c>
      <c r="CT791" s="1" t="s">
        <v>7884</v>
      </c>
      <c r="CU791" s="1" t="s">
        <v>5939</v>
      </c>
      <c r="CV791" s="1" t="s">
        <v>7885</v>
      </c>
      <c r="CW791">
        <v>72.45</v>
      </c>
      <c r="CX791">
        <v>42.7</v>
      </c>
      <c r="CY791">
        <v>41.2</v>
      </c>
      <c r="CZ791" s="1" t="s">
        <v>576</v>
      </c>
      <c r="DA791">
        <v>1</v>
      </c>
      <c r="DB791" t="s">
        <v>656</v>
      </c>
      <c r="DC791">
        <v>34</v>
      </c>
      <c r="DD791" s="1" t="s">
        <v>7886</v>
      </c>
      <c r="DE791">
        <v>-36.177948130511297</v>
      </c>
      <c r="DF791" t="str">
        <f>_xlfn.XLOOKUP(Table1[[#This Row],[Player ID]],Table2[feed_id],Table2[trade_status])</f>
        <v>free_agent</v>
      </c>
      <c r="DG791">
        <f>_xlfn.NUMBERVALUE(Table1[[#This Row],[predicted]])</f>
        <v>70.177948130511297</v>
      </c>
    </row>
    <row r="792" spans="1:111" x14ac:dyDescent="0.25">
      <c r="A792">
        <v>132648</v>
      </c>
      <c r="B792">
        <v>9239</v>
      </c>
      <c r="C792" t="s">
        <v>7040</v>
      </c>
      <c r="D792" t="s">
        <v>3116</v>
      </c>
      <c r="E792">
        <v>2025</v>
      </c>
      <c r="F792">
        <v>1005992</v>
      </c>
      <c r="G792" t="s">
        <v>1087</v>
      </c>
      <c r="H792" t="s">
        <v>7137</v>
      </c>
      <c r="I792" t="s">
        <v>524</v>
      </c>
      <c r="J792">
        <v>27</v>
      </c>
      <c r="K792">
        <v>108</v>
      </c>
      <c r="L792">
        <v>104</v>
      </c>
      <c r="M792">
        <v>83</v>
      </c>
      <c r="N792">
        <v>90</v>
      </c>
      <c r="O792">
        <v>112</v>
      </c>
      <c r="P792">
        <v>14</v>
      </c>
      <c r="Q792">
        <v>6</v>
      </c>
      <c r="R792">
        <v>13</v>
      </c>
      <c r="S792">
        <v>2</v>
      </c>
      <c r="T792">
        <v>0</v>
      </c>
      <c r="U792">
        <v>0</v>
      </c>
      <c r="V792">
        <v>0</v>
      </c>
      <c r="W792">
        <v>1</v>
      </c>
      <c r="X792">
        <v>1</v>
      </c>
      <c r="Y792" t="s">
        <v>113</v>
      </c>
      <c r="Z792" t="s">
        <v>339</v>
      </c>
      <c r="AA792" t="s">
        <v>815</v>
      </c>
      <c r="AB792" t="s">
        <v>226</v>
      </c>
      <c r="AC792" t="s">
        <v>1482</v>
      </c>
      <c r="AH792" t="s">
        <v>155</v>
      </c>
      <c r="AI792">
        <v>40</v>
      </c>
      <c r="AJ792">
        <v>0</v>
      </c>
      <c r="AK792">
        <v>0</v>
      </c>
      <c r="AL792">
        <v>0</v>
      </c>
      <c r="AM792">
        <v>0.13</v>
      </c>
      <c r="AN792">
        <v>0.28000000000000003</v>
      </c>
      <c r="AO792">
        <v>0.23</v>
      </c>
      <c r="AS792">
        <v>3</v>
      </c>
      <c r="AT792">
        <v>0</v>
      </c>
      <c r="AU792">
        <v>0</v>
      </c>
      <c r="AV792">
        <v>90</v>
      </c>
      <c r="AW792">
        <v>80</v>
      </c>
      <c r="AX792">
        <v>690</v>
      </c>
      <c r="AY792">
        <v>0</v>
      </c>
      <c r="AZ792" t="b">
        <v>0</v>
      </c>
      <c r="BA792">
        <v>1592</v>
      </c>
      <c r="BB792">
        <v>1678</v>
      </c>
      <c r="BC792">
        <v>6</v>
      </c>
      <c r="BD792" t="s">
        <v>7138</v>
      </c>
      <c r="BE792" s="1" t="s">
        <v>3594</v>
      </c>
      <c r="BF792">
        <v>1</v>
      </c>
      <c r="BG792">
        <v>71</v>
      </c>
      <c r="BH792">
        <v>1</v>
      </c>
      <c r="BI792" s="1" t="s">
        <v>157</v>
      </c>
      <c r="BJ792" s="1" t="s">
        <v>276</v>
      </c>
      <c r="BK792" s="1" t="s">
        <v>397</v>
      </c>
      <c r="BL792" s="1" t="s">
        <v>898</v>
      </c>
      <c r="BM792" s="1" t="s">
        <v>449</v>
      </c>
      <c r="BN792" s="1" t="s">
        <v>230</v>
      </c>
      <c r="BO792">
        <v>3</v>
      </c>
      <c r="BP792" s="1" t="s">
        <v>304</v>
      </c>
      <c r="BQ792">
        <v>0</v>
      </c>
      <c r="BR792">
        <v>0</v>
      </c>
      <c r="BS792">
        <v>1</v>
      </c>
      <c r="BT792">
        <v>0.4</v>
      </c>
      <c r="BU792">
        <v>0</v>
      </c>
      <c r="BV792" s="1" t="s">
        <v>231</v>
      </c>
      <c r="BW792" s="1" t="s">
        <v>129</v>
      </c>
      <c r="BX792" s="1" t="s">
        <v>213</v>
      </c>
      <c r="BY792" s="1" t="s">
        <v>128</v>
      </c>
      <c r="BZ792" s="1" t="s">
        <v>184</v>
      </c>
      <c r="CA792">
        <v>0.13</v>
      </c>
      <c r="CB792">
        <v>0.13</v>
      </c>
      <c r="CC792">
        <v>0.28000000000000003</v>
      </c>
      <c r="CD792">
        <v>0.28000000000000003</v>
      </c>
      <c r="CE792">
        <v>0.23</v>
      </c>
      <c r="CF792">
        <v>0.23</v>
      </c>
      <c r="CG792" s="1" t="s">
        <v>124</v>
      </c>
      <c r="CH792">
        <v>4.2</v>
      </c>
      <c r="CI792" s="1" t="s">
        <v>128</v>
      </c>
      <c r="CJ792" s="1" t="s">
        <v>231</v>
      </c>
      <c r="CK792">
        <v>2</v>
      </c>
      <c r="CL792" s="1" t="s">
        <v>214</v>
      </c>
      <c r="CM792" s="1" t="s">
        <v>2147</v>
      </c>
      <c r="CN792" s="1" t="s">
        <v>216</v>
      </c>
      <c r="CO792">
        <v>79</v>
      </c>
      <c r="CP792">
        <v>76.599999999999994</v>
      </c>
      <c r="CQ792" s="1" t="s">
        <v>7139</v>
      </c>
      <c r="CR792" s="1" t="s">
        <v>7140</v>
      </c>
      <c r="CS792" s="1" t="s">
        <v>806</v>
      </c>
      <c r="CT792">
        <v>1656.2</v>
      </c>
      <c r="CU792">
        <v>1593</v>
      </c>
      <c r="CV792" s="1" t="s">
        <v>2240</v>
      </c>
      <c r="CW792">
        <v>69.099999999999994</v>
      </c>
      <c r="CX792">
        <v>73.400000000000006</v>
      </c>
      <c r="CY792">
        <v>71.599999999999994</v>
      </c>
      <c r="CZ792" s="1" t="s">
        <v>1258</v>
      </c>
      <c r="DA792">
        <v>1</v>
      </c>
      <c r="DB792" t="s">
        <v>339</v>
      </c>
      <c r="DC792">
        <v>104</v>
      </c>
      <c r="DD792" s="1" t="s">
        <v>7141</v>
      </c>
      <c r="DE792" s="1" t="s">
        <v>7142</v>
      </c>
      <c r="DF792" t="str">
        <f>_xlfn.XLOOKUP(Table1[[#This Row],[Player ID]],Table2[feed_id],Table2[trade_status])</f>
        <v>free_agent</v>
      </c>
      <c r="DG792">
        <f>_xlfn.NUMBERVALUE(Table1[[#This Row],[predicted]])</f>
        <v>70.055117419812902</v>
      </c>
    </row>
    <row r="793" spans="1:111" hidden="1" x14ac:dyDescent="0.25">
      <c r="A793">
        <v>132670</v>
      </c>
      <c r="B793">
        <v>9240</v>
      </c>
      <c r="C793" t="s">
        <v>7230</v>
      </c>
      <c r="D793" t="s">
        <v>3116</v>
      </c>
      <c r="E793">
        <v>2025</v>
      </c>
      <c r="F793">
        <v>1006094</v>
      </c>
      <c r="G793" t="s">
        <v>958</v>
      </c>
      <c r="H793" t="s">
        <v>7231</v>
      </c>
      <c r="I793" t="s">
        <v>249</v>
      </c>
      <c r="J793">
        <v>36</v>
      </c>
      <c r="K793">
        <v>126</v>
      </c>
      <c r="L793">
        <v>141</v>
      </c>
      <c r="M793">
        <v>147</v>
      </c>
      <c r="N793">
        <v>113</v>
      </c>
      <c r="O793">
        <v>150</v>
      </c>
      <c r="P793">
        <v>13</v>
      </c>
      <c r="Q793">
        <v>24</v>
      </c>
      <c r="R793">
        <v>6</v>
      </c>
      <c r="S793">
        <v>1</v>
      </c>
      <c r="T793">
        <v>0</v>
      </c>
      <c r="U793">
        <v>2</v>
      </c>
      <c r="V793">
        <v>1</v>
      </c>
      <c r="W793">
        <v>3</v>
      </c>
      <c r="X793">
        <v>0</v>
      </c>
      <c r="Y793" t="s">
        <v>113</v>
      </c>
      <c r="Z793" t="s">
        <v>6775</v>
      </c>
      <c r="AA793" t="s">
        <v>7232</v>
      </c>
      <c r="AB793" t="s">
        <v>525</v>
      </c>
      <c r="AC793" t="s">
        <v>7233</v>
      </c>
      <c r="AH793" t="s">
        <v>118</v>
      </c>
      <c r="AI793">
        <v>18</v>
      </c>
      <c r="AJ793">
        <v>0</v>
      </c>
      <c r="AK793">
        <v>0</v>
      </c>
      <c r="AL793">
        <v>0</v>
      </c>
      <c r="AM793">
        <v>32.369999999999997</v>
      </c>
      <c r="AN793">
        <v>35.39</v>
      </c>
      <c r="AO793">
        <v>25.83</v>
      </c>
      <c r="AS793">
        <v>11</v>
      </c>
      <c r="AT793">
        <v>5</v>
      </c>
      <c r="AU793">
        <v>3</v>
      </c>
      <c r="AV793">
        <v>78</v>
      </c>
      <c r="AW793">
        <v>84</v>
      </c>
      <c r="AX793">
        <v>422</v>
      </c>
      <c r="AY793">
        <v>1</v>
      </c>
      <c r="AZ793" t="b">
        <v>0</v>
      </c>
      <c r="BA793">
        <v>1285</v>
      </c>
      <c r="BB793">
        <v>1976</v>
      </c>
      <c r="BC793">
        <v>6</v>
      </c>
      <c r="BD793" t="s">
        <v>7234</v>
      </c>
      <c r="BE793" s="1" t="s">
        <v>3594</v>
      </c>
      <c r="BF793">
        <v>1</v>
      </c>
      <c r="BG793">
        <v>71</v>
      </c>
      <c r="BH793">
        <v>1</v>
      </c>
      <c r="BI793" s="1" t="s">
        <v>122</v>
      </c>
      <c r="BJ793" s="1" t="s">
        <v>276</v>
      </c>
      <c r="BK793" s="1" t="s">
        <v>5221</v>
      </c>
      <c r="BL793" s="1" t="s">
        <v>7235</v>
      </c>
      <c r="BM793" s="1" t="s">
        <v>160</v>
      </c>
      <c r="BN793">
        <v>3.4</v>
      </c>
      <c r="BO793" s="1" t="s">
        <v>160</v>
      </c>
      <c r="BP793" s="1" t="s">
        <v>680</v>
      </c>
      <c r="BQ793">
        <v>0</v>
      </c>
      <c r="BR793">
        <v>0</v>
      </c>
      <c r="BS793">
        <v>2</v>
      </c>
      <c r="BT793">
        <v>1</v>
      </c>
      <c r="BU793">
        <v>1</v>
      </c>
      <c r="BV793">
        <v>1</v>
      </c>
      <c r="BW793">
        <v>1</v>
      </c>
      <c r="BX793">
        <v>0.4</v>
      </c>
      <c r="BY793" s="1" t="s">
        <v>129</v>
      </c>
      <c r="BZ793" s="1" t="s">
        <v>184</v>
      </c>
      <c r="CA793">
        <v>32.369999999999997</v>
      </c>
      <c r="CB793">
        <v>32.369999999999997</v>
      </c>
      <c r="CC793">
        <v>35.39</v>
      </c>
      <c r="CD793">
        <v>35.39</v>
      </c>
      <c r="CE793">
        <v>25.83</v>
      </c>
      <c r="CF793">
        <v>25.83</v>
      </c>
      <c r="CG793">
        <v>10</v>
      </c>
      <c r="CH793" s="1" t="s">
        <v>1761</v>
      </c>
      <c r="CI793" s="1" t="s">
        <v>211</v>
      </c>
      <c r="CJ793">
        <v>4.2</v>
      </c>
      <c r="CK793">
        <v>4</v>
      </c>
      <c r="CL793" s="1" t="s">
        <v>321</v>
      </c>
      <c r="CM793">
        <v>74</v>
      </c>
      <c r="CN793" s="1" t="s">
        <v>3322</v>
      </c>
      <c r="CO793" s="1" t="s">
        <v>268</v>
      </c>
      <c r="CP793" s="1" t="s">
        <v>5252</v>
      </c>
      <c r="CQ793" s="1" t="s">
        <v>7236</v>
      </c>
      <c r="CR793" s="1" t="s">
        <v>7237</v>
      </c>
      <c r="CS793" s="1" t="s">
        <v>7238</v>
      </c>
      <c r="CT793">
        <v>1649.6</v>
      </c>
      <c r="CU793" s="1" t="s">
        <v>7239</v>
      </c>
      <c r="CV793" s="1" t="s">
        <v>6253</v>
      </c>
      <c r="CW793">
        <v>102.6</v>
      </c>
      <c r="CX793">
        <v>103.7</v>
      </c>
      <c r="CY793">
        <v>103.2</v>
      </c>
      <c r="CZ793" s="1" t="s">
        <v>3283</v>
      </c>
      <c r="DA793">
        <v>1</v>
      </c>
      <c r="DB793" t="s">
        <v>6775</v>
      </c>
      <c r="DC793">
        <v>141</v>
      </c>
      <c r="DD793" s="1" t="s">
        <v>7240</v>
      </c>
      <c r="DE793" s="1" t="s">
        <v>7241</v>
      </c>
      <c r="DF793" t="e">
        <f>_xlfn.XLOOKUP(Table1[[#This Row],[Player ID]],Table2[feed_id],Table2[trade_status])</f>
        <v>#N/A</v>
      </c>
      <c r="DG793">
        <f>_xlfn.NUMBERVALUE(Table1[[#This Row],[predicted]])</f>
        <v>101.934873269104</v>
      </c>
    </row>
    <row r="794" spans="1:111" hidden="1" x14ac:dyDescent="0.25">
      <c r="A794">
        <v>132671</v>
      </c>
      <c r="B794">
        <v>9240</v>
      </c>
      <c r="C794" t="s">
        <v>7230</v>
      </c>
      <c r="D794" t="s">
        <v>3116</v>
      </c>
      <c r="E794">
        <v>2025</v>
      </c>
      <c r="F794">
        <v>294036</v>
      </c>
      <c r="G794" t="s">
        <v>2908</v>
      </c>
      <c r="H794" t="s">
        <v>7242</v>
      </c>
      <c r="I794" t="s">
        <v>249</v>
      </c>
      <c r="J794">
        <v>25</v>
      </c>
      <c r="K794">
        <v>121</v>
      </c>
      <c r="L794">
        <v>132</v>
      </c>
      <c r="M794">
        <v>148</v>
      </c>
      <c r="N794">
        <v>104</v>
      </c>
      <c r="O794">
        <v>144</v>
      </c>
      <c r="P794">
        <v>17</v>
      </c>
      <c r="Q794">
        <v>22</v>
      </c>
      <c r="R794">
        <v>8</v>
      </c>
      <c r="S794">
        <v>1</v>
      </c>
      <c r="T794">
        <v>0</v>
      </c>
      <c r="U794">
        <v>1</v>
      </c>
      <c r="V794">
        <v>1</v>
      </c>
      <c r="W794">
        <v>0</v>
      </c>
      <c r="X794">
        <v>0</v>
      </c>
      <c r="Y794" t="s">
        <v>113</v>
      </c>
      <c r="Z794" t="s">
        <v>3425</v>
      </c>
      <c r="AA794" t="s">
        <v>5918</v>
      </c>
      <c r="AB794" t="s">
        <v>877</v>
      </c>
      <c r="AC794" t="s">
        <v>5284</v>
      </c>
      <c r="AH794" t="s">
        <v>118</v>
      </c>
      <c r="AI794">
        <v>29</v>
      </c>
      <c r="AJ794">
        <v>0</v>
      </c>
      <c r="AK794">
        <v>0</v>
      </c>
      <c r="AL794">
        <v>0</v>
      </c>
      <c r="AM794">
        <v>0.93</v>
      </c>
      <c r="AN794">
        <v>0.47</v>
      </c>
      <c r="AO794">
        <v>1.27</v>
      </c>
      <c r="AS794">
        <v>13</v>
      </c>
      <c r="AT794">
        <v>8</v>
      </c>
      <c r="AU794">
        <v>3</v>
      </c>
      <c r="AV794">
        <v>76</v>
      </c>
      <c r="AW794">
        <v>80</v>
      </c>
      <c r="AX794">
        <v>440</v>
      </c>
      <c r="AY794">
        <v>0</v>
      </c>
      <c r="AZ794" t="b">
        <v>0</v>
      </c>
      <c r="BA794">
        <v>1285</v>
      </c>
      <c r="BB794">
        <v>1976</v>
      </c>
      <c r="BC794">
        <v>6</v>
      </c>
      <c r="BD794" t="s">
        <v>7234</v>
      </c>
      <c r="BE794" s="1" t="s">
        <v>3594</v>
      </c>
      <c r="BF794">
        <v>1</v>
      </c>
      <c r="BG794">
        <v>71</v>
      </c>
      <c r="BH794">
        <v>1</v>
      </c>
      <c r="BI794" s="1" t="s">
        <v>622</v>
      </c>
      <c r="BJ794" s="1" t="s">
        <v>7243</v>
      </c>
      <c r="BK794">
        <v>17</v>
      </c>
      <c r="BL794" s="1" t="s">
        <v>1817</v>
      </c>
      <c r="BM794" s="1" t="s">
        <v>160</v>
      </c>
      <c r="BN794" s="1" t="s">
        <v>766</v>
      </c>
      <c r="BO794" s="1" t="s">
        <v>449</v>
      </c>
      <c r="BP794" s="1" t="s">
        <v>1092</v>
      </c>
      <c r="BQ794">
        <v>0</v>
      </c>
      <c r="BR794">
        <v>0</v>
      </c>
      <c r="BS794" s="1" t="s">
        <v>161</v>
      </c>
      <c r="BT794" s="1" t="s">
        <v>327</v>
      </c>
      <c r="BU794" s="1" t="s">
        <v>126</v>
      </c>
      <c r="BV794" s="1" t="s">
        <v>257</v>
      </c>
      <c r="BW794" s="1" t="s">
        <v>128</v>
      </c>
      <c r="BX794">
        <v>0.4</v>
      </c>
      <c r="BY794" s="1" t="s">
        <v>129</v>
      </c>
      <c r="BZ794">
        <v>0.2</v>
      </c>
      <c r="CA794">
        <v>0.93</v>
      </c>
      <c r="CB794">
        <v>0.93</v>
      </c>
      <c r="CC794">
        <v>0.47</v>
      </c>
      <c r="CD794">
        <v>0.47</v>
      </c>
      <c r="CE794">
        <v>1.27</v>
      </c>
      <c r="CF794">
        <v>1.27</v>
      </c>
      <c r="CG794" s="1" t="s">
        <v>123</v>
      </c>
      <c r="CH794">
        <v>12</v>
      </c>
      <c r="CI794" s="1" t="s">
        <v>183</v>
      </c>
      <c r="CJ794" s="1" t="s">
        <v>139</v>
      </c>
      <c r="CK794">
        <v>4</v>
      </c>
      <c r="CL794">
        <v>3.8</v>
      </c>
      <c r="CM794">
        <v>73</v>
      </c>
      <c r="CN794" s="1" t="s">
        <v>1752</v>
      </c>
      <c r="CO794">
        <v>80</v>
      </c>
      <c r="CP794" s="1" t="s">
        <v>6688</v>
      </c>
      <c r="CQ794" s="1" t="s">
        <v>7244</v>
      </c>
      <c r="CR794">
        <v>335.6</v>
      </c>
      <c r="CS794" s="1" t="s">
        <v>7238</v>
      </c>
      <c r="CT794" s="1" t="s">
        <v>1667</v>
      </c>
      <c r="CU794" s="1" t="s">
        <v>7239</v>
      </c>
      <c r="CV794" s="1" t="s">
        <v>6864</v>
      </c>
      <c r="CW794">
        <v>101.35</v>
      </c>
      <c r="CX794">
        <v>117.1</v>
      </c>
      <c r="CY794">
        <v>120</v>
      </c>
      <c r="CZ794" s="1" t="s">
        <v>5526</v>
      </c>
      <c r="DA794">
        <v>1</v>
      </c>
      <c r="DB794" t="s">
        <v>3425</v>
      </c>
      <c r="DC794">
        <v>132</v>
      </c>
      <c r="DD794" s="1" t="s">
        <v>7245</v>
      </c>
      <c r="DE794" s="1" t="s">
        <v>7246</v>
      </c>
      <c r="DF794" t="e">
        <f>_xlfn.XLOOKUP(Table1[[#This Row],[Player ID]],Table2[feed_id],Table2[trade_status])</f>
        <v>#N/A</v>
      </c>
      <c r="DG794">
        <f>_xlfn.NUMBERVALUE(Table1[[#This Row],[predicted]])</f>
        <v>95.404099431191099</v>
      </c>
    </row>
    <row r="795" spans="1:111" hidden="1" x14ac:dyDescent="0.25">
      <c r="A795">
        <v>132672</v>
      </c>
      <c r="B795">
        <v>9240</v>
      </c>
      <c r="C795" t="s">
        <v>7230</v>
      </c>
      <c r="D795" t="s">
        <v>3116</v>
      </c>
      <c r="E795">
        <v>2025</v>
      </c>
      <c r="F795">
        <v>1002239</v>
      </c>
      <c r="G795" t="s">
        <v>150</v>
      </c>
      <c r="H795" t="s">
        <v>7247</v>
      </c>
      <c r="I795" t="s">
        <v>249</v>
      </c>
      <c r="J795">
        <v>20</v>
      </c>
      <c r="K795">
        <v>101</v>
      </c>
      <c r="L795">
        <v>117</v>
      </c>
      <c r="M795">
        <v>126</v>
      </c>
      <c r="N795">
        <v>81</v>
      </c>
      <c r="O795">
        <v>111</v>
      </c>
      <c r="P795">
        <v>10</v>
      </c>
      <c r="Q795">
        <v>17</v>
      </c>
      <c r="R795">
        <v>5</v>
      </c>
      <c r="S795">
        <v>5</v>
      </c>
      <c r="T795">
        <v>0</v>
      </c>
      <c r="U795">
        <v>2</v>
      </c>
      <c r="V795">
        <v>0</v>
      </c>
      <c r="W795">
        <v>0</v>
      </c>
      <c r="X795">
        <v>0</v>
      </c>
      <c r="Y795" t="s">
        <v>113</v>
      </c>
      <c r="Z795" t="s">
        <v>1813</v>
      </c>
      <c r="AA795" t="s">
        <v>1827</v>
      </c>
      <c r="AB795" t="s">
        <v>877</v>
      </c>
      <c r="AC795" t="s">
        <v>6777</v>
      </c>
      <c r="AE795">
        <v>0</v>
      </c>
      <c r="AH795" t="s">
        <v>118</v>
      </c>
      <c r="AI795">
        <v>5</v>
      </c>
      <c r="AJ795">
        <v>20</v>
      </c>
      <c r="AK795">
        <v>59.5</v>
      </c>
      <c r="AL795">
        <v>0</v>
      </c>
      <c r="AM795">
        <v>0</v>
      </c>
      <c r="AN795">
        <v>0.8</v>
      </c>
      <c r="AO795">
        <v>0.65</v>
      </c>
      <c r="AS795">
        <v>14</v>
      </c>
      <c r="AT795">
        <v>8</v>
      </c>
      <c r="AU795">
        <v>1</v>
      </c>
      <c r="AV795">
        <v>77</v>
      </c>
      <c r="AW795">
        <v>78</v>
      </c>
      <c r="AX795">
        <v>339</v>
      </c>
      <c r="AY795">
        <v>0</v>
      </c>
      <c r="AZ795" t="b">
        <v>0</v>
      </c>
      <c r="BA795">
        <v>1285</v>
      </c>
      <c r="BB795">
        <v>1976</v>
      </c>
      <c r="BC795">
        <v>6</v>
      </c>
      <c r="BD795" t="s">
        <v>7234</v>
      </c>
      <c r="BE795" s="1" t="s">
        <v>3594</v>
      </c>
      <c r="BF795">
        <v>1</v>
      </c>
      <c r="BG795">
        <v>71</v>
      </c>
      <c r="BH795">
        <v>1</v>
      </c>
      <c r="BI795" s="1" t="s">
        <v>121</v>
      </c>
      <c r="BJ795" s="1" t="s">
        <v>5920</v>
      </c>
      <c r="BK795">
        <v>12</v>
      </c>
      <c r="BL795">
        <v>9.6</v>
      </c>
      <c r="BM795" s="1" t="s">
        <v>449</v>
      </c>
      <c r="BN795" s="1" t="s">
        <v>528</v>
      </c>
      <c r="BO795" s="1" t="s">
        <v>160</v>
      </c>
      <c r="BP795" s="1" t="s">
        <v>125</v>
      </c>
      <c r="BQ795">
        <v>0</v>
      </c>
      <c r="BR795">
        <v>0</v>
      </c>
      <c r="BS795" s="1" t="s">
        <v>161</v>
      </c>
      <c r="BT795" s="1" t="s">
        <v>298</v>
      </c>
      <c r="BU795" s="1" t="s">
        <v>126</v>
      </c>
      <c r="BV795">
        <v>0.8</v>
      </c>
      <c r="BW795">
        <v>0</v>
      </c>
      <c r="BX795">
        <v>0.2</v>
      </c>
      <c r="BY795">
        <v>0</v>
      </c>
      <c r="BZ795">
        <v>0.2</v>
      </c>
      <c r="CA795">
        <v>0</v>
      </c>
      <c r="CB795">
        <v>0</v>
      </c>
      <c r="CC795">
        <v>0.8</v>
      </c>
      <c r="CD795">
        <v>0.8</v>
      </c>
      <c r="CE795">
        <v>0.65</v>
      </c>
      <c r="CF795">
        <v>0.65</v>
      </c>
      <c r="CG795" s="1" t="s">
        <v>276</v>
      </c>
      <c r="CH795" s="1" t="s">
        <v>1239</v>
      </c>
      <c r="CI795" s="1" t="s">
        <v>204</v>
      </c>
      <c r="CJ795" s="1" t="s">
        <v>189</v>
      </c>
      <c r="CK795" s="1" t="s">
        <v>169</v>
      </c>
      <c r="CL795">
        <v>2.6</v>
      </c>
      <c r="CM795">
        <v>76</v>
      </c>
      <c r="CN795" s="1" t="s">
        <v>2305</v>
      </c>
      <c r="CO795">
        <v>77</v>
      </c>
      <c r="CP795" s="1" t="s">
        <v>572</v>
      </c>
      <c r="CQ795" s="1" t="s">
        <v>7248</v>
      </c>
      <c r="CR795" s="1" t="s">
        <v>7249</v>
      </c>
      <c r="CS795" s="1" t="s">
        <v>7238</v>
      </c>
      <c r="CT795" s="1" t="s">
        <v>6551</v>
      </c>
      <c r="CU795" s="1" t="s">
        <v>7239</v>
      </c>
      <c r="CV795">
        <v>1627.8</v>
      </c>
      <c r="CW795">
        <v>89.35</v>
      </c>
      <c r="CX795">
        <v>86.2</v>
      </c>
      <c r="CY795">
        <v>106.6</v>
      </c>
      <c r="CZ795" s="1" t="s">
        <v>6022</v>
      </c>
      <c r="DA795">
        <v>1</v>
      </c>
      <c r="DB795" t="s">
        <v>1813</v>
      </c>
      <c r="DC795">
        <v>117</v>
      </c>
      <c r="DD795">
        <v>89.481151138918307</v>
      </c>
      <c r="DE795" s="1" t="s">
        <v>7250</v>
      </c>
      <c r="DF795" t="e">
        <f>_xlfn.XLOOKUP(Table1[[#This Row],[Player ID]],Table2[feed_id],Table2[trade_status])</f>
        <v>#N/A</v>
      </c>
      <c r="DG795">
        <f>_xlfn.NUMBERVALUE(Table1[[#This Row],[predicted]])</f>
        <v>89.481151138918307</v>
      </c>
    </row>
    <row r="796" spans="1:111" x14ac:dyDescent="0.25">
      <c r="A796">
        <v>132637</v>
      </c>
      <c r="B796">
        <v>9239</v>
      </c>
      <c r="C796" t="s">
        <v>7040</v>
      </c>
      <c r="D796" t="s">
        <v>3116</v>
      </c>
      <c r="E796">
        <v>2025</v>
      </c>
      <c r="F796">
        <v>1001017</v>
      </c>
      <c r="G796" t="s">
        <v>740</v>
      </c>
      <c r="H796" t="s">
        <v>7105</v>
      </c>
      <c r="I796" t="s">
        <v>813</v>
      </c>
      <c r="J796">
        <v>10</v>
      </c>
      <c r="K796">
        <v>60</v>
      </c>
      <c r="L796">
        <v>55</v>
      </c>
      <c r="M796">
        <v>73</v>
      </c>
      <c r="N796">
        <v>50</v>
      </c>
      <c r="O796">
        <v>62</v>
      </c>
      <c r="P796">
        <v>8</v>
      </c>
      <c r="Q796">
        <v>4</v>
      </c>
      <c r="R796">
        <v>3</v>
      </c>
      <c r="S796">
        <v>1</v>
      </c>
      <c r="T796">
        <v>0</v>
      </c>
      <c r="U796">
        <v>1</v>
      </c>
      <c r="V796">
        <v>0</v>
      </c>
      <c r="W796">
        <v>2</v>
      </c>
      <c r="X796">
        <v>2</v>
      </c>
      <c r="Y796" t="s">
        <v>113</v>
      </c>
      <c r="Z796" t="s">
        <v>5942</v>
      </c>
      <c r="AA796" t="s">
        <v>7106</v>
      </c>
      <c r="AE796">
        <v>0</v>
      </c>
      <c r="AH796" t="s">
        <v>155</v>
      </c>
      <c r="AI796">
        <v>20</v>
      </c>
      <c r="AJ796">
        <v>0</v>
      </c>
      <c r="AK796">
        <v>0</v>
      </c>
      <c r="AL796">
        <v>0</v>
      </c>
      <c r="AM796">
        <v>0</v>
      </c>
      <c r="AN796">
        <v>1.53</v>
      </c>
      <c r="AO796">
        <v>1.88</v>
      </c>
      <c r="AS796">
        <v>3</v>
      </c>
      <c r="AT796">
        <v>0</v>
      </c>
      <c r="AU796">
        <v>2</v>
      </c>
      <c r="AV796">
        <v>58</v>
      </c>
      <c r="AW796">
        <v>96</v>
      </c>
      <c r="AX796">
        <v>156</v>
      </c>
      <c r="AY796">
        <v>0</v>
      </c>
      <c r="AZ796" t="b">
        <v>0</v>
      </c>
      <c r="BA796">
        <v>1678</v>
      </c>
      <c r="BB796">
        <v>1592</v>
      </c>
      <c r="BC796">
        <v>6</v>
      </c>
      <c r="BD796" t="s">
        <v>7044</v>
      </c>
      <c r="BE796" s="1" t="s">
        <v>3594</v>
      </c>
      <c r="BF796">
        <v>0</v>
      </c>
      <c r="BG796">
        <v>71</v>
      </c>
      <c r="BH796">
        <v>0</v>
      </c>
      <c r="BI796">
        <v>7</v>
      </c>
      <c r="BJ796">
        <v>6.2</v>
      </c>
      <c r="BK796" s="1" t="s">
        <v>125</v>
      </c>
      <c r="BL796" s="1" t="s">
        <v>237</v>
      </c>
      <c r="BM796" s="1" t="s">
        <v>125</v>
      </c>
      <c r="BN796" s="1" t="s">
        <v>212</v>
      </c>
      <c r="BO796" s="1" t="s">
        <v>129</v>
      </c>
      <c r="BP796" s="1" t="s">
        <v>399</v>
      </c>
      <c r="BQ796" s="1" t="s">
        <v>129</v>
      </c>
      <c r="BR796" s="1" t="s">
        <v>238</v>
      </c>
      <c r="BS796" s="1" t="s">
        <v>126</v>
      </c>
      <c r="BT796" s="1" t="s">
        <v>162</v>
      </c>
      <c r="BU796">
        <v>0</v>
      </c>
      <c r="BV796" s="1" t="s">
        <v>128</v>
      </c>
      <c r="BW796" s="1" t="s">
        <v>169</v>
      </c>
      <c r="BX796" s="1" t="s">
        <v>170</v>
      </c>
      <c r="BY796" s="1" t="s">
        <v>126</v>
      </c>
      <c r="BZ796" s="1" t="s">
        <v>128</v>
      </c>
      <c r="CA796">
        <v>0</v>
      </c>
      <c r="CB796">
        <v>0</v>
      </c>
      <c r="CC796">
        <v>1.53</v>
      </c>
      <c r="CD796">
        <v>1.53</v>
      </c>
      <c r="CE796">
        <v>1.88</v>
      </c>
      <c r="CF796">
        <v>1.88</v>
      </c>
      <c r="CG796">
        <v>4</v>
      </c>
      <c r="CH796">
        <v>4</v>
      </c>
      <c r="CI796" s="1" t="s">
        <v>128</v>
      </c>
      <c r="CJ796" s="1" t="s">
        <v>213</v>
      </c>
      <c r="CK796" s="1" t="s">
        <v>126</v>
      </c>
      <c r="CL796">
        <v>1.4</v>
      </c>
      <c r="CM796" s="1" t="s">
        <v>683</v>
      </c>
      <c r="CN796">
        <v>78.8</v>
      </c>
      <c r="CO796" s="1" t="s">
        <v>630</v>
      </c>
      <c r="CP796" s="1" t="s">
        <v>646</v>
      </c>
      <c r="CQ796">
        <v>146</v>
      </c>
      <c r="CR796" s="1" t="s">
        <v>7107</v>
      </c>
      <c r="CS796" s="1" t="s">
        <v>2903</v>
      </c>
      <c r="CT796">
        <v>1623.8</v>
      </c>
      <c r="CU796">
        <v>1674</v>
      </c>
      <c r="CV796" s="1" t="s">
        <v>7046</v>
      </c>
      <c r="CW796">
        <v>64.25</v>
      </c>
      <c r="CX796">
        <v>62.7</v>
      </c>
      <c r="CY796">
        <v>67.599999999999994</v>
      </c>
      <c r="CZ796">
        <v>64</v>
      </c>
      <c r="DA796">
        <v>1</v>
      </c>
      <c r="DB796" t="s">
        <v>5942</v>
      </c>
      <c r="DC796">
        <v>55</v>
      </c>
      <c r="DD796" s="1" t="s">
        <v>7108</v>
      </c>
      <c r="DE796">
        <v>-14.92461453644</v>
      </c>
      <c r="DF796" t="str">
        <f>_xlfn.XLOOKUP(Table1[[#This Row],[Player ID]],Table2[feed_id],Table2[trade_status])</f>
        <v>free_agent</v>
      </c>
      <c r="DG796">
        <f>_xlfn.NUMBERVALUE(Table1[[#This Row],[predicted]])</f>
        <v>69.924614536440004</v>
      </c>
    </row>
    <row r="797" spans="1:111" hidden="1" x14ac:dyDescent="0.25">
      <c r="A797">
        <v>132674</v>
      </c>
      <c r="B797">
        <v>9240</v>
      </c>
      <c r="C797" t="s">
        <v>7230</v>
      </c>
      <c r="D797" t="s">
        <v>3116</v>
      </c>
      <c r="E797">
        <v>2025</v>
      </c>
      <c r="F797">
        <v>295461</v>
      </c>
      <c r="G797" t="s">
        <v>150</v>
      </c>
      <c r="H797" t="s">
        <v>7259</v>
      </c>
      <c r="I797" t="s">
        <v>249</v>
      </c>
      <c r="J797">
        <v>18</v>
      </c>
      <c r="K797">
        <v>91</v>
      </c>
      <c r="L797">
        <v>116</v>
      </c>
      <c r="M797">
        <v>117</v>
      </c>
      <c r="N797">
        <v>72</v>
      </c>
      <c r="O797">
        <v>96</v>
      </c>
      <c r="P797">
        <v>19</v>
      </c>
      <c r="Q797">
        <v>6</v>
      </c>
      <c r="R797">
        <v>7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 t="s">
        <v>113</v>
      </c>
      <c r="Z797" t="s">
        <v>226</v>
      </c>
      <c r="AA797" t="s">
        <v>7260</v>
      </c>
      <c r="AE797">
        <v>0</v>
      </c>
      <c r="AH797" t="s">
        <v>181</v>
      </c>
      <c r="AI797">
        <v>42</v>
      </c>
      <c r="AJ797">
        <v>21</v>
      </c>
      <c r="AK797">
        <v>58.14</v>
      </c>
      <c r="AL797">
        <v>0</v>
      </c>
      <c r="AM797">
        <v>0</v>
      </c>
      <c r="AN797">
        <v>0.7</v>
      </c>
      <c r="AO797">
        <v>1.51</v>
      </c>
      <c r="AS797">
        <v>6</v>
      </c>
      <c r="AT797">
        <v>1</v>
      </c>
      <c r="AU797">
        <v>1</v>
      </c>
      <c r="AV797">
        <v>84</v>
      </c>
      <c r="AW797">
        <v>78</v>
      </c>
      <c r="AX797">
        <v>455</v>
      </c>
      <c r="AY797">
        <v>0</v>
      </c>
      <c r="AZ797" t="b">
        <v>0</v>
      </c>
      <c r="BA797">
        <v>1285</v>
      </c>
      <c r="BB797">
        <v>1976</v>
      </c>
      <c r="BC797">
        <v>6</v>
      </c>
      <c r="BD797" t="s">
        <v>7234</v>
      </c>
      <c r="BE797" s="1" t="s">
        <v>3594</v>
      </c>
      <c r="BF797">
        <v>1</v>
      </c>
      <c r="BG797">
        <v>71</v>
      </c>
      <c r="BH797">
        <v>1</v>
      </c>
      <c r="BI797" s="1" t="s">
        <v>296</v>
      </c>
      <c r="BJ797">
        <v>13.4</v>
      </c>
      <c r="BK797" s="1" t="s">
        <v>449</v>
      </c>
      <c r="BL797">
        <v>6</v>
      </c>
      <c r="BM797">
        <v>5</v>
      </c>
      <c r="BN797" s="1" t="s">
        <v>640</v>
      </c>
      <c r="BO797" s="1" t="s">
        <v>161</v>
      </c>
      <c r="BP797" s="1" t="s">
        <v>375</v>
      </c>
      <c r="BQ797">
        <v>0</v>
      </c>
      <c r="BR797">
        <v>0</v>
      </c>
      <c r="BS797" s="1" t="s">
        <v>128</v>
      </c>
      <c r="BT797" s="1" t="s">
        <v>128</v>
      </c>
      <c r="BU797" s="1" t="s">
        <v>129</v>
      </c>
      <c r="BV797" s="1" t="s">
        <v>213</v>
      </c>
      <c r="BW797">
        <v>0</v>
      </c>
      <c r="BX797">
        <v>6.6666666666666596E-2</v>
      </c>
      <c r="BY797" s="1" t="s">
        <v>129</v>
      </c>
      <c r="BZ797">
        <v>6.6666666666666596E-2</v>
      </c>
      <c r="CA797">
        <v>0</v>
      </c>
      <c r="CB797">
        <v>0</v>
      </c>
      <c r="CC797">
        <v>0.7</v>
      </c>
      <c r="CD797">
        <v>0.7</v>
      </c>
      <c r="CE797">
        <v>1.51</v>
      </c>
      <c r="CF797">
        <v>1.51</v>
      </c>
      <c r="CG797" s="1" t="s">
        <v>449</v>
      </c>
      <c r="CH797">
        <v>5.8</v>
      </c>
      <c r="CI797" s="1" t="s">
        <v>126</v>
      </c>
      <c r="CJ797" s="1" t="s">
        <v>127</v>
      </c>
      <c r="CK797">
        <v>3</v>
      </c>
      <c r="CL797" s="1" t="s">
        <v>275</v>
      </c>
      <c r="CM797" s="1" t="s">
        <v>930</v>
      </c>
      <c r="CN797" s="1" t="s">
        <v>2533</v>
      </c>
      <c r="CO797" s="1" t="s">
        <v>1258</v>
      </c>
      <c r="CP797" s="1" t="s">
        <v>969</v>
      </c>
      <c r="CQ797">
        <v>424</v>
      </c>
      <c r="CR797" s="1" t="s">
        <v>7261</v>
      </c>
      <c r="CS797" s="1" t="s">
        <v>7238</v>
      </c>
      <c r="CT797">
        <v>1648.2</v>
      </c>
      <c r="CU797" s="1" t="s">
        <v>7239</v>
      </c>
      <c r="CV797">
        <v>1632.4</v>
      </c>
      <c r="CW797">
        <v>85.7</v>
      </c>
      <c r="CX797">
        <v>85.3</v>
      </c>
      <c r="CY797">
        <v>87</v>
      </c>
      <c r="CZ797">
        <v>99</v>
      </c>
      <c r="DA797">
        <v>1</v>
      </c>
      <c r="DB797" t="s">
        <v>226</v>
      </c>
      <c r="DC797">
        <v>116</v>
      </c>
      <c r="DD797" s="1" t="s">
        <v>7262</v>
      </c>
      <c r="DE797">
        <v>8.3553082653327806</v>
      </c>
      <c r="DF797" t="e">
        <f>_xlfn.XLOOKUP(Table1[[#This Row],[Player ID]],Table2[feed_id],Table2[trade_status])</f>
        <v>#N/A</v>
      </c>
      <c r="DG797">
        <f>_xlfn.NUMBERVALUE(Table1[[#This Row],[predicted]])</f>
        <v>107.64469173466701</v>
      </c>
    </row>
    <row r="798" spans="1:111" x14ac:dyDescent="0.25">
      <c r="A798">
        <v>132905</v>
      </c>
      <c r="B798">
        <v>9245</v>
      </c>
      <c r="C798" t="s">
        <v>8180</v>
      </c>
      <c r="D798" t="s">
        <v>3116</v>
      </c>
      <c r="E798">
        <v>2025</v>
      </c>
      <c r="F798">
        <v>296225</v>
      </c>
      <c r="G798" t="s">
        <v>8228</v>
      </c>
      <c r="H798" t="s">
        <v>1957</v>
      </c>
      <c r="I798" t="s">
        <v>425</v>
      </c>
      <c r="J798">
        <v>16</v>
      </c>
      <c r="K798">
        <v>66</v>
      </c>
      <c r="L798">
        <v>79</v>
      </c>
      <c r="M798">
        <v>82</v>
      </c>
      <c r="N798">
        <v>57</v>
      </c>
      <c r="O798">
        <v>73</v>
      </c>
      <c r="P798">
        <v>9</v>
      </c>
      <c r="Q798">
        <v>4</v>
      </c>
      <c r="R798">
        <v>3</v>
      </c>
      <c r="S798">
        <v>2</v>
      </c>
      <c r="T798">
        <v>0</v>
      </c>
      <c r="U798">
        <v>1</v>
      </c>
      <c r="V798">
        <v>2</v>
      </c>
      <c r="W798">
        <v>3</v>
      </c>
      <c r="X798">
        <v>1</v>
      </c>
      <c r="Y798" t="s">
        <v>113</v>
      </c>
      <c r="Z798" t="s">
        <v>861</v>
      </c>
      <c r="AA798" t="s">
        <v>8229</v>
      </c>
      <c r="AH798" t="s">
        <v>155</v>
      </c>
      <c r="AI798">
        <v>15</v>
      </c>
      <c r="AJ798">
        <v>0</v>
      </c>
      <c r="AK798">
        <v>0</v>
      </c>
      <c r="AL798">
        <v>0</v>
      </c>
      <c r="AM798">
        <v>0.31</v>
      </c>
      <c r="AN798">
        <v>7.0000000000000007E-2</v>
      </c>
      <c r="AO798">
        <v>0.35</v>
      </c>
      <c r="AS798">
        <v>4</v>
      </c>
      <c r="AT798">
        <v>1</v>
      </c>
      <c r="AU798">
        <v>3</v>
      </c>
      <c r="AV798">
        <v>76</v>
      </c>
      <c r="AW798">
        <v>82</v>
      </c>
      <c r="AX798">
        <v>206</v>
      </c>
      <c r="AY798">
        <v>1</v>
      </c>
      <c r="AZ798" t="b">
        <v>0</v>
      </c>
      <c r="BA798">
        <v>1477</v>
      </c>
      <c r="BB798">
        <v>1799</v>
      </c>
      <c r="BC798">
        <v>6</v>
      </c>
      <c r="BD798" t="s">
        <v>8182</v>
      </c>
      <c r="BE798" s="1" t="s">
        <v>3594</v>
      </c>
      <c r="BF798">
        <v>0</v>
      </c>
      <c r="BG798">
        <v>71</v>
      </c>
      <c r="BH798">
        <v>1</v>
      </c>
      <c r="BI798">
        <v>9</v>
      </c>
      <c r="BJ798">
        <v>8</v>
      </c>
      <c r="BK798" s="1" t="s">
        <v>125</v>
      </c>
      <c r="BL798" s="1" t="s">
        <v>237</v>
      </c>
      <c r="BM798">
        <v>3</v>
      </c>
      <c r="BN798">
        <v>2.8</v>
      </c>
      <c r="BO798" s="1" t="s">
        <v>126</v>
      </c>
      <c r="BP798" s="1" t="s">
        <v>169</v>
      </c>
      <c r="BQ798">
        <v>0</v>
      </c>
      <c r="BR798">
        <v>0</v>
      </c>
      <c r="BS798" s="1" t="s">
        <v>128</v>
      </c>
      <c r="BT798" s="1" t="s">
        <v>238</v>
      </c>
      <c r="BU798" s="1" t="s">
        <v>159</v>
      </c>
      <c r="BV798" s="1" t="s">
        <v>298</v>
      </c>
      <c r="BW798">
        <v>1</v>
      </c>
      <c r="BX798" s="1" t="s">
        <v>304</v>
      </c>
      <c r="BY798">
        <v>1</v>
      </c>
      <c r="BZ798" s="1" t="s">
        <v>399</v>
      </c>
      <c r="CA798">
        <v>0.31</v>
      </c>
      <c r="CB798">
        <v>0.31</v>
      </c>
      <c r="CC798">
        <v>7.0000000000000007E-2</v>
      </c>
      <c r="CD798">
        <v>7.0000000000000007E-2</v>
      </c>
      <c r="CE798">
        <v>0.35</v>
      </c>
      <c r="CF798">
        <v>0.35</v>
      </c>
      <c r="CG798" s="1" t="s">
        <v>169</v>
      </c>
      <c r="CH798" s="1" t="s">
        <v>212</v>
      </c>
      <c r="CI798" s="1" t="s">
        <v>129</v>
      </c>
      <c r="CJ798">
        <v>0.6</v>
      </c>
      <c r="CK798" s="1" t="s">
        <v>125</v>
      </c>
      <c r="CL798" s="1" t="s">
        <v>322</v>
      </c>
      <c r="CM798">
        <v>68</v>
      </c>
      <c r="CN798" s="1" t="s">
        <v>6316</v>
      </c>
      <c r="CO798" s="1" t="s">
        <v>268</v>
      </c>
      <c r="CP798" s="1" t="s">
        <v>941</v>
      </c>
      <c r="CQ798">
        <v>203</v>
      </c>
      <c r="CR798">
        <v>165.8</v>
      </c>
      <c r="CS798" s="1" t="s">
        <v>3934</v>
      </c>
      <c r="CT798" s="1" t="s">
        <v>8230</v>
      </c>
      <c r="CU798" s="1" t="s">
        <v>1533</v>
      </c>
      <c r="CV798">
        <v>1609.6</v>
      </c>
      <c r="CW798">
        <v>66.849999999999994</v>
      </c>
      <c r="CX798">
        <v>65.900000000000006</v>
      </c>
      <c r="CY798">
        <v>64.400000000000006</v>
      </c>
      <c r="CZ798">
        <v>46</v>
      </c>
      <c r="DA798">
        <v>1</v>
      </c>
      <c r="DB798" t="s">
        <v>861</v>
      </c>
      <c r="DC798">
        <v>79</v>
      </c>
      <c r="DD798">
        <v>69.851862091471403</v>
      </c>
      <c r="DE798" s="1" t="s">
        <v>8231</v>
      </c>
      <c r="DF798" t="str">
        <f>_xlfn.XLOOKUP(Table1[[#This Row],[Player ID]],Table2[feed_id],Table2[trade_status])</f>
        <v>free_agent</v>
      </c>
      <c r="DG798">
        <f>_xlfn.NUMBERVALUE(Table1[[#This Row],[predicted]])</f>
        <v>69.851862091471403</v>
      </c>
    </row>
    <row r="799" spans="1:111" x14ac:dyDescent="0.25">
      <c r="A799">
        <v>132938</v>
      </c>
      <c r="B799">
        <v>9245</v>
      </c>
      <c r="C799" t="s">
        <v>8180</v>
      </c>
      <c r="D799" t="s">
        <v>3116</v>
      </c>
      <c r="E799">
        <v>2025</v>
      </c>
      <c r="F799">
        <v>1012857</v>
      </c>
      <c r="G799" t="s">
        <v>1127</v>
      </c>
      <c r="H799" t="s">
        <v>8372</v>
      </c>
      <c r="I799" t="s">
        <v>391</v>
      </c>
      <c r="J799">
        <v>2</v>
      </c>
      <c r="K799">
        <v>35</v>
      </c>
      <c r="L799">
        <v>50</v>
      </c>
      <c r="M799">
        <v>26</v>
      </c>
      <c r="N799">
        <v>29</v>
      </c>
      <c r="O799">
        <v>42</v>
      </c>
      <c r="P799">
        <v>4</v>
      </c>
      <c r="Q799">
        <v>8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 t="s">
        <v>113</v>
      </c>
      <c r="Z799" t="s">
        <v>861</v>
      </c>
      <c r="AA799" t="s">
        <v>8373</v>
      </c>
      <c r="AH799" t="s">
        <v>155</v>
      </c>
      <c r="AI799">
        <v>33</v>
      </c>
      <c r="AJ799">
        <v>0</v>
      </c>
      <c r="AK799">
        <v>0</v>
      </c>
      <c r="AL799">
        <v>0</v>
      </c>
      <c r="AM799">
        <v>0.89</v>
      </c>
      <c r="AN799">
        <v>1.63</v>
      </c>
      <c r="AO799">
        <v>2.2200000000000002</v>
      </c>
      <c r="AS799">
        <v>3</v>
      </c>
      <c r="AT799">
        <v>0</v>
      </c>
      <c r="AU799">
        <v>1</v>
      </c>
      <c r="AV799">
        <v>83</v>
      </c>
      <c r="AW799">
        <v>67</v>
      </c>
      <c r="AX799">
        <v>187</v>
      </c>
      <c r="AY799">
        <v>0</v>
      </c>
      <c r="AZ799" t="b">
        <v>0</v>
      </c>
      <c r="BA799">
        <v>1799</v>
      </c>
      <c r="BB799">
        <v>1477</v>
      </c>
      <c r="BC799">
        <v>6</v>
      </c>
      <c r="BD799" t="s">
        <v>8277</v>
      </c>
      <c r="BE799" s="1" t="s">
        <v>3594</v>
      </c>
      <c r="BF799">
        <v>0</v>
      </c>
      <c r="BG799">
        <v>71</v>
      </c>
      <c r="BH799">
        <v>0</v>
      </c>
      <c r="BI799" s="1" t="s">
        <v>125</v>
      </c>
      <c r="BJ799" s="1" t="s">
        <v>295</v>
      </c>
      <c r="BK799" s="1" t="s">
        <v>183</v>
      </c>
      <c r="BL799" s="1" t="s">
        <v>624</v>
      </c>
      <c r="BM799" s="1" t="s">
        <v>128</v>
      </c>
      <c r="BN799" s="1" t="s">
        <v>528</v>
      </c>
      <c r="BO799">
        <v>2</v>
      </c>
      <c r="BP799">
        <v>2.6</v>
      </c>
      <c r="BQ799">
        <v>0</v>
      </c>
      <c r="BR799">
        <v>0</v>
      </c>
      <c r="BS799" s="1" t="s">
        <v>129</v>
      </c>
      <c r="BT799">
        <v>0.8</v>
      </c>
      <c r="BU799">
        <v>0</v>
      </c>
      <c r="BV799" s="1" t="s">
        <v>128</v>
      </c>
      <c r="BW799">
        <v>0</v>
      </c>
      <c r="BX799" s="1" t="s">
        <v>127</v>
      </c>
      <c r="BY799">
        <v>0</v>
      </c>
      <c r="BZ799">
        <v>0.8</v>
      </c>
      <c r="CA799">
        <v>0.89</v>
      </c>
      <c r="CB799">
        <v>0.89</v>
      </c>
      <c r="CC799">
        <v>1.63</v>
      </c>
      <c r="CD799">
        <v>1.63</v>
      </c>
      <c r="CE799">
        <v>2.2200000000000002</v>
      </c>
      <c r="CF799">
        <v>2.2200000000000002</v>
      </c>
      <c r="CG799">
        <v>5</v>
      </c>
      <c r="CH799" s="1" t="s">
        <v>1092</v>
      </c>
      <c r="CI799">
        <v>1</v>
      </c>
      <c r="CJ799" s="1" t="s">
        <v>304</v>
      </c>
      <c r="CK799">
        <v>2</v>
      </c>
      <c r="CL799">
        <v>2.8</v>
      </c>
      <c r="CM799" s="1" t="s">
        <v>1258</v>
      </c>
      <c r="CN799" s="1" t="s">
        <v>3322</v>
      </c>
      <c r="CO799" s="1" t="s">
        <v>215</v>
      </c>
      <c r="CP799" s="1" t="s">
        <v>1554</v>
      </c>
      <c r="CQ799" s="1" t="s">
        <v>3200</v>
      </c>
      <c r="CR799" s="1" t="s">
        <v>4298</v>
      </c>
      <c r="CS799" s="1" t="s">
        <v>4566</v>
      </c>
      <c r="CT799">
        <v>1771.4</v>
      </c>
      <c r="CU799">
        <v>1616</v>
      </c>
      <c r="CV799" s="1" t="s">
        <v>8374</v>
      </c>
      <c r="CW799">
        <v>70.349999999999994</v>
      </c>
      <c r="CX799">
        <v>64.2</v>
      </c>
      <c r="CY799">
        <v>53.6</v>
      </c>
      <c r="CZ799" s="1" t="s">
        <v>825</v>
      </c>
      <c r="DA799">
        <v>1</v>
      </c>
      <c r="DB799" t="s">
        <v>861</v>
      </c>
      <c r="DC799">
        <v>50</v>
      </c>
      <c r="DD799">
        <v>69.704312214077106</v>
      </c>
      <c r="DE799">
        <v>-19.704312214077099</v>
      </c>
      <c r="DF799" t="str">
        <f>_xlfn.XLOOKUP(Table1[[#This Row],[Player ID]],Table2[feed_id],Table2[trade_status])</f>
        <v>free_agent</v>
      </c>
      <c r="DG799">
        <f>_xlfn.NUMBERVALUE(Table1[[#This Row],[predicted]])</f>
        <v>69.704312214077106</v>
      </c>
    </row>
    <row r="800" spans="1:111" hidden="1" x14ac:dyDescent="0.25">
      <c r="A800">
        <v>132677</v>
      </c>
      <c r="B800">
        <v>9240</v>
      </c>
      <c r="C800" t="s">
        <v>7230</v>
      </c>
      <c r="D800" t="s">
        <v>3116</v>
      </c>
      <c r="E800">
        <v>2025</v>
      </c>
      <c r="F800">
        <v>996731</v>
      </c>
      <c r="G800" t="s">
        <v>5306</v>
      </c>
      <c r="H800" t="s">
        <v>4835</v>
      </c>
      <c r="I800" t="s">
        <v>249</v>
      </c>
      <c r="J800">
        <v>16</v>
      </c>
      <c r="K800">
        <v>85</v>
      </c>
      <c r="L800">
        <v>98</v>
      </c>
      <c r="M800">
        <v>109</v>
      </c>
      <c r="N800">
        <v>72</v>
      </c>
      <c r="O800">
        <v>88</v>
      </c>
      <c r="P800">
        <v>13</v>
      </c>
      <c r="Q800">
        <v>1</v>
      </c>
      <c r="R800">
        <v>9</v>
      </c>
      <c r="S800">
        <v>1</v>
      </c>
      <c r="T800">
        <v>0</v>
      </c>
      <c r="U800">
        <v>0</v>
      </c>
      <c r="V800">
        <v>1</v>
      </c>
      <c r="W800">
        <v>2</v>
      </c>
      <c r="X800">
        <v>4</v>
      </c>
      <c r="Y800" t="s">
        <v>113</v>
      </c>
      <c r="Z800" t="s">
        <v>7274</v>
      </c>
      <c r="AA800" t="s">
        <v>7275</v>
      </c>
      <c r="AB800" t="s">
        <v>656</v>
      </c>
      <c r="AC800" t="s">
        <v>7276</v>
      </c>
      <c r="AE800">
        <v>0</v>
      </c>
      <c r="AH800" t="s">
        <v>155</v>
      </c>
      <c r="AI800">
        <v>30</v>
      </c>
      <c r="AJ800">
        <v>19</v>
      </c>
      <c r="AK800">
        <v>76.47</v>
      </c>
      <c r="AL800">
        <v>0</v>
      </c>
      <c r="AM800">
        <v>0</v>
      </c>
      <c r="AN800">
        <v>4.45</v>
      </c>
      <c r="AO800">
        <v>4.6900000000000004</v>
      </c>
      <c r="AS800">
        <v>6</v>
      </c>
      <c r="AT800">
        <v>0</v>
      </c>
      <c r="AU800">
        <v>2</v>
      </c>
      <c r="AV800">
        <v>42</v>
      </c>
      <c r="AW800">
        <v>81</v>
      </c>
      <c r="AX800">
        <v>390</v>
      </c>
      <c r="AY800">
        <v>1</v>
      </c>
      <c r="AZ800" t="b">
        <v>0</v>
      </c>
      <c r="BA800">
        <v>1285</v>
      </c>
      <c r="BB800">
        <v>1976</v>
      </c>
      <c r="BC800">
        <v>6</v>
      </c>
      <c r="BD800" t="s">
        <v>7234</v>
      </c>
      <c r="BE800" s="1" t="s">
        <v>3594</v>
      </c>
      <c r="BF800">
        <v>1</v>
      </c>
      <c r="BG800">
        <v>71</v>
      </c>
      <c r="BH800">
        <v>1</v>
      </c>
      <c r="BI800">
        <v>9</v>
      </c>
      <c r="BJ800" s="1" t="s">
        <v>295</v>
      </c>
      <c r="BK800">
        <v>1</v>
      </c>
      <c r="BL800" s="1" t="s">
        <v>206</v>
      </c>
      <c r="BM800">
        <v>5</v>
      </c>
      <c r="BN800" s="1" t="s">
        <v>752</v>
      </c>
      <c r="BO800" s="1" t="s">
        <v>126</v>
      </c>
      <c r="BP800">
        <v>1</v>
      </c>
      <c r="BQ800">
        <v>0</v>
      </c>
      <c r="BR800">
        <v>0</v>
      </c>
      <c r="BS800" s="1" t="s">
        <v>128</v>
      </c>
      <c r="BT800">
        <v>1.6</v>
      </c>
      <c r="BU800" s="1" t="s">
        <v>128</v>
      </c>
      <c r="BV800" s="1" t="s">
        <v>128</v>
      </c>
      <c r="BW800">
        <v>2</v>
      </c>
      <c r="BX800" s="1" t="s">
        <v>170</v>
      </c>
      <c r="BY800">
        <v>2</v>
      </c>
      <c r="BZ800" s="1" t="s">
        <v>566</v>
      </c>
      <c r="CA800">
        <v>0</v>
      </c>
      <c r="CB800">
        <v>0</v>
      </c>
      <c r="CC800">
        <v>4.45</v>
      </c>
      <c r="CD800">
        <v>4.45</v>
      </c>
      <c r="CE800">
        <v>4.6900000000000004</v>
      </c>
      <c r="CF800">
        <v>4.6900000000000004</v>
      </c>
      <c r="CG800">
        <v>5</v>
      </c>
      <c r="CH800">
        <v>5.2</v>
      </c>
      <c r="CI800">
        <v>0</v>
      </c>
      <c r="CJ800" s="1" t="s">
        <v>213</v>
      </c>
      <c r="CK800" s="1" t="s">
        <v>126</v>
      </c>
      <c r="CL800" s="1" t="s">
        <v>275</v>
      </c>
      <c r="CM800">
        <v>47</v>
      </c>
      <c r="CN800" s="1" t="s">
        <v>3822</v>
      </c>
      <c r="CO800">
        <v>87</v>
      </c>
      <c r="CP800" s="1" t="s">
        <v>306</v>
      </c>
      <c r="CQ800" s="1" t="s">
        <v>7277</v>
      </c>
      <c r="CR800">
        <v>272.39999999999998</v>
      </c>
      <c r="CS800" s="1" t="s">
        <v>7238</v>
      </c>
      <c r="CT800">
        <v>1667.6</v>
      </c>
      <c r="CU800" s="1" t="s">
        <v>7239</v>
      </c>
      <c r="CV800" s="1" t="s">
        <v>1967</v>
      </c>
      <c r="CW800">
        <v>72.8</v>
      </c>
      <c r="CX800">
        <v>61.4</v>
      </c>
      <c r="CY800">
        <v>46.8</v>
      </c>
      <c r="CZ800" s="1" t="s">
        <v>1176</v>
      </c>
      <c r="DA800">
        <v>1</v>
      </c>
      <c r="DB800" t="s">
        <v>7274</v>
      </c>
      <c r="DC800">
        <v>98</v>
      </c>
      <c r="DD800" s="1" t="s">
        <v>7278</v>
      </c>
      <c r="DE800" s="1" t="s">
        <v>7279</v>
      </c>
      <c r="DF800" t="e">
        <f>_xlfn.XLOOKUP(Table1[[#This Row],[Player ID]],Table2[feed_id],Table2[trade_status])</f>
        <v>#N/A</v>
      </c>
      <c r="DG800">
        <f>_xlfn.NUMBERVALUE(Table1[[#This Row],[predicted]])</f>
        <v>62.136324038382597</v>
      </c>
    </row>
    <row r="801" spans="1:111" hidden="1" x14ac:dyDescent="0.25">
      <c r="A801">
        <v>132678</v>
      </c>
      <c r="B801">
        <v>9240</v>
      </c>
      <c r="C801" t="s">
        <v>7230</v>
      </c>
      <c r="D801" t="s">
        <v>3116</v>
      </c>
      <c r="E801">
        <v>2025</v>
      </c>
      <c r="F801">
        <v>990704</v>
      </c>
      <c r="G801" t="s">
        <v>3697</v>
      </c>
      <c r="H801" t="s">
        <v>7280</v>
      </c>
      <c r="I801" t="s">
        <v>249</v>
      </c>
      <c r="J801">
        <v>20</v>
      </c>
      <c r="K801">
        <v>84</v>
      </c>
      <c r="L801">
        <v>114</v>
      </c>
      <c r="M801">
        <v>98</v>
      </c>
      <c r="N801">
        <v>77</v>
      </c>
      <c r="O801">
        <v>101</v>
      </c>
      <c r="P801">
        <v>11</v>
      </c>
      <c r="Q801">
        <v>12</v>
      </c>
      <c r="R801">
        <v>3</v>
      </c>
      <c r="S801">
        <v>0</v>
      </c>
      <c r="T801">
        <v>2</v>
      </c>
      <c r="U801">
        <v>1</v>
      </c>
      <c r="V801">
        <v>2</v>
      </c>
      <c r="W801">
        <v>3</v>
      </c>
      <c r="X801">
        <v>3</v>
      </c>
      <c r="Y801" t="s">
        <v>113</v>
      </c>
      <c r="Z801" t="s">
        <v>2835</v>
      </c>
      <c r="AA801" t="s">
        <v>7281</v>
      </c>
      <c r="AB801" t="s">
        <v>987</v>
      </c>
      <c r="AC801" t="s">
        <v>7282</v>
      </c>
      <c r="AE801">
        <v>0</v>
      </c>
      <c r="AH801" t="s">
        <v>118</v>
      </c>
      <c r="AI801">
        <v>9</v>
      </c>
      <c r="AJ801">
        <v>21</v>
      </c>
      <c r="AK801">
        <v>108.81</v>
      </c>
      <c r="AL801">
        <v>0</v>
      </c>
      <c r="AM801">
        <v>0</v>
      </c>
      <c r="AN801">
        <v>1.77</v>
      </c>
      <c r="AO801">
        <v>2.39</v>
      </c>
      <c r="AS801">
        <v>13</v>
      </c>
      <c r="AT801">
        <v>6</v>
      </c>
      <c r="AU801">
        <v>2</v>
      </c>
      <c r="AV801">
        <v>73</v>
      </c>
      <c r="AW801">
        <v>81</v>
      </c>
      <c r="AX801">
        <v>357</v>
      </c>
      <c r="AY801">
        <v>0</v>
      </c>
      <c r="AZ801" t="b">
        <v>0</v>
      </c>
      <c r="BA801">
        <v>1285</v>
      </c>
      <c r="BB801">
        <v>1976</v>
      </c>
      <c r="BC801">
        <v>6</v>
      </c>
      <c r="BD801" t="s">
        <v>7234</v>
      </c>
      <c r="BE801" s="1" t="s">
        <v>3594</v>
      </c>
      <c r="BF801">
        <v>1</v>
      </c>
      <c r="BG801">
        <v>71</v>
      </c>
      <c r="BH801">
        <v>1</v>
      </c>
      <c r="BI801" s="1" t="s">
        <v>545</v>
      </c>
      <c r="BJ801" s="1" t="s">
        <v>4012</v>
      </c>
      <c r="BK801" s="1" t="s">
        <v>276</v>
      </c>
      <c r="BL801">
        <v>17.399999999999999</v>
      </c>
      <c r="BM801" s="1" t="s">
        <v>161</v>
      </c>
      <c r="BN801">
        <v>2.6</v>
      </c>
      <c r="BO801">
        <v>3</v>
      </c>
      <c r="BP801" s="1" t="s">
        <v>499</v>
      </c>
      <c r="BQ801" s="1" t="s">
        <v>128</v>
      </c>
      <c r="BR801">
        <v>1</v>
      </c>
      <c r="BS801" s="1" t="s">
        <v>126</v>
      </c>
      <c r="BT801" s="1" t="s">
        <v>375</v>
      </c>
      <c r="BU801" s="1" t="s">
        <v>126</v>
      </c>
      <c r="BV801" s="1" t="s">
        <v>170</v>
      </c>
      <c r="BW801" s="1" t="s">
        <v>126</v>
      </c>
      <c r="BX801" s="1" t="s">
        <v>130</v>
      </c>
      <c r="BY801">
        <v>1</v>
      </c>
      <c r="BZ801">
        <v>0.6</v>
      </c>
      <c r="CA801">
        <v>0</v>
      </c>
      <c r="CB801">
        <v>0</v>
      </c>
      <c r="CC801">
        <v>1.77</v>
      </c>
      <c r="CD801">
        <v>1.77</v>
      </c>
      <c r="CE801">
        <v>2.39</v>
      </c>
      <c r="CF801">
        <v>2.39</v>
      </c>
      <c r="CG801" s="1" t="s">
        <v>1008</v>
      </c>
      <c r="CH801">
        <v>15.6</v>
      </c>
      <c r="CI801" s="1" t="s">
        <v>160</v>
      </c>
      <c r="CJ801">
        <v>8.4</v>
      </c>
      <c r="CK801" s="1" t="s">
        <v>138</v>
      </c>
      <c r="CL801" s="1" t="s">
        <v>752</v>
      </c>
      <c r="CM801" s="1" t="s">
        <v>609</v>
      </c>
      <c r="CN801" s="1" t="s">
        <v>572</v>
      </c>
      <c r="CO801" s="1" t="s">
        <v>364</v>
      </c>
      <c r="CP801" s="1" t="s">
        <v>2408</v>
      </c>
      <c r="CQ801" s="1" t="s">
        <v>7283</v>
      </c>
      <c r="CR801">
        <v>335</v>
      </c>
      <c r="CS801" s="1" t="s">
        <v>7238</v>
      </c>
      <c r="CT801">
        <v>1649.6</v>
      </c>
      <c r="CU801" s="1" t="s">
        <v>7239</v>
      </c>
      <c r="CV801" s="1" t="s">
        <v>6253</v>
      </c>
      <c r="CW801">
        <v>108.15</v>
      </c>
      <c r="CX801">
        <v>106.9</v>
      </c>
      <c r="CY801">
        <v>96.4</v>
      </c>
      <c r="CZ801" s="1" t="s">
        <v>1123</v>
      </c>
      <c r="DA801">
        <v>1</v>
      </c>
      <c r="DB801" t="s">
        <v>2835</v>
      </c>
      <c r="DC801">
        <v>114</v>
      </c>
      <c r="DD801">
        <v>93.740929713973799</v>
      </c>
      <c r="DE801">
        <v>20.259070286026201</v>
      </c>
      <c r="DF801" t="e">
        <f>_xlfn.XLOOKUP(Table1[[#This Row],[Player ID]],Table2[feed_id],Table2[trade_status])</f>
        <v>#N/A</v>
      </c>
      <c r="DG801">
        <f>_xlfn.NUMBERVALUE(Table1[[#This Row],[predicted]])</f>
        <v>93.740929713973799</v>
      </c>
    </row>
    <row r="802" spans="1:111" x14ac:dyDescent="0.25">
      <c r="A802">
        <v>132640</v>
      </c>
      <c r="B802">
        <v>9239</v>
      </c>
      <c r="C802" t="s">
        <v>7040</v>
      </c>
      <c r="D802" t="s">
        <v>3116</v>
      </c>
      <c r="E802">
        <v>2025</v>
      </c>
      <c r="F802">
        <v>998484</v>
      </c>
      <c r="G802" t="s">
        <v>271</v>
      </c>
      <c r="H802" t="s">
        <v>7109</v>
      </c>
      <c r="I802" t="s">
        <v>813</v>
      </c>
      <c r="J802">
        <v>14</v>
      </c>
      <c r="K802">
        <v>47</v>
      </c>
      <c r="L802">
        <v>70</v>
      </c>
      <c r="M802">
        <v>62</v>
      </c>
      <c r="N802">
        <v>38</v>
      </c>
      <c r="O802">
        <v>51</v>
      </c>
      <c r="P802">
        <v>5</v>
      </c>
      <c r="Q802">
        <v>4</v>
      </c>
      <c r="R802">
        <v>2</v>
      </c>
      <c r="S802">
        <v>4</v>
      </c>
      <c r="T802">
        <v>0</v>
      </c>
      <c r="U802">
        <v>2</v>
      </c>
      <c r="V802">
        <v>2</v>
      </c>
      <c r="W802">
        <v>1</v>
      </c>
      <c r="X802">
        <v>0</v>
      </c>
      <c r="Y802" t="s">
        <v>113</v>
      </c>
      <c r="Z802" t="s">
        <v>656</v>
      </c>
      <c r="AA802" t="s">
        <v>7110</v>
      </c>
      <c r="AE802">
        <v>0</v>
      </c>
      <c r="AH802" t="s">
        <v>155</v>
      </c>
      <c r="AI802">
        <v>44</v>
      </c>
      <c r="AJ802">
        <v>5</v>
      </c>
      <c r="AK802">
        <v>42.2</v>
      </c>
      <c r="AL802">
        <v>0</v>
      </c>
      <c r="AM802">
        <v>0</v>
      </c>
      <c r="AN802">
        <v>0.49</v>
      </c>
      <c r="AO802">
        <v>0.4</v>
      </c>
      <c r="AS802">
        <v>7</v>
      </c>
      <c r="AT802">
        <v>0</v>
      </c>
      <c r="AU802">
        <v>2</v>
      </c>
      <c r="AV802">
        <v>88</v>
      </c>
      <c r="AW802">
        <v>82</v>
      </c>
      <c r="AX802">
        <v>164</v>
      </c>
      <c r="AY802">
        <v>0</v>
      </c>
      <c r="AZ802" t="b">
        <v>0</v>
      </c>
      <c r="BA802">
        <v>1678</v>
      </c>
      <c r="BB802">
        <v>1592</v>
      </c>
      <c r="BC802">
        <v>6</v>
      </c>
      <c r="BD802" t="s">
        <v>7044</v>
      </c>
      <c r="BE802" s="1" t="s">
        <v>3594</v>
      </c>
      <c r="BF802">
        <v>0</v>
      </c>
      <c r="BG802">
        <v>71</v>
      </c>
      <c r="BH802">
        <v>0</v>
      </c>
      <c r="BI802" s="1" t="s">
        <v>397</v>
      </c>
      <c r="BJ802" s="1" t="s">
        <v>2358</v>
      </c>
      <c r="BK802" s="1" t="s">
        <v>138</v>
      </c>
      <c r="BL802" s="1" t="s">
        <v>205</v>
      </c>
      <c r="BM802">
        <v>4</v>
      </c>
      <c r="BN802" s="1" t="s">
        <v>499</v>
      </c>
      <c r="BO802">
        <v>3</v>
      </c>
      <c r="BP802">
        <v>2.6</v>
      </c>
      <c r="BQ802">
        <v>0</v>
      </c>
      <c r="BR802">
        <v>0</v>
      </c>
      <c r="BS802" s="1" t="s">
        <v>128</v>
      </c>
      <c r="BT802" s="1" t="s">
        <v>399</v>
      </c>
      <c r="BU802" s="1" t="s">
        <v>161</v>
      </c>
      <c r="BV802" s="1" t="s">
        <v>127</v>
      </c>
      <c r="BW802">
        <v>1</v>
      </c>
      <c r="BX802" s="1" t="s">
        <v>126</v>
      </c>
      <c r="BY802">
        <v>0</v>
      </c>
      <c r="BZ802" s="1" t="s">
        <v>130</v>
      </c>
      <c r="CA802">
        <v>0</v>
      </c>
      <c r="CB802">
        <v>0</v>
      </c>
      <c r="CC802">
        <v>0.49</v>
      </c>
      <c r="CD802">
        <v>0.49</v>
      </c>
      <c r="CE802">
        <v>0.4</v>
      </c>
      <c r="CF802">
        <v>0.4</v>
      </c>
      <c r="CG802" s="1" t="s">
        <v>211</v>
      </c>
      <c r="CH802" s="1" t="s">
        <v>416</v>
      </c>
      <c r="CI802">
        <v>0</v>
      </c>
      <c r="CJ802">
        <v>0.4</v>
      </c>
      <c r="CK802">
        <v>3</v>
      </c>
      <c r="CL802" s="1" t="s">
        <v>138</v>
      </c>
      <c r="CM802" s="1" t="s">
        <v>350</v>
      </c>
      <c r="CN802" s="1" t="s">
        <v>2863</v>
      </c>
      <c r="CO802" s="1" t="s">
        <v>1273</v>
      </c>
      <c r="CP802" s="1" t="s">
        <v>7051</v>
      </c>
      <c r="CQ802" s="1" t="s">
        <v>5790</v>
      </c>
      <c r="CR802" s="1" t="s">
        <v>7111</v>
      </c>
      <c r="CS802" s="1" t="s">
        <v>2903</v>
      </c>
      <c r="CT802">
        <v>1623.8</v>
      </c>
      <c r="CU802">
        <v>1674</v>
      </c>
      <c r="CV802" s="1" t="s">
        <v>7046</v>
      </c>
      <c r="CW802">
        <v>70.75</v>
      </c>
      <c r="CX802">
        <v>62.8</v>
      </c>
      <c r="CY802">
        <v>69.2</v>
      </c>
      <c r="CZ802" s="1" t="s">
        <v>1857</v>
      </c>
      <c r="DA802">
        <v>1</v>
      </c>
      <c r="DB802" t="s">
        <v>656</v>
      </c>
      <c r="DC802">
        <v>70</v>
      </c>
      <c r="DD802">
        <v>69.670950852360605</v>
      </c>
      <c r="DE802" s="1" t="s">
        <v>7112</v>
      </c>
      <c r="DF802" t="str">
        <f>_xlfn.XLOOKUP(Table1[[#This Row],[Player ID]],Table2[feed_id],Table2[trade_status])</f>
        <v>free_agent</v>
      </c>
      <c r="DG802">
        <f>_xlfn.NUMBERVALUE(Table1[[#This Row],[predicted]])</f>
        <v>69.670950852360605</v>
      </c>
    </row>
    <row r="803" spans="1:111" x14ac:dyDescent="0.25">
      <c r="A803">
        <v>132544</v>
      </c>
      <c r="B803">
        <v>9237</v>
      </c>
      <c r="C803" t="s">
        <v>6650</v>
      </c>
      <c r="D803" t="s">
        <v>3116</v>
      </c>
      <c r="E803">
        <v>2025</v>
      </c>
      <c r="F803">
        <v>999331</v>
      </c>
      <c r="G803" t="s">
        <v>3105</v>
      </c>
      <c r="H803" t="s">
        <v>6710</v>
      </c>
      <c r="I803" t="s">
        <v>510</v>
      </c>
      <c r="J803">
        <v>25</v>
      </c>
      <c r="K803">
        <v>74</v>
      </c>
      <c r="L803">
        <v>101</v>
      </c>
      <c r="M803">
        <v>89</v>
      </c>
      <c r="N803">
        <v>71</v>
      </c>
      <c r="O803">
        <v>88</v>
      </c>
      <c r="P803">
        <v>9</v>
      </c>
      <c r="Q803">
        <v>6</v>
      </c>
      <c r="R803">
        <v>6</v>
      </c>
      <c r="S803">
        <v>0</v>
      </c>
      <c r="T803">
        <v>0</v>
      </c>
      <c r="U803">
        <v>1</v>
      </c>
      <c r="V803">
        <v>3</v>
      </c>
      <c r="W803">
        <v>4</v>
      </c>
      <c r="X803">
        <v>1</v>
      </c>
      <c r="Y803" t="s">
        <v>113</v>
      </c>
      <c r="Z803" t="s">
        <v>656</v>
      </c>
      <c r="AA803" t="s">
        <v>6711</v>
      </c>
      <c r="AE803">
        <v>0</v>
      </c>
      <c r="AH803" t="s">
        <v>155</v>
      </c>
      <c r="AI803">
        <v>32</v>
      </c>
      <c r="AJ803">
        <v>10</v>
      </c>
      <c r="AK803">
        <v>42</v>
      </c>
      <c r="AL803">
        <v>0</v>
      </c>
      <c r="AM803">
        <v>0</v>
      </c>
      <c r="AN803">
        <v>0.25</v>
      </c>
      <c r="AO803">
        <v>0.36</v>
      </c>
      <c r="AS803">
        <v>5</v>
      </c>
      <c r="AT803">
        <v>0</v>
      </c>
      <c r="AU803">
        <v>3</v>
      </c>
      <c r="AV803">
        <v>86</v>
      </c>
      <c r="AW803">
        <v>87</v>
      </c>
      <c r="AX803">
        <v>243</v>
      </c>
      <c r="AY803">
        <v>0</v>
      </c>
      <c r="AZ803" t="b">
        <v>0</v>
      </c>
      <c r="BA803">
        <v>1632</v>
      </c>
      <c r="BB803">
        <v>1646</v>
      </c>
      <c r="BC803">
        <v>6</v>
      </c>
      <c r="BD803" t="s">
        <v>6656</v>
      </c>
      <c r="BE803" s="1" t="s">
        <v>3594</v>
      </c>
      <c r="BF803">
        <v>1</v>
      </c>
      <c r="BG803">
        <v>71</v>
      </c>
      <c r="BH803">
        <v>1</v>
      </c>
      <c r="BI803" s="1" t="s">
        <v>204</v>
      </c>
      <c r="BJ803" s="1" t="s">
        <v>168</v>
      </c>
      <c r="BK803">
        <v>4</v>
      </c>
      <c r="BL803">
        <v>3.4</v>
      </c>
      <c r="BM803" s="1" t="s">
        <v>211</v>
      </c>
      <c r="BN803" s="1" t="s">
        <v>752</v>
      </c>
      <c r="BO803" s="1" t="s">
        <v>128</v>
      </c>
      <c r="BP803" s="1" t="s">
        <v>399</v>
      </c>
      <c r="BQ803">
        <v>0</v>
      </c>
      <c r="BR803">
        <v>0</v>
      </c>
      <c r="BS803" s="1" t="s">
        <v>128</v>
      </c>
      <c r="BT803">
        <v>0.4</v>
      </c>
      <c r="BU803" s="1" t="s">
        <v>161</v>
      </c>
      <c r="BV803" s="1" t="s">
        <v>257</v>
      </c>
      <c r="BW803">
        <v>3</v>
      </c>
      <c r="BX803">
        <v>2.4</v>
      </c>
      <c r="BY803" s="1" t="s">
        <v>128</v>
      </c>
      <c r="BZ803">
        <v>0.6</v>
      </c>
      <c r="CA803">
        <v>0</v>
      </c>
      <c r="CB803">
        <v>0</v>
      </c>
      <c r="CC803">
        <v>0.25</v>
      </c>
      <c r="CD803">
        <v>0.25</v>
      </c>
      <c r="CE803">
        <v>0.36</v>
      </c>
      <c r="CF803">
        <v>0.36</v>
      </c>
      <c r="CG803" s="1" t="s">
        <v>138</v>
      </c>
      <c r="CH803" s="1" t="s">
        <v>256</v>
      </c>
      <c r="CI803">
        <v>0</v>
      </c>
      <c r="CJ803">
        <v>6.6666666666666596E-2</v>
      </c>
      <c r="CK803" s="1" t="s">
        <v>161</v>
      </c>
      <c r="CL803" s="1" t="s">
        <v>159</v>
      </c>
      <c r="CM803">
        <v>84</v>
      </c>
      <c r="CN803">
        <v>74.8</v>
      </c>
      <c r="CO803">
        <v>85</v>
      </c>
      <c r="CP803">
        <v>85.2</v>
      </c>
      <c r="CQ803" s="1" t="s">
        <v>6712</v>
      </c>
      <c r="CR803" s="1" t="s">
        <v>6713</v>
      </c>
      <c r="CS803" s="1" t="s">
        <v>4695</v>
      </c>
      <c r="CT803" s="1" t="s">
        <v>4304</v>
      </c>
      <c r="CU803">
        <v>1598</v>
      </c>
      <c r="CV803" s="1" t="s">
        <v>6676</v>
      </c>
      <c r="CW803">
        <v>71.8</v>
      </c>
      <c r="CX803">
        <v>65.400000000000006</v>
      </c>
      <c r="CY803">
        <v>74</v>
      </c>
      <c r="CZ803">
        <v>75</v>
      </c>
      <c r="DA803">
        <v>1</v>
      </c>
      <c r="DB803" t="s">
        <v>656</v>
      </c>
      <c r="DC803">
        <v>101</v>
      </c>
      <c r="DD803">
        <v>69.449039724703198</v>
      </c>
      <c r="DE803" s="1" t="s">
        <v>6714</v>
      </c>
      <c r="DF803" t="str">
        <f>_xlfn.XLOOKUP(Table1[[#This Row],[Player ID]],Table2[feed_id],Table2[trade_status])</f>
        <v>free_agent</v>
      </c>
      <c r="DG803">
        <f>_xlfn.NUMBERVALUE(Table1[[#This Row],[predicted]])</f>
        <v>69.449039724703198</v>
      </c>
    </row>
    <row r="804" spans="1:111" x14ac:dyDescent="0.25">
      <c r="A804">
        <v>132779</v>
      </c>
      <c r="B804">
        <v>9242</v>
      </c>
      <c r="C804" t="s">
        <v>7597</v>
      </c>
      <c r="D804" t="s">
        <v>3116</v>
      </c>
      <c r="E804">
        <v>2025</v>
      </c>
      <c r="F804">
        <v>1017720</v>
      </c>
      <c r="G804" t="s">
        <v>3830</v>
      </c>
      <c r="H804" t="s">
        <v>7693</v>
      </c>
      <c r="I804" t="s">
        <v>291</v>
      </c>
      <c r="J804">
        <v>3</v>
      </c>
      <c r="K804">
        <v>34</v>
      </c>
      <c r="L804">
        <v>45</v>
      </c>
      <c r="M804">
        <v>41</v>
      </c>
      <c r="N804">
        <v>30</v>
      </c>
      <c r="O804">
        <v>39</v>
      </c>
      <c r="P804">
        <v>2</v>
      </c>
      <c r="Q804">
        <v>5</v>
      </c>
      <c r="R804">
        <v>1</v>
      </c>
      <c r="S804">
        <v>2</v>
      </c>
      <c r="T804">
        <v>9</v>
      </c>
      <c r="U804">
        <v>1</v>
      </c>
      <c r="V804">
        <v>1</v>
      </c>
      <c r="W804">
        <v>0</v>
      </c>
      <c r="X804">
        <v>0</v>
      </c>
      <c r="Y804" t="s">
        <v>113</v>
      </c>
      <c r="Z804" t="s">
        <v>5152</v>
      </c>
      <c r="AA804" t="s">
        <v>7694</v>
      </c>
      <c r="AH804" t="s">
        <v>155</v>
      </c>
      <c r="AI804">
        <v>2</v>
      </c>
      <c r="AJ804">
        <v>0</v>
      </c>
      <c r="AK804">
        <v>0</v>
      </c>
      <c r="AL804">
        <v>0</v>
      </c>
      <c r="AM804">
        <v>0.31</v>
      </c>
      <c r="AN804">
        <v>0.36</v>
      </c>
      <c r="AO804">
        <v>0.59</v>
      </c>
      <c r="AS804">
        <v>5</v>
      </c>
      <c r="AT804">
        <v>3</v>
      </c>
      <c r="AU804">
        <v>1</v>
      </c>
      <c r="AV804">
        <v>85</v>
      </c>
      <c r="AW804">
        <v>75</v>
      </c>
      <c r="AX804">
        <v>39</v>
      </c>
      <c r="AY804">
        <v>0</v>
      </c>
      <c r="AZ804" t="b">
        <v>0</v>
      </c>
      <c r="BA804">
        <v>1764</v>
      </c>
      <c r="BB804">
        <v>1522</v>
      </c>
      <c r="BC804">
        <v>6</v>
      </c>
      <c r="BD804" t="s">
        <v>7599</v>
      </c>
      <c r="BE804" s="1" t="s">
        <v>3594</v>
      </c>
      <c r="BF804">
        <v>0</v>
      </c>
      <c r="BG804">
        <v>71</v>
      </c>
      <c r="BH804">
        <v>0</v>
      </c>
      <c r="BI804">
        <v>3</v>
      </c>
      <c r="BJ804" s="1" t="s">
        <v>963</v>
      </c>
      <c r="BK804">
        <v>5</v>
      </c>
      <c r="BL804" s="1" t="s">
        <v>230</v>
      </c>
      <c r="BM804" s="1" t="s">
        <v>126</v>
      </c>
      <c r="BN804" s="1" t="s">
        <v>431</v>
      </c>
      <c r="BO804" s="1" t="s">
        <v>159</v>
      </c>
      <c r="BP804" s="1" t="s">
        <v>170</v>
      </c>
      <c r="BQ804">
        <v>4</v>
      </c>
      <c r="BR804" s="1" t="s">
        <v>436</v>
      </c>
      <c r="BS804">
        <v>1</v>
      </c>
      <c r="BT804" s="1" t="s">
        <v>162</v>
      </c>
      <c r="BU804" s="1" t="s">
        <v>161</v>
      </c>
      <c r="BV804" s="1" t="s">
        <v>162</v>
      </c>
      <c r="BW804" s="1" t="s">
        <v>128</v>
      </c>
      <c r="BX804">
        <v>1.2</v>
      </c>
      <c r="BY804">
        <v>0</v>
      </c>
      <c r="BZ804" s="1" t="s">
        <v>130</v>
      </c>
      <c r="CA804">
        <v>0.31</v>
      </c>
      <c r="CB804">
        <v>0.31</v>
      </c>
      <c r="CC804">
        <v>0.36</v>
      </c>
      <c r="CD804">
        <v>0.36</v>
      </c>
      <c r="CE804">
        <v>0.59</v>
      </c>
      <c r="CF804">
        <v>0.59</v>
      </c>
      <c r="CG804" s="1" t="s">
        <v>160</v>
      </c>
      <c r="CH804" s="1" t="s">
        <v>499</v>
      </c>
      <c r="CI804" s="1" t="s">
        <v>161</v>
      </c>
      <c r="CJ804" s="1" t="s">
        <v>162</v>
      </c>
      <c r="CK804" s="1" t="s">
        <v>161</v>
      </c>
      <c r="CL804" s="1" t="s">
        <v>275</v>
      </c>
      <c r="CM804" s="1" t="s">
        <v>1273</v>
      </c>
      <c r="CN804" s="1" t="s">
        <v>1471</v>
      </c>
      <c r="CO804">
        <v>76</v>
      </c>
      <c r="CP804">
        <v>75.400000000000006</v>
      </c>
      <c r="CQ804" s="1" t="s">
        <v>4279</v>
      </c>
      <c r="CR804" s="1" t="s">
        <v>7695</v>
      </c>
      <c r="CS804" s="1" t="s">
        <v>2460</v>
      </c>
      <c r="CT804" s="1" t="s">
        <v>805</v>
      </c>
      <c r="CU804" s="1" t="s">
        <v>7601</v>
      </c>
      <c r="CV804" s="1" t="s">
        <v>2071</v>
      </c>
      <c r="CW804">
        <v>61.6</v>
      </c>
      <c r="CX804">
        <v>50.6</v>
      </c>
      <c r="CY804">
        <v>52.4</v>
      </c>
      <c r="CZ804">
        <v>51</v>
      </c>
      <c r="DA804">
        <v>1</v>
      </c>
      <c r="DB804" t="s">
        <v>5152</v>
      </c>
      <c r="DC804">
        <v>45</v>
      </c>
      <c r="DD804" s="1" t="s">
        <v>7696</v>
      </c>
      <c r="DE804">
        <v>-24.292095470058001</v>
      </c>
      <c r="DF804" t="str">
        <f>_xlfn.XLOOKUP(Table1[[#This Row],[Player ID]],Table2[feed_id],Table2[trade_status])</f>
        <v>free_agent</v>
      </c>
      <c r="DG804">
        <f>_xlfn.NUMBERVALUE(Table1[[#This Row],[predicted]])</f>
        <v>69.292095470058001</v>
      </c>
    </row>
    <row r="805" spans="1:111" hidden="1" x14ac:dyDescent="0.25">
      <c r="A805">
        <v>132682</v>
      </c>
      <c r="B805">
        <v>9240</v>
      </c>
      <c r="C805" t="s">
        <v>7230</v>
      </c>
      <c r="D805" t="s">
        <v>3116</v>
      </c>
      <c r="E805">
        <v>2025</v>
      </c>
      <c r="F805">
        <v>1004912</v>
      </c>
      <c r="G805" t="s">
        <v>776</v>
      </c>
      <c r="H805" t="s">
        <v>6840</v>
      </c>
      <c r="I805" t="s">
        <v>249</v>
      </c>
      <c r="J805">
        <v>11</v>
      </c>
      <c r="K805">
        <v>75</v>
      </c>
      <c r="L805">
        <v>118</v>
      </c>
      <c r="M805">
        <v>90</v>
      </c>
      <c r="N805">
        <v>65</v>
      </c>
      <c r="O805">
        <v>82</v>
      </c>
      <c r="P805">
        <v>6</v>
      </c>
      <c r="Q805">
        <v>8</v>
      </c>
      <c r="R805">
        <v>3</v>
      </c>
      <c r="S805">
        <v>3</v>
      </c>
      <c r="T805">
        <v>22</v>
      </c>
      <c r="U805">
        <v>1</v>
      </c>
      <c r="V805">
        <v>1</v>
      </c>
      <c r="W805">
        <v>0</v>
      </c>
      <c r="X805">
        <v>0</v>
      </c>
      <c r="Y805" t="s">
        <v>113</v>
      </c>
      <c r="Z805" t="s">
        <v>602</v>
      </c>
      <c r="AA805" t="s">
        <v>3889</v>
      </c>
      <c r="AE805">
        <v>0</v>
      </c>
      <c r="AH805" t="s">
        <v>274</v>
      </c>
      <c r="AI805">
        <v>12</v>
      </c>
      <c r="AJ805">
        <v>1</v>
      </c>
      <c r="AK805">
        <v>58</v>
      </c>
      <c r="AL805">
        <v>0</v>
      </c>
      <c r="AM805">
        <v>0</v>
      </c>
      <c r="AN805">
        <v>1.56</v>
      </c>
      <c r="AO805">
        <v>2.06</v>
      </c>
      <c r="AS805">
        <v>6</v>
      </c>
      <c r="AT805">
        <v>3</v>
      </c>
      <c r="AU805">
        <v>2</v>
      </c>
      <c r="AV805">
        <v>78</v>
      </c>
      <c r="AW805">
        <v>81</v>
      </c>
      <c r="AX805">
        <v>214</v>
      </c>
      <c r="AY805">
        <v>0</v>
      </c>
      <c r="AZ805" t="b">
        <v>0</v>
      </c>
      <c r="BA805">
        <v>1285</v>
      </c>
      <c r="BB805">
        <v>1976</v>
      </c>
      <c r="BC805">
        <v>6</v>
      </c>
      <c r="BD805" t="s">
        <v>7234</v>
      </c>
      <c r="BE805" s="1" t="s">
        <v>3594</v>
      </c>
      <c r="BF805">
        <v>1</v>
      </c>
      <c r="BG805">
        <v>71</v>
      </c>
      <c r="BH805">
        <v>1</v>
      </c>
      <c r="BI805" s="1" t="s">
        <v>545</v>
      </c>
      <c r="BJ805" s="1" t="s">
        <v>1159</v>
      </c>
      <c r="BK805">
        <v>12</v>
      </c>
      <c r="BL805">
        <v>9.6</v>
      </c>
      <c r="BM805" s="1" t="s">
        <v>211</v>
      </c>
      <c r="BN805" s="1" t="s">
        <v>321</v>
      </c>
      <c r="BO805">
        <v>3</v>
      </c>
      <c r="BP805">
        <v>3.2</v>
      </c>
      <c r="BQ805">
        <v>27</v>
      </c>
      <c r="BR805" s="1" t="s">
        <v>7301</v>
      </c>
      <c r="BS805" s="1" t="s">
        <v>159</v>
      </c>
      <c r="BT805">
        <v>1.6</v>
      </c>
      <c r="BU805" s="1" t="s">
        <v>169</v>
      </c>
      <c r="BV805">
        <v>1.2</v>
      </c>
      <c r="BW805">
        <v>0</v>
      </c>
      <c r="BX805">
        <v>0.2</v>
      </c>
      <c r="BY805" s="1" t="s">
        <v>129</v>
      </c>
      <c r="BZ805" s="1" t="s">
        <v>184</v>
      </c>
      <c r="CA805">
        <v>0</v>
      </c>
      <c r="CB805">
        <v>0</v>
      </c>
      <c r="CC805">
        <v>1.56</v>
      </c>
      <c r="CD805">
        <v>1.56</v>
      </c>
      <c r="CE805">
        <v>2.06</v>
      </c>
      <c r="CF805">
        <v>2.06</v>
      </c>
      <c r="CG805">
        <v>14</v>
      </c>
      <c r="CH805" s="1" t="s">
        <v>1816</v>
      </c>
      <c r="CI805" s="1" t="s">
        <v>449</v>
      </c>
      <c r="CJ805" s="1" t="s">
        <v>397</v>
      </c>
      <c r="CK805" s="1" t="s">
        <v>449</v>
      </c>
      <c r="CL805" s="1" t="s">
        <v>321</v>
      </c>
      <c r="CM805" s="1" t="s">
        <v>417</v>
      </c>
      <c r="CN805" s="1" t="s">
        <v>772</v>
      </c>
      <c r="CO805">
        <v>80</v>
      </c>
      <c r="CP805" s="1" t="s">
        <v>261</v>
      </c>
      <c r="CQ805" s="1" t="s">
        <v>7302</v>
      </c>
      <c r="CR805">
        <v>311.39999999999998</v>
      </c>
      <c r="CS805" s="1" t="s">
        <v>7238</v>
      </c>
      <c r="CT805">
        <v>1649.2</v>
      </c>
      <c r="CU805" s="1" t="s">
        <v>7239</v>
      </c>
      <c r="CV805" s="1" t="s">
        <v>2535</v>
      </c>
      <c r="CW805">
        <v>105.55</v>
      </c>
      <c r="CX805">
        <v>113.9</v>
      </c>
      <c r="CY805">
        <v>120.8</v>
      </c>
      <c r="CZ805" s="1" t="s">
        <v>5261</v>
      </c>
      <c r="DA805">
        <v>1</v>
      </c>
      <c r="DB805" t="s">
        <v>602</v>
      </c>
      <c r="DC805">
        <v>118</v>
      </c>
      <c r="DD805" s="1" t="s">
        <v>7303</v>
      </c>
      <c r="DE805" s="1" t="s">
        <v>7304</v>
      </c>
      <c r="DF805" t="e">
        <f>_xlfn.XLOOKUP(Table1[[#This Row],[Player ID]],Table2[feed_id],Table2[trade_status])</f>
        <v>#N/A</v>
      </c>
      <c r="DG805">
        <f>_xlfn.NUMBERVALUE(Table1[[#This Row],[predicted]])</f>
        <v>107.932528531636</v>
      </c>
    </row>
    <row r="806" spans="1:111" x14ac:dyDescent="0.25">
      <c r="A806">
        <v>132890</v>
      </c>
      <c r="B806">
        <v>9244</v>
      </c>
      <c r="C806" t="s">
        <v>7983</v>
      </c>
      <c r="D806" t="s">
        <v>3116</v>
      </c>
      <c r="E806">
        <v>2025</v>
      </c>
      <c r="F806">
        <v>1008123</v>
      </c>
      <c r="G806" t="s">
        <v>1235</v>
      </c>
      <c r="H806" t="s">
        <v>8164</v>
      </c>
      <c r="I806" t="s">
        <v>1089</v>
      </c>
      <c r="J806">
        <v>11</v>
      </c>
      <c r="K806">
        <v>53</v>
      </c>
      <c r="L806">
        <v>34</v>
      </c>
      <c r="M806">
        <v>42</v>
      </c>
      <c r="N806">
        <v>47</v>
      </c>
      <c r="O806">
        <v>62</v>
      </c>
      <c r="P806">
        <v>6</v>
      </c>
      <c r="Q806">
        <v>5</v>
      </c>
      <c r="R806">
        <v>3</v>
      </c>
      <c r="S806">
        <v>2</v>
      </c>
      <c r="T806">
        <v>7</v>
      </c>
      <c r="U806">
        <v>0</v>
      </c>
      <c r="V806">
        <v>2</v>
      </c>
      <c r="W806">
        <v>1</v>
      </c>
      <c r="X806">
        <v>1</v>
      </c>
      <c r="Y806" t="s">
        <v>113</v>
      </c>
      <c r="Z806" t="s">
        <v>5152</v>
      </c>
      <c r="AA806" t="s">
        <v>8165</v>
      </c>
      <c r="AH806" t="s">
        <v>155</v>
      </c>
      <c r="AI806">
        <v>26</v>
      </c>
      <c r="AJ806">
        <v>0</v>
      </c>
      <c r="AK806">
        <v>0</v>
      </c>
      <c r="AL806">
        <v>0</v>
      </c>
      <c r="AM806">
        <v>0.13</v>
      </c>
      <c r="AN806">
        <v>0.21</v>
      </c>
      <c r="AO806">
        <v>0.21</v>
      </c>
      <c r="AS806">
        <v>6</v>
      </c>
      <c r="AT806">
        <v>3</v>
      </c>
      <c r="AU806">
        <v>4</v>
      </c>
      <c r="AV806">
        <v>36</v>
      </c>
      <c r="AW806">
        <v>73</v>
      </c>
      <c r="AX806">
        <v>103</v>
      </c>
      <c r="AY806">
        <v>0</v>
      </c>
      <c r="AZ806" t="b">
        <v>0</v>
      </c>
      <c r="BA806">
        <v>1473</v>
      </c>
      <c r="BB806">
        <v>1816</v>
      </c>
      <c r="BC806">
        <v>6</v>
      </c>
      <c r="BD806" t="s">
        <v>8080</v>
      </c>
      <c r="BE806" s="1" t="s">
        <v>3594</v>
      </c>
      <c r="BF806">
        <v>0</v>
      </c>
      <c r="BG806">
        <v>71</v>
      </c>
      <c r="BH806">
        <v>0</v>
      </c>
      <c r="BI806" s="1" t="s">
        <v>253</v>
      </c>
      <c r="BJ806">
        <v>7.4</v>
      </c>
      <c r="BK806" s="1" t="s">
        <v>160</v>
      </c>
      <c r="BL806" s="1" t="s">
        <v>212</v>
      </c>
      <c r="BM806">
        <v>5</v>
      </c>
      <c r="BN806" s="1" t="s">
        <v>416</v>
      </c>
      <c r="BO806" s="1" t="s">
        <v>161</v>
      </c>
      <c r="BP806" s="1" t="s">
        <v>206</v>
      </c>
      <c r="BQ806" s="1" t="s">
        <v>160</v>
      </c>
      <c r="BR806" s="1" t="s">
        <v>160</v>
      </c>
      <c r="BS806" s="1" t="s">
        <v>129</v>
      </c>
      <c r="BT806" s="1" t="s">
        <v>129</v>
      </c>
      <c r="BU806">
        <v>2</v>
      </c>
      <c r="BV806">
        <v>1</v>
      </c>
      <c r="BW806" s="1" t="s">
        <v>128</v>
      </c>
      <c r="BX806">
        <v>1.2</v>
      </c>
      <c r="BY806" s="1" t="s">
        <v>128</v>
      </c>
      <c r="BZ806">
        <v>0.6</v>
      </c>
      <c r="CA806">
        <v>0.13</v>
      </c>
      <c r="CB806">
        <v>0.13</v>
      </c>
      <c r="CC806">
        <v>0.21</v>
      </c>
      <c r="CD806">
        <v>0.21</v>
      </c>
      <c r="CE806">
        <v>0.21</v>
      </c>
      <c r="CF806">
        <v>0.21</v>
      </c>
      <c r="CG806" s="1" t="s">
        <v>211</v>
      </c>
      <c r="CH806" s="1" t="s">
        <v>230</v>
      </c>
      <c r="CI806">
        <v>1</v>
      </c>
      <c r="CJ806">
        <v>1</v>
      </c>
      <c r="CK806" s="1" t="s">
        <v>125</v>
      </c>
      <c r="CL806" s="1" t="s">
        <v>140</v>
      </c>
      <c r="CM806">
        <v>53</v>
      </c>
      <c r="CN806" s="1" t="s">
        <v>3033</v>
      </c>
      <c r="CO806" s="1" t="s">
        <v>593</v>
      </c>
      <c r="CP806" s="1" t="s">
        <v>2326</v>
      </c>
      <c r="CQ806" s="1" t="s">
        <v>5527</v>
      </c>
      <c r="CR806" s="1" t="s">
        <v>8166</v>
      </c>
      <c r="CS806">
        <v>1889</v>
      </c>
      <c r="CT806">
        <v>1738.2</v>
      </c>
      <c r="CU806" s="1" t="s">
        <v>8167</v>
      </c>
      <c r="CV806" s="1" t="s">
        <v>1099</v>
      </c>
      <c r="CW806">
        <v>59.9</v>
      </c>
      <c r="CX806">
        <v>58.4</v>
      </c>
      <c r="CY806">
        <v>52.2</v>
      </c>
      <c r="CZ806" s="1" t="s">
        <v>2710</v>
      </c>
      <c r="DA806">
        <v>1</v>
      </c>
      <c r="DB806" t="s">
        <v>5152</v>
      </c>
      <c r="DC806">
        <v>34</v>
      </c>
      <c r="DD806" s="1" t="s">
        <v>8168</v>
      </c>
      <c r="DE806">
        <v>-35.2721824494378</v>
      </c>
      <c r="DF806" t="str">
        <f>_xlfn.XLOOKUP(Table1[[#This Row],[Player ID]],Table2[feed_id],Table2[trade_status])</f>
        <v>free_agent</v>
      </c>
      <c r="DG806">
        <f>_xlfn.NUMBERVALUE(Table1[[#This Row],[predicted]])</f>
        <v>69.272182449437807</v>
      </c>
    </row>
    <row r="807" spans="1:111" x14ac:dyDescent="0.25">
      <c r="A807">
        <v>132548</v>
      </c>
      <c r="B807">
        <v>9237</v>
      </c>
      <c r="C807" t="s">
        <v>6650</v>
      </c>
      <c r="D807" t="s">
        <v>3116</v>
      </c>
      <c r="E807">
        <v>2025</v>
      </c>
      <c r="F807">
        <v>1001396</v>
      </c>
      <c r="G807" t="s">
        <v>4961</v>
      </c>
      <c r="H807" t="s">
        <v>6732</v>
      </c>
      <c r="I807" t="s">
        <v>510</v>
      </c>
      <c r="J807">
        <v>4</v>
      </c>
      <c r="K807">
        <v>61</v>
      </c>
      <c r="L807">
        <v>86</v>
      </c>
      <c r="M807">
        <v>81</v>
      </c>
      <c r="N807">
        <v>46</v>
      </c>
      <c r="O807">
        <v>61</v>
      </c>
      <c r="P807">
        <v>13</v>
      </c>
      <c r="Q807">
        <v>1</v>
      </c>
      <c r="R807">
        <v>5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1</v>
      </c>
      <c r="Y807" t="s">
        <v>113</v>
      </c>
      <c r="Z807" t="s">
        <v>525</v>
      </c>
      <c r="AA807" t="s">
        <v>6733</v>
      </c>
      <c r="AE807">
        <v>0</v>
      </c>
      <c r="AH807" t="s">
        <v>181</v>
      </c>
      <c r="AI807">
        <v>44</v>
      </c>
      <c r="AJ807">
        <v>2</v>
      </c>
      <c r="AK807">
        <v>37</v>
      </c>
      <c r="AL807">
        <v>0</v>
      </c>
      <c r="AM807">
        <v>0</v>
      </c>
      <c r="AN807">
        <v>0.93</v>
      </c>
      <c r="AO807">
        <v>0.85</v>
      </c>
      <c r="AS807">
        <v>4</v>
      </c>
      <c r="AT807">
        <v>0</v>
      </c>
      <c r="AU807">
        <v>1</v>
      </c>
      <c r="AV807">
        <v>78</v>
      </c>
      <c r="AW807">
        <v>83</v>
      </c>
      <c r="AX807">
        <v>295</v>
      </c>
      <c r="AY807">
        <v>0</v>
      </c>
      <c r="AZ807" t="b">
        <v>0</v>
      </c>
      <c r="BA807">
        <v>1632</v>
      </c>
      <c r="BB807">
        <v>1646</v>
      </c>
      <c r="BC807">
        <v>6</v>
      </c>
      <c r="BD807" t="s">
        <v>6656</v>
      </c>
      <c r="BE807" s="1" t="s">
        <v>3594</v>
      </c>
      <c r="BF807">
        <v>0</v>
      </c>
      <c r="BG807">
        <v>71</v>
      </c>
      <c r="BH807">
        <v>1</v>
      </c>
      <c r="BI807" s="1" t="s">
        <v>356</v>
      </c>
      <c r="BJ807">
        <v>8.6</v>
      </c>
      <c r="BK807" s="1" t="s">
        <v>211</v>
      </c>
      <c r="BL807" s="1" t="s">
        <v>499</v>
      </c>
      <c r="BM807">
        <v>6</v>
      </c>
      <c r="BN807">
        <v>4.2</v>
      </c>
      <c r="BO807" s="1" t="s">
        <v>159</v>
      </c>
      <c r="BP807">
        <v>3.4</v>
      </c>
      <c r="BQ807">
        <v>0</v>
      </c>
      <c r="BR807">
        <v>0</v>
      </c>
      <c r="BS807">
        <v>0</v>
      </c>
      <c r="BT807" s="1" t="s">
        <v>231</v>
      </c>
      <c r="BU807" s="1" t="s">
        <v>129</v>
      </c>
      <c r="BV807">
        <v>0.8</v>
      </c>
      <c r="BW807">
        <v>0</v>
      </c>
      <c r="BX807" s="1" t="s">
        <v>238</v>
      </c>
      <c r="BY807" s="1" t="s">
        <v>129</v>
      </c>
      <c r="BZ807" s="1" t="s">
        <v>213</v>
      </c>
      <c r="CA807">
        <v>0</v>
      </c>
      <c r="CB807">
        <v>0</v>
      </c>
      <c r="CC807">
        <v>0.93</v>
      </c>
      <c r="CD807" s="1" t="s">
        <v>6734</v>
      </c>
      <c r="CE807">
        <v>0.85</v>
      </c>
      <c r="CF807" s="1" t="s">
        <v>6735</v>
      </c>
      <c r="CG807">
        <v>4</v>
      </c>
      <c r="CH807" s="1" t="s">
        <v>436</v>
      </c>
      <c r="CI807">
        <v>0</v>
      </c>
      <c r="CJ807" s="1" t="s">
        <v>127</v>
      </c>
      <c r="CK807">
        <v>2</v>
      </c>
      <c r="CL807" s="1" t="s">
        <v>159</v>
      </c>
      <c r="CM807">
        <v>74</v>
      </c>
      <c r="CN807" s="1" t="s">
        <v>1353</v>
      </c>
      <c r="CO807">
        <v>80</v>
      </c>
      <c r="CP807" s="1" t="s">
        <v>3267</v>
      </c>
      <c r="CQ807" s="1" t="s">
        <v>6736</v>
      </c>
      <c r="CR807">
        <v>244.4</v>
      </c>
      <c r="CS807" s="1" t="s">
        <v>4695</v>
      </c>
      <c r="CT807">
        <v>1740.2</v>
      </c>
      <c r="CU807">
        <v>1598</v>
      </c>
      <c r="CV807" s="1" t="s">
        <v>6737</v>
      </c>
      <c r="CW807">
        <v>67.8</v>
      </c>
      <c r="CX807">
        <v>71.7</v>
      </c>
      <c r="CY807">
        <v>70</v>
      </c>
      <c r="CZ807" s="1" t="s">
        <v>215</v>
      </c>
      <c r="DA807">
        <v>1</v>
      </c>
      <c r="DB807" t="s">
        <v>525</v>
      </c>
      <c r="DC807">
        <v>86</v>
      </c>
      <c r="DD807" s="1" t="s">
        <v>6738</v>
      </c>
      <c r="DE807" s="1" t="s">
        <v>6739</v>
      </c>
      <c r="DF807" t="str">
        <f>_xlfn.XLOOKUP(Table1[[#This Row],[Player ID]],Table2[feed_id],Table2[trade_status])</f>
        <v>free_agent</v>
      </c>
      <c r="DG807">
        <f>_xlfn.NUMBERVALUE(Table1[[#This Row],[predicted]])</f>
        <v>69.122214709936202</v>
      </c>
    </row>
    <row r="808" spans="1:111" hidden="1" x14ac:dyDescent="0.25">
      <c r="A808">
        <v>132688</v>
      </c>
      <c r="B808">
        <v>9240</v>
      </c>
      <c r="C808" t="s">
        <v>7230</v>
      </c>
      <c r="D808" t="s">
        <v>3116</v>
      </c>
      <c r="E808">
        <v>2025</v>
      </c>
      <c r="F808">
        <v>993832</v>
      </c>
      <c r="G808" t="s">
        <v>3830</v>
      </c>
      <c r="H808" t="s">
        <v>7314</v>
      </c>
      <c r="I808" t="s">
        <v>249</v>
      </c>
      <c r="J808">
        <v>12</v>
      </c>
      <c r="K808">
        <v>63</v>
      </c>
      <c r="L808">
        <v>91</v>
      </c>
      <c r="M808">
        <v>82</v>
      </c>
      <c r="N808">
        <v>53</v>
      </c>
      <c r="O808">
        <v>66</v>
      </c>
      <c r="P808">
        <v>12</v>
      </c>
      <c r="Q808">
        <v>3</v>
      </c>
      <c r="R808">
        <v>7</v>
      </c>
      <c r="S808">
        <v>0</v>
      </c>
      <c r="T808">
        <v>0</v>
      </c>
      <c r="U808">
        <v>3</v>
      </c>
      <c r="V808">
        <v>1</v>
      </c>
      <c r="W808">
        <v>0</v>
      </c>
      <c r="X808">
        <v>0</v>
      </c>
      <c r="Y808" t="s">
        <v>113</v>
      </c>
      <c r="Z808" t="s">
        <v>179</v>
      </c>
      <c r="AA808" t="s">
        <v>7315</v>
      </c>
      <c r="AE808">
        <v>0</v>
      </c>
      <c r="AH808" t="s">
        <v>181</v>
      </c>
      <c r="AI808">
        <v>23</v>
      </c>
      <c r="AJ808">
        <v>13</v>
      </c>
      <c r="AK808">
        <v>54.85</v>
      </c>
      <c r="AL808">
        <v>0</v>
      </c>
      <c r="AM808">
        <v>0</v>
      </c>
      <c r="AN808">
        <v>0.33</v>
      </c>
      <c r="AO808">
        <v>0.79</v>
      </c>
      <c r="AS808">
        <v>9</v>
      </c>
      <c r="AT808">
        <v>0</v>
      </c>
      <c r="AU808">
        <v>2</v>
      </c>
      <c r="AV808">
        <v>93</v>
      </c>
      <c r="AW808">
        <v>94</v>
      </c>
      <c r="AX808">
        <v>135</v>
      </c>
      <c r="AY808">
        <v>1</v>
      </c>
      <c r="AZ808" t="b">
        <v>0</v>
      </c>
      <c r="BA808">
        <v>1285</v>
      </c>
      <c r="BB808">
        <v>1976</v>
      </c>
      <c r="BC808">
        <v>6</v>
      </c>
      <c r="BD808" t="s">
        <v>7234</v>
      </c>
      <c r="BE808" s="1" t="s">
        <v>3594</v>
      </c>
      <c r="BF808">
        <v>0</v>
      </c>
      <c r="BG808">
        <v>71</v>
      </c>
      <c r="BH808">
        <v>1</v>
      </c>
      <c r="BI808" s="1" t="s">
        <v>1008</v>
      </c>
      <c r="BJ808">
        <v>11.2</v>
      </c>
      <c r="BK808">
        <v>4</v>
      </c>
      <c r="BL808" s="1" t="s">
        <v>321</v>
      </c>
      <c r="BM808" s="1" t="s">
        <v>183</v>
      </c>
      <c r="BN808" s="1" t="s">
        <v>398</v>
      </c>
      <c r="BO808">
        <v>1</v>
      </c>
      <c r="BP808" s="1" t="s">
        <v>127</v>
      </c>
      <c r="BQ808">
        <v>0</v>
      </c>
      <c r="BR808" s="1" t="s">
        <v>213</v>
      </c>
      <c r="BS808" s="1" t="s">
        <v>126</v>
      </c>
      <c r="BT808">
        <v>1</v>
      </c>
      <c r="BU808">
        <v>1</v>
      </c>
      <c r="BV808" s="1" t="s">
        <v>399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0.33</v>
      </c>
      <c r="CD808">
        <v>0.33</v>
      </c>
      <c r="CE808">
        <v>0.79</v>
      </c>
      <c r="CF808">
        <v>0.79</v>
      </c>
      <c r="CG808">
        <v>7</v>
      </c>
      <c r="CH808">
        <v>6.4</v>
      </c>
      <c r="CI808">
        <v>0</v>
      </c>
      <c r="CJ808" s="1" t="s">
        <v>213</v>
      </c>
      <c r="CK808">
        <v>2</v>
      </c>
      <c r="CL808">
        <v>2.4</v>
      </c>
      <c r="CM808">
        <v>90</v>
      </c>
      <c r="CN808" s="1" t="s">
        <v>629</v>
      </c>
      <c r="CO808" s="1" t="s">
        <v>3951</v>
      </c>
      <c r="CP808" s="1" t="s">
        <v>7316</v>
      </c>
      <c r="CQ808" s="1" t="s">
        <v>7317</v>
      </c>
      <c r="CR808" s="1" t="s">
        <v>7318</v>
      </c>
      <c r="CS808" s="1" t="s">
        <v>7238</v>
      </c>
      <c r="CT808">
        <v>1649.6</v>
      </c>
      <c r="CU808" s="1" t="s">
        <v>7239</v>
      </c>
      <c r="CV808" s="1" t="s">
        <v>6253</v>
      </c>
      <c r="CW808">
        <v>75.5</v>
      </c>
      <c r="CX808">
        <v>75.3</v>
      </c>
      <c r="CY808">
        <v>80.8</v>
      </c>
      <c r="CZ808" s="1" t="s">
        <v>305</v>
      </c>
      <c r="DA808">
        <v>1</v>
      </c>
      <c r="DB808" t="s">
        <v>179</v>
      </c>
      <c r="DC808">
        <v>91</v>
      </c>
      <c r="DD808" s="1" t="s">
        <v>7319</v>
      </c>
      <c r="DE808" s="1" t="s">
        <v>7320</v>
      </c>
      <c r="DF808" t="e">
        <f>_xlfn.XLOOKUP(Table1[[#This Row],[Player ID]],Table2[feed_id],Table2[trade_status])</f>
        <v>#N/A</v>
      </c>
      <c r="DG808">
        <f>_xlfn.NUMBERVALUE(Table1[[#This Row],[predicted]])</f>
        <v>62.679225491090499</v>
      </c>
    </row>
    <row r="809" spans="1:111" hidden="1" x14ac:dyDescent="0.25">
      <c r="A809">
        <v>132689</v>
      </c>
      <c r="B809">
        <v>9240</v>
      </c>
      <c r="C809" t="s">
        <v>7230</v>
      </c>
      <c r="D809" t="s">
        <v>3116</v>
      </c>
      <c r="E809">
        <v>2025</v>
      </c>
      <c r="F809">
        <v>1001028</v>
      </c>
      <c r="G809" t="s">
        <v>1127</v>
      </c>
      <c r="H809" t="s">
        <v>1451</v>
      </c>
      <c r="I809" t="s">
        <v>249</v>
      </c>
      <c r="J809">
        <v>12</v>
      </c>
      <c r="K809">
        <v>61</v>
      </c>
      <c r="L809">
        <v>95</v>
      </c>
      <c r="M809">
        <v>80</v>
      </c>
      <c r="N809">
        <v>51</v>
      </c>
      <c r="O809">
        <v>66</v>
      </c>
      <c r="P809">
        <v>12</v>
      </c>
      <c r="Q809">
        <v>3</v>
      </c>
      <c r="R809">
        <v>7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 t="s">
        <v>113</v>
      </c>
      <c r="Z809" t="s">
        <v>179</v>
      </c>
      <c r="AA809" t="s">
        <v>7321</v>
      </c>
      <c r="AE809">
        <v>0</v>
      </c>
      <c r="AH809" t="s">
        <v>155</v>
      </c>
      <c r="AI809">
        <v>1</v>
      </c>
      <c r="AJ809">
        <v>14</v>
      </c>
      <c r="AK809">
        <v>48.93</v>
      </c>
      <c r="AL809">
        <v>0</v>
      </c>
      <c r="AM809">
        <v>0</v>
      </c>
      <c r="AN809">
        <v>0.05</v>
      </c>
      <c r="AO809">
        <v>0.11</v>
      </c>
      <c r="AS809">
        <v>6</v>
      </c>
      <c r="AT809">
        <v>0</v>
      </c>
      <c r="AU809">
        <v>1</v>
      </c>
      <c r="AV809">
        <v>93</v>
      </c>
      <c r="AW809">
        <v>93</v>
      </c>
      <c r="AX809">
        <v>129</v>
      </c>
      <c r="AY809">
        <v>0</v>
      </c>
      <c r="AZ809" t="b">
        <v>0</v>
      </c>
      <c r="BA809">
        <v>1285</v>
      </c>
      <c r="BB809">
        <v>1976</v>
      </c>
      <c r="BC809">
        <v>6</v>
      </c>
      <c r="BD809" t="s">
        <v>7234</v>
      </c>
      <c r="BE809" s="1" t="s">
        <v>3594</v>
      </c>
      <c r="BF809">
        <v>0</v>
      </c>
      <c r="BG809">
        <v>71</v>
      </c>
      <c r="BH809">
        <v>1</v>
      </c>
      <c r="BI809">
        <v>11</v>
      </c>
      <c r="BJ809">
        <v>9</v>
      </c>
      <c r="BK809" s="1" t="s">
        <v>125</v>
      </c>
      <c r="BL809" s="1" t="s">
        <v>205</v>
      </c>
      <c r="BM809" s="1" t="s">
        <v>204</v>
      </c>
      <c r="BN809">
        <v>4.5999999999999996</v>
      </c>
      <c r="BO809" s="1" t="s">
        <v>169</v>
      </c>
      <c r="BP809" s="1" t="s">
        <v>138</v>
      </c>
      <c r="BQ809">
        <v>0</v>
      </c>
      <c r="BR809">
        <v>2.6</v>
      </c>
      <c r="BS809">
        <v>1</v>
      </c>
      <c r="BT809" s="1" t="s">
        <v>162</v>
      </c>
      <c r="BU809" s="1" t="s">
        <v>128</v>
      </c>
      <c r="BV809">
        <v>1.2</v>
      </c>
      <c r="BW809">
        <v>0</v>
      </c>
      <c r="BX809" s="1" t="s">
        <v>399</v>
      </c>
      <c r="BY809">
        <v>0</v>
      </c>
      <c r="BZ809" s="1" t="s">
        <v>399</v>
      </c>
      <c r="CA809">
        <v>0</v>
      </c>
      <c r="CB809">
        <v>0</v>
      </c>
      <c r="CC809">
        <v>0.05</v>
      </c>
      <c r="CD809">
        <v>0.15</v>
      </c>
      <c r="CE809">
        <v>0.11</v>
      </c>
      <c r="CF809" s="1" t="s">
        <v>7322</v>
      </c>
      <c r="CG809" s="1" t="s">
        <v>449</v>
      </c>
      <c r="CH809" s="1" t="s">
        <v>429</v>
      </c>
      <c r="CI809">
        <v>0</v>
      </c>
      <c r="CJ809" s="1" t="s">
        <v>126</v>
      </c>
      <c r="CK809" s="1" t="s">
        <v>159</v>
      </c>
      <c r="CL809">
        <v>2.8</v>
      </c>
      <c r="CM809" s="1" t="s">
        <v>241</v>
      </c>
      <c r="CN809" s="1" t="s">
        <v>1615</v>
      </c>
      <c r="CO809">
        <v>92</v>
      </c>
      <c r="CP809" s="1" t="s">
        <v>850</v>
      </c>
      <c r="CQ809" s="1" t="s">
        <v>7323</v>
      </c>
      <c r="CR809" s="1" t="s">
        <v>7324</v>
      </c>
      <c r="CS809" s="1" t="s">
        <v>7238</v>
      </c>
      <c r="CT809" s="1" t="s">
        <v>5235</v>
      </c>
      <c r="CU809" s="1" t="s">
        <v>7239</v>
      </c>
      <c r="CV809" s="1" t="s">
        <v>6509</v>
      </c>
      <c r="CW809">
        <v>75</v>
      </c>
      <c r="CX809">
        <v>83.1</v>
      </c>
      <c r="CY809">
        <v>82.2</v>
      </c>
      <c r="CZ809" s="1" t="s">
        <v>364</v>
      </c>
      <c r="DA809">
        <v>1</v>
      </c>
      <c r="DB809" t="s">
        <v>179</v>
      </c>
      <c r="DC809">
        <v>95</v>
      </c>
      <c r="DD809">
        <v>65.824294762781307</v>
      </c>
      <c r="DE809" s="1" t="s">
        <v>7325</v>
      </c>
      <c r="DF809" t="e">
        <f>_xlfn.XLOOKUP(Table1[[#This Row],[Player ID]],Table2[feed_id],Table2[trade_status])</f>
        <v>#N/A</v>
      </c>
      <c r="DG809">
        <f>_xlfn.NUMBERVALUE(Table1[[#This Row],[predicted]])</f>
        <v>65.824294762781307</v>
      </c>
    </row>
    <row r="810" spans="1:111" x14ac:dyDescent="0.25">
      <c r="A810">
        <v>132624</v>
      </c>
      <c r="B810">
        <v>9238</v>
      </c>
      <c r="C810" t="s">
        <v>6865</v>
      </c>
      <c r="D810" t="s">
        <v>3116</v>
      </c>
      <c r="E810">
        <v>2025</v>
      </c>
      <c r="F810">
        <v>295222</v>
      </c>
      <c r="G810" t="s">
        <v>1087</v>
      </c>
      <c r="H810" t="s">
        <v>7034</v>
      </c>
      <c r="I810" t="s">
        <v>338</v>
      </c>
      <c r="J810">
        <v>2</v>
      </c>
      <c r="K810">
        <v>28</v>
      </c>
      <c r="L810">
        <v>41</v>
      </c>
      <c r="M810">
        <v>21</v>
      </c>
      <c r="N810">
        <v>25</v>
      </c>
      <c r="O810">
        <v>33</v>
      </c>
      <c r="P810">
        <v>3</v>
      </c>
      <c r="Q810">
        <v>6</v>
      </c>
      <c r="R810">
        <v>2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 t="s">
        <v>113</v>
      </c>
      <c r="Z810" t="s">
        <v>7035</v>
      </c>
      <c r="AA810" t="s">
        <v>7036</v>
      </c>
      <c r="AE810">
        <v>0</v>
      </c>
      <c r="AH810" t="s">
        <v>181</v>
      </c>
      <c r="AI810">
        <v>29</v>
      </c>
      <c r="AJ810">
        <v>17</v>
      </c>
      <c r="AK810">
        <v>54.47</v>
      </c>
      <c r="AL810">
        <v>0</v>
      </c>
      <c r="AM810">
        <v>0</v>
      </c>
      <c r="AN810">
        <v>0.49</v>
      </c>
      <c r="AO810">
        <v>0.74</v>
      </c>
      <c r="AS810">
        <v>6</v>
      </c>
      <c r="AT810">
        <v>0</v>
      </c>
      <c r="AU810">
        <v>0</v>
      </c>
      <c r="AV810">
        <v>77</v>
      </c>
      <c r="AW810">
        <v>91</v>
      </c>
      <c r="AX810">
        <v>91</v>
      </c>
      <c r="AY810">
        <v>0</v>
      </c>
      <c r="AZ810" t="b">
        <v>0</v>
      </c>
      <c r="BA810">
        <v>1741</v>
      </c>
      <c r="BB810">
        <v>1546</v>
      </c>
      <c r="BC810">
        <v>6</v>
      </c>
      <c r="BD810" t="s">
        <v>6968</v>
      </c>
      <c r="BE810" s="1" t="s">
        <v>3594</v>
      </c>
      <c r="BF810">
        <v>0</v>
      </c>
      <c r="BG810">
        <v>71</v>
      </c>
      <c r="BH810">
        <v>0</v>
      </c>
      <c r="BI810" s="1" t="s">
        <v>160</v>
      </c>
      <c r="BJ810" s="1" t="s">
        <v>397</v>
      </c>
      <c r="BK810">
        <v>6</v>
      </c>
      <c r="BL810" s="1" t="s">
        <v>449</v>
      </c>
      <c r="BM810" s="1" t="s">
        <v>125</v>
      </c>
      <c r="BN810" s="1" t="s">
        <v>229</v>
      </c>
      <c r="BO810" s="1" t="s">
        <v>128</v>
      </c>
      <c r="BP810" s="1" t="s">
        <v>399</v>
      </c>
      <c r="BQ810">
        <v>0</v>
      </c>
      <c r="BR810" s="1" t="s">
        <v>213</v>
      </c>
      <c r="BS810" s="1" t="s">
        <v>126</v>
      </c>
      <c r="BT810" s="1" t="s">
        <v>257</v>
      </c>
      <c r="BU810">
        <v>0</v>
      </c>
      <c r="BV810">
        <v>0.4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0.49</v>
      </c>
      <c r="CD810">
        <v>0.45</v>
      </c>
      <c r="CE810">
        <v>0.74</v>
      </c>
      <c r="CF810" s="1" t="s">
        <v>7037</v>
      </c>
      <c r="CG810" s="1" t="s">
        <v>124</v>
      </c>
      <c r="CH810">
        <v>4.8</v>
      </c>
      <c r="CI810">
        <v>0</v>
      </c>
      <c r="CJ810" s="1" t="s">
        <v>213</v>
      </c>
      <c r="CK810">
        <v>1</v>
      </c>
      <c r="CL810">
        <v>1.2</v>
      </c>
      <c r="CM810" s="1" t="s">
        <v>754</v>
      </c>
      <c r="CN810" s="1" t="s">
        <v>1110</v>
      </c>
      <c r="CO810">
        <v>88</v>
      </c>
      <c r="CP810" s="1" t="s">
        <v>7038</v>
      </c>
      <c r="CQ810" s="1" t="s">
        <v>5526</v>
      </c>
      <c r="CS810" s="1" t="s">
        <v>4920</v>
      </c>
      <c r="CT810" s="1" t="s">
        <v>5664</v>
      </c>
      <c r="CU810" s="1" t="s">
        <v>5358</v>
      </c>
      <c r="CV810" s="1" t="s">
        <v>6203</v>
      </c>
      <c r="CW810">
        <v>65.55</v>
      </c>
      <c r="CX810">
        <v>59.5</v>
      </c>
      <c r="CY810">
        <v>63.8</v>
      </c>
      <c r="CZ810">
        <v>62</v>
      </c>
      <c r="DA810">
        <v>1</v>
      </c>
      <c r="DB810" t="s">
        <v>7035</v>
      </c>
      <c r="DC810">
        <v>41</v>
      </c>
      <c r="DD810" s="1" t="s">
        <v>7039</v>
      </c>
      <c r="DE810">
        <v>-28.0106728621748</v>
      </c>
      <c r="DF810" t="str">
        <f>_xlfn.XLOOKUP(Table1[[#This Row],[Player ID]],Table2[feed_id],Table2[trade_status])</f>
        <v>free_agent</v>
      </c>
      <c r="DG810">
        <f>_xlfn.NUMBERVALUE(Table1[[#This Row],[predicted]])</f>
        <v>69.0106728621748</v>
      </c>
    </row>
    <row r="811" spans="1:111" x14ac:dyDescent="0.25">
      <c r="A811">
        <v>132719</v>
      </c>
      <c r="B811">
        <v>9241</v>
      </c>
      <c r="C811" t="s">
        <v>7418</v>
      </c>
      <c r="D811" t="s">
        <v>3116</v>
      </c>
      <c r="E811">
        <v>2025</v>
      </c>
      <c r="F811">
        <v>1006127</v>
      </c>
      <c r="G811" t="s">
        <v>7437</v>
      </c>
      <c r="H811" t="s">
        <v>4699</v>
      </c>
      <c r="I811" t="s">
        <v>712</v>
      </c>
      <c r="J811">
        <v>15</v>
      </c>
      <c r="K811">
        <v>86</v>
      </c>
      <c r="L811">
        <v>97</v>
      </c>
      <c r="M811">
        <v>104</v>
      </c>
      <c r="N811">
        <v>72</v>
      </c>
      <c r="O811">
        <v>96</v>
      </c>
      <c r="P811">
        <v>12</v>
      </c>
      <c r="Q811">
        <v>12</v>
      </c>
      <c r="R811">
        <v>4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3</v>
      </c>
      <c r="Y811" t="s">
        <v>113</v>
      </c>
      <c r="Z811" t="s">
        <v>861</v>
      </c>
      <c r="AA811" t="s">
        <v>7438</v>
      </c>
      <c r="AH811" t="s">
        <v>155</v>
      </c>
      <c r="AI811">
        <v>14</v>
      </c>
      <c r="AJ811">
        <v>0</v>
      </c>
      <c r="AK811">
        <v>0</v>
      </c>
      <c r="AL811">
        <v>0</v>
      </c>
      <c r="AM811">
        <v>0.09</v>
      </c>
      <c r="AN811">
        <v>0.04</v>
      </c>
      <c r="AO811">
        <v>0.08</v>
      </c>
      <c r="AS811">
        <v>10</v>
      </c>
      <c r="AT811">
        <v>4</v>
      </c>
      <c r="AU811">
        <v>2</v>
      </c>
      <c r="AV811">
        <v>70</v>
      </c>
      <c r="AW811">
        <v>83</v>
      </c>
      <c r="AX811">
        <v>358</v>
      </c>
      <c r="AY811">
        <v>0</v>
      </c>
      <c r="AZ811" t="b">
        <v>0</v>
      </c>
      <c r="BA811">
        <v>1780</v>
      </c>
      <c r="BB811">
        <v>1518</v>
      </c>
      <c r="BC811">
        <v>6</v>
      </c>
      <c r="BD811" t="s">
        <v>7420</v>
      </c>
      <c r="BE811" s="1" t="s">
        <v>3594</v>
      </c>
      <c r="BF811">
        <v>0</v>
      </c>
      <c r="BG811">
        <v>71</v>
      </c>
      <c r="BH811">
        <v>1</v>
      </c>
      <c r="BI811" s="1" t="s">
        <v>253</v>
      </c>
      <c r="BJ811" s="1" t="s">
        <v>964</v>
      </c>
      <c r="BK811" s="1" t="s">
        <v>545</v>
      </c>
      <c r="BL811" s="1" t="s">
        <v>680</v>
      </c>
      <c r="BM811" s="1" t="s">
        <v>169</v>
      </c>
      <c r="BN811" s="1" t="s">
        <v>170</v>
      </c>
      <c r="BO811" s="1" t="s">
        <v>169</v>
      </c>
      <c r="BP811" s="1" t="s">
        <v>138</v>
      </c>
      <c r="BQ811">
        <v>0</v>
      </c>
      <c r="BR811">
        <v>0</v>
      </c>
      <c r="BS811">
        <v>1</v>
      </c>
      <c r="BT811" s="1" t="s">
        <v>399</v>
      </c>
      <c r="BU811" s="1" t="s">
        <v>128</v>
      </c>
      <c r="BV811" s="1" t="s">
        <v>127</v>
      </c>
      <c r="BW811">
        <v>1</v>
      </c>
      <c r="BX811" s="1" t="s">
        <v>298</v>
      </c>
      <c r="BY811" s="1" t="s">
        <v>161</v>
      </c>
      <c r="BZ811" s="1" t="s">
        <v>128</v>
      </c>
      <c r="CA811">
        <v>0.09</v>
      </c>
      <c r="CB811">
        <v>0.09</v>
      </c>
      <c r="CC811">
        <v>0.04</v>
      </c>
      <c r="CD811">
        <v>0.04</v>
      </c>
      <c r="CE811">
        <v>0.08</v>
      </c>
      <c r="CF811">
        <v>0.08</v>
      </c>
      <c r="CG811">
        <v>7</v>
      </c>
      <c r="CH811">
        <v>6</v>
      </c>
      <c r="CI811">
        <v>2</v>
      </c>
      <c r="CJ811" s="1" t="s">
        <v>304</v>
      </c>
      <c r="CK811" s="1" t="s">
        <v>161</v>
      </c>
      <c r="CL811" s="1" t="s">
        <v>214</v>
      </c>
      <c r="CM811">
        <v>51</v>
      </c>
      <c r="CN811">
        <v>64</v>
      </c>
      <c r="CO811" s="1" t="s">
        <v>516</v>
      </c>
      <c r="CP811" s="1" t="s">
        <v>517</v>
      </c>
      <c r="CQ811" s="1" t="s">
        <v>7439</v>
      </c>
      <c r="CR811">
        <v>183.6</v>
      </c>
      <c r="CS811" s="1" t="s">
        <v>664</v>
      </c>
      <c r="CT811">
        <v>1662.8</v>
      </c>
      <c r="CU811" s="1" t="s">
        <v>3948</v>
      </c>
      <c r="CV811">
        <v>1623.4</v>
      </c>
      <c r="CW811">
        <v>64.150000000000006</v>
      </c>
      <c r="CX811">
        <v>60.7</v>
      </c>
      <c r="CY811">
        <v>68.2</v>
      </c>
      <c r="CZ811" s="1" t="s">
        <v>417</v>
      </c>
      <c r="DA811">
        <v>1</v>
      </c>
      <c r="DB811" t="s">
        <v>861</v>
      </c>
      <c r="DC811">
        <v>97</v>
      </c>
      <c r="DD811" s="1" t="s">
        <v>7440</v>
      </c>
      <c r="DE811" s="1" t="s">
        <v>7441</v>
      </c>
      <c r="DF811" t="str">
        <f>_xlfn.XLOOKUP(Table1[[#This Row],[Player ID]],Table2[feed_id],Table2[trade_status])</f>
        <v>free_agent</v>
      </c>
      <c r="DG811">
        <f>_xlfn.NUMBERVALUE(Table1[[#This Row],[predicted]])</f>
        <v>68.316965757065105</v>
      </c>
    </row>
    <row r="812" spans="1:111" x14ac:dyDescent="0.25">
      <c r="A812">
        <v>132699</v>
      </c>
      <c r="B812">
        <v>9240</v>
      </c>
      <c r="C812" t="s">
        <v>7230</v>
      </c>
      <c r="D812" t="s">
        <v>3116</v>
      </c>
      <c r="E812">
        <v>2025</v>
      </c>
      <c r="F812">
        <v>290826</v>
      </c>
      <c r="G812" t="s">
        <v>3229</v>
      </c>
      <c r="H812" t="s">
        <v>7280</v>
      </c>
      <c r="I812" t="s">
        <v>582</v>
      </c>
      <c r="J812">
        <v>15</v>
      </c>
      <c r="K812">
        <v>69</v>
      </c>
      <c r="L812">
        <v>63</v>
      </c>
      <c r="M812">
        <v>53</v>
      </c>
      <c r="N812">
        <v>56</v>
      </c>
      <c r="O812">
        <v>70</v>
      </c>
      <c r="P812">
        <v>9</v>
      </c>
      <c r="Q812">
        <v>3</v>
      </c>
      <c r="R812">
        <v>7</v>
      </c>
      <c r="S812">
        <v>2</v>
      </c>
      <c r="T812">
        <v>0</v>
      </c>
      <c r="U812">
        <v>0</v>
      </c>
      <c r="V812">
        <v>0</v>
      </c>
      <c r="W812">
        <v>1</v>
      </c>
      <c r="X812">
        <v>1</v>
      </c>
      <c r="Y812" t="s">
        <v>113</v>
      </c>
      <c r="Z812" t="s">
        <v>525</v>
      </c>
      <c r="AA812" t="s">
        <v>7371</v>
      </c>
      <c r="AH812" t="s">
        <v>155</v>
      </c>
      <c r="AI812">
        <v>15</v>
      </c>
      <c r="AJ812">
        <v>0</v>
      </c>
      <c r="AK812">
        <v>0</v>
      </c>
      <c r="AL812">
        <v>0</v>
      </c>
      <c r="AM812">
        <v>0.09</v>
      </c>
      <c r="AN812">
        <v>7.0000000000000007E-2</v>
      </c>
      <c r="AO812">
        <v>0.14000000000000001</v>
      </c>
      <c r="AS812">
        <v>1</v>
      </c>
      <c r="AT812">
        <v>0</v>
      </c>
      <c r="AU812">
        <v>0</v>
      </c>
      <c r="AV812">
        <v>75</v>
      </c>
      <c r="AW812">
        <v>82</v>
      </c>
      <c r="AX812">
        <v>363</v>
      </c>
      <c r="AY812">
        <v>0</v>
      </c>
      <c r="AZ812" t="b">
        <v>0</v>
      </c>
      <c r="BA812">
        <v>1976</v>
      </c>
      <c r="BB812">
        <v>1285</v>
      </c>
      <c r="BC812">
        <v>6</v>
      </c>
      <c r="BD812" t="s">
        <v>7344</v>
      </c>
      <c r="BE812" s="1" t="s">
        <v>3594</v>
      </c>
      <c r="BF812">
        <v>0</v>
      </c>
      <c r="BG812">
        <v>71</v>
      </c>
      <c r="BH812">
        <v>0</v>
      </c>
      <c r="BI812" s="1" t="s">
        <v>183</v>
      </c>
      <c r="BJ812" s="1" t="s">
        <v>674</v>
      </c>
      <c r="BK812">
        <v>3</v>
      </c>
      <c r="BL812" s="1" t="s">
        <v>230</v>
      </c>
      <c r="BM812" s="1" t="s">
        <v>125</v>
      </c>
      <c r="BN812">
        <v>3.8</v>
      </c>
      <c r="BO812">
        <v>3</v>
      </c>
      <c r="BP812" s="1" t="s">
        <v>431</v>
      </c>
      <c r="BQ812">
        <v>0</v>
      </c>
      <c r="BR812">
        <v>0</v>
      </c>
      <c r="BS812" s="1" t="s">
        <v>126</v>
      </c>
      <c r="BT812">
        <v>0.6</v>
      </c>
      <c r="BU812">
        <v>0</v>
      </c>
      <c r="BV812" s="1" t="s">
        <v>231</v>
      </c>
      <c r="BW812" s="1" t="s">
        <v>161</v>
      </c>
      <c r="BX812" s="1" t="s">
        <v>298</v>
      </c>
      <c r="BY812" s="1" t="s">
        <v>129</v>
      </c>
      <c r="BZ812">
        <v>0.8</v>
      </c>
      <c r="CA812">
        <v>0.09</v>
      </c>
      <c r="CB812">
        <v>0.09</v>
      </c>
      <c r="CC812">
        <v>7.0000000000000007E-2</v>
      </c>
      <c r="CD812">
        <v>7.0000000000000007E-2</v>
      </c>
      <c r="CE812">
        <v>0.14000000000000001</v>
      </c>
      <c r="CF812">
        <v>0.14000000000000001</v>
      </c>
      <c r="CG812">
        <v>3</v>
      </c>
      <c r="CH812" s="1" t="s">
        <v>212</v>
      </c>
      <c r="CI812" s="1" t="s">
        <v>128</v>
      </c>
      <c r="CJ812" s="1" t="s">
        <v>162</v>
      </c>
      <c r="CK812" s="1" t="s">
        <v>129</v>
      </c>
      <c r="CL812" s="1" t="s">
        <v>170</v>
      </c>
      <c r="CM812">
        <v>74</v>
      </c>
      <c r="CN812" s="1" t="s">
        <v>3910</v>
      </c>
      <c r="CO812">
        <v>85</v>
      </c>
      <c r="CP812">
        <v>88.2</v>
      </c>
      <c r="CQ812">
        <v>279</v>
      </c>
      <c r="CR812" s="1" t="s">
        <v>7372</v>
      </c>
      <c r="CS812" s="1" t="s">
        <v>7346</v>
      </c>
      <c r="CT812" s="1" t="s">
        <v>7373</v>
      </c>
      <c r="CU812" s="1" t="s">
        <v>7348</v>
      </c>
      <c r="CV812" s="1" t="s">
        <v>7374</v>
      </c>
      <c r="CW812">
        <v>71.75</v>
      </c>
      <c r="CX812">
        <v>70.400000000000006</v>
      </c>
      <c r="CY812">
        <v>64.2</v>
      </c>
      <c r="CZ812" s="1" t="s">
        <v>572</v>
      </c>
      <c r="DA812">
        <v>1</v>
      </c>
      <c r="DB812" t="s">
        <v>525</v>
      </c>
      <c r="DC812">
        <v>63</v>
      </c>
      <c r="DD812" s="1" t="s">
        <v>7375</v>
      </c>
      <c r="DE812">
        <v>-5.29680333769908</v>
      </c>
      <c r="DF812" t="str">
        <f>_xlfn.XLOOKUP(Table1[[#This Row],[Player ID]],Table2[feed_id],Table2[trade_status])</f>
        <v>free_agent</v>
      </c>
      <c r="DG812">
        <f>_xlfn.NUMBERVALUE(Table1[[#This Row],[predicted]])</f>
        <v>68.296803337699004</v>
      </c>
    </row>
    <row r="813" spans="1:111" hidden="1" x14ac:dyDescent="0.25">
      <c r="A813">
        <v>132693</v>
      </c>
      <c r="B813">
        <v>9240</v>
      </c>
      <c r="C813" t="s">
        <v>7230</v>
      </c>
      <c r="D813" t="s">
        <v>3116</v>
      </c>
      <c r="E813">
        <v>2025</v>
      </c>
      <c r="F813">
        <v>990827</v>
      </c>
      <c r="G813" t="s">
        <v>1127</v>
      </c>
      <c r="H813" t="s">
        <v>2320</v>
      </c>
      <c r="I813" t="s">
        <v>582</v>
      </c>
      <c r="J813">
        <v>27</v>
      </c>
      <c r="K813">
        <v>99</v>
      </c>
      <c r="L813">
        <v>101</v>
      </c>
      <c r="M813">
        <v>86</v>
      </c>
      <c r="N813">
        <v>73</v>
      </c>
      <c r="O813">
        <v>103</v>
      </c>
      <c r="P813">
        <v>12</v>
      </c>
      <c r="Q813">
        <v>8</v>
      </c>
      <c r="R813">
        <v>5</v>
      </c>
      <c r="S813">
        <v>9</v>
      </c>
      <c r="T813">
        <v>0</v>
      </c>
      <c r="U813">
        <v>1</v>
      </c>
      <c r="V813">
        <v>2</v>
      </c>
      <c r="W813">
        <v>0</v>
      </c>
      <c r="X813">
        <v>1</v>
      </c>
      <c r="Y813" t="s">
        <v>113</v>
      </c>
      <c r="Z813" t="s">
        <v>5826</v>
      </c>
      <c r="AA813" t="s">
        <v>3772</v>
      </c>
      <c r="AE813">
        <v>0</v>
      </c>
      <c r="AH813" t="s">
        <v>118</v>
      </c>
      <c r="AI813">
        <v>17</v>
      </c>
      <c r="AJ813">
        <v>15</v>
      </c>
      <c r="AK813">
        <v>62.67</v>
      </c>
      <c r="AL813">
        <v>0</v>
      </c>
      <c r="AM813">
        <v>0</v>
      </c>
      <c r="AN813">
        <v>0.2</v>
      </c>
      <c r="AO813">
        <v>0.16</v>
      </c>
      <c r="AS813">
        <v>3</v>
      </c>
      <c r="AT813">
        <v>2</v>
      </c>
      <c r="AU813">
        <v>2</v>
      </c>
      <c r="AV813">
        <v>95</v>
      </c>
      <c r="AW813">
        <v>85</v>
      </c>
      <c r="AX813">
        <v>347</v>
      </c>
      <c r="AY813">
        <v>0</v>
      </c>
      <c r="AZ813" t="b">
        <v>0</v>
      </c>
      <c r="BA813">
        <v>1976</v>
      </c>
      <c r="BB813">
        <v>1285</v>
      </c>
      <c r="BC813">
        <v>6</v>
      </c>
      <c r="BD813" t="s">
        <v>7344</v>
      </c>
      <c r="BE813" s="1" t="s">
        <v>3594</v>
      </c>
      <c r="BF813">
        <v>1</v>
      </c>
      <c r="BG813">
        <v>71</v>
      </c>
      <c r="BH813">
        <v>1</v>
      </c>
      <c r="BI813" s="1" t="s">
        <v>294</v>
      </c>
      <c r="BJ813">
        <v>7.8</v>
      </c>
      <c r="BK813" s="1" t="s">
        <v>294</v>
      </c>
      <c r="BL813" s="1" t="s">
        <v>1008</v>
      </c>
      <c r="BM813">
        <v>2</v>
      </c>
      <c r="BN813">
        <v>2.2000000000000002</v>
      </c>
      <c r="BO813">
        <v>7</v>
      </c>
      <c r="BP813" s="1" t="s">
        <v>752</v>
      </c>
      <c r="BQ813">
        <v>0</v>
      </c>
      <c r="BR813">
        <v>0</v>
      </c>
      <c r="BS813" s="1" t="s">
        <v>126</v>
      </c>
      <c r="BT813">
        <v>0.6</v>
      </c>
      <c r="BU813">
        <v>2</v>
      </c>
      <c r="BV813" s="1" t="s">
        <v>298</v>
      </c>
      <c r="BW813">
        <v>0</v>
      </c>
      <c r="BX813" s="1" t="s">
        <v>213</v>
      </c>
      <c r="BY813" s="1" t="s">
        <v>128</v>
      </c>
      <c r="BZ813" s="1" t="s">
        <v>184</v>
      </c>
      <c r="CA813">
        <v>0</v>
      </c>
      <c r="CB813">
        <v>0</v>
      </c>
      <c r="CC813">
        <v>0.2</v>
      </c>
      <c r="CD813">
        <v>0.2</v>
      </c>
      <c r="CE813">
        <v>0.16</v>
      </c>
      <c r="CF813">
        <v>0.16</v>
      </c>
      <c r="CG813" s="1" t="s">
        <v>124</v>
      </c>
      <c r="CH813" s="1" t="s">
        <v>429</v>
      </c>
      <c r="CI813" s="1" t="s">
        <v>161</v>
      </c>
      <c r="CJ813" s="1" t="s">
        <v>159</v>
      </c>
      <c r="CK813">
        <v>2</v>
      </c>
      <c r="CL813">
        <v>2.2000000000000002</v>
      </c>
      <c r="CM813">
        <v>81</v>
      </c>
      <c r="CN813" s="1" t="s">
        <v>4884</v>
      </c>
      <c r="CO813">
        <v>84</v>
      </c>
      <c r="CP813">
        <v>74</v>
      </c>
      <c r="CQ813" s="1" t="s">
        <v>6550</v>
      </c>
      <c r="CR813" s="1" t="s">
        <v>7345</v>
      </c>
      <c r="CS813" s="1" t="s">
        <v>7346</v>
      </c>
      <c r="CT813" s="1" t="s">
        <v>7347</v>
      </c>
      <c r="CU813" s="1" t="s">
        <v>7348</v>
      </c>
      <c r="CV813" s="1" t="s">
        <v>7349</v>
      </c>
      <c r="CW813">
        <v>74.900000000000006</v>
      </c>
      <c r="CX813">
        <v>82.5</v>
      </c>
      <c r="CY813">
        <v>91</v>
      </c>
      <c r="CZ813" s="1" t="s">
        <v>306</v>
      </c>
      <c r="DA813">
        <v>1</v>
      </c>
      <c r="DB813" t="s">
        <v>5826</v>
      </c>
      <c r="DC813">
        <v>101</v>
      </c>
      <c r="DD813" s="1" t="s">
        <v>7350</v>
      </c>
      <c r="DE813" s="1" t="s">
        <v>7351</v>
      </c>
      <c r="DF813" t="e">
        <f>_xlfn.XLOOKUP(Table1[[#This Row],[Player ID]],Table2[feed_id],Table2[trade_status])</f>
        <v>#N/A</v>
      </c>
      <c r="DG813">
        <f>_xlfn.NUMBERVALUE(Table1[[#This Row],[predicted]])</f>
        <v>82.880681739218105</v>
      </c>
    </row>
    <row r="814" spans="1:111" hidden="1" x14ac:dyDescent="0.25">
      <c r="A814">
        <v>132694</v>
      </c>
      <c r="B814">
        <v>9240</v>
      </c>
      <c r="C814" t="s">
        <v>7230</v>
      </c>
      <c r="D814" t="s">
        <v>3116</v>
      </c>
      <c r="E814">
        <v>2025</v>
      </c>
      <c r="F814">
        <v>298268</v>
      </c>
      <c r="G814" t="s">
        <v>1464</v>
      </c>
      <c r="H814" t="s">
        <v>7352</v>
      </c>
      <c r="I814" t="s">
        <v>582</v>
      </c>
      <c r="J814">
        <v>18</v>
      </c>
      <c r="K814">
        <v>88</v>
      </c>
      <c r="L814">
        <v>84</v>
      </c>
      <c r="M814">
        <v>55</v>
      </c>
      <c r="N814">
        <v>66</v>
      </c>
      <c r="O814">
        <v>90</v>
      </c>
      <c r="P814">
        <v>16</v>
      </c>
      <c r="Q814">
        <v>3</v>
      </c>
      <c r="R814">
        <v>7</v>
      </c>
      <c r="S814">
        <v>4</v>
      </c>
      <c r="T814">
        <v>0</v>
      </c>
      <c r="U814">
        <v>0</v>
      </c>
      <c r="V814">
        <v>1</v>
      </c>
      <c r="W814">
        <v>0</v>
      </c>
      <c r="X814">
        <v>0</v>
      </c>
      <c r="Y814" t="s">
        <v>113</v>
      </c>
      <c r="Z814" t="s">
        <v>226</v>
      </c>
      <c r="AA814" t="s">
        <v>7353</v>
      </c>
      <c r="AH814" t="s">
        <v>181</v>
      </c>
      <c r="AI814">
        <v>14</v>
      </c>
      <c r="AJ814">
        <v>0</v>
      </c>
      <c r="AK814">
        <v>0</v>
      </c>
      <c r="AL814">
        <v>0</v>
      </c>
      <c r="AM814">
        <v>2.61</v>
      </c>
      <c r="AN814">
        <v>0.65</v>
      </c>
      <c r="AO814">
        <v>4.41</v>
      </c>
      <c r="AS814">
        <v>4</v>
      </c>
      <c r="AT814">
        <v>0</v>
      </c>
      <c r="AU814">
        <v>3</v>
      </c>
      <c r="AV814">
        <v>78</v>
      </c>
      <c r="AW814">
        <v>86</v>
      </c>
      <c r="AX814">
        <v>438</v>
      </c>
      <c r="AY814">
        <v>1</v>
      </c>
      <c r="AZ814" t="b">
        <v>0</v>
      </c>
      <c r="BA814">
        <v>1976</v>
      </c>
      <c r="BB814">
        <v>1285</v>
      </c>
      <c r="BC814">
        <v>6</v>
      </c>
      <c r="BD814" t="s">
        <v>7344</v>
      </c>
      <c r="BE814" s="1" t="s">
        <v>3594</v>
      </c>
      <c r="BF814">
        <v>0</v>
      </c>
      <c r="BG814">
        <v>71</v>
      </c>
      <c r="BH814">
        <v>1</v>
      </c>
      <c r="BI814" s="1" t="s">
        <v>1830</v>
      </c>
      <c r="BJ814" s="1" t="s">
        <v>7354</v>
      </c>
      <c r="BK814" s="1" t="s">
        <v>159</v>
      </c>
      <c r="BL814" s="1" t="s">
        <v>781</v>
      </c>
      <c r="BM814" s="1" t="s">
        <v>124</v>
      </c>
      <c r="BN814">
        <v>5.4</v>
      </c>
      <c r="BO814">
        <v>2</v>
      </c>
      <c r="BP814">
        <v>2.8</v>
      </c>
      <c r="BQ814">
        <v>0</v>
      </c>
      <c r="BR814">
        <v>0</v>
      </c>
      <c r="BS814">
        <v>0</v>
      </c>
      <c r="BT814" s="1" t="s">
        <v>231</v>
      </c>
      <c r="BU814">
        <v>1</v>
      </c>
      <c r="BV814" s="1" t="s">
        <v>399</v>
      </c>
      <c r="BW814">
        <v>0</v>
      </c>
      <c r="BX814">
        <v>6.6666666666666596E-2</v>
      </c>
      <c r="BY814">
        <v>0</v>
      </c>
      <c r="BZ814">
        <v>0.2</v>
      </c>
      <c r="CA814">
        <v>2.61</v>
      </c>
      <c r="CB814">
        <v>2.61</v>
      </c>
      <c r="CC814">
        <v>0.65</v>
      </c>
      <c r="CD814">
        <v>0.65</v>
      </c>
      <c r="CE814">
        <v>4.41</v>
      </c>
      <c r="CF814">
        <v>4.41</v>
      </c>
      <c r="CG814" s="1" t="s">
        <v>211</v>
      </c>
      <c r="CH814" s="1" t="s">
        <v>160</v>
      </c>
      <c r="CI814" s="1" t="s">
        <v>126</v>
      </c>
      <c r="CJ814" s="1" t="s">
        <v>304</v>
      </c>
      <c r="CK814" s="1" t="s">
        <v>169</v>
      </c>
      <c r="CL814" s="1" t="s">
        <v>169</v>
      </c>
      <c r="CM814">
        <v>68</v>
      </c>
      <c r="CN814" s="1" t="s">
        <v>7355</v>
      </c>
      <c r="CO814">
        <v>83</v>
      </c>
      <c r="CP814" s="1" t="s">
        <v>3003</v>
      </c>
      <c r="CQ814" s="1" t="s">
        <v>7356</v>
      </c>
      <c r="CR814" s="1" t="s">
        <v>7061</v>
      </c>
      <c r="CS814" s="1" t="s">
        <v>7346</v>
      </c>
      <c r="CT814" s="1" t="s">
        <v>7357</v>
      </c>
      <c r="CU814" s="1" t="s">
        <v>7348</v>
      </c>
      <c r="CV814" s="1" t="s">
        <v>7358</v>
      </c>
      <c r="CW814">
        <v>80.400000000000006</v>
      </c>
      <c r="CX814">
        <v>64.8</v>
      </c>
      <c r="CY814">
        <v>71.599999999999994</v>
      </c>
      <c r="CZ814">
        <v>71</v>
      </c>
      <c r="DA814">
        <v>1</v>
      </c>
      <c r="DB814" t="s">
        <v>226</v>
      </c>
      <c r="DC814">
        <v>84</v>
      </c>
      <c r="DD814" s="1" t="s">
        <v>7359</v>
      </c>
      <c r="DE814">
        <v>-19.052901368045699</v>
      </c>
      <c r="DF814" t="e">
        <f>_xlfn.XLOOKUP(Table1[[#This Row],[Player ID]],Table2[feed_id],Table2[trade_status])</f>
        <v>#N/A</v>
      </c>
      <c r="DG814">
        <f>_xlfn.NUMBERVALUE(Table1[[#This Row],[predicted]])</f>
        <v>103.052901368045</v>
      </c>
    </row>
    <row r="815" spans="1:111" hidden="1" x14ac:dyDescent="0.25">
      <c r="A815">
        <v>132695</v>
      </c>
      <c r="B815">
        <v>9240</v>
      </c>
      <c r="C815" t="s">
        <v>7230</v>
      </c>
      <c r="D815" t="s">
        <v>3116</v>
      </c>
      <c r="E815">
        <v>2025</v>
      </c>
      <c r="F815">
        <v>1000223</v>
      </c>
      <c r="G815" t="s">
        <v>1464</v>
      </c>
      <c r="H815" t="s">
        <v>6639</v>
      </c>
      <c r="I815" t="s">
        <v>582</v>
      </c>
      <c r="J815">
        <v>14</v>
      </c>
      <c r="K815">
        <v>82</v>
      </c>
      <c r="L815">
        <v>71</v>
      </c>
      <c r="M815">
        <v>64</v>
      </c>
      <c r="N815">
        <v>70</v>
      </c>
      <c r="O815">
        <v>97</v>
      </c>
      <c r="P815">
        <v>10</v>
      </c>
      <c r="Q815">
        <v>13</v>
      </c>
      <c r="R815">
        <v>6</v>
      </c>
      <c r="S815">
        <v>3</v>
      </c>
      <c r="T815">
        <v>0</v>
      </c>
      <c r="U815">
        <v>1</v>
      </c>
      <c r="V815">
        <v>2</v>
      </c>
      <c r="W815">
        <v>0</v>
      </c>
      <c r="X815">
        <v>1</v>
      </c>
      <c r="Y815" t="s">
        <v>113</v>
      </c>
      <c r="Z815" t="s">
        <v>877</v>
      </c>
      <c r="AA815" t="s">
        <v>7360</v>
      </c>
      <c r="AE815">
        <v>0</v>
      </c>
      <c r="AH815" t="s">
        <v>181</v>
      </c>
      <c r="AI815">
        <v>3</v>
      </c>
      <c r="AJ815">
        <v>3</v>
      </c>
      <c r="AK815">
        <v>38</v>
      </c>
      <c r="AL815">
        <v>0</v>
      </c>
      <c r="AM815">
        <v>0</v>
      </c>
      <c r="AN815">
        <v>1.32</v>
      </c>
      <c r="AO815">
        <v>2.21</v>
      </c>
      <c r="AS815">
        <v>4</v>
      </c>
      <c r="AT815">
        <v>2</v>
      </c>
      <c r="AU815">
        <v>5</v>
      </c>
      <c r="AV815">
        <v>73</v>
      </c>
      <c r="AW815">
        <v>83</v>
      </c>
      <c r="AX815">
        <v>374</v>
      </c>
      <c r="AY815">
        <v>0</v>
      </c>
      <c r="AZ815" t="b">
        <v>0</v>
      </c>
      <c r="BA815">
        <v>1976</v>
      </c>
      <c r="BB815">
        <v>1285</v>
      </c>
      <c r="BC815">
        <v>6</v>
      </c>
      <c r="BD815" t="s">
        <v>7344</v>
      </c>
      <c r="BE815" s="1" t="s">
        <v>3594</v>
      </c>
      <c r="BF815">
        <v>0</v>
      </c>
      <c r="BG815">
        <v>71</v>
      </c>
      <c r="BH815">
        <v>1</v>
      </c>
      <c r="BI815">
        <v>12</v>
      </c>
      <c r="BJ815">
        <v>11.2</v>
      </c>
      <c r="BK815" s="1" t="s">
        <v>356</v>
      </c>
      <c r="BL815">
        <v>9.1999999999999993</v>
      </c>
      <c r="BM815">
        <v>4</v>
      </c>
      <c r="BN815" s="1" t="s">
        <v>140</v>
      </c>
      <c r="BO815" s="1" t="s">
        <v>138</v>
      </c>
      <c r="BP815">
        <v>4</v>
      </c>
      <c r="BQ815">
        <v>0</v>
      </c>
      <c r="BR815">
        <v>0</v>
      </c>
      <c r="BS815" s="1" t="s">
        <v>126</v>
      </c>
      <c r="BT815">
        <v>1</v>
      </c>
      <c r="BU815">
        <v>1</v>
      </c>
      <c r="BV815">
        <v>1.6</v>
      </c>
      <c r="BW815">
        <v>0</v>
      </c>
      <c r="BX815" s="1" t="s">
        <v>231</v>
      </c>
      <c r="BY815" s="1" t="s">
        <v>128</v>
      </c>
      <c r="BZ815" s="1" t="s">
        <v>130</v>
      </c>
      <c r="CA815">
        <v>0</v>
      </c>
      <c r="CB815">
        <v>0</v>
      </c>
      <c r="CC815">
        <v>1.32</v>
      </c>
      <c r="CD815">
        <v>1.32</v>
      </c>
      <c r="CE815">
        <v>2.21</v>
      </c>
      <c r="CF815">
        <v>2.21</v>
      </c>
      <c r="CG815">
        <v>9</v>
      </c>
      <c r="CH815" s="1" t="s">
        <v>396</v>
      </c>
      <c r="CI815" s="1" t="s">
        <v>138</v>
      </c>
      <c r="CJ815">
        <v>3.2</v>
      </c>
      <c r="CK815" s="1" t="s">
        <v>160</v>
      </c>
      <c r="CL815">
        <v>4.4000000000000004</v>
      </c>
      <c r="CM815">
        <v>61</v>
      </c>
      <c r="CN815" s="1" t="s">
        <v>2283</v>
      </c>
      <c r="CO815" s="1" t="s">
        <v>1110</v>
      </c>
      <c r="CP815">
        <v>81.8</v>
      </c>
      <c r="CQ815" s="1" t="s">
        <v>7361</v>
      </c>
      <c r="CR815" s="1" t="s">
        <v>7362</v>
      </c>
      <c r="CS815" s="1" t="s">
        <v>7346</v>
      </c>
      <c r="CT815">
        <v>1455</v>
      </c>
      <c r="CU815" s="1" t="s">
        <v>7348</v>
      </c>
      <c r="CV815" s="1" t="s">
        <v>3914</v>
      </c>
      <c r="CW815">
        <v>83.25</v>
      </c>
      <c r="CX815">
        <v>84.4</v>
      </c>
      <c r="CY815">
        <v>83.8</v>
      </c>
      <c r="CZ815" s="1" t="s">
        <v>364</v>
      </c>
      <c r="DA815">
        <v>1</v>
      </c>
      <c r="DB815" t="s">
        <v>877</v>
      </c>
      <c r="DC815">
        <v>71</v>
      </c>
      <c r="DD815" s="1" t="s">
        <v>7363</v>
      </c>
      <c r="DE815">
        <v>-1.7305192015938</v>
      </c>
      <c r="DF815" t="e">
        <f>_xlfn.XLOOKUP(Table1[[#This Row],[Player ID]],Table2[feed_id],Table2[trade_status])</f>
        <v>#N/A</v>
      </c>
      <c r="DG815">
        <f>_xlfn.NUMBERVALUE(Table1[[#This Row],[predicted]])</f>
        <v>72.730519201593793</v>
      </c>
    </row>
    <row r="816" spans="1:111" hidden="1" x14ac:dyDescent="0.25">
      <c r="A816">
        <v>132696</v>
      </c>
      <c r="B816">
        <v>9240</v>
      </c>
      <c r="C816" t="s">
        <v>7230</v>
      </c>
      <c r="D816" t="s">
        <v>3116</v>
      </c>
      <c r="E816">
        <v>2025</v>
      </c>
      <c r="F816">
        <v>1029416</v>
      </c>
      <c r="G816" t="s">
        <v>1332</v>
      </c>
      <c r="H816" t="s">
        <v>601</v>
      </c>
      <c r="I816" t="s">
        <v>582</v>
      </c>
      <c r="J816">
        <v>9</v>
      </c>
      <c r="K816">
        <v>78</v>
      </c>
      <c r="L816">
        <v>84</v>
      </c>
      <c r="M816">
        <v>24</v>
      </c>
      <c r="N816">
        <v>56</v>
      </c>
      <c r="O816">
        <v>78</v>
      </c>
      <c r="P816">
        <v>20</v>
      </c>
      <c r="Q816">
        <v>1</v>
      </c>
      <c r="R816">
        <v>4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113</v>
      </c>
      <c r="Z816" t="s">
        <v>4727</v>
      </c>
      <c r="AA816" t="s">
        <v>7364</v>
      </c>
      <c r="AB816" t="s">
        <v>7365</v>
      </c>
      <c r="AC816" t="s">
        <v>4341</v>
      </c>
      <c r="AH816" t="s">
        <v>155</v>
      </c>
      <c r="AI816">
        <v>23</v>
      </c>
      <c r="AJ816">
        <v>0</v>
      </c>
      <c r="AK816">
        <v>0</v>
      </c>
      <c r="AL816">
        <v>0</v>
      </c>
      <c r="AM816">
        <v>0.04</v>
      </c>
      <c r="AN816">
        <v>0.05</v>
      </c>
      <c r="AO816">
        <v>0.15</v>
      </c>
      <c r="AS816">
        <v>1</v>
      </c>
      <c r="AT816">
        <v>0</v>
      </c>
      <c r="AU816">
        <v>2</v>
      </c>
      <c r="AV816">
        <v>81</v>
      </c>
      <c r="AW816">
        <v>80</v>
      </c>
      <c r="AX816">
        <v>524</v>
      </c>
      <c r="AY816">
        <v>0</v>
      </c>
      <c r="AZ816" t="b">
        <v>0</v>
      </c>
      <c r="BA816">
        <v>1976</v>
      </c>
      <c r="BB816">
        <v>1285</v>
      </c>
      <c r="BC816">
        <v>6</v>
      </c>
      <c r="BD816" t="s">
        <v>7344</v>
      </c>
      <c r="BE816" s="1" t="s">
        <v>3594</v>
      </c>
      <c r="BF816">
        <v>0</v>
      </c>
      <c r="BG816">
        <v>71</v>
      </c>
      <c r="BH816">
        <v>1</v>
      </c>
      <c r="BI816" s="1" t="s">
        <v>6374</v>
      </c>
      <c r="BJ816" s="1" t="s">
        <v>977</v>
      </c>
      <c r="BK816">
        <v>4</v>
      </c>
      <c r="BL816">
        <v>4.8</v>
      </c>
      <c r="BM816">
        <v>5</v>
      </c>
      <c r="BN816" s="1" t="s">
        <v>431</v>
      </c>
      <c r="BO816" s="1" t="s">
        <v>128</v>
      </c>
      <c r="BP816">
        <v>1.4</v>
      </c>
      <c r="BQ816">
        <v>0</v>
      </c>
      <c r="BR816">
        <v>0</v>
      </c>
      <c r="BS816" s="1" t="s">
        <v>129</v>
      </c>
      <c r="BT816">
        <v>0.2</v>
      </c>
      <c r="BU816" s="1" t="s">
        <v>129</v>
      </c>
      <c r="BV816" s="1" t="s">
        <v>238</v>
      </c>
      <c r="BW816">
        <v>0</v>
      </c>
      <c r="BX816" s="1" t="s">
        <v>213</v>
      </c>
      <c r="BY816">
        <v>0</v>
      </c>
      <c r="BZ816">
        <v>6.6666666666666596E-2</v>
      </c>
      <c r="CA816">
        <v>0.04</v>
      </c>
      <c r="CB816">
        <v>0.04</v>
      </c>
      <c r="CC816">
        <v>0.05</v>
      </c>
      <c r="CD816">
        <v>0.05</v>
      </c>
      <c r="CE816">
        <v>0.15</v>
      </c>
      <c r="CF816">
        <v>0.15</v>
      </c>
      <c r="CG816">
        <v>3</v>
      </c>
      <c r="CH816">
        <v>3.6</v>
      </c>
      <c r="CI816" s="1" t="s">
        <v>129</v>
      </c>
      <c r="CJ816" s="1" t="s">
        <v>162</v>
      </c>
      <c r="CK816">
        <v>3</v>
      </c>
      <c r="CL816">
        <v>2.2000000000000002</v>
      </c>
      <c r="CM816" s="1" t="s">
        <v>610</v>
      </c>
      <c r="CN816" s="1" t="s">
        <v>1570</v>
      </c>
      <c r="CO816" s="1" t="s">
        <v>239</v>
      </c>
      <c r="CP816" s="1" t="s">
        <v>2511</v>
      </c>
      <c r="CQ816">
        <v>509</v>
      </c>
      <c r="CR816" s="1" t="s">
        <v>6437</v>
      </c>
      <c r="CS816" s="1" t="s">
        <v>7346</v>
      </c>
      <c r="CT816">
        <v>1439.6</v>
      </c>
      <c r="CU816" s="1" t="s">
        <v>7348</v>
      </c>
      <c r="CV816" s="1" t="s">
        <v>3149</v>
      </c>
      <c r="CW816">
        <v>54.15</v>
      </c>
      <c r="CX816">
        <v>67.400000000000006</v>
      </c>
      <c r="CY816">
        <v>80</v>
      </c>
      <c r="CZ816" s="1" t="s">
        <v>6888</v>
      </c>
      <c r="DA816">
        <v>1</v>
      </c>
      <c r="DB816" t="s">
        <v>4727</v>
      </c>
      <c r="DC816">
        <v>84</v>
      </c>
      <c r="DD816" s="1" t="s">
        <v>7366</v>
      </c>
      <c r="DE816" s="1" t="s">
        <v>7367</v>
      </c>
      <c r="DF816" t="e">
        <f>_xlfn.XLOOKUP(Table1[[#This Row],[Player ID]],Table2[feed_id],Table2[trade_status])</f>
        <v>#N/A</v>
      </c>
      <c r="DG816">
        <f>_xlfn.NUMBERVALUE(Table1[[#This Row],[predicted]])</f>
        <v>74.917879770218605</v>
      </c>
    </row>
    <row r="817" spans="1:111" x14ac:dyDescent="0.25">
      <c r="A817">
        <v>132724</v>
      </c>
      <c r="B817">
        <v>9241</v>
      </c>
      <c r="C817" t="s">
        <v>7418</v>
      </c>
      <c r="D817" t="s">
        <v>3116</v>
      </c>
      <c r="E817">
        <v>2025</v>
      </c>
      <c r="F817">
        <v>1009015</v>
      </c>
      <c r="G817" t="s">
        <v>1658</v>
      </c>
      <c r="H817" t="s">
        <v>7456</v>
      </c>
      <c r="I817" t="s">
        <v>712</v>
      </c>
      <c r="J817">
        <v>19</v>
      </c>
      <c r="K817">
        <v>79</v>
      </c>
      <c r="L817">
        <v>70</v>
      </c>
      <c r="M817">
        <v>103</v>
      </c>
      <c r="N817">
        <v>59</v>
      </c>
      <c r="O817">
        <v>78</v>
      </c>
      <c r="P817">
        <v>14</v>
      </c>
      <c r="Q817">
        <v>4</v>
      </c>
      <c r="R817">
        <v>2</v>
      </c>
      <c r="S817">
        <v>4</v>
      </c>
      <c r="T817">
        <v>0</v>
      </c>
      <c r="U817">
        <v>4</v>
      </c>
      <c r="V817">
        <v>1</v>
      </c>
      <c r="W817">
        <v>1</v>
      </c>
      <c r="X817">
        <v>0</v>
      </c>
      <c r="Y817" t="s">
        <v>113</v>
      </c>
      <c r="Z817" t="s">
        <v>6722</v>
      </c>
      <c r="AA817" t="s">
        <v>7457</v>
      </c>
      <c r="AB817" t="s">
        <v>525</v>
      </c>
      <c r="AC817" t="s">
        <v>7458</v>
      </c>
      <c r="AH817" t="s">
        <v>118</v>
      </c>
      <c r="AI817">
        <v>30</v>
      </c>
      <c r="AJ817">
        <v>0</v>
      </c>
      <c r="AK817">
        <v>0</v>
      </c>
      <c r="AL817">
        <v>0</v>
      </c>
      <c r="AM817">
        <v>0.27</v>
      </c>
      <c r="AN817">
        <v>0.19</v>
      </c>
      <c r="AO817">
        <v>0.3</v>
      </c>
      <c r="AS817">
        <v>7</v>
      </c>
      <c r="AT817">
        <v>0</v>
      </c>
      <c r="AU817">
        <v>4</v>
      </c>
      <c r="AV817">
        <v>66</v>
      </c>
      <c r="AW817">
        <v>78</v>
      </c>
      <c r="AX817">
        <v>313</v>
      </c>
      <c r="AY817">
        <v>0</v>
      </c>
      <c r="AZ817" t="b">
        <v>0</v>
      </c>
      <c r="BA817">
        <v>1780</v>
      </c>
      <c r="BB817">
        <v>1518</v>
      </c>
      <c r="BC817">
        <v>6</v>
      </c>
      <c r="BD817" t="s">
        <v>7420</v>
      </c>
      <c r="BE817" s="1" t="s">
        <v>3594</v>
      </c>
      <c r="BF817">
        <v>0</v>
      </c>
      <c r="BG817">
        <v>71</v>
      </c>
      <c r="BH817">
        <v>0</v>
      </c>
      <c r="BI817" s="1" t="s">
        <v>545</v>
      </c>
      <c r="BJ817">
        <v>6.6</v>
      </c>
      <c r="BK817">
        <v>5</v>
      </c>
      <c r="BL817">
        <v>5</v>
      </c>
      <c r="BM817" s="1" t="s">
        <v>161</v>
      </c>
      <c r="BN817" s="1" t="s">
        <v>304</v>
      </c>
      <c r="BO817" s="1" t="s">
        <v>125</v>
      </c>
      <c r="BP817" s="1" t="s">
        <v>138</v>
      </c>
      <c r="BQ817">
        <v>0</v>
      </c>
      <c r="BR817">
        <v>0</v>
      </c>
      <c r="BS817">
        <v>2</v>
      </c>
      <c r="BT817" s="1" t="s">
        <v>257</v>
      </c>
      <c r="BU817" s="1" t="s">
        <v>129</v>
      </c>
      <c r="BV817" s="1" t="s">
        <v>231</v>
      </c>
      <c r="BW817">
        <v>1</v>
      </c>
      <c r="BX817" s="1" t="s">
        <v>128</v>
      </c>
      <c r="BY817" s="1" t="s">
        <v>129</v>
      </c>
      <c r="BZ817" s="1" t="s">
        <v>399</v>
      </c>
      <c r="CA817">
        <v>0.27</v>
      </c>
      <c r="CB817">
        <v>0.27</v>
      </c>
      <c r="CC817">
        <v>0.19</v>
      </c>
      <c r="CD817">
        <v>0.19</v>
      </c>
      <c r="CE817">
        <v>0.3</v>
      </c>
      <c r="CF817">
        <v>0.3</v>
      </c>
      <c r="CG817">
        <v>6</v>
      </c>
      <c r="CH817" s="1" t="s">
        <v>374</v>
      </c>
      <c r="CI817">
        <v>0</v>
      </c>
      <c r="CJ817" s="1" t="s">
        <v>130</v>
      </c>
      <c r="CK817" s="1" t="s">
        <v>169</v>
      </c>
      <c r="CL817">
        <v>1.6</v>
      </c>
      <c r="CM817" s="1" t="s">
        <v>1838</v>
      </c>
      <c r="CN817" s="1" t="s">
        <v>5643</v>
      </c>
      <c r="CO817" s="1" t="s">
        <v>930</v>
      </c>
      <c r="CP817" s="1" t="s">
        <v>1110</v>
      </c>
      <c r="CQ817">
        <v>210</v>
      </c>
      <c r="CR817" s="1" t="s">
        <v>7459</v>
      </c>
      <c r="CS817" s="1" t="s">
        <v>664</v>
      </c>
      <c r="CT817">
        <v>1630.6</v>
      </c>
      <c r="CU817" s="1" t="s">
        <v>3948</v>
      </c>
      <c r="CV817" s="1" t="s">
        <v>6988</v>
      </c>
      <c r="CW817">
        <v>55.35</v>
      </c>
      <c r="CX817">
        <v>56</v>
      </c>
      <c r="CY817">
        <v>52.2</v>
      </c>
      <c r="CZ817" s="1" t="s">
        <v>333</v>
      </c>
      <c r="DA817">
        <v>1</v>
      </c>
      <c r="DB817" t="s">
        <v>6722</v>
      </c>
      <c r="DC817">
        <v>70</v>
      </c>
      <c r="DD817" s="1" t="s">
        <v>7460</v>
      </c>
      <c r="DE817" s="1" t="s">
        <v>7461</v>
      </c>
      <c r="DF817" t="str">
        <f>_xlfn.XLOOKUP(Table1[[#This Row],[Player ID]],Table2[feed_id],Table2[trade_status])</f>
        <v>free_agent</v>
      </c>
      <c r="DG817">
        <f>_xlfn.NUMBERVALUE(Table1[[#This Row],[predicted]])</f>
        <v>68.176729425964993</v>
      </c>
    </row>
    <row r="818" spans="1:111" x14ac:dyDescent="0.25">
      <c r="A818">
        <v>132891</v>
      </c>
      <c r="B818">
        <v>9244</v>
      </c>
      <c r="C818" t="s">
        <v>7983</v>
      </c>
      <c r="D818" t="s">
        <v>3116</v>
      </c>
      <c r="E818">
        <v>2025</v>
      </c>
      <c r="F818">
        <v>293884</v>
      </c>
      <c r="G818" t="s">
        <v>1235</v>
      </c>
      <c r="H818" t="s">
        <v>8169</v>
      </c>
      <c r="I818" t="s">
        <v>1089</v>
      </c>
      <c r="J818">
        <v>10</v>
      </c>
      <c r="K818">
        <v>52</v>
      </c>
      <c r="L818">
        <v>63</v>
      </c>
      <c r="M818">
        <v>34</v>
      </c>
      <c r="N818">
        <v>42</v>
      </c>
      <c r="O818">
        <v>50</v>
      </c>
      <c r="P818">
        <v>8</v>
      </c>
      <c r="Q818">
        <v>0</v>
      </c>
      <c r="R818">
        <v>2</v>
      </c>
      <c r="S818">
        <v>2</v>
      </c>
      <c r="T818">
        <v>0</v>
      </c>
      <c r="U818">
        <v>3</v>
      </c>
      <c r="V818">
        <v>1</v>
      </c>
      <c r="W818">
        <v>2</v>
      </c>
      <c r="X818">
        <v>2</v>
      </c>
      <c r="Y818" t="s">
        <v>113</v>
      </c>
      <c r="Z818" t="s">
        <v>5826</v>
      </c>
      <c r="AA818" t="s">
        <v>8170</v>
      </c>
      <c r="AE818">
        <v>0</v>
      </c>
      <c r="AH818" t="s">
        <v>155</v>
      </c>
      <c r="AI818">
        <v>20</v>
      </c>
      <c r="AJ818">
        <v>19</v>
      </c>
      <c r="AK818">
        <v>70.260000000000005</v>
      </c>
      <c r="AL818">
        <v>0</v>
      </c>
      <c r="AM818">
        <v>0</v>
      </c>
      <c r="AN818">
        <v>0.41</v>
      </c>
      <c r="AO818">
        <v>0.26</v>
      </c>
      <c r="AS818">
        <v>5</v>
      </c>
      <c r="AT818">
        <v>2</v>
      </c>
      <c r="AU818">
        <v>1</v>
      </c>
      <c r="AV818">
        <v>62</v>
      </c>
      <c r="AW818">
        <v>82</v>
      </c>
      <c r="AX818">
        <v>266</v>
      </c>
      <c r="AY818">
        <v>0</v>
      </c>
      <c r="AZ818" t="b">
        <v>0</v>
      </c>
      <c r="BA818">
        <v>1473</v>
      </c>
      <c r="BB818">
        <v>1816</v>
      </c>
      <c r="BC818">
        <v>6</v>
      </c>
      <c r="BD818" t="s">
        <v>8080</v>
      </c>
      <c r="BE818" s="1" t="s">
        <v>3594</v>
      </c>
      <c r="BF818">
        <v>0</v>
      </c>
      <c r="BG818">
        <v>71</v>
      </c>
      <c r="BH818">
        <v>0</v>
      </c>
      <c r="BI818" s="1" t="s">
        <v>253</v>
      </c>
      <c r="BJ818" s="1" t="s">
        <v>1041</v>
      </c>
      <c r="BK818" s="1" t="s">
        <v>125</v>
      </c>
      <c r="BL818">
        <v>4.4000000000000004</v>
      </c>
      <c r="BM818" s="1" t="s">
        <v>169</v>
      </c>
      <c r="BN818" s="1" t="s">
        <v>189</v>
      </c>
      <c r="BO818" s="1" t="s">
        <v>161</v>
      </c>
      <c r="BP818">
        <v>2.6</v>
      </c>
      <c r="BQ818">
        <v>0</v>
      </c>
      <c r="BR818">
        <v>0</v>
      </c>
      <c r="BS818">
        <v>1</v>
      </c>
      <c r="BT818">
        <v>0.4</v>
      </c>
      <c r="BU818" s="1" t="s">
        <v>128</v>
      </c>
      <c r="BV818" s="1" t="s">
        <v>238</v>
      </c>
      <c r="BW818" s="1" t="s">
        <v>128</v>
      </c>
      <c r="BX818">
        <v>1.4</v>
      </c>
      <c r="BY818" s="1" t="s">
        <v>159</v>
      </c>
      <c r="BZ818">
        <v>1.2</v>
      </c>
      <c r="CA818">
        <v>0</v>
      </c>
      <c r="CB818">
        <v>0</v>
      </c>
      <c r="CC818">
        <v>0.41</v>
      </c>
      <c r="CD818">
        <v>0.41</v>
      </c>
      <c r="CE818">
        <v>0.26</v>
      </c>
      <c r="CF818">
        <v>0.26</v>
      </c>
      <c r="CG818">
        <v>5</v>
      </c>
      <c r="CH818">
        <v>5.6</v>
      </c>
      <c r="CI818">
        <v>2</v>
      </c>
      <c r="CJ818" s="1" t="s">
        <v>159</v>
      </c>
      <c r="CK818">
        <v>1</v>
      </c>
      <c r="CL818" s="1" t="s">
        <v>159</v>
      </c>
      <c r="CM818" s="1" t="s">
        <v>1969</v>
      </c>
      <c r="CN818">
        <v>57.2</v>
      </c>
      <c r="CO818" s="1" t="s">
        <v>239</v>
      </c>
      <c r="CP818" s="1" t="s">
        <v>1387</v>
      </c>
      <c r="CQ818">
        <v>261</v>
      </c>
      <c r="CR818">
        <v>281.60000000000002</v>
      </c>
      <c r="CS818" s="1" t="s">
        <v>8082</v>
      </c>
      <c r="CT818" s="1" t="s">
        <v>5811</v>
      </c>
      <c r="CU818" s="1" t="s">
        <v>8083</v>
      </c>
      <c r="CV818" s="1" t="s">
        <v>735</v>
      </c>
      <c r="CW818">
        <v>62.25</v>
      </c>
      <c r="CX818">
        <v>58.9</v>
      </c>
      <c r="CY818">
        <v>51.2</v>
      </c>
      <c r="CZ818" s="1" t="s">
        <v>1316</v>
      </c>
      <c r="DA818">
        <v>1</v>
      </c>
      <c r="DB818" t="s">
        <v>5826</v>
      </c>
      <c r="DC818">
        <v>63</v>
      </c>
      <c r="DD818" s="1" t="s">
        <v>8171</v>
      </c>
      <c r="DE818">
        <v>-5.0910463838382398</v>
      </c>
      <c r="DF818" t="str">
        <f>_xlfn.XLOOKUP(Table1[[#This Row],[Player ID]],Table2[feed_id],Table2[trade_status])</f>
        <v>free_agent</v>
      </c>
      <c r="DG818">
        <f>_xlfn.NUMBERVALUE(Table1[[#This Row],[predicted]])</f>
        <v>68.091046383838204</v>
      </c>
    </row>
    <row r="819" spans="1:111" hidden="1" x14ac:dyDescent="0.25">
      <c r="A819">
        <v>132700</v>
      </c>
      <c r="B819">
        <v>9240</v>
      </c>
      <c r="C819" t="s">
        <v>7230</v>
      </c>
      <c r="D819" t="s">
        <v>3116</v>
      </c>
      <c r="E819">
        <v>2025</v>
      </c>
      <c r="F819">
        <v>1023492</v>
      </c>
      <c r="G819" t="s">
        <v>3163</v>
      </c>
      <c r="H819" t="s">
        <v>3256</v>
      </c>
      <c r="I819" t="s">
        <v>582</v>
      </c>
      <c r="J819">
        <v>8</v>
      </c>
      <c r="K819">
        <v>63</v>
      </c>
      <c r="L819">
        <v>76</v>
      </c>
      <c r="M819">
        <v>38</v>
      </c>
      <c r="N819">
        <v>46</v>
      </c>
      <c r="O819">
        <v>63</v>
      </c>
      <c r="P819">
        <v>11</v>
      </c>
      <c r="Q819">
        <v>5</v>
      </c>
      <c r="R819">
        <v>2</v>
      </c>
      <c r="S819">
        <v>3</v>
      </c>
      <c r="T819">
        <v>0</v>
      </c>
      <c r="U819">
        <v>2</v>
      </c>
      <c r="V819">
        <v>0</v>
      </c>
      <c r="W819">
        <v>0</v>
      </c>
      <c r="X819">
        <v>0</v>
      </c>
      <c r="Y819" t="s">
        <v>113</v>
      </c>
      <c r="Z819" t="s">
        <v>987</v>
      </c>
      <c r="AA819" t="s">
        <v>1827</v>
      </c>
      <c r="AB819" t="s">
        <v>877</v>
      </c>
      <c r="AC819" t="s">
        <v>7376</v>
      </c>
      <c r="AH819" t="s">
        <v>118</v>
      </c>
      <c r="AI819">
        <v>9</v>
      </c>
      <c r="AJ819">
        <v>0</v>
      </c>
      <c r="AK819">
        <v>0</v>
      </c>
      <c r="AL819">
        <v>0</v>
      </c>
      <c r="AM819">
        <v>67.94</v>
      </c>
      <c r="AN819">
        <v>75.17</v>
      </c>
      <c r="AO819">
        <v>66.61</v>
      </c>
      <c r="AS819">
        <v>6</v>
      </c>
      <c r="AT819">
        <v>2</v>
      </c>
      <c r="AU819">
        <v>2</v>
      </c>
      <c r="AV819">
        <v>81</v>
      </c>
      <c r="AW819">
        <v>84</v>
      </c>
      <c r="AX819">
        <v>507</v>
      </c>
      <c r="AY819">
        <v>0</v>
      </c>
      <c r="AZ819" t="b">
        <v>0</v>
      </c>
      <c r="BA819">
        <v>1976</v>
      </c>
      <c r="BB819">
        <v>1285</v>
      </c>
      <c r="BC819">
        <v>6</v>
      </c>
      <c r="BD819" t="s">
        <v>7344</v>
      </c>
      <c r="BE819" s="1" t="s">
        <v>3594</v>
      </c>
      <c r="BF819">
        <v>0</v>
      </c>
      <c r="BG819">
        <v>71</v>
      </c>
      <c r="BH819">
        <v>1</v>
      </c>
      <c r="BI819">
        <v>11</v>
      </c>
      <c r="BJ819" s="1" t="s">
        <v>1587</v>
      </c>
      <c r="BK819" s="1" t="s">
        <v>183</v>
      </c>
      <c r="BL819">
        <v>9</v>
      </c>
      <c r="BM819">
        <v>2</v>
      </c>
      <c r="BN819" s="1" t="s">
        <v>159</v>
      </c>
      <c r="BO819">
        <v>2</v>
      </c>
      <c r="BP819" s="1" t="s">
        <v>256</v>
      </c>
      <c r="BQ819">
        <v>0</v>
      </c>
      <c r="BR819">
        <v>0</v>
      </c>
      <c r="BS819">
        <v>1</v>
      </c>
      <c r="BT819" s="1" t="s">
        <v>126</v>
      </c>
      <c r="BU819">
        <v>1</v>
      </c>
      <c r="BV819" s="1" t="s">
        <v>169</v>
      </c>
      <c r="BW819" s="1" t="s">
        <v>129</v>
      </c>
      <c r="BX819" s="1" t="s">
        <v>184</v>
      </c>
      <c r="BY819" s="1" t="s">
        <v>129</v>
      </c>
      <c r="BZ819" s="1" t="s">
        <v>238</v>
      </c>
      <c r="CA819">
        <v>67.94</v>
      </c>
      <c r="CB819">
        <v>67.94</v>
      </c>
      <c r="CC819">
        <v>75.17</v>
      </c>
      <c r="CD819">
        <v>75.17</v>
      </c>
      <c r="CE819">
        <v>66.61</v>
      </c>
      <c r="CF819">
        <v>66.61</v>
      </c>
      <c r="CG819" s="1" t="s">
        <v>449</v>
      </c>
      <c r="CH819" s="1" t="s">
        <v>303</v>
      </c>
      <c r="CI819" s="1" t="s">
        <v>126</v>
      </c>
      <c r="CJ819">
        <v>4.2</v>
      </c>
      <c r="CK819" s="1" t="s">
        <v>125</v>
      </c>
      <c r="CL819" s="1" t="s">
        <v>416</v>
      </c>
      <c r="CM819">
        <v>75</v>
      </c>
      <c r="CN819" s="1" t="s">
        <v>2863</v>
      </c>
      <c r="CO819" s="1" t="s">
        <v>1123</v>
      </c>
      <c r="CP819" s="1" t="s">
        <v>3392</v>
      </c>
      <c r="CQ819" s="1" t="s">
        <v>7377</v>
      </c>
      <c r="CR819">
        <v>330</v>
      </c>
      <c r="CS819" s="1" t="s">
        <v>7346</v>
      </c>
      <c r="CT819">
        <v>1429.4</v>
      </c>
      <c r="CU819" s="1" t="s">
        <v>7348</v>
      </c>
      <c r="CV819">
        <v>1846</v>
      </c>
      <c r="CW819">
        <v>76</v>
      </c>
      <c r="CX819">
        <v>67.400000000000006</v>
      </c>
      <c r="CY819">
        <v>60.6</v>
      </c>
      <c r="CZ819" s="1" t="s">
        <v>787</v>
      </c>
      <c r="DA819">
        <v>1</v>
      </c>
      <c r="DB819" t="s">
        <v>987</v>
      </c>
      <c r="DC819">
        <v>76</v>
      </c>
      <c r="DD819" s="1" t="s">
        <v>7378</v>
      </c>
      <c r="DE819">
        <v>-19.794701347556501</v>
      </c>
      <c r="DF819" t="e">
        <f>_xlfn.XLOOKUP(Table1[[#This Row],[Player ID]],Table2[feed_id],Table2[trade_status])</f>
        <v>#N/A</v>
      </c>
      <c r="DG819">
        <f>_xlfn.NUMBERVALUE(Table1[[#This Row],[predicted]])</f>
        <v>95.794701347556497</v>
      </c>
    </row>
    <row r="820" spans="1:111" x14ac:dyDescent="0.25">
      <c r="A820">
        <v>132631</v>
      </c>
      <c r="B820">
        <v>9239</v>
      </c>
      <c r="C820" t="s">
        <v>7040</v>
      </c>
      <c r="D820" t="s">
        <v>3116</v>
      </c>
      <c r="E820">
        <v>2025</v>
      </c>
      <c r="F820">
        <v>290838</v>
      </c>
      <c r="G820" t="s">
        <v>1127</v>
      </c>
      <c r="H820" t="s">
        <v>7073</v>
      </c>
      <c r="I820" t="s">
        <v>813</v>
      </c>
      <c r="J820">
        <v>21</v>
      </c>
      <c r="K820">
        <v>81</v>
      </c>
      <c r="L820">
        <v>96</v>
      </c>
      <c r="M820">
        <v>103</v>
      </c>
      <c r="N820">
        <v>70</v>
      </c>
      <c r="O820">
        <v>90</v>
      </c>
      <c r="P820">
        <v>9</v>
      </c>
      <c r="Q820">
        <v>7</v>
      </c>
      <c r="R820">
        <v>5</v>
      </c>
      <c r="S820">
        <v>4</v>
      </c>
      <c r="T820">
        <v>2</v>
      </c>
      <c r="U820">
        <v>3</v>
      </c>
      <c r="V820">
        <v>3</v>
      </c>
      <c r="W820">
        <v>2</v>
      </c>
      <c r="X820">
        <v>1</v>
      </c>
      <c r="Y820" t="s">
        <v>113</v>
      </c>
      <c r="Z820" t="s">
        <v>5152</v>
      </c>
      <c r="AA820" t="s">
        <v>7074</v>
      </c>
      <c r="AH820" t="s">
        <v>155</v>
      </c>
      <c r="AI820">
        <v>28</v>
      </c>
      <c r="AJ820">
        <v>0</v>
      </c>
      <c r="AK820">
        <v>0</v>
      </c>
      <c r="AL820">
        <v>0</v>
      </c>
      <c r="AM820">
        <v>0.04</v>
      </c>
      <c r="AN820">
        <v>0.05</v>
      </c>
      <c r="AO820">
        <v>0.09</v>
      </c>
      <c r="AS820">
        <v>10</v>
      </c>
      <c r="AT820">
        <v>3</v>
      </c>
      <c r="AU820">
        <v>5</v>
      </c>
      <c r="AV820">
        <v>75</v>
      </c>
      <c r="AW820">
        <v>87</v>
      </c>
      <c r="AX820">
        <v>207</v>
      </c>
      <c r="AY820">
        <v>0</v>
      </c>
      <c r="AZ820" t="b">
        <v>0</v>
      </c>
      <c r="BA820">
        <v>1678</v>
      </c>
      <c r="BB820">
        <v>1592</v>
      </c>
      <c r="BC820">
        <v>6</v>
      </c>
      <c r="BD820" t="s">
        <v>7044</v>
      </c>
      <c r="BE820" s="1" t="s">
        <v>3594</v>
      </c>
      <c r="BF820">
        <v>0</v>
      </c>
      <c r="BG820">
        <v>71</v>
      </c>
      <c r="BH820">
        <v>1</v>
      </c>
      <c r="BI820" s="1" t="s">
        <v>204</v>
      </c>
      <c r="BJ820" s="1" t="s">
        <v>204</v>
      </c>
      <c r="BK820" s="1" t="s">
        <v>211</v>
      </c>
      <c r="BL820" s="1" t="s">
        <v>256</v>
      </c>
      <c r="BM820">
        <v>4</v>
      </c>
      <c r="BN820">
        <v>4</v>
      </c>
      <c r="BO820" s="1" t="s">
        <v>159</v>
      </c>
      <c r="BP820" s="1" t="s">
        <v>322</v>
      </c>
      <c r="BQ820">
        <v>3</v>
      </c>
      <c r="BR820" s="1" t="s">
        <v>206</v>
      </c>
      <c r="BS820" s="1" t="s">
        <v>126</v>
      </c>
      <c r="BT820">
        <v>1</v>
      </c>
      <c r="BU820" s="1" t="s">
        <v>169</v>
      </c>
      <c r="BV820" s="1" t="s">
        <v>206</v>
      </c>
      <c r="BW820">
        <v>1</v>
      </c>
      <c r="BX820" s="1" t="s">
        <v>127</v>
      </c>
      <c r="BY820" s="1" t="s">
        <v>129</v>
      </c>
      <c r="BZ820" s="1" t="s">
        <v>238</v>
      </c>
      <c r="CA820">
        <v>0.04</v>
      </c>
      <c r="CB820">
        <v>0.04</v>
      </c>
      <c r="CC820">
        <v>0.05</v>
      </c>
      <c r="CD820">
        <v>0.05</v>
      </c>
      <c r="CE820">
        <v>0.09</v>
      </c>
      <c r="CF820">
        <v>0.09</v>
      </c>
      <c r="CG820">
        <v>7</v>
      </c>
      <c r="CH820" s="1" t="s">
        <v>124</v>
      </c>
      <c r="CI820">
        <v>2</v>
      </c>
      <c r="CJ820" s="1" t="s">
        <v>128</v>
      </c>
      <c r="CK820" s="1" t="s">
        <v>125</v>
      </c>
      <c r="CL820" s="1" t="s">
        <v>373</v>
      </c>
      <c r="CM820" s="1" t="s">
        <v>683</v>
      </c>
      <c r="CN820" s="1" t="s">
        <v>7075</v>
      </c>
      <c r="CO820">
        <v>82</v>
      </c>
      <c r="CP820">
        <v>88.6</v>
      </c>
      <c r="CQ820">
        <v>172</v>
      </c>
      <c r="CR820" s="1" t="s">
        <v>7076</v>
      </c>
      <c r="CS820" s="1" t="s">
        <v>2903</v>
      </c>
      <c r="CT820">
        <v>1529.4</v>
      </c>
      <c r="CU820">
        <v>1674</v>
      </c>
      <c r="CV820" s="1" t="s">
        <v>7077</v>
      </c>
      <c r="CW820">
        <v>57.3</v>
      </c>
      <c r="CX820">
        <v>59.5</v>
      </c>
      <c r="CY820">
        <v>68.400000000000006</v>
      </c>
      <c r="CZ820" s="1" t="s">
        <v>1166</v>
      </c>
      <c r="DA820">
        <v>1</v>
      </c>
      <c r="DB820" t="s">
        <v>5152</v>
      </c>
      <c r="DC820">
        <v>96</v>
      </c>
      <c r="DD820" s="1" t="s">
        <v>7078</v>
      </c>
      <c r="DE820" s="1" t="s">
        <v>7079</v>
      </c>
      <c r="DF820" t="str">
        <f>_xlfn.XLOOKUP(Table1[[#This Row],[Player ID]],Table2[feed_id],Table2[trade_status])</f>
        <v>free_agent</v>
      </c>
      <c r="DG820">
        <f>_xlfn.NUMBERVALUE(Table1[[#This Row],[predicted]])</f>
        <v>68.018278875856595</v>
      </c>
    </row>
    <row r="821" spans="1:111" x14ac:dyDescent="0.25">
      <c r="A821">
        <v>132866</v>
      </c>
      <c r="B821">
        <v>9244</v>
      </c>
      <c r="C821" t="s">
        <v>7983</v>
      </c>
      <c r="D821" t="s">
        <v>3116</v>
      </c>
      <c r="E821">
        <v>2025</v>
      </c>
      <c r="F821">
        <v>1002227</v>
      </c>
      <c r="G821" t="s">
        <v>1127</v>
      </c>
      <c r="H821" t="s">
        <v>4251</v>
      </c>
      <c r="I821" t="s">
        <v>152</v>
      </c>
      <c r="J821">
        <v>10</v>
      </c>
      <c r="K821">
        <v>45</v>
      </c>
      <c r="L821">
        <v>52</v>
      </c>
      <c r="M821">
        <v>56</v>
      </c>
      <c r="N821">
        <v>36</v>
      </c>
      <c r="O821">
        <v>43</v>
      </c>
      <c r="P821">
        <v>5</v>
      </c>
      <c r="Q821">
        <v>1</v>
      </c>
      <c r="R821">
        <v>2</v>
      </c>
      <c r="S821">
        <v>2</v>
      </c>
      <c r="T821">
        <v>0</v>
      </c>
      <c r="U821">
        <v>1</v>
      </c>
      <c r="V821">
        <v>0</v>
      </c>
      <c r="W821">
        <v>2</v>
      </c>
      <c r="X821">
        <v>1</v>
      </c>
      <c r="Y821" t="s">
        <v>113</v>
      </c>
      <c r="Z821" t="s">
        <v>861</v>
      </c>
      <c r="AA821" t="s">
        <v>8060</v>
      </c>
      <c r="AH821" t="s">
        <v>155</v>
      </c>
      <c r="AI821">
        <v>1</v>
      </c>
      <c r="AJ821">
        <v>0</v>
      </c>
      <c r="AK821">
        <v>0</v>
      </c>
      <c r="AL821">
        <v>0</v>
      </c>
      <c r="AM821">
        <v>0.04</v>
      </c>
      <c r="AN821">
        <v>0.08</v>
      </c>
      <c r="AO821">
        <v>0.09</v>
      </c>
      <c r="AS821">
        <v>2</v>
      </c>
      <c r="AT821">
        <v>0</v>
      </c>
      <c r="AU821">
        <v>0</v>
      </c>
      <c r="AV821">
        <v>83</v>
      </c>
      <c r="AW821">
        <v>85</v>
      </c>
      <c r="AX821">
        <v>172</v>
      </c>
      <c r="AY821">
        <v>0</v>
      </c>
      <c r="AZ821" t="b">
        <v>0</v>
      </c>
      <c r="BA821">
        <v>1816</v>
      </c>
      <c r="BB821">
        <v>1473</v>
      </c>
      <c r="BC821">
        <v>6</v>
      </c>
      <c r="BD821" t="s">
        <v>7985</v>
      </c>
      <c r="BE821" s="1" t="s">
        <v>3594</v>
      </c>
      <c r="BF821">
        <v>0</v>
      </c>
      <c r="BG821">
        <v>71</v>
      </c>
      <c r="BH821">
        <v>0</v>
      </c>
      <c r="BI821">
        <v>6</v>
      </c>
      <c r="BJ821" s="1" t="s">
        <v>343</v>
      </c>
      <c r="BK821">
        <v>3</v>
      </c>
      <c r="BL821" s="1" t="s">
        <v>212</v>
      </c>
      <c r="BM821" s="1" t="s">
        <v>161</v>
      </c>
      <c r="BN821" s="1" t="s">
        <v>528</v>
      </c>
      <c r="BO821" s="1" t="s">
        <v>169</v>
      </c>
      <c r="BP821" s="1" t="s">
        <v>140</v>
      </c>
      <c r="BQ821">
        <v>0</v>
      </c>
      <c r="BR821">
        <v>0</v>
      </c>
      <c r="BS821">
        <v>1</v>
      </c>
      <c r="BT821">
        <v>0.8</v>
      </c>
      <c r="BU821">
        <v>0</v>
      </c>
      <c r="BV821">
        <v>0.4</v>
      </c>
      <c r="BW821" s="1" t="s">
        <v>169</v>
      </c>
      <c r="BX821">
        <v>2.2000000000000002</v>
      </c>
      <c r="BY821" s="1" t="s">
        <v>129</v>
      </c>
      <c r="BZ821" s="1" t="s">
        <v>162</v>
      </c>
      <c r="CA821">
        <v>0.04</v>
      </c>
      <c r="CB821">
        <v>0.04</v>
      </c>
      <c r="CC821">
        <v>0.08</v>
      </c>
      <c r="CD821">
        <v>0.08</v>
      </c>
      <c r="CE821">
        <v>0.09</v>
      </c>
      <c r="CF821">
        <v>0.09</v>
      </c>
      <c r="CG821">
        <v>4</v>
      </c>
      <c r="CH821" s="1" t="s">
        <v>436</v>
      </c>
      <c r="CI821">
        <v>0</v>
      </c>
      <c r="CJ821" s="1" t="s">
        <v>231</v>
      </c>
      <c r="CK821" s="1" t="s">
        <v>128</v>
      </c>
      <c r="CL821" s="1" t="s">
        <v>327</v>
      </c>
      <c r="CM821" s="1" t="s">
        <v>241</v>
      </c>
      <c r="CN821">
        <v>71.2</v>
      </c>
      <c r="CO821" s="1" t="s">
        <v>2177</v>
      </c>
      <c r="CP821" s="1" t="s">
        <v>1433</v>
      </c>
      <c r="CQ821" s="1" t="s">
        <v>8061</v>
      </c>
      <c r="CR821" s="1" t="s">
        <v>8062</v>
      </c>
      <c r="CS821" s="1" t="s">
        <v>7987</v>
      </c>
      <c r="CT821">
        <v>1648.6</v>
      </c>
      <c r="CU821" s="1" t="s">
        <v>7988</v>
      </c>
      <c r="CV821" s="1" t="s">
        <v>8063</v>
      </c>
      <c r="CW821">
        <v>69.900000000000006</v>
      </c>
      <c r="CX821">
        <v>69.400000000000006</v>
      </c>
      <c r="CY821">
        <v>72</v>
      </c>
      <c r="CZ821" s="1" t="s">
        <v>572</v>
      </c>
      <c r="DA821">
        <v>1</v>
      </c>
      <c r="DB821" t="s">
        <v>861</v>
      </c>
      <c r="DC821">
        <v>52</v>
      </c>
      <c r="DD821" s="1" t="s">
        <v>8064</v>
      </c>
      <c r="DE821">
        <v>-15.8351140188611</v>
      </c>
      <c r="DF821" t="str">
        <f>_xlfn.XLOOKUP(Table1[[#This Row],[Player ID]],Table2[feed_id],Table2[trade_status])</f>
        <v>free_agent</v>
      </c>
      <c r="DG821">
        <f>_xlfn.NUMBERVALUE(Table1[[#This Row],[predicted]])</f>
        <v>67.835114018861105</v>
      </c>
    </row>
    <row r="822" spans="1:111" x14ac:dyDescent="0.25">
      <c r="A822">
        <v>132747</v>
      </c>
      <c r="B822">
        <v>9241</v>
      </c>
      <c r="C822" t="s">
        <v>7418</v>
      </c>
      <c r="D822" t="s">
        <v>3116</v>
      </c>
      <c r="E822">
        <v>2025</v>
      </c>
      <c r="F822">
        <v>993953</v>
      </c>
      <c r="G822" t="s">
        <v>1863</v>
      </c>
      <c r="H822" t="s">
        <v>7538</v>
      </c>
      <c r="I822" t="s">
        <v>201</v>
      </c>
      <c r="J822">
        <v>23</v>
      </c>
      <c r="K822">
        <v>86</v>
      </c>
      <c r="L822">
        <v>97</v>
      </c>
      <c r="M822">
        <v>62</v>
      </c>
      <c r="N822">
        <v>73</v>
      </c>
      <c r="O822">
        <v>87</v>
      </c>
      <c r="P822">
        <v>11</v>
      </c>
      <c r="Q822">
        <v>1</v>
      </c>
      <c r="R822">
        <v>5</v>
      </c>
      <c r="S822">
        <v>2</v>
      </c>
      <c r="T822">
        <v>0</v>
      </c>
      <c r="U822">
        <v>1</v>
      </c>
      <c r="V822">
        <v>1</v>
      </c>
      <c r="W822">
        <v>5</v>
      </c>
      <c r="X822">
        <v>0</v>
      </c>
      <c r="Y822" t="s">
        <v>113</v>
      </c>
      <c r="Z822" t="s">
        <v>4765</v>
      </c>
      <c r="AA822" t="s">
        <v>7539</v>
      </c>
      <c r="AB822" t="s">
        <v>656</v>
      </c>
      <c r="AC822" t="s">
        <v>7540</v>
      </c>
      <c r="AE822">
        <v>0</v>
      </c>
      <c r="AH822" t="s">
        <v>155</v>
      </c>
      <c r="AI822">
        <v>30</v>
      </c>
      <c r="AJ822">
        <v>21</v>
      </c>
      <c r="AK822">
        <v>56.33</v>
      </c>
      <c r="AL822">
        <v>0</v>
      </c>
      <c r="AM822">
        <v>0</v>
      </c>
      <c r="AN822">
        <v>0.27</v>
      </c>
      <c r="AO822">
        <v>0.15</v>
      </c>
      <c r="AS822">
        <v>5</v>
      </c>
      <c r="AT822">
        <v>0</v>
      </c>
      <c r="AU822">
        <v>1</v>
      </c>
      <c r="AV822">
        <v>83</v>
      </c>
      <c r="AW822">
        <v>82</v>
      </c>
      <c r="AX822">
        <v>402</v>
      </c>
      <c r="AY822">
        <v>0</v>
      </c>
      <c r="AZ822" t="b">
        <v>0</v>
      </c>
      <c r="BA822">
        <v>1518</v>
      </c>
      <c r="BB822">
        <v>1780</v>
      </c>
      <c r="BC822">
        <v>6</v>
      </c>
      <c r="BD822" t="s">
        <v>7502</v>
      </c>
      <c r="BE822" s="1" t="s">
        <v>3594</v>
      </c>
      <c r="BF822">
        <v>0</v>
      </c>
      <c r="BG822">
        <v>71</v>
      </c>
      <c r="BH822">
        <v>1</v>
      </c>
      <c r="BI822" s="1" t="s">
        <v>294</v>
      </c>
      <c r="BJ822" s="1" t="s">
        <v>448</v>
      </c>
      <c r="BK822" s="1" t="s">
        <v>159</v>
      </c>
      <c r="BL822" s="1" t="s">
        <v>373</v>
      </c>
      <c r="BM822">
        <v>6</v>
      </c>
      <c r="BN822" s="1" t="s">
        <v>205</v>
      </c>
      <c r="BO822" s="1" t="s">
        <v>128</v>
      </c>
      <c r="BP822" s="1" t="s">
        <v>127</v>
      </c>
      <c r="BQ822">
        <v>0</v>
      </c>
      <c r="BR822" s="1" t="s">
        <v>213</v>
      </c>
      <c r="BS822" s="1" t="s">
        <v>129</v>
      </c>
      <c r="BT822" s="1" t="s">
        <v>238</v>
      </c>
      <c r="BU822" s="1" t="s">
        <v>129</v>
      </c>
      <c r="BV822" s="1" t="s">
        <v>162</v>
      </c>
      <c r="BW822" s="1" t="s">
        <v>169</v>
      </c>
      <c r="BX822">
        <v>1.2</v>
      </c>
      <c r="BY822" s="1" t="s">
        <v>128</v>
      </c>
      <c r="BZ822" s="1" t="s">
        <v>128</v>
      </c>
      <c r="CA822">
        <v>0</v>
      </c>
      <c r="CB822">
        <v>0</v>
      </c>
      <c r="CC822">
        <v>0.27</v>
      </c>
      <c r="CD822">
        <v>0.27</v>
      </c>
      <c r="CE822">
        <v>0.15</v>
      </c>
      <c r="CF822">
        <v>0.15</v>
      </c>
      <c r="CG822" s="1" t="s">
        <v>138</v>
      </c>
      <c r="CH822">
        <v>2.6</v>
      </c>
      <c r="CI822" s="1" t="s">
        <v>129</v>
      </c>
      <c r="CJ822">
        <v>6.6666666666666596E-2</v>
      </c>
      <c r="CK822">
        <v>2</v>
      </c>
      <c r="CL822" s="1" t="s">
        <v>255</v>
      </c>
      <c r="CM822" s="1" t="s">
        <v>772</v>
      </c>
      <c r="CN822">
        <v>65.2</v>
      </c>
      <c r="CO822" s="1" t="s">
        <v>142</v>
      </c>
      <c r="CP822" s="1" t="s">
        <v>1490</v>
      </c>
      <c r="CQ822" s="1" t="s">
        <v>7541</v>
      </c>
      <c r="CR822">
        <v>226.4</v>
      </c>
      <c r="CS822" s="1" t="s">
        <v>7505</v>
      </c>
      <c r="CT822">
        <v>1736.4</v>
      </c>
      <c r="CU822" s="1" t="s">
        <v>7506</v>
      </c>
      <c r="CV822" s="1" t="s">
        <v>7542</v>
      </c>
      <c r="CW822">
        <v>63.4</v>
      </c>
      <c r="CX822">
        <v>50.6</v>
      </c>
      <c r="CY822">
        <v>57.4</v>
      </c>
      <c r="CZ822">
        <v>68</v>
      </c>
      <c r="DA822">
        <v>1</v>
      </c>
      <c r="DB822" t="s">
        <v>4765</v>
      </c>
      <c r="DC822">
        <v>97</v>
      </c>
      <c r="DD822" s="1" t="s">
        <v>7543</v>
      </c>
      <c r="DE822" s="1" t="s">
        <v>7544</v>
      </c>
      <c r="DF822" t="str">
        <f>_xlfn.XLOOKUP(Table1[[#This Row],[Player ID]],Table2[feed_id],Table2[trade_status])</f>
        <v>free_agent</v>
      </c>
      <c r="DG822">
        <f>_xlfn.NUMBERVALUE(Table1[[#This Row],[predicted]])</f>
        <v>67.690915869147503</v>
      </c>
    </row>
    <row r="823" spans="1:111" x14ac:dyDescent="0.25">
      <c r="A823">
        <v>132800</v>
      </c>
      <c r="B823">
        <v>9242</v>
      </c>
      <c r="C823" t="s">
        <v>7597</v>
      </c>
      <c r="D823" t="s">
        <v>3116</v>
      </c>
      <c r="E823">
        <v>2025</v>
      </c>
      <c r="F823">
        <v>1002143</v>
      </c>
      <c r="G823" t="s">
        <v>670</v>
      </c>
      <c r="H823" t="s">
        <v>7338</v>
      </c>
      <c r="I823" t="s">
        <v>619</v>
      </c>
      <c r="J823">
        <v>8</v>
      </c>
      <c r="K823">
        <v>49</v>
      </c>
      <c r="L823">
        <v>58</v>
      </c>
      <c r="M823">
        <v>31</v>
      </c>
      <c r="N823">
        <v>45</v>
      </c>
      <c r="O823">
        <v>63</v>
      </c>
      <c r="P823">
        <v>8</v>
      </c>
      <c r="Q823">
        <v>8</v>
      </c>
      <c r="R823">
        <v>4</v>
      </c>
      <c r="S823">
        <v>1</v>
      </c>
      <c r="T823">
        <v>0</v>
      </c>
      <c r="U823">
        <v>2</v>
      </c>
      <c r="V823">
        <v>3</v>
      </c>
      <c r="W823">
        <v>0</v>
      </c>
      <c r="X823">
        <v>0</v>
      </c>
      <c r="Y823" t="s">
        <v>113</v>
      </c>
      <c r="Z823" t="s">
        <v>7787</v>
      </c>
      <c r="AA823" t="s">
        <v>7788</v>
      </c>
      <c r="AE823">
        <v>0</v>
      </c>
      <c r="AH823" t="s">
        <v>181</v>
      </c>
      <c r="AI823">
        <v>32</v>
      </c>
      <c r="AJ823">
        <v>0</v>
      </c>
      <c r="AK823">
        <v>0</v>
      </c>
      <c r="AL823">
        <v>0</v>
      </c>
      <c r="AM823">
        <v>0</v>
      </c>
      <c r="AN823">
        <v>0.55000000000000004</v>
      </c>
      <c r="AO823">
        <v>0.86</v>
      </c>
      <c r="AS823">
        <v>7</v>
      </c>
      <c r="AT823">
        <v>0</v>
      </c>
      <c r="AU823">
        <v>4</v>
      </c>
      <c r="AV823">
        <v>87</v>
      </c>
      <c r="AW823">
        <v>98</v>
      </c>
      <c r="AX823">
        <v>48</v>
      </c>
      <c r="AY823">
        <v>0</v>
      </c>
      <c r="AZ823" t="b">
        <v>0</v>
      </c>
      <c r="BA823">
        <v>1522</v>
      </c>
      <c r="BB823">
        <v>1764</v>
      </c>
      <c r="BC823">
        <v>6</v>
      </c>
      <c r="BD823" t="s">
        <v>7708</v>
      </c>
      <c r="BE823" s="1" t="s">
        <v>3594</v>
      </c>
      <c r="BF823">
        <v>0</v>
      </c>
      <c r="BG823">
        <v>71</v>
      </c>
      <c r="BH823">
        <v>0</v>
      </c>
      <c r="BI823" s="1" t="s">
        <v>124</v>
      </c>
      <c r="BJ823">
        <v>7</v>
      </c>
      <c r="BK823" s="1" t="s">
        <v>160</v>
      </c>
      <c r="BL823" s="1" t="s">
        <v>1092</v>
      </c>
      <c r="BM823" s="1" t="s">
        <v>125</v>
      </c>
      <c r="BN823" s="1" t="s">
        <v>781</v>
      </c>
      <c r="BO823">
        <v>1</v>
      </c>
      <c r="BP823" s="1" t="s">
        <v>298</v>
      </c>
      <c r="BQ823">
        <v>0</v>
      </c>
      <c r="BR823">
        <v>0</v>
      </c>
      <c r="BS823">
        <v>1</v>
      </c>
      <c r="BT823" s="1" t="s">
        <v>162</v>
      </c>
      <c r="BU823">
        <v>1</v>
      </c>
      <c r="BV823">
        <v>0.4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0.55000000000000004</v>
      </c>
      <c r="CD823">
        <v>0.55000000000000004</v>
      </c>
      <c r="CE823">
        <v>0.86</v>
      </c>
      <c r="CF823">
        <v>0.86</v>
      </c>
      <c r="CG823">
        <v>4</v>
      </c>
      <c r="CH823" s="1" t="s">
        <v>963</v>
      </c>
      <c r="CI823">
        <v>0</v>
      </c>
      <c r="CJ823">
        <v>6.6666666666666596E-2</v>
      </c>
      <c r="CK823">
        <v>2</v>
      </c>
      <c r="CL823">
        <v>1.8</v>
      </c>
      <c r="CM823" s="1" t="s">
        <v>217</v>
      </c>
      <c r="CN823">
        <v>87.4</v>
      </c>
      <c r="CO823" s="1" t="s">
        <v>146</v>
      </c>
      <c r="CP823">
        <v>98.8</v>
      </c>
      <c r="CQ823">
        <v>50</v>
      </c>
      <c r="CR823">
        <v>116.2</v>
      </c>
      <c r="CS823" s="1" t="s">
        <v>144</v>
      </c>
      <c r="CT823">
        <v>1651.2</v>
      </c>
      <c r="CU823" s="1" t="s">
        <v>4416</v>
      </c>
      <c r="CV823" s="1" t="s">
        <v>7711</v>
      </c>
      <c r="CW823">
        <v>62.2</v>
      </c>
      <c r="CX823">
        <v>62.2</v>
      </c>
      <c r="CY823">
        <v>43.4</v>
      </c>
      <c r="CZ823" s="1" t="s">
        <v>1357</v>
      </c>
      <c r="DA823">
        <v>1</v>
      </c>
      <c r="DB823" t="s">
        <v>7787</v>
      </c>
      <c r="DC823">
        <v>58</v>
      </c>
      <c r="DD823" s="1" t="s">
        <v>7789</v>
      </c>
      <c r="DE823">
        <v>-9.5349071180247194</v>
      </c>
      <c r="DF823" t="str">
        <f>_xlfn.XLOOKUP(Table1[[#This Row],[Player ID]],Table2[feed_id],Table2[trade_status])</f>
        <v>free_agent</v>
      </c>
      <c r="DG823">
        <f>_xlfn.NUMBERVALUE(Table1[[#This Row],[predicted]])</f>
        <v>67.534907118024705</v>
      </c>
    </row>
    <row r="824" spans="1:111" x14ac:dyDescent="0.25">
      <c r="A824">
        <v>132934</v>
      </c>
      <c r="B824">
        <v>9245</v>
      </c>
      <c r="C824" t="s">
        <v>8180</v>
      </c>
      <c r="D824" t="s">
        <v>3116</v>
      </c>
      <c r="E824">
        <v>2025</v>
      </c>
      <c r="F824">
        <v>296254</v>
      </c>
      <c r="G824" t="s">
        <v>8356</v>
      </c>
      <c r="H824" t="s">
        <v>8357</v>
      </c>
      <c r="I824" t="s">
        <v>391</v>
      </c>
      <c r="J824">
        <v>3</v>
      </c>
      <c r="K824">
        <v>40</v>
      </c>
      <c r="L824">
        <v>34</v>
      </c>
      <c r="M824">
        <v>27</v>
      </c>
      <c r="N824">
        <v>32</v>
      </c>
      <c r="O824">
        <v>42</v>
      </c>
      <c r="P824">
        <v>6</v>
      </c>
      <c r="Q824">
        <v>4</v>
      </c>
      <c r="R824">
        <v>3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 t="s">
        <v>113</v>
      </c>
      <c r="Z824" t="s">
        <v>1499</v>
      </c>
      <c r="AA824" t="s">
        <v>8358</v>
      </c>
      <c r="AB824" t="s">
        <v>226</v>
      </c>
      <c r="AC824" t="s">
        <v>1482</v>
      </c>
      <c r="AE824">
        <v>0</v>
      </c>
      <c r="AH824" t="s">
        <v>181</v>
      </c>
      <c r="AI824">
        <v>4</v>
      </c>
      <c r="AJ824">
        <v>21</v>
      </c>
      <c r="AK824">
        <v>69.760000000000005</v>
      </c>
      <c r="AL824">
        <v>0</v>
      </c>
      <c r="AM824">
        <v>0</v>
      </c>
      <c r="AN824">
        <v>0.09</v>
      </c>
      <c r="AO824">
        <v>0.17</v>
      </c>
      <c r="AS824">
        <v>4</v>
      </c>
      <c r="AT824">
        <v>1</v>
      </c>
      <c r="AU824">
        <v>3</v>
      </c>
      <c r="AV824">
        <v>50</v>
      </c>
      <c r="AW824">
        <v>84</v>
      </c>
      <c r="AX824">
        <v>178</v>
      </c>
      <c r="AY824">
        <v>0</v>
      </c>
      <c r="AZ824" t="b">
        <v>0</v>
      </c>
      <c r="BA824">
        <v>1799</v>
      </c>
      <c r="BB824">
        <v>1477</v>
      </c>
      <c r="BC824">
        <v>6</v>
      </c>
      <c r="BD824" t="s">
        <v>8277</v>
      </c>
      <c r="BE824" s="1" t="s">
        <v>3594</v>
      </c>
      <c r="BF824">
        <v>0</v>
      </c>
      <c r="BG824">
        <v>71</v>
      </c>
      <c r="BH824">
        <v>0</v>
      </c>
      <c r="BI824" s="1" t="s">
        <v>253</v>
      </c>
      <c r="BJ824" s="1" t="s">
        <v>1008</v>
      </c>
      <c r="BK824">
        <v>3</v>
      </c>
      <c r="BL824">
        <v>5.8</v>
      </c>
      <c r="BM824" s="1" t="s">
        <v>169</v>
      </c>
      <c r="BN824" s="1" t="s">
        <v>256</v>
      </c>
      <c r="BO824">
        <v>3</v>
      </c>
      <c r="BP824" s="1" t="s">
        <v>169</v>
      </c>
      <c r="BQ824">
        <v>0</v>
      </c>
      <c r="BR824">
        <v>0</v>
      </c>
      <c r="BS824" s="1" t="s">
        <v>126</v>
      </c>
      <c r="BT824">
        <v>1</v>
      </c>
      <c r="BU824" s="1" t="s">
        <v>128</v>
      </c>
      <c r="BV824" s="1" t="s">
        <v>130</v>
      </c>
      <c r="BW824">
        <v>0</v>
      </c>
      <c r="BX824" s="1" t="s">
        <v>213</v>
      </c>
      <c r="BY824">
        <v>0</v>
      </c>
      <c r="BZ824">
        <v>6.6666666666666596E-2</v>
      </c>
      <c r="CA824">
        <v>0</v>
      </c>
      <c r="CB824">
        <v>0</v>
      </c>
      <c r="CC824">
        <v>0.09</v>
      </c>
      <c r="CD824">
        <v>0.09</v>
      </c>
      <c r="CE824">
        <v>0.17</v>
      </c>
      <c r="CF824">
        <v>0.17</v>
      </c>
      <c r="CG824" s="1" t="s">
        <v>125</v>
      </c>
      <c r="CH824" s="1" t="s">
        <v>212</v>
      </c>
      <c r="CI824" s="1" t="s">
        <v>129</v>
      </c>
      <c r="CJ824" s="1" t="s">
        <v>130</v>
      </c>
      <c r="CK824" s="1" t="s">
        <v>159</v>
      </c>
      <c r="CL824">
        <v>2.6</v>
      </c>
      <c r="CM824" s="1" t="s">
        <v>215</v>
      </c>
      <c r="CN824">
        <v>78.599999999999994</v>
      </c>
      <c r="CO824" s="1" t="s">
        <v>1110</v>
      </c>
      <c r="CP824" s="1" t="s">
        <v>2386</v>
      </c>
      <c r="CQ824" s="1" t="s">
        <v>3403</v>
      </c>
      <c r="CR824">
        <v>286.2</v>
      </c>
      <c r="CS824" s="1" t="s">
        <v>4566</v>
      </c>
      <c r="CT824">
        <v>1730.8</v>
      </c>
      <c r="CU824">
        <v>1616</v>
      </c>
      <c r="CV824">
        <v>1553</v>
      </c>
      <c r="CW824">
        <v>75.8</v>
      </c>
      <c r="CX824">
        <v>64.8</v>
      </c>
      <c r="CY824">
        <v>55.2</v>
      </c>
      <c r="CZ824" s="1" t="s">
        <v>1857</v>
      </c>
      <c r="DA824">
        <v>1</v>
      </c>
      <c r="DB824" t="s">
        <v>1499</v>
      </c>
      <c r="DC824">
        <v>34</v>
      </c>
      <c r="DD824" s="1" t="s">
        <v>8359</v>
      </c>
      <c r="DE824">
        <v>-33.119539927567999</v>
      </c>
      <c r="DF824" t="str">
        <f>_xlfn.XLOOKUP(Table1[[#This Row],[Player ID]],Table2[feed_id],Table2[trade_status])</f>
        <v>free_agent</v>
      </c>
      <c r="DG824">
        <f>_xlfn.NUMBERVALUE(Table1[[#This Row],[predicted]])</f>
        <v>67.119539927567999</v>
      </c>
    </row>
    <row r="825" spans="1:111" x14ac:dyDescent="0.25">
      <c r="A825">
        <v>132556</v>
      </c>
      <c r="B825">
        <v>9237</v>
      </c>
      <c r="C825" t="s">
        <v>6650</v>
      </c>
      <c r="D825" t="s">
        <v>3116</v>
      </c>
      <c r="E825">
        <v>2025</v>
      </c>
      <c r="F825">
        <v>1006136</v>
      </c>
      <c r="G825" t="s">
        <v>1658</v>
      </c>
      <c r="H825" t="s">
        <v>6765</v>
      </c>
      <c r="I825" t="s">
        <v>510</v>
      </c>
      <c r="J825">
        <v>2</v>
      </c>
      <c r="K825">
        <v>28</v>
      </c>
      <c r="L825">
        <v>15</v>
      </c>
      <c r="M825">
        <v>36</v>
      </c>
      <c r="N825">
        <v>23</v>
      </c>
      <c r="O825">
        <v>30</v>
      </c>
      <c r="P825">
        <v>5</v>
      </c>
      <c r="Q825">
        <v>2</v>
      </c>
      <c r="R825">
        <v>3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t="s">
        <v>113</v>
      </c>
      <c r="Z825" t="s">
        <v>525</v>
      </c>
      <c r="AA825" t="s">
        <v>6766</v>
      </c>
      <c r="AB825" t="s">
        <v>116</v>
      </c>
      <c r="AC825" t="s">
        <v>6767</v>
      </c>
      <c r="AH825" t="s">
        <v>118</v>
      </c>
      <c r="AI825">
        <v>38</v>
      </c>
      <c r="AJ825">
        <v>0</v>
      </c>
      <c r="AK825">
        <v>0</v>
      </c>
      <c r="AL825">
        <v>0</v>
      </c>
      <c r="AM825">
        <v>0.04</v>
      </c>
      <c r="AN825">
        <v>0.19</v>
      </c>
      <c r="AO825">
        <v>0.06</v>
      </c>
      <c r="AS825">
        <v>1</v>
      </c>
      <c r="AT825">
        <v>0</v>
      </c>
      <c r="AU825">
        <v>2</v>
      </c>
      <c r="AV825">
        <v>85</v>
      </c>
      <c r="AW825">
        <v>45</v>
      </c>
      <c r="AX825">
        <v>169</v>
      </c>
      <c r="AY825">
        <v>1</v>
      </c>
      <c r="AZ825" t="b">
        <v>1</v>
      </c>
      <c r="BA825">
        <v>1632</v>
      </c>
      <c r="BB825">
        <v>1646</v>
      </c>
      <c r="BC825">
        <v>6</v>
      </c>
      <c r="BD825" t="s">
        <v>6656</v>
      </c>
      <c r="BE825" s="1" t="s">
        <v>3594</v>
      </c>
      <c r="BF825">
        <v>0</v>
      </c>
      <c r="BG825">
        <v>71</v>
      </c>
      <c r="BH825">
        <v>0</v>
      </c>
      <c r="BI825">
        <v>5</v>
      </c>
      <c r="BJ825" s="1" t="s">
        <v>623</v>
      </c>
      <c r="BK825" s="1" t="s">
        <v>160</v>
      </c>
      <c r="BL825" s="1" t="s">
        <v>680</v>
      </c>
      <c r="BM825">
        <v>3</v>
      </c>
      <c r="BN825">
        <v>4.8</v>
      </c>
      <c r="BO825" s="1" t="s">
        <v>128</v>
      </c>
      <c r="BP825" s="1" t="s">
        <v>275</v>
      </c>
      <c r="BQ825">
        <v>0</v>
      </c>
      <c r="BR825">
        <v>0</v>
      </c>
      <c r="BS825">
        <v>0</v>
      </c>
      <c r="BT825" s="1" t="s">
        <v>231</v>
      </c>
      <c r="BU825" s="1" t="s">
        <v>129</v>
      </c>
      <c r="BV825">
        <v>0.6</v>
      </c>
      <c r="BW825">
        <v>0</v>
      </c>
      <c r="BX825">
        <v>0.4</v>
      </c>
      <c r="BY825">
        <v>0</v>
      </c>
      <c r="BZ825">
        <v>0.2</v>
      </c>
      <c r="CA825">
        <v>0.04</v>
      </c>
      <c r="CB825">
        <v>0.04</v>
      </c>
      <c r="CC825">
        <v>0.19</v>
      </c>
      <c r="CD825">
        <v>0.19</v>
      </c>
      <c r="CE825">
        <v>0.06</v>
      </c>
      <c r="CF825">
        <v>0.06</v>
      </c>
      <c r="CG825" s="1" t="s">
        <v>169</v>
      </c>
      <c r="CH825" s="1" t="s">
        <v>752</v>
      </c>
      <c r="CI825" s="1" t="s">
        <v>129</v>
      </c>
      <c r="CJ825" s="1" t="s">
        <v>206</v>
      </c>
      <c r="CK825" s="1" t="s">
        <v>161</v>
      </c>
      <c r="CL825">
        <v>2.8</v>
      </c>
      <c r="CM825" s="1" t="s">
        <v>994</v>
      </c>
      <c r="CN825" s="1" t="s">
        <v>263</v>
      </c>
      <c r="CO825" s="1" t="s">
        <v>263</v>
      </c>
      <c r="CP825" s="1" t="s">
        <v>968</v>
      </c>
      <c r="CQ825">
        <v>191</v>
      </c>
      <c r="CR825" s="1" t="s">
        <v>6768</v>
      </c>
      <c r="CS825" s="1" t="s">
        <v>4695</v>
      </c>
      <c r="CT825" s="1" t="s">
        <v>4304</v>
      </c>
      <c r="CU825">
        <v>1598</v>
      </c>
      <c r="CV825" s="1" t="s">
        <v>6676</v>
      </c>
      <c r="CW825">
        <v>78.25</v>
      </c>
      <c r="CX825">
        <v>68.400000000000006</v>
      </c>
      <c r="CY825">
        <v>52</v>
      </c>
      <c r="CZ825" s="1" t="s">
        <v>6332</v>
      </c>
      <c r="DA825">
        <v>1</v>
      </c>
      <c r="DB825" t="s">
        <v>525</v>
      </c>
      <c r="DC825">
        <v>15</v>
      </c>
      <c r="DD825" s="1" t="s">
        <v>6769</v>
      </c>
      <c r="DE825">
        <v>-52.03194704002</v>
      </c>
      <c r="DF825" t="str">
        <f>_xlfn.XLOOKUP(Table1[[#This Row],[Player ID]],Table2[feed_id],Table2[trade_status])</f>
        <v>free_agent</v>
      </c>
      <c r="DG825">
        <f>_xlfn.NUMBERVALUE(Table1[[#This Row],[predicted]])</f>
        <v>67.03194704002</v>
      </c>
    </row>
    <row r="826" spans="1:111" x14ac:dyDescent="0.25">
      <c r="A826">
        <v>132859</v>
      </c>
      <c r="B826">
        <v>9244</v>
      </c>
      <c r="C826" t="s">
        <v>7983</v>
      </c>
      <c r="D826" t="s">
        <v>3116</v>
      </c>
      <c r="E826">
        <v>2025</v>
      </c>
      <c r="F826">
        <v>1027875</v>
      </c>
      <c r="G826" t="s">
        <v>3105</v>
      </c>
      <c r="H826" t="s">
        <v>4614</v>
      </c>
      <c r="I826" t="s">
        <v>152</v>
      </c>
      <c r="J826">
        <v>14</v>
      </c>
      <c r="K826">
        <v>69</v>
      </c>
      <c r="L826">
        <v>63</v>
      </c>
      <c r="M826">
        <v>92</v>
      </c>
      <c r="N826">
        <v>52</v>
      </c>
      <c r="O826">
        <v>69</v>
      </c>
      <c r="P826">
        <v>9</v>
      </c>
      <c r="Q826">
        <v>4</v>
      </c>
      <c r="R826">
        <v>6</v>
      </c>
      <c r="S826">
        <v>4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113</v>
      </c>
      <c r="Z826" t="s">
        <v>525</v>
      </c>
      <c r="AA826" t="s">
        <v>8031</v>
      </c>
      <c r="AH826" t="s">
        <v>118</v>
      </c>
      <c r="AI826">
        <v>22</v>
      </c>
      <c r="AJ826">
        <v>0</v>
      </c>
      <c r="AK826">
        <v>0</v>
      </c>
      <c r="AL826">
        <v>0</v>
      </c>
      <c r="AM826">
        <v>39.020000000000003</v>
      </c>
      <c r="AN826">
        <v>42.88</v>
      </c>
      <c r="AO826">
        <v>15.74</v>
      </c>
      <c r="AS826">
        <v>3</v>
      </c>
      <c r="AT826">
        <v>0</v>
      </c>
      <c r="AU826">
        <v>3</v>
      </c>
      <c r="AV826">
        <v>76</v>
      </c>
      <c r="AW826">
        <v>80</v>
      </c>
      <c r="AX826">
        <v>349</v>
      </c>
      <c r="AY826">
        <v>1</v>
      </c>
      <c r="AZ826" t="b">
        <v>0</v>
      </c>
      <c r="BA826">
        <v>1816</v>
      </c>
      <c r="BB826">
        <v>1473</v>
      </c>
      <c r="BC826">
        <v>6</v>
      </c>
      <c r="BD826" t="s">
        <v>7985</v>
      </c>
      <c r="BE826" s="1" t="s">
        <v>3594</v>
      </c>
      <c r="BF826">
        <v>0</v>
      </c>
      <c r="BG826">
        <v>71</v>
      </c>
      <c r="BH826">
        <v>0</v>
      </c>
      <c r="BI826">
        <v>13</v>
      </c>
      <c r="BJ826" s="1" t="s">
        <v>586</v>
      </c>
      <c r="BK826" s="1" t="s">
        <v>211</v>
      </c>
      <c r="BL826" s="1" t="s">
        <v>139</v>
      </c>
      <c r="BM826">
        <v>5</v>
      </c>
      <c r="BN826" s="1" t="s">
        <v>212</v>
      </c>
      <c r="BO826" s="1" t="s">
        <v>161</v>
      </c>
      <c r="BP826" s="1" t="s">
        <v>375</v>
      </c>
      <c r="BQ826">
        <v>0</v>
      </c>
      <c r="BR826">
        <v>0</v>
      </c>
      <c r="BS826" s="1" t="s">
        <v>128</v>
      </c>
      <c r="BT826" s="1" t="s">
        <v>399</v>
      </c>
      <c r="BU826" s="1" t="s">
        <v>128</v>
      </c>
      <c r="BV826" s="1" t="s">
        <v>129</v>
      </c>
      <c r="BW826" s="1" t="s">
        <v>128</v>
      </c>
      <c r="BX826" s="1" t="s">
        <v>238</v>
      </c>
      <c r="BY826">
        <v>0</v>
      </c>
      <c r="BZ826" s="1" t="s">
        <v>231</v>
      </c>
      <c r="CA826">
        <v>39.020000000000003</v>
      </c>
      <c r="CB826">
        <v>39.020000000000003</v>
      </c>
      <c r="CC826">
        <v>42.88</v>
      </c>
      <c r="CD826">
        <v>42.88</v>
      </c>
      <c r="CE826">
        <v>15.74</v>
      </c>
      <c r="CF826">
        <v>15.74</v>
      </c>
      <c r="CG826" s="1" t="s">
        <v>211</v>
      </c>
      <c r="CH826" s="1" t="s">
        <v>449</v>
      </c>
      <c r="CI826" s="1" t="s">
        <v>126</v>
      </c>
      <c r="CJ826" s="1" t="s">
        <v>126</v>
      </c>
      <c r="CK826" s="1" t="s">
        <v>160</v>
      </c>
      <c r="CL826" s="1" t="s">
        <v>322</v>
      </c>
      <c r="CM826" s="1" t="s">
        <v>1391</v>
      </c>
      <c r="CN826">
        <v>69.2</v>
      </c>
      <c r="CO826" s="1" t="s">
        <v>268</v>
      </c>
      <c r="CP826" s="1" t="s">
        <v>629</v>
      </c>
      <c r="CQ826" s="1" t="s">
        <v>8032</v>
      </c>
      <c r="CR826" s="1" t="s">
        <v>6902</v>
      </c>
      <c r="CS826" s="1" t="s">
        <v>7987</v>
      </c>
      <c r="CT826">
        <v>1663.4</v>
      </c>
      <c r="CU826" s="1" t="s">
        <v>7988</v>
      </c>
      <c r="CV826" s="1" t="s">
        <v>7989</v>
      </c>
      <c r="CW826">
        <v>63.05</v>
      </c>
      <c r="CX826">
        <v>67.099999999999994</v>
      </c>
      <c r="CY826">
        <v>62.2</v>
      </c>
      <c r="CZ826" s="1" t="s">
        <v>971</v>
      </c>
      <c r="DA826">
        <v>1</v>
      </c>
      <c r="DB826" t="s">
        <v>525</v>
      </c>
      <c r="DC826">
        <v>63</v>
      </c>
      <c r="DD826" s="1" t="s">
        <v>8033</v>
      </c>
      <c r="DE826">
        <v>-3.82556181795325</v>
      </c>
      <c r="DF826" t="str">
        <f>_xlfn.XLOOKUP(Table1[[#This Row],[Player ID]],Table2[feed_id],Table2[trade_status])</f>
        <v>free_agent</v>
      </c>
      <c r="DG826">
        <f>_xlfn.NUMBERVALUE(Table1[[#This Row],[predicted]])</f>
        <v>66.825561817953201</v>
      </c>
    </row>
    <row r="827" spans="1:111" x14ac:dyDescent="0.25">
      <c r="A827">
        <v>132864</v>
      </c>
      <c r="B827">
        <v>9244</v>
      </c>
      <c r="C827" t="s">
        <v>7983</v>
      </c>
      <c r="D827" t="s">
        <v>3116</v>
      </c>
      <c r="E827">
        <v>2025</v>
      </c>
      <c r="F827">
        <v>1008312</v>
      </c>
      <c r="G827" t="s">
        <v>1464</v>
      </c>
      <c r="H827" t="s">
        <v>8050</v>
      </c>
      <c r="I827" t="s">
        <v>152</v>
      </c>
      <c r="J827">
        <v>8</v>
      </c>
      <c r="K827">
        <v>57</v>
      </c>
      <c r="L827">
        <v>69</v>
      </c>
      <c r="M827">
        <v>73</v>
      </c>
      <c r="N827">
        <v>48</v>
      </c>
      <c r="O827">
        <v>63</v>
      </c>
      <c r="P827">
        <v>9</v>
      </c>
      <c r="Q827">
        <v>6</v>
      </c>
      <c r="R827">
        <v>5</v>
      </c>
      <c r="S827">
        <v>1</v>
      </c>
      <c r="T827">
        <v>0</v>
      </c>
      <c r="U827">
        <v>2</v>
      </c>
      <c r="V827">
        <v>1</v>
      </c>
      <c r="W827">
        <v>0</v>
      </c>
      <c r="X827">
        <v>0</v>
      </c>
      <c r="Y827" t="s">
        <v>113</v>
      </c>
      <c r="Z827" t="s">
        <v>778</v>
      </c>
      <c r="AA827" t="s">
        <v>8051</v>
      </c>
      <c r="AB827" t="s">
        <v>179</v>
      </c>
      <c r="AC827" t="s">
        <v>4790</v>
      </c>
      <c r="AH827" t="s">
        <v>181</v>
      </c>
      <c r="AI827">
        <v>14</v>
      </c>
      <c r="AJ827">
        <v>0</v>
      </c>
      <c r="AK827">
        <v>0</v>
      </c>
      <c r="AL827">
        <v>0</v>
      </c>
      <c r="AM827">
        <v>0.04</v>
      </c>
      <c r="AN827">
        <v>0.15</v>
      </c>
      <c r="AO827">
        <v>0.13</v>
      </c>
      <c r="AS827">
        <v>4</v>
      </c>
      <c r="AT827">
        <v>0</v>
      </c>
      <c r="AU827">
        <v>1</v>
      </c>
      <c r="AV827">
        <v>73</v>
      </c>
      <c r="AW827">
        <v>76</v>
      </c>
      <c r="AX827">
        <v>278</v>
      </c>
      <c r="AY827">
        <v>0</v>
      </c>
      <c r="AZ827" t="b">
        <v>1</v>
      </c>
      <c r="BA827">
        <v>1816</v>
      </c>
      <c r="BB827">
        <v>1473</v>
      </c>
      <c r="BC827">
        <v>6</v>
      </c>
      <c r="BD827" t="s">
        <v>7985</v>
      </c>
      <c r="BE827" s="1" t="s">
        <v>3594</v>
      </c>
      <c r="BF827">
        <v>0</v>
      </c>
      <c r="BG827">
        <v>71</v>
      </c>
      <c r="BH827">
        <v>0</v>
      </c>
      <c r="BI827" s="1" t="s">
        <v>204</v>
      </c>
      <c r="BJ827">
        <v>6.8</v>
      </c>
      <c r="BK827" s="1" t="s">
        <v>160</v>
      </c>
      <c r="BL827" s="1" t="s">
        <v>229</v>
      </c>
      <c r="BM827">
        <v>4</v>
      </c>
      <c r="BN827">
        <v>4</v>
      </c>
      <c r="BO827">
        <v>1</v>
      </c>
      <c r="BP827" s="1" t="s">
        <v>170</v>
      </c>
      <c r="BQ827">
        <v>0</v>
      </c>
      <c r="BR827">
        <v>0</v>
      </c>
      <c r="BS827" s="1" t="s">
        <v>161</v>
      </c>
      <c r="BT827">
        <v>0.8</v>
      </c>
      <c r="BU827" s="1" t="s">
        <v>128</v>
      </c>
      <c r="BV827" s="1" t="s">
        <v>128</v>
      </c>
      <c r="BW827">
        <v>0</v>
      </c>
      <c r="BX827">
        <v>0</v>
      </c>
      <c r="BY827">
        <v>0</v>
      </c>
      <c r="BZ827" s="1" t="s">
        <v>213</v>
      </c>
      <c r="CA827">
        <v>0.04</v>
      </c>
      <c r="CB827">
        <v>0.04</v>
      </c>
      <c r="CC827">
        <v>0.15</v>
      </c>
      <c r="CD827">
        <v>0.15</v>
      </c>
      <c r="CE827">
        <v>0.13</v>
      </c>
      <c r="CF827">
        <v>0.13</v>
      </c>
      <c r="CG827" s="1" t="s">
        <v>160</v>
      </c>
      <c r="CH827" s="1" t="s">
        <v>436</v>
      </c>
      <c r="CI827" s="1" t="s">
        <v>128</v>
      </c>
      <c r="CJ827" s="1" t="s">
        <v>298</v>
      </c>
      <c r="CK827" s="1" t="s">
        <v>128</v>
      </c>
      <c r="CL827" s="1" t="s">
        <v>304</v>
      </c>
      <c r="CM827" s="1" t="s">
        <v>268</v>
      </c>
      <c r="CN827" s="1" t="s">
        <v>3208</v>
      </c>
      <c r="CO827" s="1" t="s">
        <v>1615</v>
      </c>
      <c r="CP827" s="1" t="s">
        <v>241</v>
      </c>
      <c r="CQ827">
        <v>170</v>
      </c>
      <c r="CR827" s="1" t="s">
        <v>8052</v>
      </c>
      <c r="CS827" s="1" t="s">
        <v>3479</v>
      </c>
      <c r="CT827" s="1" t="s">
        <v>8053</v>
      </c>
      <c r="CU827" s="1" t="s">
        <v>3934</v>
      </c>
      <c r="CV827" s="1" t="s">
        <v>1342</v>
      </c>
      <c r="CW827">
        <v>53.05</v>
      </c>
      <c r="CX827">
        <v>55.9</v>
      </c>
      <c r="CY827">
        <v>58</v>
      </c>
      <c r="CZ827" s="1" t="s">
        <v>681</v>
      </c>
      <c r="DA827">
        <v>1</v>
      </c>
      <c r="DB827" t="s">
        <v>778</v>
      </c>
      <c r="DC827">
        <v>69</v>
      </c>
      <c r="DD827" s="1" t="s">
        <v>8054</v>
      </c>
      <c r="DE827" s="1" t="s">
        <v>8055</v>
      </c>
      <c r="DF827" t="str">
        <f>_xlfn.XLOOKUP(Table1[[#This Row],[Player ID]],Table2[feed_id],Table2[trade_status])</f>
        <v>free_agent</v>
      </c>
      <c r="DG827">
        <f>_xlfn.NUMBERVALUE(Table1[[#This Row],[predicted]])</f>
        <v>66.603952681787604</v>
      </c>
    </row>
    <row r="828" spans="1:111" hidden="1" x14ac:dyDescent="0.25">
      <c r="A828">
        <v>132715</v>
      </c>
      <c r="B828">
        <v>9241</v>
      </c>
      <c r="C828" t="s">
        <v>7418</v>
      </c>
      <c r="D828" t="s">
        <v>3116</v>
      </c>
      <c r="E828">
        <v>2025</v>
      </c>
      <c r="F828">
        <v>1004592</v>
      </c>
      <c r="G828" t="s">
        <v>1918</v>
      </c>
      <c r="H828" t="s">
        <v>7419</v>
      </c>
      <c r="I828" t="s">
        <v>712</v>
      </c>
      <c r="J828">
        <v>25</v>
      </c>
      <c r="K828">
        <v>98</v>
      </c>
      <c r="L828">
        <v>112</v>
      </c>
      <c r="M828">
        <v>115</v>
      </c>
      <c r="N828">
        <v>87</v>
      </c>
      <c r="O828">
        <v>104</v>
      </c>
      <c r="P828">
        <v>11</v>
      </c>
      <c r="Q828">
        <v>7</v>
      </c>
      <c r="R828">
        <v>6</v>
      </c>
      <c r="S828">
        <v>0</v>
      </c>
      <c r="T828">
        <v>32</v>
      </c>
      <c r="U828">
        <v>1</v>
      </c>
      <c r="V828">
        <v>0</v>
      </c>
      <c r="W828">
        <v>0</v>
      </c>
      <c r="X828">
        <v>0</v>
      </c>
      <c r="Y828" t="s">
        <v>113</v>
      </c>
      <c r="Z828" t="s">
        <v>602</v>
      </c>
      <c r="AA828" t="s">
        <v>6826</v>
      </c>
      <c r="AH828" t="s">
        <v>274</v>
      </c>
      <c r="AI828">
        <v>44</v>
      </c>
      <c r="AJ828">
        <v>0</v>
      </c>
      <c r="AK828">
        <v>0</v>
      </c>
      <c r="AL828">
        <v>0</v>
      </c>
      <c r="AM828">
        <v>11.65</v>
      </c>
      <c r="AN828">
        <v>9.2100000000000009</v>
      </c>
      <c r="AO828">
        <v>14.71</v>
      </c>
      <c r="AS828">
        <v>10</v>
      </c>
      <c r="AT828">
        <v>2</v>
      </c>
      <c r="AU828">
        <v>2</v>
      </c>
      <c r="AV828">
        <v>66</v>
      </c>
      <c r="AW828">
        <v>87</v>
      </c>
      <c r="AX828">
        <v>267</v>
      </c>
      <c r="AY828">
        <v>0</v>
      </c>
      <c r="AZ828" t="b">
        <v>0</v>
      </c>
      <c r="BA828">
        <v>1780</v>
      </c>
      <c r="BB828">
        <v>1518</v>
      </c>
      <c r="BC828">
        <v>6</v>
      </c>
      <c r="BD828" t="s">
        <v>7420</v>
      </c>
      <c r="BE828" s="1" t="s">
        <v>3594</v>
      </c>
      <c r="BF828">
        <v>1</v>
      </c>
      <c r="BG828">
        <v>71</v>
      </c>
      <c r="BH828">
        <v>1</v>
      </c>
      <c r="BI828">
        <v>11</v>
      </c>
      <c r="BJ828" s="1" t="s">
        <v>674</v>
      </c>
      <c r="BK828" s="1" t="s">
        <v>204</v>
      </c>
      <c r="BL828" s="1" t="s">
        <v>624</v>
      </c>
      <c r="BM828">
        <v>5</v>
      </c>
      <c r="BN828">
        <v>5.8</v>
      </c>
      <c r="BO828">
        <v>2</v>
      </c>
      <c r="BP828" s="1" t="s">
        <v>189</v>
      </c>
      <c r="BQ828" s="1" t="s">
        <v>536</v>
      </c>
      <c r="BR828">
        <v>27.6</v>
      </c>
      <c r="BS828" s="1" t="s">
        <v>161</v>
      </c>
      <c r="BT828" s="1" t="s">
        <v>298</v>
      </c>
      <c r="BU828">
        <v>1</v>
      </c>
      <c r="BV828">
        <v>1</v>
      </c>
      <c r="BW828">
        <v>0</v>
      </c>
      <c r="BX828" s="1" t="s">
        <v>231</v>
      </c>
      <c r="BY828" s="1" t="s">
        <v>129</v>
      </c>
      <c r="BZ828" s="1" t="s">
        <v>129</v>
      </c>
      <c r="CA828">
        <v>11.65</v>
      </c>
      <c r="CB828">
        <v>11.65</v>
      </c>
      <c r="CC828">
        <v>9.2100000000000009</v>
      </c>
      <c r="CD828">
        <v>9.2100000000000009</v>
      </c>
      <c r="CE828">
        <v>14.71</v>
      </c>
      <c r="CF828">
        <v>14.71</v>
      </c>
      <c r="CG828">
        <v>9</v>
      </c>
      <c r="CH828">
        <v>7</v>
      </c>
      <c r="CI828" s="1" t="s">
        <v>138</v>
      </c>
      <c r="CJ828" s="1" t="s">
        <v>169</v>
      </c>
      <c r="CK828" s="1" t="s">
        <v>169</v>
      </c>
      <c r="CL828">
        <v>2.8</v>
      </c>
      <c r="CM828" s="1" t="s">
        <v>1291</v>
      </c>
      <c r="CN828">
        <v>67.599999999999994</v>
      </c>
      <c r="CO828" s="1" t="s">
        <v>1110</v>
      </c>
      <c r="CP828">
        <v>82.6</v>
      </c>
      <c r="CQ828" s="1" t="s">
        <v>7421</v>
      </c>
      <c r="CR828">
        <v>212.2</v>
      </c>
      <c r="CS828" s="1" t="s">
        <v>664</v>
      </c>
      <c r="CT828">
        <v>1639</v>
      </c>
      <c r="CU828" s="1" t="s">
        <v>3948</v>
      </c>
      <c r="CV828" s="1" t="s">
        <v>3683</v>
      </c>
      <c r="CW828">
        <v>99.75</v>
      </c>
      <c r="CX828">
        <v>93.1</v>
      </c>
      <c r="CY828">
        <v>94.2</v>
      </c>
      <c r="CZ828">
        <v>100</v>
      </c>
      <c r="DA828">
        <v>1</v>
      </c>
      <c r="DB828" t="s">
        <v>602</v>
      </c>
      <c r="DC828">
        <v>112</v>
      </c>
      <c r="DD828" s="1" t="s">
        <v>7422</v>
      </c>
      <c r="DE828" s="1" t="s">
        <v>7423</v>
      </c>
      <c r="DF828" t="e">
        <f>_xlfn.XLOOKUP(Table1[[#This Row],[Player ID]],Table2[feed_id],Table2[trade_status])</f>
        <v>#N/A</v>
      </c>
      <c r="DG828">
        <f>_xlfn.NUMBERVALUE(Table1[[#This Row],[predicted]])</f>
        <v>104.579097168309</v>
      </c>
    </row>
    <row r="829" spans="1:111" hidden="1" x14ac:dyDescent="0.25">
      <c r="A829">
        <v>132716</v>
      </c>
      <c r="B829">
        <v>9241</v>
      </c>
      <c r="C829" t="s">
        <v>7418</v>
      </c>
      <c r="D829" t="s">
        <v>3116</v>
      </c>
      <c r="E829">
        <v>2025</v>
      </c>
      <c r="F829">
        <v>1008280</v>
      </c>
      <c r="G829" t="s">
        <v>4834</v>
      </c>
      <c r="H829" t="s">
        <v>655</v>
      </c>
      <c r="I829" t="s">
        <v>712</v>
      </c>
      <c r="J829">
        <v>14</v>
      </c>
      <c r="K829">
        <v>92</v>
      </c>
      <c r="L829">
        <v>113</v>
      </c>
      <c r="M829">
        <v>117</v>
      </c>
      <c r="N829">
        <v>72</v>
      </c>
      <c r="O829">
        <v>105</v>
      </c>
      <c r="P829">
        <v>16</v>
      </c>
      <c r="Q829">
        <v>13</v>
      </c>
      <c r="R829">
        <v>3</v>
      </c>
      <c r="S829">
        <v>3</v>
      </c>
      <c r="T829">
        <v>0</v>
      </c>
      <c r="U829">
        <v>0</v>
      </c>
      <c r="V829">
        <v>1</v>
      </c>
      <c r="W829">
        <v>0</v>
      </c>
      <c r="X829">
        <v>0</v>
      </c>
      <c r="Y829" t="s">
        <v>113</v>
      </c>
      <c r="Z829" t="s">
        <v>877</v>
      </c>
      <c r="AA829" t="s">
        <v>7424</v>
      </c>
      <c r="AH829" t="s">
        <v>181</v>
      </c>
      <c r="AI829">
        <v>20</v>
      </c>
      <c r="AJ829">
        <v>0</v>
      </c>
      <c r="AK829">
        <v>0</v>
      </c>
      <c r="AL829">
        <v>0</v>
      </c>
      <c r="AM829">
        <v>0.4</v>
      </c>
      <c r="AN829">
        <v>0.45</v>
      </c>
      <c r="AO829">
        <v>0.45</v>
      </c>
      <c r="AS829">
        <v>14</v>
      </c>
      <c r="AT829">
        <v>8</v>
      </c>
      <c r="AU829">
        <v>2</v>
      </c>
      <c r="AV829">
        <v>72</v>
      </c>
      <c r="AW829">
        <v>82</v>
      </c>
      <c r="AX829">
        <v>525</v>
      </c>
      <c r="AY829">
        <v>0</v>
      </c>
      <c r="AZ829" t="b">
        <v>0</v>
      </c>
      <c r="BA829">
        <v>1780</v>
      </c>
      <c r="BB829">
        <v>1518</v>
      </c>
      <c r="BC829">
        <v>6</v>
      </c>
      <c r="BD829" t="s">
        <v>7420</v>
      </c>
      <c r="BE829" s="1" t="s">
        <v>3594</v>
      </c>
      <c r="BF829">
        <v>1</v>
      </c>
      <c r="BG829">
        <v>71</v>
      </c>
      <c r="BH829">
        <v>1</v>
      </c>
      <c r="BI829">
        <v>13</v>
      </c>
      <c r="BJ829">
        <v>13.4</v>
      </c>
      <c r="BK829" s="1" t="s">
        <v>356</v>
      </c>
      <c r="BL829" s="1" t="s">
        <v>1587</v>
      </c>
      <c r="BM829" s="1" t="s">
        <v>125</v>
      </c>
      <c r="BN829" s="1" t="s">
        <v>990</v>
      </c>
      <c r="BO829">
        <v>4</v>
      </c>
      <c r="BP829">
        <v>4</v>
      </c>
      <c r="BQ829">
        <v>0</v>
      </c>
      <c r="BR829">
        <v>0</v>
      </c>
      <c r="BS829" s="1" t="s">
        <v>129</v>
      </c>
      <c r="BT829">
        <v>0.6</v>
      </c>
      <c r="BU829" s="1" t="s">
        <v>129</v>
      </c>
      <c r="BV829" s="1" t="s">
        <v>127</v>
      </c>
      <c r="BW829">
        <v>0</v>
      </c>
      <c r="BX829" s="1" t="s">
        <v>128</v>
      </c>
      <c r="BY829">
        <v>0</v>
      </c>
      <c r="BZ829">
        <v>0.6</v>
      </c>
      <c r="CA829">
        <v>0.4</v>
      </c>
      <c r="CB829">
        <v>0.4</v>
      </c>
      <c r="CC829">
        <v>0.45</v>
      </c>
      <c r="CD829">
        <v>0.45</v>
      </c>
      <c r="CE829">
        <v>0.45</v>
      </c>
      <c r="CF829">
        <v>0.45</v>
      </c>
      <c r="CG829" s="1" t="s">
        <v>1829</v>
      </c>
      <c r="CH829" s="1" t="s">
        <v>157</v>
      </c>
      <c r="CI829">
        <v>5</v>
      </c>
      <c r="CJ829" s="1" t="s">
        <v>205</v>
      </c>
      <c r="CK829" s="1" t="s">
        <v>125</v>
      </c>
      <c r="CL829">
        <v>3.4</v>
      </c>
      <c r="CM829" s="1" t="s">
        <v>1242</v>
      </c>
      <c r="CN829" s="1" t="s">
        <v>7075</v>
      </c>
      <c r="CO829" s="1" t="s">
        <v>406</v>
      </c>
      <c r="CP829">
        <v>82</v>
      </c>
      <c r="CQ829" s="1" t="s">
        <v>7425</v>
      </c>
      <c r="CR829">
        <v>449.6</v>
      </c>
      <c r="CS829" s="1" t="s">
        <v>664</v>
      </c>
      <c r="CT829" s="1" t="s">
        <v>6909</v>
      </c>
      <c r="CU829" s="1" t="s">
        <v>3948</v>
      </c>
      <c r="CV829">
        <v>1647</v>
      </c>
      <c r="CW829">
        <v>102.95</v>
      </c>
      <c r="CX829">
        <v>95.8</v>
      </c>
      <c r="CY829">
        <v>102</v>
      </c>
      <c r="CZ829" s="1" t="s">
        <v>1619</v>
      </c>
      <c r="DA829">
        <v>1</v>
      </c>
      <c r="DB829" t="s">
        <v>877</v>
      </c>
      <c r="DC829">
        <v>113</v>
      </c>
      <c r="DD829" s="1" t="s">
        <v>7426</v>
      </c>
      <c r="DE829" s="1" t="s">
        <v>7427</v>
      </c>
      <c r="DF829" t="e">
        <f>_xlfn.XLOOKUP(Table1[[#This Row],[Player ID]],Table2[feed_id],Table2[trade_status])</f>
        <v>#N/A</v>
      </c>
      <c r="DG829">
        <f>_xlfn.NUMBERVALUE(Table1[[#This Row],[predicted]])</f>
        <v>83.964314846376993</v>
      </c>
    </row>
    <row r="830" spans="1:111" hidden="1" x14ac:dyDescent="0.25">
      <c r="A830">
        <v>132717</v>
      </c>
      <c r="B830">
        <v>9241</v>
      </c>
      <c r="C830" t="s">
        <v>7418</v>
      </c>
      <c r="D830" t="s">
        <v>3116</v>
      </c>
      <c r="E830">
        <v>2025</v>
      </c>
      <c r="F830">
        <v>1001398</v>
      </c>
      <c r="G830" t="s">
        <v>1002</v>
      </c>
      <c r="H830" t="s">
        <v>671</v>
      </c>
      <c r="I830" t="s">
        <v>712</v>
      </c>
      <c r="J830">
        <v>25</v>
      </c>
      <c r="K830">
        <v>89</v>
      </c>
      <c r="L830">
        <v>62</v>
      </c>
      <c r="M830">
        <v>117</v>
      </c>
      <c r="N830">
        <v>71</v>
      </c>
      <c r="O830">
        <v>105</v>
      </c>
      <c r="P830">
        <v>18</v>
      </c>
      <c r="Q830">
        <v>9</v>
      </c>
      <c r="R830">
        <v>2</v>
      </c>
      <c r="S830">
        <v>4</v>
      </c>
      <c r="T830">
        <v>0</v>
      </c>
      <c r="U830">
        <v>1</v>
      </c>
      <c r="V830">
        <v>4</v>
      </c>
      <c r="W830">
        <v>1</v>
      </c>
      <c r="X830">
        <v>0</v>
      </c>
      <c r="Y830" t="s">
        <v>113</v>
      </c>
      <c r="Z830" t="s">
        <v>7428</v>
      </c>
      <c r="AA830" t="s">
        <v>7429</v>
      </c>
      <c r="AE830">
        <v>0</v>
      </c>
      <c r="AH830" t="s">
        <v>118</v>
      </c>
      <c r="AI830">
        <v>8</v>
      </c>
      <c r="AJ830">
        <v>12</v>
      </c>
      <c r="AK830">
        <v>64.42</v>
      </c>
      <c r="AL830">
        <v>0</v>
      </c>
      <c r="AM830">
        <v>0</v>
      </c>
      <c r="AN830">
        <v>0.1</v>
      </c>
      <c r="AO830">
        <v>0.2</v>
      </c>
      <c r="AS830">
        <v>10</v>
      </c>
      <c r="AT830">
        <v>6</v>
      </c>
      <c r="AU830">
        <v>12</v>
      </c>
      <c r="AV830">
        <v>44</v>
      </c>
      <c r="AW830">
        <v>79</v>
      </c>
      <c r="AX830">
        <v>513</v>
      </c>
      <c r="AY830">
        <v>0</v>
      </c>
      <c r="AZ830" t="b">
        <v>0</v>
      </c>
      <c r="BA830">
        <v>1780</v>
      </c>
      <c r="BB830">
        <v>1518</v>
      </c>
      <c r="BC830">
        <v>6</v>
      </c>
      <c r="BD830" t="s">
        <v>7420</v>
      </c>
      <c r="BE830" s="1" t="s">
        <v>3594</v>
      </c>
      <c r="BF830">
        <v>0</v>
      </c>
      <c r="BG830">
        <v>71</v>
      </c>
      <c r="BH830">
        <v>0</v>
      </c>
      <c r="BI830">
        <v>16</v>
      </c>
      <c r="BJ830">
        <v>11.4</v>
      </c>
      <c r="BK830">
        <v>9</v>
      </c>
      <c r="BL830" s="1" t="s">
        <v>254</v>
      </c>
      <c r="BM830">
        <v>3</v>
      </c>
      <c r="BN830">
        <v>4.5999999999999996</v>
      </c>
      <c r="BO830">
        <v>4</v>
      </c>
      <c r="BP830" s="1" t="s">
        <v>321</v>
      </c>
      <c r="BQ830">
        <v>0</v>
      </c>
      <c r="BR830" s="1" t="s">
        <v>184</v>
      </c>
      <c r="BS830" s="1" t="s">
        <v>128</v>
      </c>
      <c r="BT830" s="1" t="s">
        <v>130</v>
      </c>
      <c r="BU830" s="1" t="s">
        <v>161</v>
      </c>
      <c r="BV830" s="1" t="s">
        <v>127</v>
      </c>
      <c r="BW830">
        <v>1</v>
      </c>
      <c r="BX830" s="1" t="s">
        <v>128</v>
      </c>
      <c r="BY830">
        <v>0</v>
      </c>
      <c r="BZ830" s="1" t="s">
        <v>238</v>
      </c>
      <c r="CA830">
        <v>0</v>
      </c>
      <c r="CB830">
        <v>0</v>
      </c>
      <c r="CC830">
        <v>0.1</v>
      </c>
      <c r="CD830">
        <v>0.1</v>
      </c>
      <c r="CE830">
        <v>0.2</v>
      </c>
      <c r="CF830">
        <v>0.2</v>
      </c>
      <c r="CG830" s="1" t="s">
        <v>356</v>
      </c>
      <c r="CH830" s="1" t="s">
        <v>168</v>
      </c>
      <c r="CI830">
        <v>8</v>
      </c>
      <c r="CJ830" s="1" t="s">
        <v>138</v>
      </c>
      <c r="CK830" s="1" t="s">
        <v>204</v>
      </c>
      <c r="CL830" s="1" t="s">
        <v>766</v>
      </c>
      <c r="CM830" s="1" t="s">
        <v>1316</v>
      </c>
      <c r="CN830" s="1" t="s">
        <v>141</v>
      </c>
      <c r="CO830">
        <v>79</v>
      </c>
      <c r="CP830" s="1" t="s">
        <v>3309</v>
      </c>
      <c r="CQ830" s="1" t="s">
        <v>4971</v>
      </c>
      <c r="CR830" s="1" t="s">
        <v>7430</v>
      </c>
      <c r="CS830" s="1" t="s">
        <v>664</v>
      </c>
      <c r="CT830" s="1" t="s">
        <v>3259</v>
      </c>
      <c r="CU830" s="1" t="s">
        <v>3948</v>
      </c>
      <c r="CV830" s="1" t="s">
        <v>7431</v>
      </c>
      <c r="CW830">
        <v>79.25</v>
      </c>
      <c r="CX830">
        <v>85</v>
      </c>
      <c r="CY830">
        <v>91.8</v>
      </c>
      <c r="CZ830" s="1" t="s">
        <v>941</v>
      </c>
      <c r="DA830">
        <v>1</v>
      </c>
      <c r="DB830" t="s">
        <v>7428</v>
      </c>
      <c r="DC830">
        <v>62</v>
      </c>
      <c r="DD830" s="1" t="s">
        <v>7432</v>
      </c>
      <c r="DE830">
        <v>-6.3182323458551002</v>
      </c>
      <c r="DF830" t="e">
        <f>_xlfn.XLOOKUP(Table1[[#This Row],[Player ID]],Table2[feed_id],Table2[trade_status])</f>
        <v>#N/A</v>
      </c>
      <c r="DG830">
        <f>_xlfn.NUMBERVALUE(Table1[[#This Row],[predicted]])</f>
        <v>68.318232345855094</v>
      </c>
    </row>
    <row r="831" spans="1:111" x14ac:dyDescent="0.25">
      <c r="A831">
        <v>132767</v>
      </c>
      <c r="B831">
        <v>9242</v>
      </c>
      <c r="C831" t="s">
        <v>7597</v>
      </c>
      <c r="D831" t="s">
        <v>3116</v>
      </c>
      <c r="E831">
        <v>2025</v>
      </c>
      <c r="F831">
        <v>1009378</v>
      </c>
      <c r="G831" t="s">
        <v>4157</v>
      </c>
      <c r="H831" t="s">
        <v>7638</v>
      </c>
      <c r="I831" t="s">
        <v>291</v>
      </c>
      <c r="J831">
        <v>9</v>
      </c>
      <c r="K831">
        <v>81</v>
      </c>
      <c r="L831">
        <v>77</v>
      </c>
      <c r="M831">
        <v>105</v>
      </c>
      <c r="N831">
        <v>60</v>
      </c>
      <c r="O831">
        <v>85</v>
      </c>
      <c r="P831">
        <v>15</v>
      </c>
      <c r="Q831">
        <v>7</v>
      </c>
      <c r="R831">
        <v>3</v>
      </c>
      <c r="S831">
        <v>3</v>
      </c>
      <c r="T831">
        <v>0</v>
      </c>
      <c r="U831">
        <v>0</v>
      </c>
      <c r="V831">
        <v>0</v>
      </c>
      <c r="W831">
        <v>0</v>
      </c>
      <c r="X831">
        <v>1</v>
      </c>
      <c r="Y831" t="s">
        <v>113</v>
      </c>
      <c r="Z831" t="s">
        <v>877</v>
      </c>
      <c r="AA831" t="s">
        <v>7639</v>
      </c>
      <c r="AH831" t="s">
        <v>181</v>
      </c>
      <c r="AI831">
        <v>24</v>
      </c>
      <c r="AJ831">
        <v>0</v>
      </c>
      <c r="AK831">
        <v>0</v>
      </c>
      <c r="AL831">
        <v>0</v>
      </c>
      <c r="AM831">
        <v>0.97</v>
      </c>
      <c r="AN831">
        <v>1</v>
      </c>
      <c r="AO831">
        <v>1.02</v>
      </c>
      <c r="AS831">
        <v>5</v>
      </c>
      <c r="AT831">
        <v>4</v>
      </c>
      <c r="AU831">
        <v>1</v>
      </c>
      <c r="AV831">
        <v>77</v>
      </c>
      <c r="AW831">
        <v>76</v>
      </c>
      <c r="AX831">
        <v>425</v>
      </c>
      <c r="AY831">
        <v>0</v>
      </c>
      <c r="AZ831" t="b">
        <v>0</v>
      </c>
      <c r="BA831">
        <v>1764</v>
      </c>
      <c r="BB831">
        <v>1522</v>
      </c>
      <c r="BC831">
        <v>6</v>
      </c>
      <c r="BD831" t="s">
        <v>7599</v>
      </c>
      <c r="BE831" s="1" t="s">
        <v>3594</v>
      </c>
      <c r="BF831">
        <v>0</v>
      </c>
      <c r="BG831">
        <v>71</v>
      </c>
      <c r="BH831">
        <v>1</v>
      </c>
      <c r="BI831">
        <v>11</v>
      </c>
      <c r="BJ831" s="1" t="s">
        <v>395</v>
      </c>
      <c r="BK831">
        <v>8</v>
      </c>
      <c r="BL831">
        <v>9.4</v>
      </c>
      <c r="BM831" s="1" t="s">
        <v>160</v>
      </c>
      <c r="BN831" s="1" t="s">
        <v>229</v>
      </c>
      <c r="BO831" s="1" t="s">
        <v>161</v>
      </c>
      <c r="BP831" s="1" t="s">
        <v>140</v>
      </c>
      <c r="BQ831">
        <v>0</v>
      </c>
      <c r="BR831">
        <v>0</v>
      </c>
      <c r="BS831" s="1" t="s">
        <v>128</v>
      </c>
      <c r="BT831" s="1" t="s">
        <v>128</v>
      </c>
      <c r="BU831">
        <v>1</v>
      </c>
      <c r="BV831">
        <v>0.8</v>
      </c>
      <c r="BW831">
        <v>0</v>
      </c>
      <c r="BX831" s="1" t="s">
        <v>213</v>
      </c>
      <c r="BY831" s="1" t="s">
        <v>129</v>
      </c>
      <c r="BZ831" s="1" t="s">
        <v>213</v>
      </c>
      <c r="CA831">
        <v>0.97</v>
      </c>
      <c r="CB831">
        <v>0.97</v>
      </c>
      <c r="CC831">
        <v>1</v>
      </c>
      <c r="CD831">
        <v>1</v>
      </c>
      <c r="CE831">
        <v>1.02</v>
      </c>
      <c r="CF831">
        <v>1.02</v>
      </c>
      <c r="CG831">
        <v>5</v>
      </c>
      <c r="CH831" s="1" t="s">
        <v>358</v>
      </c>
      <c r="CI831" s="1" t="s">
        <v>161</v>
      </c>
      <c r="CJ831">
        <v>3.4</v>
      </c>
      <c r="CK831">
        <v>2</v>
      </c>
      <c r="CL831" s="1" t="s">
        <v>138</v>
      </c>
      <c r="CM831">
        <v>81</v>
      </c>
      <c r="CN831">
        <v>69.8</v>
      </c>
      <c r="CO831">
        <v>80</v>
      </c>
      <c r="CP831">
        <v>75.599999999999994</v>
      </c>
      <c r="CQ831">
        <v>372</v>
      </c>
      <c r="CR831" s="1" t="s">
        <v>7640</v>
      </c>
      <c r="CS831" s="1" t="s">
        <v>2460</v>
      </c>
      <c r="CT831" s="1" t="s">
        <v>805</v>
      </c>
      <c r="CU831" s="1" t="s">
        <v>7601</v>
      </c>
      <c r="CV831" s="1" t="s">
        <v>2071</v>
      </c>
      <c r="CW831">
        <v>83.9</v>
      </c>
      <c r="CX831">
        <v>73.8</v>
      </c>
      <c r="CY831">
        <v>67.400000000000006</v>
      </c>
      <c r="CZ831" s="1" t="s">
        <v>1406</v>
      </c>
      <c r="DA831">
        <v>1</v>
      </c>
      <c r="DB831" t="s">
        <v>877</v>
      </c>
      <c r="DC831">
        <v>77</v>
      </c>
      <c r="DD831" s="1" t="s">
        <v>7641</v>
      </c>
      <c r="DE831" s="1" t="s">
        <v>7642</v>
      </c>
      <c r="DF831" t="str">
        <f>_xlfn.XLOOKUP(Table1[[#This Row],[Player ID]],Table2[feed_id],Table2[trade_status])</f>
        <v>free_agent</v>
      </c>
      <c r="DG831">
        <f>_xlfn.NUMBERVALUE(Table1[[#This Row],[predicted]])</f>
        <v>66.577038743341902</v>
      </c>
    </row>
    <row r="832" spans="1:111" x14ac:dyDescent="0.25">
      <c r="A832">
        <v>132588</v>
      </c>
      <c r="B832">
        <v>9238</v>
      </c>
      <c r="C832" t="s">
        <v>6865</v>
      </c>
      <c r="D832" t="s">
        <v>3116</v>
      </c>
      <c r="E832">
        <v>2025</v>
      </c>
      <c r="F832">
        <v>293801</v>
      </c>
      <c r="G832" t="s">
        <v>3229</v>
      </c>
      <c r="H832" t="s">
        <v>5624</v>
      </c>
      <c r="I832" t="s">
        <v>112</v>
      </c>
      <c r="J832">
        <v>16</v>
      </c>
      <c r="K832">
        <v>71</v>
      </c>
      <c r="L832">
        <v>72</v>
      </c>
      <c r="M832">
        <v>88</v>
      </c>
      <c r="N832">
        <v>59</v>
      </c>
      <c r="O832">
        <v>71</v>
      </c>
      <c r="P832">
        <v>10</v>
      </c>
      <c r="Q832">
        <v>1</v>
      </c>
      <c r="R832">
        <v>5</v>
      </c>
      <c r="S832">
        <v>1</v>
      </c>
      <c r="T832">
        <v>0</v>
      </c>
      <c r="U832">
        <v>0</v>
      </c>
      <c r="V832">
        <v>0</v>
      </c>
      <c r="W832">
        <v>3</v>
      </c>
      <c r="X832">
        <v>2</v>
      </c>
      <c r="Y832" t="s">
        <v>113</v>
      </c>
      <c r="Z832" t="s">
        <v>861</v>
      </c>
      <c r="AA832" t="s">
        <v>6907</v>
      </c>
      <c r="AB832" t="s">
        <v>116</v>
      </c>
      <c r="AC832" t="s">
        <v>2670</v>
      </c>
      <c r="AE832">
        <v>0</v>
      </c>
      <c r="AH832" t="s">
        <v>155</v>
      </c>
      <c r="AI832">
        <v>5</v>
      </c>
      <c r="AJ832">
        <v>0</v>
      </c>
      <c r="AK832">
        <v>0</v>
      </c>
      <c r="AL832">
        <v>0</v>
      </c>
      <c r="AM832">
        <v>0</v>
      </c>
      <c r="AN832">
        <v>0.26</v>
      </c>
      <c r="AO832">
        <v>0.75</v>
      </c>
      <c r="AS832">
        <v>2</v>
      </c>
      <c r="AT832">
        <v>0</v>
      </c>
      <c r="AU832">
        <v>1</v>
      </c>
      <c r="AV832">
        <v>72</v>
      </c>
      <c r="AW832">
        <v>70</v>
      </c>
      <c r="AX832">
        <v>320</v>
      </c>
      <c r="AY832">
        <v>1</v>
      </c>
      <c r="AZ832" t="b">
        <v>1</v>
      </c>
      <c r="BA832">
        <v>1546</v>
      </c>
      <c r="BB832">
        <v>1741</v>
      </c>
      <c r="BC832">
        <v>6</v>
      </c>
      <c r="BD832" t="s">
        <v>6869</v>
      </c>
      <c r="BE832" s="1" t="s">
        <v>3594</v>
      </c>
      <c r="BF832">
        <v>0</v>
      </c>
      <c r="BG832">
        <v>71</v>
      </c>
      <c r="BH832">
        <v>1</v>
      </c>
      <c r="BI832" s="1" t="s">
        <v>204</v>
      </c>
      <c r="BJ832" s="1" t="s">
        <v>358</v>
      </c>
      <c r="BK832" s="1" t="s">
        <v>160</v>
      </c>
      <c r="BL832" s="1" t="s">
        <v>499</v>
      </c>
      <c r="BM832" s="1" t="s">
        <v>125</v>
      </c>
      <c r="BN832" s="1" t="s">
        <v>189</v>
      </c>
      <c r="BO832" s="1" t="s">
        <v>125</v>
      </c>
      <c r="BP832" s="1" t="s">
        <v>169</v>
      </c>
      <c r="BQ832">
        <v>0</v>
      </c>
      <c r="BR832">
        <v>0</v>
      </c>
      <c r="BS832" s="1" t="s">
        <v>129</v>
      </c>
      <c r="BT832">
        <v>0.6</v>
      </c>
      <c r="BU832">
        <v>1</v>
      </c>
      <c r="BV832">
        <v>0.8</v>
      </c>
      <c r="BW832" s="1" t="s">
        <v>126</v>
      </c>
      <c r="BX832" s="1" t="s">
        <v>257</v>
      </c>
      <c r="BY832" s="1" t="s">
        <v>161</v>
      </c>
      <c r="BZ832">
        <v>1.2</v>
      </c>
      <c r="CA832">
        <v>0</v>
      </c>
      <c r="CB832">
        <v>0</v>
      </c>
      <c r="CC832">
        <v>0.26</v>
      </c>
      <c r="CD832">
        <v>0.26</v>
      </c>
      <c r="CE832">
        <v>0.75</v>
      </c>
      <c r="CF832">
        <v>0.75</v>
      </c>
      <c r="CG832" s="1" t="s">
        <v>160</v>
      </c>
      <c r="CH832" s="1" t="s">
        <v>211</v>
      </c>
      <c r="CI832" s="1" t="s">
        <v>128</v>
      </c>
      <c r="CJ832">
        <v>0.4</v>
      </c>
      <c r="CK832" s="1" t="s">
        <v>159</v>
      </c>
      <c r="CL832" s="1" t="s">
        <v>140</v>
      </c>
      <c r="CM832" s="1" t="s">
        <v>883</v>
      </c>
      <c r="CN832" s="1" t="s">
        <v>6353</v>
      </c>
      <c r="CO832" s="1" t="s">
        <v>142</v>
      </c>
      <c r="CP832" s="1" t="s">
        <v>2696</v>
      </c>
      <c r="CQ832">
        <v>168</v>
      </c>
      <c r="CR832" s="1" t="s">
        <v>6908</v>
      </c>
      <c r="CS832">
        <v>1729</v>
      </c>
      <c r="CT832" s="1" t="s">
        <v>6909</v>
      </c>
      <c r="CU832" s="1" t="s">
        <v>5214</v>
      </c>
      <c r="CV832">
        <v>1638.6</v>
      </c>
      <c r="CW832">
        <v>65.5</v>
      </c>
      <c r="CX832">
        <v>69.400000000000006</v>
      </c>
      <c r="CY832">
        <v>71.400000000000006</v>
      </c>
      <c r="CZ832">
        <v>72</v>
      </c>
      <c r="DA832">
        <v>1</v>
      </c>
      <c r="DB832" t="s">
        <v>861</v>
      </c>
      <c r="DC832">
        <v>72</v>
      </c>
      <c r="DD832">
        <v>66.514314951520703</v>
      </c>
      <c r="DE832" s="1" t="s">
        <v>6910</v>
      </c>
      <c r="DF832" t="str">
        <f>_xlfn.XLOOKUP(Table1[[#This Row],[Player ID]],Table2[feed_id],Table2[trade_status])</f>
        <v>free_agent</v>
      </c>
      <c r="DG832">
        <f>_xlfn.NUMBERVALUE(Table1[[#This Row],[predicted]])</f>
        <v>66.514314951520703</v>
      </c>
    </row>
    <row r="833" spans="1:111" hidden="1" x14ac:dyDescent="0.25">
      <c r="A833">
        <v>132720</v>
      </c>
      <c r="B833">
        <v>9241</v>
      </c>
      <c r="C833" t="s">
        <v>7418</v>
      </c>
      <c r="D833" t="s">
        <v>3116</v>
      </c>
      <c r="E833">
        <v>2025</v>
      </c>
      <c r="F833">
        <v>290799</v>
      </c>
      <c r="G833" t="s">
        <v>776</v>
      </c>
      <c r="H833" t="s">
        <v>7442</v>
      </c>
      <c r="I833" t="s">
        <v>712</v>
      </c>
      <c r="J833">
        <v>14</v>
      </c>
      <c r="K833">
        <v>85</v>
      </c>
      <c r="L833">
        <v>101</v>
      </c>
      <c r="M833">
        <v>107</v>
      </c>
      <c r="N833">
        <v>65</v>
      </c>
      <c r="O833">
        <v>93</v>
      </c>
      <c r="P833">
        <v>10</v>
      </c>
      <c r="Q833">
        <v>14</v>
      </c>
      <c r="R833">
        <v>2</v>
      </c>
      <c r="S833">
        <v>5</v>
      </c>
      <c r="T833">
        <v>0</v>
      </c>
      <c r="U833">
        <v>1</v>
      </c>
      <c r="V833">
        <v>0</v>
      </c>
      <c r="W833">
        <v>0</v>
      </c>
      <c r="X833">
        <v>0</v>
      </c>
      <c r="Y833" t="s">
        <v>113</v>
      </c>
      <c r="Z833" t="s">
        <v>877</v>
      </c>
      <c r="AA833" t="s">
        <v>7443</v>
      </c>
      <c r="AH833" t="s">
        <v>118</v>
      </c>
      <c r="AI833">
        <v>21</v>
      </c>
      <c r="AJ833">
        <v>0</v>
      </c>
      <c r="AK833">
        <v>0</v>
      </c>
      <c r="AL833">
        <v>0</v>
      </c>
      <c r="AM833">
        <v>1.42</v>
      </c>
      <c r="AN833">
        <v>4.1500000000000004</v>
      </c>
      <c r="AO833">
        <v>1.1100000000000001</v>
      </c>
      <c r="AS833">
        <v>14</v>
      </c>
      <c r="AT833">
        <v>9</v>
      </c>
      <c r="AU833">
        <v>0</v>
      </c>
      <c r="AV833">
        <v>66</v>
      </c>
      <c r="AW833">
        <v>82</v>
      </c>
      <c r="AX833">
        <v>272</v>
      </c>
      <c r="AY833">
        <v>0</v>
      </c>
      <c r="AZ833" t="b">
        <v>0</v>
      </c>
      <c r="BA833">
        <v>1780</v>
      </c>
      <c r="BB833">
        <v>1518</v>
      </c>
      <c r="BC833">
        <v>6</v>
      </c>
      <c r="BD833" t="s">
        <v>7420</v>
      </c>
      <c r="BE833" s="1" t="s">
        <v>3594</v>
      </c>
      <c r="BF833">
        <v>1</v>
      </c>
      <c r="BG833">
        <v>71</v>
      </c>
      <c r="BH833">
        <v>1</v>
      </c>
      <c r="BI833" s="1" t="s">
        <v>622</v>
      </c>
      <c r="BJ833" s="1" t="s">
        <v>356</v>
      </c>
      <c r="BK833" s="1" t="s">
        <v>121</v>
      </c>
      <c r="BL833" s="1" t="s">
        <v>7354</v>
      </c>
      <c r="BM833">
        <v>4</v>
      </c>
      <c r="BN833" s="1" t="s">
        <v>373</v>
      </c>
      <c r="BO833">
        <v>6</v>
      </c>
      <c r="BP833" s="1" t="s">
        <v>124</v>
      </c>
      <c r="BQ833">
        <v>0</v>
      </c>
      <c r="BR833">
        <v>0</v>
      </c>
      <c r="BS833">
        <v>2</v>
      </c>
      <c r="BT833">
        <v>1</v>
      </c>
      <c r="BU833">
        <v>1</v>
      </c>
      <c r="BV833" s="1" t="s">
        <v>298</v>
      </c>
      <c r="BW833" s="1" t="s">
        <v>129</v>
      </c>
      <c r="BX833" s="1" t="s">
        <v>184</v>
      </c>
      <c r="BY833">
        <v>0</v>
      </c>
      <c r="BZ833">
        <v>0.4</v>
      </c>
      <c r="CA833">
        <v>1.42</v>
      </c>
      <c r="CB833">
        <v>1.42</v>
      </c>
      <c r="CC833">
        <v>4.1500000000000004</v>
      </c>
      <c r="CD833">
        <v>4.1500000000000004</v>
      </c>
      <c r="CE833">
        <v>1.1100000000000001</v>
      </c>
      <c r="CF833">
        <v>1.1100000000000001</v>
      </c>
      <c r="CG833" s="1" t="s">
        <v>1829</v>
      </c>
      <c r="CH833" s="1" t="s">
        <v>7243</v>
      </c>
      <c r="CI833" s="1" t="s">
        <v>204</v>
      </c>
      <c r="CJ833">
        <v>6.8</v>
      </c>
      <c r="CK833" s="1" t="s">
        <v>169</v>
      </c>
      <c r="CL833">
        <v>3.4</v>
      </c>
      <c r="CM833" s="1" t="s">
        <v>141</v>
      </c>
      <c r="CN833" s="1" t="s">
        <v>2863</v>
      </c>
      <c r="CO833">
        <v>83</v>
      </c>
      <c r="CP833">
        <v>80</v>
      </c>
      <c r="CQ833" s="1" t="s">
        <v>7444</v>
      </c>
      <c r="CR833">
        <v>321.2</v>
      </c>
      <c r="CS833" s="1" t="s">
        <v>664</v>
      </c>
      <c r="CT833" s="1" t="s">
        <v>6909</v>
      </c>
      <c r="CU833" s="1" t="s">
        <v>3948</v>
      </c>
      <c r="CV833">
        <v>1647</v>
      </c>
      <c r="CW833">
        <v>107.05</v>
      </c>
      <c r="CX833">
        <v>109.8</v>
      </c>
      <c r="CY833">
        <v>119.6</v>
      </c>
      <c r="CZ833">
        <v>112</v>
      </c>
      <c r="DA833">
        <v>1</v>
      </c>
      <c r="DB833" t="s">
        <v>877</v>
      </c>
      <c r="DC833">
        <v>101</v>
      </c>
      <c r="DD833" s="1" t="s">
        <v>7445</v>
      </c>
      <c r="DE833" s="1" t="s">
        <v>7446</v>
      </c>
      <c r="DF833" t="e">
        <f>_xlfn.XLOOKUP(Table1[[#This Row],[Player ID]],Table2[feed_id],Table2[trade_status])</f>
        <v>#N/A</v>
      </c>
      <c r="DG833">
        <f>_xlfn.NUMBERVALUE(Table1[[#This Row],[predicted]])</f>
        <v>89.037142353949804</v>
      </c>
    </row>
    <row r="834" spans="1:111" hidden="1" x14ac:dyDescent="0.25">
      <c r="A834">
        <v>132721</v>
      </c>
      <c r="B834">
        <v>9241</v>
      </c>
      <c r="C834" t="s">
        <v>7418</v>
      </c>
      <c r="D834" t="s">
        <v>3116</v>
      </c>
      <c r="E834">
        <v>2025</v>
      </c>
      <c r="F834">
        <v>1017126</v>
      </c>
      <c r="G834" t="s">
        <v>958</v>
      </c>
      <c r="H834" t="s">
        <v>3105</v>
      </c>
      <c r="I834" t="s">
        <v>712</v>
      </c>
      <c r="J834">
        <v>20</v>
      </c>
      <c r="K834">
        <v>82</v>
      </c>
      <c r="L834">
        <v>87</v>
      </c>
      <c r="M834">
        <v>99</v>
      </c>
      <c r="N834">
        <v>73</v>
      </c>
      <c r="O834">
        <v>88</v>
      </c>
      <c r="P834">
        <v>9</v>
      </c>
      <c r="Q834">
        <v>7</v>
      </c>
      <c r="R834">
        <v>8</v>
      </c>
      <c r="S834">
        <v>0</v>
      </c>
      <c r="T834">
        <v>1</v>
      </c>
      <c r="U834">
        <v>1</v>
      </c>
      <c r="V834">
        <v>0</v>
      </c>
      <c r="W834">
        <v>2</v>
      </c>
      <c r="X834">
        <v>3</v>
      </c>
      <c r="Y834" t="s">
        <v>113</v>
      </c>
      <c r="Z834" t="s">
        <v>778</v>
      </c>
      <c r="AA834" t="s">
        <v>7447</v>
      </c>
      <c r="AB834" t="s">
        <v>5152</v>
      </c>
      <c r="AC834" t="s">
        <v>7448</v>
      </c>
      <c r="AH834" t="s">
        <v>181</v>
      </c>
      <c r="AI834">
        <v>10</v>
      </c>
      <c r="AJ834">
        <v>0</v>
      </c>
      <c r="AK834">
        <v>0</v>
      </c>
      <c r="AL834">
        <v>0</v>
      </c>
      <c r="AM834">
        <v>15.85</v>
      </c>
      <c r="AN834">
        <v>25.57</v>
      </c>
      <c r="AO834">
        <v>0.35</v>
      </c>
      <c r="AS834">
        <v>11</v>
      </c>
      <c r="AT834">
        <v>5</v>
      </c>
      <c r="AU834">
        <v>1</v>
      </c>
      <c r="AV834">
        <v>62</v>
      </c>
      <c r="AW834">
        <v>84</v>
      </c>
      <c r="AX834">
        <v>294</v>
      </c>
      <c r="AY834">
        <v>0</v>
      </c>
      <c r="AZ834" t="b">
        <v>1</v>
      </c>
      <c r="BA834">
        <v>1780</v>
      </c>
      <c r="BB834">
        <v>1518</v>
      </c>
      <c r="BC834">
        <v>6</v>
      </c>
      <c r="BD834" t="s">
        <v>7420</v>
      </c>
      <c r="BE834" s="1" t="s">
        <v>3594</v>
      </c>
      <c r="BF834">
        <v>0</v>
      </c>
      <c r="BG834">
        <v>71</v>
      </c>
      <c r="BH834">
        <v>1</v>
      </c>
      <c r="BI834" s="1" t="s">
        <v>1829</v>
      </c>
      <c r="BJ834" s="1" t="s">
        <v>1106</v>
      </c>
      <c r="BK834" s="1" t="s">
        <v>124</v>
      </c>
      <c r="BL834" s="1" t="s">
        <v>205</v>
      </c>
      <c r="BM834">
        <v>9</v>
      </c>
      <c r="BN834">
        <v>5.6</v>
      </c>
      <c r="BO834">
        <v>1</v>
      </c>
      <c r="BP834">
        <v>2.4</v>
      </c>
      <c r="BQ834" s="1" t="s">
        <v>159</v>
      </c>
      <c r="BR834" s="1" t="s">
        <v>374</v>
      </c>
      <c r="BS834">
        <v>2</v>
      </c>
      <c r="BT834" s="1" t="s">
        <v>275</v>
      </c>
      <c r="BU834">
        <v>0</v>
      </c>
      <c r="BV834" s="1" t="s">
        <v>127</v>
      </c>
      <c r="BW834">
        <v>3</v>
      </c>
      <c r="BX834">
        <v>2</v>
      </c>
      <c r="BY834" s="1" t="s">
        <v>126</v>
      </c>
      <c r="BZ834" s="1" t="s">
        <v>206</v>
      </c>
      <c r="CA834">
        <v>15.85</v>
      </c>
      <c r="CB834">
        <v>15.85</v>
      </c>
      <c r="CC834">
        <v>25.57</v>
      </c>
      <c r="CD834">
        <v>25.57</v>
      </c>
      <c r="CE834">
        <v>0.35</v>
      </c>
      <c r="CF834">
        <v>0.35</v>
      </c>
      <c r="CG834" s="1" t="s">
        <v>356</v>
      </c>
      <c r="CH834">
        <v>9.6</v>
      </c>
      <c r="CI834">
        <v>3</v>
      </c>
      <c r="CJ834" s="1" t="s">
        <v>170</v>
      </c>
      <c r="CK834" s="1" t="s">
        <v>128</v>
      </c>
      <c r="CL834" s="1" t="s">
        <v>214</v>
      </c>
      <c r="CM834" s="1" t="s">
        <v>418</v>
      </c>
      <c r="CN834">
        <v>59.4</v>
      </c>
      <c r="CO834" s="1" t="s">
        <v>268</v>
      </c>
      <c r="CP834" s="1" t="s">
        <v>3208</v>
      </c>
      <c r="CQ834" s="1" t="s">
        <v>7449</v>
      </c>
      <c r="CR834" s="1" t="s">
        <v>7450</v>
      </c>
      <c r="CS834" s="1" t="s">
        <v>664</v>
      </c>
      <c r="CT834" s="1" t="s">
        <v>6909</v>
      </c>
      <c r="CU834" s="1" t="s">
        <v>3948</v>
      </c>
      <c r="CV834">
        <v>1647</v>
      </c>
      <c r="CW834">
        <v>87</v>
      </c>
      <c r="CX834">
        <v>100.9</v>
      </c>
      <c r="CY834">
        <v>109.2</v>
      </c>
      <c r="CZ834" s="1" t="s">
        <v>3610</v>
      </c>
      <c r="DA834">
        <v>1</v>
      </c>
      <c r="DB834" t="s">
        <v>778</v>
      </c>
      <c r="DC834">
        <v>87</v>
      </c>
      <c r="DD834" s="1" t="s">
        <v>7451</v>
      </c>
      <c r="DE834">
        <v>-6.6578970003561402</v>
      </c>
      <c r="DF834" t="e">
        <f>_xlfn.XLOOKUP(Table1[[#This Row],[Player ID]],Table2[feed_id],Table2[trade_status])</f>
        <v>#N/A</v>
      </c>
      <c r="DG834">
        <f>_xlfn.NUMBERVALUE(Table1[[#This Row],[predicted]])</f>
        <v>93.657897000356101</v>
      </c>
    </row>
    <row r="835" spans="1:111" x14ac:dyDescent="0.25">
      <c r="A835">
        <v>132756</v>
      </c>
      <c r="B835">
        <v>9241</v>
      </c>
      <c r="C835" t="s">
        <v>7418</v>
      </c>
      <c r="D835" t="s">
        <v>3116</v>
      </c>
      <c r="E835">
        <v>2025</v>
      </c>
      <c r="F835">
        <v>291753</v>
      </c>
      <c r="G835" t="s">
        <v>958</v>
      </c>
      <c r="H835" t="s">
        <v>6418</v>
      </c>
      <c r="I835" t="s">
        <v>201</v>
      </c>
      <c r="J835">
        <v>10</v>
      </c>
      <c r="K835">
        <v>58</v>
      </c>
      <c r="L835">
        <v>38</v>
      </c>
      <c r="M835">
        <v>52</v>
      </c>
      <c r="N835">
        <v>48</v>
      </c>
      <c r="O835">
        <v>59</v>
      </c>
      <c r="P835">
        <v>6</v>
      </c>
      <c r="Q835">
        <v>1</v>
      </c>
      <c r="R835">
        <v>6</v>
      </c>
      <c r="S835">
        <v>3</v>
      </c>
      <c r="T835">
        <v>10</v>
      </c>
      <c r="U835">
        <v>0</v>
      </c>
      <c r="V835">
        <v>1</v>
      </c>
      <c r="W835">
        <v>0</v>
      </c>
      <c r="X835">
        <v>1</v>
      </c>
      <c r="Y835" t="s">
        <v>113</v>
      </c>
      <c r="Z835" t="s">
        <v>5152</v>
      </c>
      <c r="AA835" t="s">
        <v>7585</v>
      </c>
      <c r="AE835">
        <v>0</v>
      </c>
      <c r="AH835" t="s">
        <v>155</v>
      </c>
      <c r="AI835">
        <v>14</v>
      </c>
      <c r="AJ835">
        <v>12</v>
      </c>
      <c r="AK835">
        <v>52.5</v>
      </c>
      <c r="AL835">
        <v>0</v>
      </c>
      <c r="AM835">
        <v>0</v>
      </c>
      <c r="AN835">
        <v>0.15</v>
      </c>
      <c r="AO835">
        <v>0.2</v>
      </c>
      <c r="AS835">
        <v>0</v>
      </c>
      <c r="AT835">
        <v>0</v>
      </c>
      <c r="AU835">
        <v>1</v>
      </c>
      <c r="AV835">
        <v>57</v>
      </c>
      <c r="AW835">
        <v>67</v>
      </c>
      <c r="AX835">
        <v>219</v>
      </c>
      <c r="AY835">
        <v>1</v>
      </c>
      <c r="AZ835" t="b">
        <v>0</v>
      </c>
      <c r="BA835">
        <v>1518</v>
      </c>
      <c r="BB835">
        <v>1780</v>
      </c>
      <c r="BC835">
        <v>6</v>
      </c>
      <c r="BD835" t="s">
        <v>7502</v>
      </c>
      <c r="BE835" s="1" t="s">
        <v>3594</v>
      </c>
      <c r="BF835">
        <v>0</v>
      </c>
      <c r="BG835">
        <v>71</v>
      </c>
      <c r="BH835">
        <v>0</v>
      </c>
      <c r="BI835" s="1" t="s">
        <v>160</v>
      </c>
      <c r="BJ835">
        <v>5.2</v>
      </c>
      <c r="BK835">
        <v>3</v>
      </c>
      <c r="BL835" s="1" t="s">
        <v>373</v>
      </c>
      <c r="BM835">
        <v>4</v>
      </c>
      <c r="BN835" s="1" t="s">
        <v>212</v>
      </c>
      <c r="BO835" s="1" t="s">
        <v>138</v>
      </c>
      <c r="BP835" s="1" t="s">
        <v>373</v>
      </c>
      <c r="BQ835" s="1" t="s">
        <v>1829</v>
      </c>
      <c r="BR835" s="1" t="s">
        <v>260</v>
      </c>
      <c r="BS835" s="1" t="s">
        <v>129</v>
      </c>
      <c r="BT835" s="1" t="s">
        <v>238</v>
      </c>
      <c r="BU835">
        <v>1</v>
      </c>
      <c r="BV835" s="1" t="s">
        <v>128</v>
      </c>
      <c r="BW835">
        <v>0</v>
      </c>
      <c r="BX835" s="1" t="s">
        <v>257</v>
      </c>
      <c r="BY835" s="1" t="s">
        <v>128</v>
      </c>
      <c r="BZ835" s="1" t="s">
        <v>128</v>
      </c>
      <c r="CA835">
        <v>0</v>
      </c>
      <c r="CB835">
        <v>0</v>
      </c>
      <c r="CC835">
        <v>0.15</v>
      </c>
      <c r="CD835">
        <v>8.8666666666666602E-2</v>
      </c>
      <c r="CE835">
        <v>0.2</v>
      </c>
      <c r="CF835" s="1" t="s">
        <v>5203</v>
      </c>
      <c r="CG835">
        <v>2</v>
      </c>
      <c r="CH835" s="1" t="s">
        <v>499</v>
      </c>
      <c r="CI835" s="1" t="s">
        <v>128</v>
      </c>
      <c r="CJ835">
        <v>0.6</v>
      </c>
      <c r="CK835" s="1" t="s">
        <v>161</v>
      </c>
      <c r="CL835" s="1" t="s">
        <v>275</v>
      </c>
      <c r="CM835">
        <v>60</v>
      </c>
      <c r="CN835">
        <v>63.2</v>
      </c>
      <c r="CO835" s="1" t="s">
        <v>241</v>
      </c>
      <c r="CP835" s="1" t="s">
        <v>417</v>
      </c>
      <c r="CQ835" s="1" t="s">
        <v>7586</v>
      </c>
      <c r="CR835">
        <v>144.80000000000001</v>
      </c>
      <c r="CS835" s="1" t="s">
        <v>7505</v>
      </c>
      <c r="CT835" s="1" t="s">
        <v>7587</v>
      </c>
      <c r="CU835" s="1" t="s">
        <v>7506</v>
      </c>
      <c r="CV835" s="1" t="s">
        <v>4290</v>
      </c>
      <c r="CW835">
        <v>58.3</v>
      </c>
      <c r="CX835">
        <v>60.8</v>
      </c>
      <c r="CY835">
        <v>55</v>
      </c>
      <c r="CZ835">
        <v>50</v>
      </c>
      <c r="DA835">
        <v>1</v>
      </c>
      <c r="DB835" t="s">
        <v>5152</v>
      </c>
      <c r="DC835">
        <v>38</v>
      </c>
      <c r="DD835" s="1" t="s">
        <v>7588</v>
      </c>
      <c r="DE835">
        <v>-28.461156296937201</v>
      </c>
      <c r="DF835" t="str">
        <f>_xlfn.XLOOKUP(Table1[[#This Row],[Player ID]],Table2[feed_id],Table2[trade_status])</f>
        <v>free_agent</v>
      </c>
      <c r="DG835">
        <f>_xlfn.NUMBERVALUE(Table1[[#This Row],[predicted]])</f>
        <v>66.461156296937205</v>
      </c>
    </row>
    <row r="836" spans="1:111" x14ac:dyDescent="0.25">
      <c r="A836">
        <v>132665</v>
      </c>
      <c r="B836">
        <v>9239</v>
      </c>
      <c r="C836" t="s">
        <v>7040</v>
      </c>
      <c r="D836" t="s">
        <v>3116</v>
      </c>
      <c r="E836">
        <v>2025</v>
      </c>
      <c r="F836">
        <v>298524</v>
      </c>
      <c r="G836" t="s">
        <v>4008</v>
      </c>
      <c r="H836" t="s">
        <v>2578</v>
      </c>
      <c r="I836" t="s">
        <v>524</v>
      </c>
      <c r="J836">
        <v>9</v>
      </c>
      <c r="K836">
        <v>47</v>
      </c>
      <c r="L836">
        <v>67</v>
      </c>
      <c r="M836">
        <v>31</v>
      </c>
      <c r="N836">
        <v>41</v>
      </c>
      <c r="O836">
        <v>55</v>
      </c>
      <c r="P836">
        <v>6</v>
      </c>
      <c r="Q836">
        <v>8</v>
      </c>
      <c r="R836">
        <v>2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  <c r="Y836" t="s">
        <v>113</v>
      </c>
      <c r="Z836" t="s">
        <v>525</v>
      </c>
      <c r="AA836" t="s">
        <v>7211</v>
      </c>
      <c r="AE836">
        <v>0</v>
      </c>
      <c r="AH836" t="s">
        <v>118</v>
      </c>
      <c r="AI836">
        <v>14</v>
      </c>
      <c r="AJ836">
        <v>21</v>
      </c>
      <c r="AK836">
        <v>75.05</v>
      </c>
      <c r="AL836">
        <v>0</v>
      </c>
      <c r="AM836">
        <v>0</v>
      </c>
      <c r="AN836">
        <v>0.16</v>
      </c>
      <c r="AO836">
        <v>0.28000000000000003</v>
      </c>
      <c r="AS836">
        <v>6</v>
      </c>
      <c r="AT836">
        <v>1</v>
      </c>
      <c r="AU836">
        <v>2</v>
      </c>
      <c r="AV836">
        <v>71</v>
      </c>
      <c r="AW836">
        <v>84</v>
      </c>
      <c r="AX836">
        <v>252</v>
      </c>
      <c r="AY836">
        <v>0</v>
      </c>
      <c r="AZ836" t="b">
        <v>0</v>
      </c>
      <c r="BA836">
        <v>1592</v>
      </c>
      <c r="BB836">
        <v>1678</v>
      </c>
      <c r="BC836">
        <v>6</v>
      </c>
      <c r="BD836" t="s">
        <v>7138</v>
      </c>
      <c r="BE836" s="1" t="s">
        <v>3594</v>
      </c>
      <c r="BF836">
        <v>0</v>
      </c>
      <c r="BG836">
        <v>71</v>
      </c>
      <c r="BH836">
        <v>0</v>
      </c>
      <c r="BI836" s="1" t="s">
        <v>124</v>
      </c>
      <c r="BJ836" s="1" t="s">
        <v>879</v>
      </c>
      <c r="BK836" s="1" t="s">
        <v>124</v>
      </c>
      <c r="BL836" s="1" t="s">
        <v>680</v>
      </c>
      <c r="BM836">
        <v>2</v>
      </c>
      <c r="BN836">
        <v>4</v>
      </c>
      <c r="BO836" s="1" t="s">
        <v>161</v>
      </c>
      <c r="BP836">
        <v>2.8</v>
      </c>
      <c r="BQ836">
        <v>0</v>
      </c>
      <c r="BR836">
        <v>0</v>
      </c>
      <c r="BS836">
        <v>0</v>
      </c>
      <c r="BT836" s="1" t="s">
        <v>128</v>
      </c>
      <c r="BU836">
        <v>0</v>
      </c>
      <c r="BV836" s="1" t="s">
        <v>238</v>
      </c>
      <c r="BW836">
        <v>1</v>
      </c>
      <c r="BX836" s="1" t="s">
        <v>129</v>
      </c>
      <c r="BY836">
        <v>1</v>
      </c>
      <c r="BZ836" s="1" t="s">
        <v>231</v>
      </c>
      <c r="CA836">
        <v>0</v>
      </c>
      <c r="CB836">
        <v>0</v>
      </c>
      <c r="CC836">
        <v>0.16</v>
      </c>
      <c r="CD836" s="1" t="s">
        <v>467</v>
      </c>
      <c r="CE836">
        <v>0.28000000000000003</v>
      </c>
      <c r="CF836" s="1" t="s">
        <v>7212</v>
      </c>
      <c r="CG836" s="1" t="s">
        <v>211</v>
      </c>
      <c r="CH836" s="1" t="s">
        <v>436</v>
      </c>
      <c r="CI836">
        <v>1</v>
      </c>
      <c r="CJ836" s="1" t="s">
        <v>257</v>
      </c>
      <c r="CK836" s="1" t="s">
        <v>126</v>
      </c>
      <c r="CL836" s="1" t="s">
        <v>169</v>
      </c>
      <c r="CM836">
        <v>67</v>
      </c>
      <c r="CN836">
        <v>68.8</v>
      </c>
      <c r="CO836" s="1" t="s">
        <v>1258</v>
      </c>
      <c r="CP836" s="1" t="s">
        <v>803</v>
      </c>
      <c r="CQ836">
        <v>251</v>
      </c>
      <c r="CR836">
        <v>383.4</v>
      </c>
      <c r="CS836" s="1" t="s">
        <v>806</v>
      </c>
      <c r="CT836" s="1" t="s">
        <v>7213</v>
      </c>
      <c r="CU836">
        <v>1593</v>
      </c>
      <c r="CV836">
        <v>1641.8</v>
      </c>
      <c r="CW836">
        <v>74.099999999999994</v>
      </c>
      <c r="CX836">
        <v>62.4</v>
      </c>
      <c r="CY836">
        <v>55.6</v>
      </c>
      <c r="CZ836" s="1" t="s">
        <v>195</v>
      </c>
      <c r="DA836">
        <v>1</v>
      </c>
      <c r="DB836" t="s">
        <v>525</v>
      </c>
      <c r="DC836">
        <v>67</v>
      </c>
      <c r="DD836" s="1" t="s">
        <v>7214</v>
      </c>
      <c r="DE836" s="1" t="s">
        <v>7215</v>
      </c>
      <c r="DF836" t="str">
        <f>_xlfn.XLOOKUP(Table1[[#This Row],[Player ID]],Table2[feed_id],Table2[trade_status])</f>
        <v>free_agent</v>
      </c>
      <c r="DG836">
        <f>_xlfn.NUMBERVALUE(Table1[[#This Row],[predicted]])</f>
        <v>66.294425876601395</v>
      </c>
    </row>
    <row r="837" spans="1:111" x14ac:dyDescent="0.25">
      <c r="A837">
        <v>132836</v>
      </c>
      <c r="B837">
        <v>9243</v>
      </c>
      <c r="C837" t="s">
        <v>7798</v>
      </c>
      <c r="D837" t="s">
        <v>3116</v>
      </c>
      <c r="E837">
        <v>2025</v>
      </c>
      <c r="F837">
        <v>1009380</v>
      </c>
      <c r="G837" t="s">
        <v>1196</v>
      </c>
      <c r="H837" t="s">
        <v>7702</v>
      </c>
      <c r="I837" t="s">
        <v>178</v>
      </c>
      <c r="J837">
        <v>14</v>
      </c>
      <c r="K837">
        <v>77</v>
      </c>
      <c r="L837">
        <v>86</v>
      </c>
      <c r="M837">
        <v>52</v>
      </c>
      <c r="N837">
        <v>66</v>
      </c>
      <c r="O837">
        <v>87</v>
      </c>
      <c r="P837">
        <v>11</v>
      </c>
      <c r="Q837">
        <v>10</v>
      </c>
      <c r="R837">
        <v>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113</v>
      </c>
      <c r="Z837" t="s">
        <v>525</v>
      </c>
      <c r="AA837" t="s">
        <v>7934</v>
      </c>
      <c r="AH837" t="s">
        <v>118</v>
      </c>
      <c r="AI837">
        <v>14</v>
      </c>
      <c r="AJ837">
        <v>0</v>
      </c>
      <c r="AK837">
        <v>0</v>
      </c>
      <c r="AL837">
        <v>0</v>
      </c>
      <c r="AM837">
        <v>51.2</v>
      </c>
      <c r="AN837">
        <v>50.96</v>
      </c>
      <c r="AO837">
        <v>35.35</v>
      </c>
      <c r="AS837">
        <v>4</v>
      </c>
      <c r="AT837">
        <v>2</v>
      </c>
      <c r="AU837">
        <v>0</v>
      </c>
      <c r="AV837">
        <v>90</v>
      </c>
      <c r="AW837">
        <v>91</v>
      </c>
      <c r="AX837">
        <v>362</v>
      </c>
      <c r="AY837">
        <v>0</v>
      </c>
      <c r="AZ837" t="b">
        <v>0</v>
      </c>
      <c r="BA837">
        <v>1559</v>
      </c>
      <c r="BB837">
        <v>1728</v>
      </c>
      <c r="BC837">
        <v>6</v>
      </c>
      <c r="BD837" t="s">
        <v>7901</v>
      </c>
      <c r="BE837" s="1" t="s">
        <v>3594</v>
      </c>
      <c r="BF837">
        <v>0</v>
      </c>
      <c r="BG837">
        <v>71</v>
      </c>
      <c r="BH837">
        <v>1</v>
      </c>
      <c r="BI837" s="1" t="s">
        <v>137</v>
      </c>
      <c r="BJ837" s="1" t="s">
        <v>949</v>
      </c>
      <c r="BK837" s="1" t="s">
        <v>545</v>
      </c>
      <c r="BL837" s="1" t="s">
        <v>253</v>
      </c>
      <c r="BM837" s="1" t="s">
        <v>160</v>
      </c>
      <c r="BN837" s="1" t="s">
        <v>205</v>
      </c>
      <c r="BO837" s="1" t="s">
        <v>129</v>
      </c>
      <c r="BP837" s="1" t="s">
        <v>162</v>
      </c>
      <c r="BQ837">
        <v>0</v>
      </c>
      <c r="BR837">
        <v>0</v>
      </c>
      <c r="BS837">
        <v>0</v>
      </c>
      <c r="BT837">
        <v>6.6666666666666596E-2</v>
      </c>
      <c r="BU837" s="1" t="s">
        <v>128</v>
      </c>
      <c r="BV837" s="1" t="s">
        <v>238</v>
      </c>
      <c r="BW837" s="1" t="s">
        <v>129</v>
      </c>
      <c r="BX837">
        <v>0.2</v>
      </c>
      <c r="BY837" s="1" t="s">
        <v>129</v>
      </c>
      <c r="BZ837" s="1" t="s">
        <v>231</v>
      </c>
      <c r="CA837">
        <v>51.2</v>
      </c>
      <c r="CB837">
        <v>51.2</v>
      </c>
      <c r="CC837">
        <v>50.96</v>
      </c>
      <c r="CD837">
        <v>50.96</v>
      </c>
      <c r="CE837">
        <v>35.35</v>
      </c>
      <c r="CF837">
        <v>35.35</v>
      </c>
      <c r="CG837" s="1" t="s">
        <v>160</v>
      </c>
      <c r="CH837">
        <v>3.8</v>
      </c>
      <c r="CI837" s="1" t="s">
        <v>161</v>
      </c>
      <c r="CJ837">
        <v>1.4</v>
      </c>
      <c r="CK837">
        <v>2</v>
      </c>
      <c r="CL837">
        <v>2</v>
      </c>
      <c r="CM837">
        <v>76</v>
      </c>
      <c r="CN837" s="1" t="s">
        <v>1460</v>
      </c>
      <c r="CO837" s="1" t="s">
        <v>2738</v>
      </c>
      <c r="CP837" s="1" t="s">
        <v>3448</v>
      </c>
      <c r="CQ837" s="1" t="s">
        <v>7935</v>
      </c>
      <c r="CR837" s="1" t="s">
        <v>7936</v>
      </c>
      <c r="CS837" s="1" t="s">
        <v>7903</v>
      </c>
      <c r="CT837" s="1" t="s">
        <v>853</v>
      </c>
      <c r="CU837" s="1" t="s">
        <v>6535</v>
      </c>
      <c r="CV837">
        <v>1604.2</v>
      </c>
      <c r="CW837">
        <v>67.599999999999994</v>
      </c>
      <c r="CX837">
        <v>69.2</v>
      </c>
      <c r="CY837">
        <v>63.6</v>
      </c>
      <c r="CZ837" s="1" t="s">
        <v>2490</v>
      </c>
      <c r="DA837">
        <v>1</v>
      </c>
      <c r="DB837" t="s">
        <v>525</v>
      </c>
      <c r="DC837">
        <v>86</v>
      </c>
      <c r="DD837" s="1" t="s">
        <v>7937</v>
      </c>
      <c r="DE837" s="1" t="s">
        <v>7938</v>
      </c>
      <c r="DF837" t="str">
        <f>_xlfn.XLOOKUP(Table1[[#This Row],[Player ID]],Table2[feed_id],Table2[trade_status])</f>
        <v>free_agent</v>
      </c>
      <c r="DG837">
        <f>_xlfn.NUMBERVALUE(Table1[[#This Row],[predicted]])</f>
        <v>66.244117520262606</v>
      </c>
    </row>
    <row r="838" spans="1:111" hidden="1" x14ac:dyDescent="0.25">
      <c r="A838">
        <v>132726</v>
      </c>
      <c r="B838">
        <v>9241</v>
      </c>
      <c r="C838" t="s">
        <v>7418</v>
      </c>
      <c r="D838" t="s">
        <v>3116</v>
      </c>
      <c r="E838">
        <v>2025</v>
      </c>
      <c r="F838">
        <v>996708</v>
      </c>
      <c r="G838" t="s">
        <v>6558</v>
      </c>
      <c r="H838" t="s">
        <v>2768</v>
      </c>
      <c r="I838" t="s">
        <v>712</v>
      </c>
      <c r="J838">
        <v>9</v>
      </c>
      <c r="K838">
        <v>68</v>
      </c>
      <c r="L838">
        <v>68</v>
      </c>
      <c r="M838">
        <v>86</v>
      </c>
      <c r="N838">
        <v>54</v>
      </c>
      <c r="O838">
        <v>75</v>
      </c>
      <c r="P838">
        <v>14</v>
      </c>
      <c r="Q838">
        <v>7</v>
      </c>
      <c r="R838">
        <v>4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113</v>
      </c>
      <c r="Z838" t="s">
        <v>226</v>
      </c>
      <c r="AA838" t="s">
        <v>7466</v>
      </c>
      <c r="AH838" t="s">
        <v>181</v>
      </c>
      <c r="AI838">
        <v>31</v>
      </c>
      <c r="AJ838">
        <v>0</v>
      </c>
      <c r="AK838">
        <v>0</v>
      </c>
      <c r="AL838">
        <v>0</v>
      </c>
      <c r="AM838">
        <v>0.27</v>
      </c>
      <c r="AN838">
        <v>0.49</v>
      </c>
      <c r="AO838">
        <v>0.55000000000000004</v>
      </c>
      <c r="AS838">
        <v>7</v>
      </c>
      <c r="AT838">
        <v>0</v>
      </c>
      <c r="AU838">
        <v>2</v>
      </c>
      <c r="AV838">
        <v>71</v>
      </c>
      <c r="AW838">
        <v>85</v>
      </c>
      <c r="AX838">
        <v>367</v>
      </c>
      <c r="AY838">
        <v>0</v>
      </c>
      <c r="AZ838" t="b">
        <v>0</v>
      </c>
      <c r="BA838">
        <v>1780</v>
      </c>
      <c r="BB838">
        <v>1518</v>
      </c>
      <c r="BC838">
        <v>6</v>
      </c>
      <c r="BD838" t="s">
        <v>7420</v>
      </c>
      <c r="BE838" s="1" t="s">
        <v>3594</v>
      </c>
      <c r="BF838">
        <v>0</v>
      </c>
      <c r="BG838">
        <v>71</v>
      </c>
      <c r="BH838">
        <v>0</v>
      </c>
      <c r="BI838" s="1" t="s">
        <v>1830</v>
      </c>
      <c r="BJ838" s="1" t="s">
        <v>296</v>
      </c>
      <c r="BK838">
        <v>7</v>
      </c>
      <c r="BL838" s="1" t="s">
        <v>448</v>
      </c>
      <c r="BM838">
        <v>4</v>
      </c>
      <c r="BN838" s="1" t="s">
        <v>565</v>
      </c>
      <c r="BO838" s="1" t="s">
        <v>129</v>
      </c>
      <c r="BP838" s="1" t="s">
        <v>127</v>
      </c>
      <c r="BQ838">
        <v>0</v>
      </c>
      <c r="BR838">
        <v>0</v>
      </c>
      <c r="BS838" s="1" t="s">
        <v>129</v>
      </c>
      <c r="BT838" s="1" t="s">
        <v>128</v>
      </c>
      <c r="BU838" s="1" t="s">
        <v>129</v>
      </c>
      <c r="BV838">
        <v>0.8</v>
      </c>
      <c r="BW838">
        <v>0</v>
      </c>
      <c r="BX838" s="1" t="s">
        <v>184</v>
      </c>
      <c r="BY838">
        <v>0</v>
      </c>
      <c r="BZ838" s="1" t="s">
        <v>184</v>
      </c>
      <c r="CA838">
        <v>0.27</v>
      </c>
      <c r="CB838">
        <v>0.27</v>
      </c>
      <c r="CC838">
        <v>0.49</v>
      </c>
      <c r="CD838">
        <v>0.49</v>
      </c>
      <c r="CE838">
        <v>0.55000000000000004</v>
      </c>
      <c r="CF838">
        <v>0.55000000000000004</v>
      </c>
      <c r="CG838">
        <v>7</v>
      </c>
      <c r="CH838" s="1" t="s">
        <v>1092</v>
      </c>
      <c r="CI838" s="1" t="s">
        <v>128</v>
      </c>
      <c r="CJ838" s="1" t="s">
        <v>162</v>
      </c>
      <c r="CK838">
        <v>2</v>
      </c>
      <c r="CL838" s="1" t="s">
        <v>255</v>
      </c>
      <c r="CM838">
        <v>76</v>
      </c>
      <c r="CN838">
        <v>78.8</v>
      </c>
      <c r="CO838" s="1" t="s">
        <v>1123</v>
      </c>
      <c r="CP838">
        <v>84.8</v>
      </c>
      <c r="CQ838" s="1" t="s">
        <v>7467</v>
      </c>
      <c r="CR838" s="1" t="s">
        <v>7468</v>
      </c>
      <c r="CS838" s="1" t="s">
        <v>664</v>
      </c>
      <c r="CT838" s="1" t="s">
        <v>6909</v>
      </c>
      <c r="CU838" s="1" t="s">
        <v>3948</v>
      </c>
      <c r="CV838">
        <v>1647</v>
      </c>
      <c r="CW838">
        <v>99</v>
      </c>
      <c r="CX838">
        <v>96.8</v>
      </c>
      <c r="CY838">
        <v>105.4</v>
      </c>
      <c r="CZ838" s="1" t="s">
        <v>2177</v>
      </c>
      <c r="DA838">
        <v>1</v>
      </c>
      <c r="DB838" t="s">
        <v>226</v>
      </c>
      <c r="DC838">
        <v>68</v>
      </c>
      <c r="DD838" s="1" t="s">
        <v>7469</v>
      </c>
      <c r="DE838">
        <v>-46.333165296700599</v>
      </c>
      <c r="DF838" t="e">
        <f>_xlfn.XLOOKUP(Table1[[#This Row],[Player ID]],Table2[feed_id],Table2[trade_status])</f>
        <v>#N/A</v>
      </c>
      <c r="DG838">
        <f>_xlfn.NUMBERVALUE(Table1[[#This Row],[predicted]])</f>
        <v>114.3331652967</v>
      </c>
    </row>
    <row r="839" spans="1:111" x14ac:dyDescent="0.25">
      <c r="A839">
        <v>132686</v>
      </c>
      <c r="B839">
        <v>9240</v>
      </c>
      <c r="C839" t="s">
        <v>7230</v>
      </c>
      <c r="D839" t="s">
        <v>3116</v>
      </c>
      <c r="E839">
        <v>2025</v>
      </c>
      <c r="F839">
        <v>294685</v>
      </c>
      <c r="G839" t="s">
        <v>1139</v>
      </c>
      <c r="H839" t="s">
        <v>3370</v>
      </c>
      <c r="I839" t="s">
        <v>249</v>
      </c>
      <c r="J839">
        <v>8</v>
      </c>
      <c r="K839">
        <v>65</v>
      </c>
      <c r="L839">
        <v>49</v>
      </c>
      <c r="M839">
        <v>83</v>
      </c>
      <c r="N839">
        <v>54</v>
      </c>
      <c r="O839">
        <v>68</v>
      </c>
      <c r="P839">
        <v>9</v>
      </c>
      <c r="Q839">
        <v>5</v>
      </c>
      <c r="R839">
        <v>7</v>
      </c>
      <c r="S839">
        <v>1</v>
      </c>
      <c r="T839">
        <v>0</v>
      </c>
      <c r="U839">
        <v>1</v>
      </c>
      <c r="V839">
        <v>0</v>
      </c>
      <c r="W839">
        <v>0</v>
      </c>
      <c r="X839">
        <v>2</v>
      </c>
      <c r="Y839" t="s">
        <v>113</v>
      </c>
      <c r="Z839" t="s">
        <v>525</v>
      </c>
      <c r="AA839" t="s">
        <v>7311</v>
      </c>
      <c r="AE839">
        <v>0</v>
      </c>
      <c r="AH839" t="s">
        <v>181</v>
      </c>
      <c r="AI839">
        <v>6</v>
      </c>
      <c r="AJ839">
        <v>0</v>
      </c>
      <c r="AK839">
        <v>0</v>
      </c>
      <c r="AL839">
        <v>0</v>
      </c>
      <c r="AM839">
        <v>0</v>
      </c>
      <c r="AN839">
        <v>61.49</v>
      </c>
      <c r="AO839">
        <v>37.700000000000003</v>
      </c>
      <c r="AS839">
        <v>4</v>
      </c>
      <c r="AT839">
        <v>0</v>
      </c>
      <c r="AU839">
        <v>3</v>
      </c>
      <c r="AV839">
        <v>50</v>
      </c>
      <c r="AW839">
        <v>79</v>
      </c>
      <c r="AX839">
        <v>210</v>
      </c>
      <c r="AY839">
        <v>0</v>
      </c>
      <c r="AZ839" t="b">
        <v>0</v>
      </c>
      <c r="BA839">
        <v>1285</v>
      </c>
      <c r="BB839">
        <v>1976</v>
      </c>
      <c r="BC839">
        <v>6</v>
      </c>
      <c r="BD839" t="s">
        <v>7234</v>
      </c>
      <c r="BE839" s="1" t="s">
        <v>3594</v>
      </c>
      <c r="BF839">
        <v>0</v>
      </c>
      <c r="BG839">
        <v>71</v>
      </c>
      <c r="BH839">
        <v>0</v>
      </c>
      <c r="BI839" s="1" t="s">
        <v>137</v>
      </c>
      <c r="BJ839" s="1" t="s">
        <v>1066</v>
      </c>
      <c r="BK839" s="1" t="s">
        <v>124</v>
      </c>
      <c r="BL839" s="1" t="s">
        <v>587</v>
      </c>
      <c r="BM839">
        <v>4</v>
      </c>
      <c r="BN839" s="1" t="s">
        <v>189</v>
      </c>
      <c r="BO839" s="1" t="s">
        <v>126</v>
      </c>
      <c r="BP839">
        <v>2</v>
      </c>
      <c r="BQ839">
        <v>0</v>
      </c>
      <c r="BR839">
        <v>0</v>
      </c>
      <c r="BS839" s="1" t="s">
        <v>128</v>
      </c>
      <c r="BT839">
        <v>0.4</v>
      </c>
      <c r="BU839">
        <v>0</v>
      </c>
      <c r="BV839">
        <v>0.2</v>
      </c>
      <c r="BW839">
        <v>0</v>
      </c>
      <c r="BX839">
        <v>1.2</v>
      </c>
      <c r="BY839" s="1" t="s">
        <v>128</v>
      </c>
      <c r="BZ839">
        <v>0.6</v>
      </c>
      <c r="CA839">
        <v>0</v>
      </c>
      <c r="CB839">
        <v>0</v>
      </c>
      <c r="CC839">
        <v>61.49</v>
      </c>
      <c r="CD839">
        <v>61.49</v>
      </c>
      <c r="CE839">
        <v>37.700000000000003</v>
      </c>
      <c r="CF839">
        <v>37.700000000000003</v>
      </c>
      <c r="CG839">
        <v>5</v>
      </c>
      <c r="CH839" s="1" t="s">
        <v>565</v>
      </c>
      <c r="CI839" s="1" t="s">
        <v>126</v>
      </c>
      <c r="CJ839">
        <v>0.8</v>
      </c>
      <c r="CK839">
        <v>2</v>
      </c>
      <c r="CL839" s="1" t="s">
        <v>126</v>
      </c>
      <c r="CM839" s="1" t="s">
        <v>1291</v>
      </c>
      <c r="CN839" s="1" t="s">
        <v>2248</v>
      </c>
      <c r="CO839">
        <v>60</v>
      </c>
      <c r="CP839" s="1" t="s">
        <v>1752</v>
      </c>
      <c r="CQ839" s="1" t="s">
        <v>6429</v>
      </c>
      <c r="CR839" s="1" t="s">
        <v>7312</v>
      </c>
      <c r="CS839" s="1" t="s">
        <v>7238</v>
      </c>
      <c r="CT839">
        <v>1656.2</v>
      </c>
      <c r="CU839" s="1" t="s">
        <v>7239</v>
      </c>
      <c r="CV839">
        <v>1628.4</v>
      </c>
      <c r="CW839">
        <v>66.150000000000006</v>
      </c>
      <c r="CX839">
        <v>59.4</v>
      </c>
      <c r="CY839">
        <v>52</v>
      </c>
      <c r="CZ839">
        <v>50</v>
      </c>
      <c r="DA839">
        <v>1</v>
      </c>
      <c r="DB839" t="s">
        <v>525</v>
      </c>
      <c r="DC839">
        <v>49</v>
      </c>
      <c r="DD839" s="1" t="s">
        <v>7313</v>
      </c>
      <c r="DE839">
        <v>-17.167686045038199</v>
      </c>
      <c r="DF839" t="str">
        <f>_xlfn.XLOOKUP(Table1[[#This Row],[Player ID]],Table2[feed_id],Table2[trade_status])</f>
        <v>free_agent</v>
      </c>
      <c r="DG839">
        <f>_xlfn.NUMBERVALUE(Table1[[#This Row],[predicted]])</f>
        <v>66.167686045038195</v>
      </c>
    </row>
    <row r="840" spans="1:111" x14ac:dyDescent="0.25">
      <c r="A840">
        <v>132768</v>
      </c>
      <c r="B840">
        <v>9242</v>
      </c>
      <c r="C840" t="s">
        <v>7597</v>
      </c>
      <c r="D840" t="s">
        <v>3116</v>
      </c>
      <c r="E840">
        <v>2025</v>
      </c>
      <c r="F840">
        <v>291902</v>
      </c>
      <c r="G840" t="s">
        <v>1127</v>
      </c>
      <c r="H840" t="s">
        <v>7643</v>
      </c>
      <c r="I840" t="s">
        <v>291</v>
      </c>
      <c r="J840">
        <v>14</v>
      </c>
      <c r="K840">
        <v>79</v>
      </c>
      <c r="L840">
        <v>69</v>
      </c>
      <c r="M840">
        <v>102</v>
      </c>
      <c r="N840">
        <v>60</v>
      </c>
      <c r="O840">
        <v>85</v>
      </c>
      <c r="P840">
        <v>11</v>
      </c>
      <c r="Q840">
        <v>10</v>
      </c>
      <c r="R840">
        <v>2</v>
      </c>
      <c r="S840">
        <v>5</v>
      </c>
      <c r="T840">
        <v>0</v>
      </c>
      <c r="U840">
        <v>2</v>
      </c>
      <c r="V840">
        <v>1</v>
      </c>
      <c r="W840">
        <v>0</v>
      </c>
      <c r="X840">
        <v>1</v>
      </c>
      <c r="Y840" t="s">
        <v>113</v>
      </c>
      <c r="Z840" t="s">
        <v>877</v>
      </c>
      <c r="AA840" t="s">
        <v>7644</v>
      </c>
      <c r="AE840">
        <v>0</v>
      </c>
      <c r="AH840" t="s">
        <v>118</v>
      </c>
      <c r="AI840">
        <v>7</v>
      </c>
      <c r="AJ840">
        <v>7</v>
      </c>
      <c r="AK840">
        <v>91.43</v>
      </c>
      <c r="AL840">
        <v>0</v>
      </c>
      <c r="AM840">
        <v>0</v>
      </c>
      <c r="AN840">
        <v>0.41</v>
      </c>
      <c r="AO840">
        <v>0.69</v>
      </c>
      <c r="AS840">
        <v>8</v>
      </c>
      <c r="AT840">
        <v>2</v>
      </c>
      <c r="AU840">
        <v>4</v>
      </c>
      <c r="AV840">
        <v>57</v>
      </c>
      <c r="AW840">
        <v>75</v>
      </c>
      <c r="AX840">
        <v>317</v>
      </c>
      <c r="AY840">
        <v>0</v>
      </c>
      <c r="AZ840" t="b">
        <v>0</v>
      </c>
      <c r="BA840">
        <v>1764</v>
      </c>
      <c r="BB840">
        <v>1522</v>
      </c>
      <c r="BC840">
        <v>6</v>
      </c>
      <c r="BD840" t="s">
        <v>7599</v>
      </c>
      <c r="BE840" s="1" t="s">
        <v>3594</v>
      </c>
      <c r="BF840">
        <v>0</v>
      </c>
      <c r="BG840">
        <v>71</v>
      </c>
      <c r="BH840">
        <v>0</v>
      </c>
      <c r="BI840">
        <v>9</v>
      </c>
      <c r="BJ840" s="1" t="s">
        <v>949</v>
      </c>
      <c r="BK840" s="1" t="s">
        <v>294</v>
      </c>
      <c r="BL840" s="1" t="s">
        <v>1366</v>
      </c>
      <c r="BM840" s="1" t="s">
        <v>161</v>
      </c>
      <c r="BN840">
        <v>2.2000000000000002</v>
      </c>
      <c r="BO840" s="1" t="s">
        <v>211</v>
      </c>
      <c r="BP840" s="1" t="s">
        <v>229</v>
      </c>
      <c r="BQ840">
        <v>0</v>
      </c>
      <c r="BR840">
        <v>0</v>
      </c>
      <c r="BS840">
        <v>2</v>
      </c>
      <c r="BT840">
        <v>1.2</v>
      </c>
      <c r="BU840" s="1" t="s">
        <v>126</v>
      </c>
      <c r="BV840" s="1" t="s">
        <v>162</v>
      </c>
      <c r="BW840">
        <v>0</v>
      </c>
      <c r="BX840">
        <v>0.2</v>
      </c>
      <c r="BY840" s="1" t="s">
        <v>129</v>
      </c>
      <c r="BZ840">
        <v>0.2</v>
      </c>
      <c r="CA840">
        <v>0</v>
      </c>
      <c r="CB840">
        <v>0</v>
      </c>
      <c r="CC840">
        <v>0.41</v>
      </c>
      <c r="CD840">
        <v>0.41</v>
      </c>
      <c r="CE840">
        <v>0.69</v>
      </c>
      <c r="CF840">
        <v>0.69</v>
      </c>
      <c r="CG840">
        <v>9</v>
      </c>
      <c r="CH840" s="1" t="s">
        <v>2030</v>
      </c>
      <c r="CI840" s="1" t="s">
        <v>159</v>
      </c>
      <c r="CJ840" s="1" t="s">
        <v>256</v>
      </c>
      <c r="CK840" s="1" t="s">
        <v>160</v>
      </c>
      <c r="CL840" s="1" t="s">
        <v>499</v>
      </c>
      <c r="CM840">
        <v>60</v>
      </c>
      <c r="CN840" s="1" t="s">
        <v>7645</v>
      </c>
      <c r="CO840">
        <v>76</v>
      </c>
      <c r="CP840" s="1" t="s">
        <v>3208</v>
      </c>
      <c r="CQ840">
        <v>287</v>
      </c>
      <c r="CR840">
        <v>300.39999999999998</v>
      </c>
      <c r="CS840" s="1" t="s">
        <v>2460</v>
      </c>
      <c r="CT840" s="1" t="s">
        <v>805</v>
      </c>
      <c r="CU840" s="1" t="s">
        <v>7601</v>
      </c>
      <c r="CV840" s="1" t="s">
        <v>2071</v>
      </c>
      <c r="CW840">
        <v>80.8</v>
      </c>
      <c r="CX840">
        <v>72.900000000000006</v>
      </c>
      <c r="CY840">
        <v>65.2</v>
      </c>
      <c r="CZ840">
        <v>63</v>
      </c>
      <c r="DA840">
        <v>1</v>
      </c>
      <c r="DB840" t="s">
        <v>877</v>
      </c>
      <c r="DC840">
        <v>69</v>
      </c>
      <c r="DD840" s="1" t="s">
        <v>7646</v>
      </c>
      <c r="DE840">
        <v>3.4937593433531902</v>
      </c>
      <c r="DF840" t="str">
        <f>_xlfn.XLOOKUP(Table1[[#This Row],[Player ID]],Table2[feed_id],Table2[trade_status])</f>
        <v>free_agent</v>
      </c>
      <c r="DG840">
        <f>_xlfn.NUMBERVALUE(Table1[[#This Row],[predicted]])</f>
        <v>65.506240656646796</v>
      </c>
    </row>
    <row r="841" spans="1:111" x14ac:dyDescent="0.25">
      <c r="A841">
        <v>132673</v>
      </c>
      <c r="B841">
        <v>9240</v>
      </c>
      <c r="C841" t="s">
        <v>7230</v>
      </c>
      <c r="D841" t="s">
        <v>3116</v>
      </c>
      <c r="E841">
        <v>2025</v>
      </c>
      <c r="F841">
        <v>297255</v>
      </c>
      <c r="G841" t="s">
        <v>1718</v>
      </c>
      <c r="H841" t="s">
        <v>6464</v>
      </c>
      <c r="I841" t="s">
        <v>249</v>
      </c>
      <c r="J841">
        <v>20</v>
      </c>
      <c r="K841">
        <v>100</v>
      </c>
      <c r="L841">
        <v>125</v>
      </c>
      <c r="M841">
        <v>131</v>
      </c>
      <c r="N841">
        <v>78</v>
      </c>
      <c r="O841">
        <v>102</v>
      </c>
      <c r="P841">
        <v>20</v>
      </c>
      <c r="Q841">
        <v>3</v>
      </c>
      <c r="R841">
        <v>7</v>
      </c>
      <c r="S841">
        <v>2</v>
      </c>
      <c r="T841">
        <v>0</v>
      </c>
      <c r="U841">
        <v>2</v>
      </c>
      <c r="V841">
        <v>1</v>
      </c>
      <c r="W841">
        <v>1</v>
      </c>
      <c r="X841">
        <v>0</v>
      </c>
      <c r="Y841" t="s">
        <v>113</v>
      </c>
      <c r="Z841" t="s">
        <v>7251</v>
      </c>
      <c r="AA841" t="s">
        <v>7252</v>
      </c>
      <c r="AB841" t="s">
        <v>179</v>
      </c>
      <c r="AC841" t="s">
        <v>7253</v>
      </c>
      <c r="AE841">
        <v>0</v>
      </c>
      <c r="AH841" t="s">
        <v>181</v>
      </c>
      <c r="AI841">
        <v>11</v>
      </c>
      <c r="AJ841">
        <v>11</v>
      </c>
      <c r="AK841">
        <v>70.91</v>
      </c>
      <c r="AL841">
        <v>0</v>
      </c>
      <c r="AM841">
        <v>0</v>
      </c>
      <c r="AN841">
        <v>0.16</v>
      </c>
      <c r="AO841">
        <v>0.18</v>
      </c>
      <c r="AS841">
        <v>3</v>
      </c>
      <c r="AT841">
        <v>0</v>
      </c>
      <c r="AU841">
        <v>2</v>
      </c>
      <c r="AV841">
        <v>95</v>
      </c>
      <c r="AW841">
        <v>87</v>
      </c>
      <c r="AX841">
        <v>668</v>
      </c>
      <c r="AY841">
        <v>0</v>
      </c>
      <c r="AZ841" t="b">
        <v>0</v>
      </c>
      <c r="BA841">
        <v>1285</v>
      </c>
      <c r="BB841">
        <v>1976</v>
      </c>
      <c r="BC841">
        <v>6</v>
      </c>
      <c r="BD841" t="s">
        <v>7234</v>
      </c>
      <c r="BE841" s="1" t="s">
        <v>3594</v>
      </c>
      <c r="BF841">
        <v>1</v>
      </c>
      <c r="BG841">
        <v>71</v>
      </c>
      <c r="BH841">
        <v>1</v>
      </c>
      <c r="BI841" s="1" t="s">
        <v>122</v>
      </c>
      <c r="BJ841" s="1" t="s">
        <v>5337</v>
      </c>
      <c r="BK841">
        <v>3</v>
      </c>
      <c r="BL841">
        <v>2.6</v>
      </c>
      <c r="BM841" s="1" t="s">
        <v>124</v>
      </c>
      <c r="BN841" s="1" t="s">
        <v>436</v>
      </c>
      <c r="BO841" s="1" t="s">
        <v>161</v>
      </c>
      <c r="BP841" s="1" t="s">
        <v>206</v>
      </c>
      <c r="BQ841">
        <v>0</v>
      </c>
      <c r="BR841">
        <v>0</v>
      </c>
      <c r="BS841">
        <v>1</v>
      </c>
      <c r="BT841">
        <v>1</v>
      </c>
      <c r="BU841" s="1" t="s">
        <v>129</v>
      </c>
      <c r="BV841" s="1" t="s">
        <v>238</v>
      </c>
      <c r="BW841" s="1" t="s">
        <v>129</v>
      </c>
      <c r="BX841">
        <v>0.2</v>
      </c>
      <c r="BY841">
        <v>0</v>
      </c>
      <c r="BZ841" s="1" t="s">
        <v>213</v>
      </c>
      <c r="CA841">
        <v>0</v>
      </c>
      <c r="CB841">
        <v>0</v>
      </c>
      <c r="CC841">
        <v>0.16</v>
      </c>
      <c r="CD841">
        <v>0.16</v>
      </c>
      <c r="CE841">
        <v>0.18</v>
      </c>
      <c r="CF841">
        <v>0.18</v>
      </c>
      <c r="CG841" s="1" t="s">
        <v>138</v>
      </c>
      <c r="CH841">
        <v>3.8</v>
      </c>
      <c r="CI841" s="1" t="s">
        <v>129</v>
      </c>
      <c r="CJ841" s="1" t="s">
        <v>238</v>
      </c>
      <c r="CK841">
        <v>2</v>
      </c>
      <c r="CL841" s="1" t="s">
        <v>322</v>
      </c>
      <c r="CM841" s="1" t="s">
        <v>1406</v>
      </c>
      <c r="CN841">
        <v>78.8</v>
      </c>
      <c r="CO841" s="1" t="s">
        <v>239</v>
      </c>
      <c r="CP841" s="1" t="s">
        <v>1840</v>
      </c>
      <c r="CQ841" s="1" t="s">
        <v>7254</v>
      </c>
      <c r="CR841" s="1" t="s">
        <v>7255</v>
      </c>
      <c r="CS841" s="1" t="s">
        <v>7238</v>
      </c>
      <c r="CT841">
        <v>1653</v>
      </c>
      <c r="CU841" s="1" t="s">
        <v>7239</v>
      </c>
      <c r="CV841" s="1" t="s">
        <v>7256</v>
      </c>
      <c r="CW841">
        <v>70.349999999999994</v>
      </c>
      <c r="CX841">
        <v>70.099999999999994</v>
      </c>
      <c r="CY841">
        <v>66</v>
      </c>
      <c r="CZ841" s="1" t="s">
        <v>241</v>
      </c>
      <c r="DA841">
        <v>1</v>
      </c>
      <c r="DB841" t="s">
        <v>7251</v>
      </c>
      <c r="DC841">
        <v>125</v>
      </c>
      <c r="DD841" s="1" t="s">
        <v>7257</v>
      </c>
      <c r="DE841" s="1" t="s">
        <v>7258</v>
      </c>
      <c r="DF841" t="str">
        <f>_xlfn.XLOOKUP(Table1[[#This Row],[Player ID]],Table2[feed_id],Table2[trade_status])</f>
        <v>free_agent</v>
      </c>
      <c r="DG841">
        <f>_xlfn.NUMBERVALUE(Table1[[#This Row],[predicted]])</f>
        <v>65.246973051546803</v>
      </c>
    </row>
    <row r="842" spans="1:111" x14ac:dyDescent="0.25">
      <c r="A842">
        <v>132920</v>
      </c>
      <c r="B842">
        <v>9245</v>
      </c>
      <c r="C842" t="s">
        <v>8180</v>
      </c>
      <c r="D842" t="s">
        <v>3116</v>
      </c>
      <c r="E842">
        <v>2025</v>
      </c>
      <c r="F842">
        <v>291351</v>
      </c>
      <c r="G842" t="s">
        <v>1127</v>
      </c>
      <c r="H842" t="s">
        <v>8286</v>
      </c>
      <c r="I842" t="s">
        <v>391</v>
      </c>
      <c r="J842">
        <v>36</v>
      </c>
      <c r="K842">
        <v>102</v>
      </c>
      <c r="L842">
        <v>93</v>
      </c>
      <c r="M842">
        <v>72</v>
      </c>
      <c r="N842">
        <v>89</v>
      </c>
      <c r="O842">
        <v>105</v>
      </c>
      <c r="P842">
        <v>13</v>
      </c>
      <c r="Q842">
        <v>2</v>
      </c>
      <c r="R842">
        <v>7</v>
      </c>
      <c r="S842">
        <v>1</v>
      </c>
      <c r="T842">
        <v>0</v>
      </c>
      <c r="U842">
        <v>1</v>
      </c>
      <c r="V842">
        <v>1</v>
      </c>
      <c r="W842">
        <v>6</v>
      </c>
      <c r="X842">
        <v>0</v>
      </c>
      <c r="Y842" t="s">
        <v>113</v>
      </c>
      <c r="Z842" t="s">
        <v>4395</v>
      </c>
      <c r="AA842" t="s">
        <v>7200</v>
      </c>
      <c r="AB842" t="s">
        <v>656</v>
      </c>
      <c r="AC842" t="s">
        <v>8287</v>
      </c>
      <c r="AE842">
        <v>0</v>
      </c>
      <c r="AH842" t="s">
        <v>155</v>
      </c>
      <c r="AI842">
        <v>19</v>
      </c>
      <c r="AJ842">
        <v>20</v>
      </c>
      <c r="AK842">
        <v>87.3</v>
      </c>
      <c r="AL842">
        <v>0</v>
      </c>
      <c r="AM842">
        <v>0</v>
      </c>
      <c r="AN842">
        <v>0.24</v>
      </c>
      <c r="AO842">
        <v>0.13</v>
      </c>
      <c r="AS842">
        <v>7</v>
      </c>
      <c r="AT842">
        <v>0</v>
      </c>
      <c r="AU842">
        <v>3</v>
      </c>
      <c r="AV842">
        <v>66</v>
      </c>
      <c r="AW842">
        <v>85</v>
      </c>
      <c r="AX842">
        <v>333</v>
      </c>
      <c r="AY842">
        <v>0</v>
      </c>
      <c r="AZ842" t="b">
        <v>0</v>
      </c>
      <c r="BA842">
        <v>1799</v>
      </c>
      <c r="BB842">
        <v>1477</v>
      </c>
      <c r="BC842">
        <v>6</v>
      </c>
      <c r="BD842" t="s">
        <v>8277</v>
      </c>
      <c r="BE842" s="1" t="s">
        <v>3594</v>
      </c>
      <c r="BF842">
        <v>0</v>
      </c>
      <c r="BG842">
        <v>71</v>
      </c>
      <c r="BH842">
        <v>1</v>
      </c>
      <c r="BI842" s="1" t="s">
        <v>977</v>
      </c>
      <c r="BJ842" s="1" t="s">
        <v>1041</v>
      </c>
      <c r="BK842" s="1" t="s">
        <v>125</v>
      </c>
      <c r="BL842">
        <v>2.6</v>
      </c>
      <c r="BM842" s="1" t="s">
        <v>449</v>
      </c>
      <c r="BN842" s="1" t="s">
        <v>449</v>
      </c>
      <c r="BO842">
        <v>2</v>
      </c>
      <c r="BP842">
        <v>1.4</v>
      </c>
      <c r="BQ842">
        <v>0</v>
      </c>
      <c r="BR842">
        <v>0</v>
      </c>
      <c r="BS842" s="1" t="s">
        <v>129</v>
      </c>
      <c r="BT842" s="1" t="s">
        <v>184</v>
      </c>
      <c r="BU842" s="1" t="s">
        <v>129</v>
      </c>
      <c r="BV842" s="1" t="s">
        <v>130</v>
      </c>
      <c r="BW842" s="1" t="s">
        <v>138</v>
      </c>
      <c r="BX842" s="1" t="s">
        <v>322</v>
      </c>
      <c r="BY842">
        <v>1</v>
      </c>
      <c r="BZ842">
        <v>1</v>
      </c>
      <c r="CA842">
        <v>0</v>
      </c>
      <c r="CB842">
        <v>0</v>
      </c>
      <c r="CC842">
        <v>0.24</v>
      </c>
      <c r="CD842">
        <v>0.24</v>
      </c>
      <c r="CE842">
        <v>0.13</v>
      </c>
      <c r="CF842">
        <v>0.13</v>
      </c>
      <c r="CG842" s="1" t="s">
        <v>449</v>
      </c>
      <c r="CH842" s="1" t="s">
        <v>321</v>
      </c>
      <c r="CI842">
        <v>0</v>
      </c>
      <c r="CJ842" s="1" t="s">
        <v>213</v>
      </c>
      <c r="CK842" s="1" t="s">
        <v>159</v>
      </c>
      <c r="CL842" s="1" t="s">
        <v>275</v>
      </c>
      <c r="CM842" s="1" t="s">
        <v>329</v>
      </c>
      <c r="CN842" s="1" t="s">
        <v>2673</v>
      </c>
      <c r="CO842" s="1" t="s">
        <v>1258</v>
      </c>
      <c r="CP842" s="1" t="s">
        <v>1110</v>
      </c>
      <c r="CQ842">
        <v>240</v>
      </c>
      <c r="CR842" s="1" t="s">
        <v>8288</v>
      </c>
      <c r="CS842" s="1" t="s">
        <v>4566</v>
      </c>
      <c r="CT842" s="1" t="s">
        <v>8289</v>
      </c>
      <c r="CU842">
        <v>1616</v>
      </c>
      <c r="CV842">
        <v>1563.2</v>
      </c>
      <c r="CW842">
        <v>65.25</v>
      </c>
      <c r="CX842">
        <v>77.400000000000006</v>
      </c>
      <c r="CY842">
        <v>70.400000000000006</v>
      </c>
      <c r="CZ842">
        <v>85</v>
      </c>
      <c r="DA842">
        <v>1</v>
      </c>
      <c r="DB842" t="s">
        <v>4395</v>
      </c>
      <c r="DC842">
        <v>93</v>
      </c>
      <c r="DD842" s="1" t="s">
        <v>8290</v>
      </c>
      <c r="DE842" s="1" t="s">
        <v>8291</v>
      </c>
      <c r="DF842" t="str">
        <f>_xlfn.XLOOKUP(Table1[[#This Row],[Player ID]],Table2[feed_id],Table2[trade_status])</f>
        <v>free_agent</v>
      </c>
      <c r="DG842">
        <f>_xlfn.NUMBERVALUE(Table1[[#This Row],[predicted]])</f>
        <v>64.859655341394301</v>
      </c>
    </row>
    <row r="843" spans="1:111" x14ac:dyDescent="0.25">
      <c r="A843">
        <v>132680</v>
      </c>
      <c r="B843">
        <v>9240</v>
      </c>
      <c r="C843" t="s">
        <v>7230</v>
      </c>
      <c r="D843" t="s">
        <v>3116</v>
      </c>
      <c r="E843">
        <v>2025</v>
      </c>
      <c r="F843">
        <v>1008154</v>
      </c>
      <c r="G843" t="s">
        <v>1002</v>
      </c>
      <c r="H843" t="s">
        <v>7287</v>
      </c>
      <c r="I843" t="s">
        <v>249</v>
      </c>
      <c r="J843">
        <v>13</v>
      </c>
      <c r="K843">
        <v>82</v>
      </c>
      <c r="L843">
        <v>83</v>
      </c>
      <c r="M843">
        <v>107</v>
      </c>
      <c r="N843">
        <v>65</v>
      </c>
      <c r="O843">
        <v>83</v>
      </c>
      <c r="P843">
        <v>17</v>
      </c>
      <c r="Q843">
        <v>2</v>
      </c>
      <c r="R843">
        <v>8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2</v>
      </c>
      <c r="Y843" t="s">
        <v>113</v>
      </c>
      <c r="Z843" t="s">
        <v>525</v>
      </c>
      <c r="AA843" t="s">
        <v>7288</v>
      </c>
      <c r="AH843" t="s">
        <v>118</v>
      </c>
      <c r="AI843">
        <v>46</v>
      </c>
      <c r="AJ843">
        <v>0</v>
      </c>
      <c r="AK843">
        <v>0</v>
      </c>
      <c r="AL843">
        <v>0</v>
      </c>
      <c r="AM843">
        <v>0.62</v>
      </c>
      <c r="AN843">
        <v>0.56999999999999995</v>
      </c>
      <c r="AO843">
        <v>0.54</v>
      </c>
      <c r="AS843">
        <v>2</v>
      </c>
      <c r="AT843">
        <v>0</v>
      </c>
      <c r="AU843">
        <v>1</v>
      </c>
      <c r="AV843">
        <v>68</v>
      </c>
      <c r="AW843">
        <v>86</v>
      </c>
      <c r="AX843">
        <v>495</v>
      </c>
      <c r="AY843">
        <v>0</v>
      </c>
      <c r="AZ843" t="b">
        <v>0</v>
      </c>
      <c r="BA843">
        <v>1285</v>
      </c>
      <c r="BB843">
        <v>1976</v>
      </c>
      <c r="BC843">
        <v>6</v>
      </c>
      <c r="BD843" t="s">
        <v>7234</v>
      </c>
      <c r="BE843" s="1" t="s">
        <v>3594</v>
      </c>
      <c r="BF843">
        <v>0</v>
      </c>
      <c r="BG843">
        <v>71</v>
      </c>
      <c r="BH843">
        <v>1</v>
      </c>
      <c r="BI843" s="1" t="s">
        <v>122</v>
      </c>
      <c r="BJ843" s="1" t="s">
        <v>158</v>
      </c>
      <c r="BK843">
        <v>4</v>
      </c>
      <c r="BL843" s="1" t="s">
        <v>189</v>
      </c>
      <c r="BM843" s="1" t="s">
        <v>211</v>
      </c>
      <c r="BN843" s="1" t="s">
        <v>766</v>
      </c>
      <c r="BO843" s="1" t="s">
        <v>126</v>
      </c>
      <c r="BP843" s="1" t="s">
        <v>214</v>
      </c>
      <c r="BQ843">
        <v>0</v>
      </c>
      <c r="BR843">
        <v>0</v>
      </c>
      <c r="BS843" s="1" t="s">
        <v>128</v>
      </c>
      <c r="BT843">
        <v>0.6</v>
      </c>
      <c r="BU843">
        <v>0</v>
      </c>
      <c r="BV843" s="1" t="s">
        <v>213</v>
      </c>
      <c r="BW843" s="1" t="s">
        <v>129</v>
      </c>
      <c r="BX843">
        <v>0.6</v>
      </c>
      <c r="BY843">
        <v>1</v>
      </c>
      <c r="BZ843" s="1" t="s">
        <v>128</v>
      </c>
      <c r="CA843">
        <v>0.62</v>
      </c>
      <c r="CB843">
        <v>0.62</v>
      </c>
      <c r="CC843">
        <v>0.56999999999999995</v>
      </c>
      <c r="CD843">
        <v>0.56999999999999995</v>
      </c>
      <c r="CE843">
        <v>0.54</v>
      </c>
      <c r="CF843">
        <v>0.54</v>
      </c>
      <c r="CG843" s="1" t="s">
        <v>204</v>
      </c>
      <c r="CH843" s="1" t="s">
        <v>436</v>
      </c>
      <c r="CI843" s="1" t="s">
        <v>128</v>
      </c>
      <c r="CJ843">
        <v>0.6</v>
      </c>
      <c r="CK843" s="1" t="s">
        <v>161</v>
      </c>
      <c r="CL843" s="1" t="s">
        <v>127</v>
      </c>
      <c r="CM843">
        <v>68</v>
      </c>
      <c r="CN843">
        <v>64.400000000000006</v>
      </c>
      <c r="CO843" s="1" t="s">
        <v>310</v>
      </c>
      <c r="CP843" s="1" t="s">
        <v>1433</v>
      </c>
      <c r="CQ843" s="1" t="s">
        <v>7289</v>
      </c>
      <c r="CR843">
        <v>263</v>
      </c>
      <c r="CS843" s="1" t="s">
        <v>4163</v>
      </c>
      <c r="CT843" s="1" t="s">
        <v>7290</v>
      </c>
      <c r="CU843" s="1" t="s">
        <v>7291</v>
      </c>
      <c r="CV843" s="1" t="s">
        <v>5148</v>
      </c>
      <c r="CW843">
        <v>58.8</v>
      </c>
      <c r="CX843">
        <v>58.7</v>
      </c>
      <c r="CY843">
        <v>68.8</v>
      </c>
      <c r="CZ843" s="1" t="s">
        <v>968</v>
      </c>
      <c r="DA843">
        <v>1</v>
      </c>
      <c r="DB843" t="s">
        <v>525</v>
      </c>
      <c r="DC843">
        <v>83</v>
      </c>
      <c r="DD843" s="1" t="s">
        <v>7292</v>
      </c>
      <c r="DE843" s="1" t="s">
        <v>7293</v>
      </c>
      <c r="DF843" t="str">
        <f>_xlfn.XLOOKUP(Table1[[#This Row],[Player ID]],Table2[feed_id],Table2[trade_status])</f>
        <v>free_agent</v>
      </c>
      <c r="DG843">
        <f>_xlfn.NUMBERVALUE(Table1[[#This Row],[predicted]])</f>
        <v>64.473808159433901</v>
      </c>
    </row>
    <row r="844" spans="1:111" x14ac:dyDescent="0.25">
      <c r="A844">
        <v>132578</v>
      </c>
      <c r="B844">
        <v>9237</v>
      </c>
      <c r="C844" t="s">
        <v>6650</v>
      </c>
      <c r="D844" t="s">
        <v>3116</v>
      </c>
      <c r="E844">
        <v>2025</v>
      </c>
      <c r="F844">
        <v>997230</v>
      </c>
      <c r="G844" t="s">
        <v>2542</v>
      </c>
      <c r="H844" t="s">
        <v>6858</v>
      </c>
      <c r="I844" t="s">
        <v>1061</v>
      </c>
      <c r="J844">
        <v>3</v>
      </c>
      <c r="K844">
        <v>34</v>
      </c>
      <c r="L844">
        <v>36</v>
      </c>
      <c r="M844">
        <v>30</v>
      </c>
      <c r="N844">
        <v>26</v>
      </c>
      <c r="O844">
        <v>37</v>
      </c>
      <c r="P844">
        <v>4</v>
      </c>
      <c r="Q844">
        <v>3</v>
      </c>
      <c r="R844">
        <v>2</v>
      </c>
      <c r="S844">
        <v>3</v>
      </c>
      <c r="T844">
        <v>0</v>
      </c>
      <c r="U844">
        <v>0</v>
      </c>
      <c r="V844">
        <v>1</v>
      </c>
      <c r="W844">
        <v>0</v>
      </c>
      <c r="X844">
        <v>1</v>
      </c>
      <c r="Y844" t="s">
        <v>113</v>
      </c>
      <c r="Z844" t="s">
        <v>861</v>
      </c>
      <c r="AA844" t="s">
        <v>6859</v>
      </c>
      <c r="AH844" t="s">
        <v>155</v>
      </c>
      <c r="AI844">
        <v>18</v>
      </c>
      <c r="AJ844">
        <v>0</v>
      </c>
      <c r="AK844">
        <v>0</v>
      </c>
      <c r="AL844">
        <v>0</v>
      </c>
      <c r="AM844">
        <v>0.18</v>
      </c>
      <c r="AN844">
        <v>0.23</v>
      </c>
      <c r="AO844">
        <v>0.51</v>
      </c>
      <c r="AS844">
        <v>2</v>
      </c>
      <c r="AT844">
        <v>0</v>
      </c>
      <c r="AU844">
        <v>2</v>
      </c>
      <c r="AV844">
        <v>57</v>
      </c>
      <c r="AW844">
        <v>73</v>
      </c>
      <c r="AX844">
        <v>139</v>
      </c>
      <c r="AY844">
        <v>0</v>
      </c>
      <c r="AZ844" t="b">
        <v>0</v>
      </c>
      <c r="BA844">
        <v>1646</v>
      </c>
      <c r="BB844">
        <v>1632</v>
      </c>
      <c r="BC844">
        <v>6</v>
      </c>
      <c r="BD844" t="s">
        <v>6772</v>
      </c>
      <c r="BE844" s="1" t="s">
        <v>3594</v>
      </c>
      <c r="BF844">
        <v>0</v>
      </c>
      <c r="BG844">
        <v>71</v>
      </c>
      <c r="BH844">
        <v>0</v>
      </c>
      <c r="BI844">
        <v>5</v>
      </c>
      <c r="BJ844" s="1" t="s">
        <v>1079</v>
      </c>
      <c r="BK844" s="1" t="s">
        <v>159</v>
      </c>
      <c r="BL844">
        <v>4</v>
      </c>
      <c r="BM844" s="1" t="s">
        <v>138</v>
      </c>
      <c r="BN844" s="1" t="s">
        <v>169</v>
      </c>
      <c r="BO844" s="1" t="s">
        <v>125</v>
      </c>
      <c r="BP844">
        <v>3</v>
      </c>
      <c r="BQ844">
        <v>0</v>
      </c>
      <c r="BR844">
        <v>0</v>
      </c>
      <c r="BS844">
        <v>0</v>
      </c>
      <c r="BT844">
        <v>0.4</v>
      </c>
      <c r="BU844" s="1" t="s">
        <v>129</v>
      </c>
      <c r="BV844" s="1" t="s">
        <v>130</v>
      </c>
      <c r="BW844" s="1" t="s">
        <v>126</v>
      </c>
      <c r="BX844" s="1" t="s">
        <v>161</v>
      </c>
      <c r="BY844">
        <v>1</v>
      </c>
      <c r="BZ844" s="1" t="s">
        <v>128</v>
      </c>
      <c r="CA844">
        <v>0.18</v>
      </c>
      <c r="CB844">
        <v>0.18</v>
      </c>
      <c r="CC844">
        <v>0.23</v>
      </c>
      <c r="CD844">
        <v>0.23</v>
      </c>
      <c r="CE844">
        <v>0.51</v>
      </c>
      <c r="CF844">
        <v>0.51</v>
      </c>
      <c r="CG844">
        <v>2</v>
      </c>
      <c r="CH844" s="1" t="s">
        <v>781</v>
      </c>
      <c r="CI844">
        <v>0</v>
      </c>
      <c r="CJ844" s="1" t="s">
        <v>162</v>
      </c>
      <c r="CK844">
        <v>1</v>
      </c>
      <c r="CL844">
        <v>2.2000000000000002</v>
      </c>
      <c r="CM844" s="1" t="s">
        <v>883</v>
      </c>
      <c r="CN844" s="1" t="s">
        <v>5839</v>
      </c>
      <c r="CO844">
        <v>78</v>
      </c>
      <c r="CP844">
        <v>81.8</v>
      </c>
      <c r="CQ844" s="1" t="s">
        <v>4673</v>
      </c>
      <c r="CR844">
        <v>195.4</v>
      </c>
      <c r="CS844" s="1" t="s">
        <v>4075</v>
      </c>
      <c r="CT844">
        <v>1682</v>
      </c>
      <c r="CU844" s="1" t="s">
        <v>4024</v>
      </c>
      <c r="CV844" s="1" t="s">
        <v>6773</v>
      </c>
      <c r="CW844">
        <v>67.349999999999994</v>
      </c>
      <c r="CX844">
        <v>65</v>
      </c>
      <c r="CY844">
        <v>54.2</v>
      </c>
      <c r="CZ844" s="1" t="s">
        <v>283</v>
      </c>
      <c r="DA844">
        <v>1</v>
      </c>
      <c r="DB844" t="s">
        <v>861</v>
      </c>
      <c r="DC844">
        <v>36</v>
      </c>
      <c r="DD844" s="1" t="s">
        <v>6860</v>
      </c>
      <c r="DE844">
        <v>-28.4589790539993</v>
      </c>
      <c r="DF844" t="str">
        <f>_xlfn.XLOOKUP(Table1[[#This Row],[Player ID]],Table2[feed_id],Table2[trade_status])</f>
        <v>free_agent</v>
      </c>
      <c r="DG844">
        <f>_xlfn.NUMBERVALUE(Table1[[#This Row],[predicted]])</f>
        <v>64.4589790539993</v>
      </c>
    </row>
    <row r="845" spans="1:111" hidden="1" x14ac:dyDescent="0.25">
      <c r="A845">
        <v>132738</v>
      </c>
      <c r="B845">
        <v>9241</v>
      </c>
      <c r="C845" t="s">
        <v>7418</v>
      </c>
      <c r="D845" t="s">
        <v>3116</v>
      </c>
      <c r="E845">
        <v>2025</v>
      </c>
      <c r="F845">
        <v>1000978</v>
      </c>
      <c r="G845" t="s">
        <v>5274</v>
      </c>
      <c r="H845" t="s">
        <v>7501</v>
      </c>
      <c r="I845" t="s">
        <v>201</v>
      </c>
      <c r="J845">
        <v>26</v>
      </c>
      <c r="K845">
        <v>111</v>
      </c>
      <c r="L845">
        <v>135</v>
      </c>
      <c r="M845">
        <v>81</v>
      </c>
      <c r="N845">
        <v>86</v>
      </c>
      <c r="O845">
        <v>124</v>
      </c>
      <c r="P845">
        <v>15</v>
      </c>
      <c r="Q845">
        <v>17</v>
      </c>
      <c r="R845">
        <v>3</v>
      </c>
      <c r="S845">
        <v>6</v>
      </c>
      <c r="T845">
        <v>0</v>
      </c>
      <c r="U845">
        <v>1</v>
      </c>
      <c r="V845">
        <v>1</v>
      </c>
      <c r="W845">
        <v>0</v>
      </c>
      <c r="X845">
        <v>1</v>
      </c>
      <c r="Y845" t="s">
        <v>113</v>
      </c>
      <c r="Z845" t="s">
        <v>6775</v>
      </c>
      <c r="AA845" t="s">
        <v>860</v>
      </c>
      <c r="AB845" t="s">
        <v>877</v>
      </c>
      <c r="AC845" t="s">
        <v>6506</v>
      </c>
      <c r="AE845">
        <v>0</v>
      </c>
      <c r="AH845" t="s">
        <v>118</v>
      </c>
      <c r="AI845">
        <v>6</v>
      </c>
      <c r="AJ845">
        <v>21</v>
      </c>
      <c r="AK845">
        <v>76.95</v>
      </c>
      <c r="AL845">
        <v>0</v>
      </c>
      <c r="AM845">
        <v>0</v>
      </c>
      <c r="AN845">
        <v>0.83</v>
      </c>
      <c r="AO845">
        <v>0.81</v>
      </c>
      <c r="AS845">
        <v>10</v>
      </c>
      <c r="AT845">
        <v>6</v>
      </c>
      <c r="AU845">
        <v>2</v>
      </c>
      <c r="AV845">
        <v>84</v>
      </c>
      <c r="AW845">
        <v>80</v>
      </c>
      <c r="AX845">
        <v>489</v>
      </c>
      <c r="AY845">
        <v>0</v>
      </c>
      <c r="AZ845" t="b">
        <v>0</v>
      </c>
      <c r="BA845">
        <v>1518</v>
      </c>
      <c r="BB845">
        <v>1780</v>
      </c>
      <c r="BC845">
        <v>6</v>
      </c>
      <c r="BD845" t="s">
        <v>7502</v>
      </c>
      <c r="BE845" s="1" t="s">
        <v>3594</v>
      </c>
      <c r="BF845">
        <v>1</v>
      </c>
      <c r="BG845">
        <v>71</v>
      </c>
      <c r="BH845">
        <v>1</v>
      </c>
      <c r="BI845" s="1" t="s">
        <v>395</v>
      </c>
      <c r="BJ845" s="1" t="s">
        <v>623</v>
      </c>
      <c r="BK845">
        <v>14</v>
      </c>
      <c r="BL845" s="1" t="s">
        <v>3438</v>
      </c>
      <c r="BM845">
        <v>4</v>
      </c>
      <c r="BN845">
        <v>4.5999999999999996</v>
      </c>
      <c r="BO845" s="1" t="s">
        <v>545</v>
      </c>
      <c r="BP845" s="1" t="s">
        <v>416</v>
      </c>
      <c r="BQ845">
        <v>0</v>
      </c>
      <c r="BR845">
        <v>0</v>
      </c>
      <c r="BS845" s="1" t="s">
        <v>126</v>
      </c>
      <c r="BT845" s="1" t="s">
        <v>298</v>
      </c>
      <c r="BU845">
        <v>1</v>
      </c>
      <c r="BV845" s="1" t="s">
        <v>399</v>
      </c>
      <c r="BW845" s="1" t="s">
        <v>128</v>
      </c>
      <c r="BX845" s="1" t="s">
        <v>128</v>
      </c>
      <c r="BY845" s="1" t="s">
        <v>129</v>
      </c>
      <c r="BZ845">
        <v>0.4</v>
      </c>
      <c r="CA845">
        <v>0</v>
      </c>
      <c r="CB845">
        <v>0</v>
      </c>
      <c r="CC845">
        <v>0.83</v>
      </c>
      <c r="CD845">
        <v>0.83</v>
      </c>
      <c r="CE845">
        <v>0.81</v>
      </c>
      <c r="CF845">
        <v>0.81</v>
      </c>
      <c r="CG845" s="1" t="s">
        <v>395</v>
      </c>
      <c r="CH845">
        <v>10</v>
      </c>
      <c r="CI845" s="1" t="s">
        <v>397</v>
      </c>
      <c r="CJ845" s="1" t="s">
        <v>416</v>
      </c>
      <c r="CK845" s="1" t="s">
        <v>169</v>
      </c>
      <c r="CL845" s="1" t="s">
        <v>431</v>
      </c>
      <c r="CM845" s="1" t="s">
        <v>261</v>
      </c>
      <c r="CN845" s="1" t="s">
        <v>1471</v>
      </c>
      <c r="CO845" s="1" t="s">
        <v>142</v>
      </c>
      <c r="CP845" s="1" t="s">
        <v>968</v>
      </c>
      <c r="CQ845" s="1" t="s">
        <v>7503</v>
      </c>
      <c r="CR845" s="1" t="s">
        <v>7504</v>
      </c>
      <c r="CS845" s="1" t="s">
        <v>7505</v>
      </c>
      <c r="CT845" s="1" t="s">
        <v>2626</v>
      </c>
      <c r="CU845" s="1" t="s">
        <v>7506</v>
      </c>
      <c r="CV845" s="1" t="s">
        <v>3538</v>
      </c>
      <c r="CW845">
        <v>108.15</v>
      </c>
      <c r="CX845">
        <v>119.6</v>
      </c>
      <c r="CY845">
        <v>121</v>
      </c>
      <c r="CZ845">
        <v>141</v>
      </c>
      <c r="DA845">
        <v>1</v>
      </c>
      <c r="DB845" t="s">
        <v>6775</v>
      </c>
      <c r="DC845">
        <v>135</v>
      </c>
      <c r="DD845" s="1" t="s">
        <v>7507</v>
      </c>
      <c r="DE845" s="1" t="s">
        <v>7508</v>
      </c>
      <c r="DF845" t="e">
        <f>_xlfn.XLOOKUP(Table1[[#This Row],[Player ID]],Table2[feed_id],Table2[trade_status])</f>
        <v>#N/A</v>
      </c>
      <c r="DG845">
        <f>_xlfn.NUMBERVALUE(Table1[[#This Row],[predicted]])</f>
        <v>102.223164902996</v>
      </c>
    </row>
    <row r="846" spans="1:111" hidden="1" x14ac:dyDescent="0.25">
      <c r="A846">
        <v>132739</v>
      </c>
      <c r="B846">
        <v>9241</v>
      </c>
      <c r="C846" t="s">
        <v>7418</v>
      </c>
      <c r="D846" t="s">
        <v>3116</v>
      </c>
      <c r="E846">
        <v>2025</v>
      </c>
      <c r="F846">
        <v>1002312</v>
      </c>
      <c r="G846" t="s">
        <v>1139</v>
      </c>
      <c r="H846" t="s">
        <v>6558</v>
      </c>
      <c r="I846" t="s">
        <v>201</v>
      </c>
      <c r="J846">
        <v>22</v>
      </c>
      <c r="K846">
        <v>100</v>
      </c>
      <c r="L846">
        <v>117</v>
      </c>
      <c r="M846">
        <v>61</v>
      </c>
      <c r="N846">
        <v>80</v>
      </c>
      <c r="O846">
        <v>101</v>
      </c>
      <c r="P846">
        <v>16</v>
      </c>
      <c r="Q846">
        <v>4</v>
      </c>
      <c r="R846">
        <v>5</v>
      </c>
      <c r="S846">
        <v>2</v>
      </c>
      <c r="T846">
        <v>0</v>
      </c>
      <c r="U846">
        <v>1</v>
      </c>
      <c r="V846">
        <v>0</v>
      </c>
      <c r="W846">
        <v>3</v>
      </c>
      <c r="X846">
        <v>2</v>
      </c>
      <c r="Y846" t="s">
        <v>113</v>
      </c>
      <c r="Z846" t="s">
        <v>339</v>
      </c>
      <c r="AA846" t="s">
        <v>7509</v>
      </c>
      <c r="AB846" t="s">
        <v>5826</v>
      </c>
      <c r="AC846" t="s">
        <v>7510</v>
      </c>
      <c r="AE846">
        <v>0</v>
      </c>
      <c r="AH846" t="s">
        <v>118</v>
      </c>
      <c r="AI846">
        <v>33</v>
      </c>
      <c r="AJ846">
        <v>11</v>
      </c>
      <c r="AK846">
        <v>48.91</v>
      </c>
      <c r="AL846">
        <v>0</v>
      </c>
      <c r="AM846">
        <v>0</v>
      </c>
      <c r="AN846">
        <v>1.65</v>
      </c>
      <c r="AO846">
        <v>2.5099999999999998</v>
      </c>
      <c r="AS846">
        <v>6</v>
      </c>
      <c r="AT846">
        <v>3</v>
      </c>
      <c r="AU846">
        <v>1</v>
      </c>
      <c r="AV846">
        <v>75</v>
      </c>
      <c r="AW846">
        <v>84</v>
      </c>
      <c r="AX846">
        <v>493</v>
      </c>
      <c r="AY846">
        <v>0</v>
      </c>
      <c r="AZ846" t="b">
        <v>0</v>
      </c>
      <c r="BA846">
        <v>1518</v>
      </c>
      <c r="BB846">
        <v>1780</v>
      </c>
      <c r="BC846">
        <v>6</v>
      </c>
      <c r="BD846" t="s">
        <v>7502</v>
      </c>
      <c r="BE846" s="1" t="s">
        <v>3594</v>
      </c>
      <c r="BF846">
        <v>1</v>
      </c>
      <c r="BG846">
        <v>71</v>
      </c>
      <c r="BH846">
        <v>1</v>
      </c>
      <c r="BI846">
        <v>12</v>
      </c>
      <c r="BJ846" s="1" t="s">
        <v>1761</v>
      </c>
      <c r="BK846" s="1" t="s">
        <v>125</v>
      </c>
      <c r="BL846" s="1" t="s">
        <v>963</v>
      </c>
      <c r="BM846" s="1" t="s">
        <v>160</v>
      </c>
      <c r="BN846" s="1" t="s">
        <v>211</v>
      </c>
      <c r="BO846" s="1" t="s">
        <v>159</v>
      </c>
      <c r="BP846" s="1" t="s">
        <v>566</v>
      </c>
      <c r="BQ846">
        <v>0</v>
      </c>
      <c r="BR846">
        <v>0</v>
      </c>
      <c r="BS846">
        <v>1</v>
      </c>
      <c r="BT846" s="1" t="s">
        <v>130</v>
      </c>
      <c r="BU846">
        <v>0</v>
      </c>
      <c r="BV846" s="1" t="s">
        <v>129</v>
      </c>
      <c r="BW846" s="1" t="s">
        <v>159</v>
      </c>
      <c r="BX846" s="1" t="s">
        <v>327</v>
      </c>
      <c r="BY846" s="1" t="s">
        <v>126</v>
      </c>
      <c r="BZ846" s="1" t="s">
        <v>399</v>
      </c>
      <c r="CA846">
        <v>0</v>
      </c>
      <c r="CB846">
        <v>0</v>
      </c>
      <c r="CC846">
        <v>1.65</v>
      </c>
      <c r="CD846">
        <v>1.65</v>
      </c>
      <c r="CE846">
        <v>2.5099999999999998</v>
      </c>
      <c r="CF846">
        <v>2.5099999999999998</v>
      </c>
      <c r="CG846">
        <v>3</v>
      </c>
      <c r="CH846" s="1" t="s">
        <v>436</v>
      </c>
      <c r="CI846" s="1" t="s">
        <v>126</v>
      </c>
      <c r="CJ846" s="1" t="s">
        <v>126</v>
      </c>
      <c r="CK846" s="1" t="s">
        <v>161</v>
      </c>
      <c r="CL846" s="1" t="s">
        <v>161</v>
      </c>
      <c r="CM846" s="1" t="s">
        <v>1406</v>
      </c>
      <c r="CN846" s="1" t="s">
        <v>3365</v>
      </c>
      <c r="CO846" s="1" t="s">
        <v>437</v>
      </c>
      <c r="CP846" s="1" t="s">
        <v>1779</v>
      </c>
      <c r="CQ846" s="1" t="s">
        <v>7511</v>
      </c>
      <c r="CR846" s="1" t="s">
        <v>7512</v>
      </c>
      <c r="CS846" s="1" t="s">
        <v>7505</v>
      </c>
      <c r="CT846" s="1" t="s">
        <v>2626</v>
      </c>
      <c r="CU846" s="1" t="s">
        <v>7506</v>
      </c>
      <c r="CV846" s="1" t="s">
        <v>3538</v>
      </c>
      <c r="CW846">
        <v>74.650000000000006</v>
      </c>
      <c r="CX846">
        <v>80.2</v>
      </c>
      <c r="CY846">
        <v>88</v>
      </c>
      <c r="CZ846" s="1" t="s">
        <v>268</v>
      </c>
      <c r="DA846">
        <v>1</v>
      </c>
      <c r="DB846" t="s">
        <v>339</v>
      </c>
      <c r="DC846">
        <v>117</v>
      </c>
      <c r="DD846">
        <v>72.528365998184995</v>
      </c>
      <c r="DE846" s="1" t="s">
        <v>7513</v>
      </c>
      <c r="DF846" t="e">
        <f>_xlfn.XLOOKUP(Table1[[#This Row],[Player ID]],Table2[feed_id],Table2[trade_status])</f>
        <v>#N/A</v>
      </c>
      <c r="DG846">
        <f>_xlfn.NUMBERVALUE(Table1[[#This Row],[predicted]])</f>
        <v>72.528365998184995</v>
      </c>
    </row>
    <row r="847" spans="1:111" x14ac:dyDescent="0.25">
      <c r="A847">
        <v>132596</v>
      </c>
      <c r="B847">
        <v>9238</v>
      </c>
      <c r="C847" t="s">
        <v>6865</v>
      </c>
      <c r="D847" t="s">
        <v>3116</v>
      </c>
      <c r="E847">
        <v>2025</v>
      </c>
      <c r="F847">
        <v>294596</v>
      </c>
      <c r="G847" t="s">
        <v>1918</v>
      </c>
      <c r="H847" t="s">
        <v>6940</v>
      </c>
      <c r="I847" t="s">
        <v>112</v>
      </c>
      <c r="J847">
        <v>10</v>
      </c>
      <c r="K847">
        <v>55</v>
      </c>
      <c r="L847">
        <v>70</v>
      </c>
      <c r="M847">
        <v>66</v>
      </c>
      <c r="N847">
        <v>49</v>
      </c>
      <c r="O847">
        <v>62</v>
      </c>
      <c r="P847">
        <v>6</v>
      </c>
      <c r="Q847">
        <v>7</v>
      </c>
      <c r="R847">
        <v>5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2</v>
      </c>
      <c r="Y847" t="s">
        <v>113</v>
      </c>
      <c r="Z847" t="s">
        <v>5096</v>
      </c>
      <c r="AA847" t="s">
        <v>6941</v>
      </c>
      <c r="AH847" t="s">
        <v>155</v>
      </c>
      <c r="AI847">
        <v>28</v>
      </c>
      <c r="AJ847">
        <v>0</v>
      </c>
      <c r="AK847">
        <v>0</v>
      </c>
      <c r="AL847">
        <v>0</v>
      </c>
      <c r="AM847">
        <v>0.18</v>
      </c>
      <c r="AN847">
        <v>0.16</v>
      </c>
      <c r="AO847">
        <v>0.06</v>
      </c>
      <c r="AS847">
        <v>9</v>
      </c>
      <c r="AT847">
        <v>0</v>
      </c>
      <c r="AU847">
        <v>1</v>
      </c>
      <c r="AV847">
        <v>61</v>
      </c>
      <c r="AW847">
        <v>83</v>
      </c>
      <c r="AX847">
        <v>152</v>
      </c>
      <c r="AY847">
        <v>0</v>
      </c>
      <c r="AZ847" t="b">
        <v>0</v>
      </c>
      <c r="BA847">
        <v>1546</v>
      </c>
      <c r="BB847">
        <v>1741</v>
      </c>
      <c r="BC847">
        <v>6</v>
      </c>
      <c r="BD847" t="s">
        <v>6869</v>
      </c>
      <c r="BE847" s="1" t="s">
        <v>3594</v>
      </c>
      <c r="BF847">
        <v>0</v>
      </c>
      <c r="BG847">
        <v>71</v>
      </c>
      <c r="BH847">
        <v>0</v>
      </c>
      <c r="BI847">
        <v>6</v>
      </c>
      <c r="BJ847" s="1" t="s">
        <v>1066</v>
      </c>
      <c r="BK847">
        <v>5</v>
      </c>
      <c r="BL847">
        <v>4.4000000000000004</v>
      </c>
      <c r="BM847" s="1" t="s">
        <v>159</v>
      </c>
      <c r="BN847" s="1" t="s">
        <v>416</v>
      </c>
      <c r="BO847">
        <v>1</v>
      </c>
      <c r="BP847" s="1" t="s">
        <v>327</v>
      </c>
      <c r="BQ847">
        <v>0</v>
      </c>
      <c r="BR847">
        <v>6.6666666666666596E-2</v>
      </c>
      <c r="BS847" s="1" t="s">
        <v>128</v>
      </c>
      <c r="BT847">
        <v>0.4</v>
      </c>
      <c r="BU847">
        <v>0</v>
      </c>
      <c r="BV847" s="1" t="s">
        <v>129</v>
      </c>
      <c r="BW847" s="1" t="s">
        <v>128</v>
      </c>
      <c r="BX847">
        <v>1.6</v>
      </c>
      <c r="BY847">
        <v>1</v>
      </c>
      <c r="BZ847" s="1" t="s">
        <v>238</v>
      </c>
      <c r="CA847">
        <v>0.18</v>
      </c>
      <c r="CB847">
        <v>0.18</v>
      </c>
      <c r="CC847">
        <v>0.16</v>
      </c>
      <c r="CD847">
        <v>0.16</v>
      </c>
      <c r="CE847">
        <v>0.06</v>
      </c>
      <c r="CF847">
        <v>0.06</v>
      </c>
      <c r="CG847">
        <v>7</v>
      </c>
      <c r="CH847">
        <v>5.4</v>
      </c>
      <c r="CI847">
        <v>0</v>
      </c>
      <c r="CJ847">
        <v>6.6666666666666596E-2</v>
      </c>
      <c r="CK847" s="1" t="s">
        <v>126</v>
      </c>
      <c r="CL847" s="1" t="s">
        <v>159</v>
      </c>
      <c r="CM847">
        <v>52</v>
      </c>
      <c r="CN847">
        <v>64.2</v>
      </c>
      <c r="CO847" s="1" t="s">
        <v>406</v>
      </c>
      <c r="CP847" s="1" t="s">
        <v>969</v>
      </c>
      <c r="CQ847" s="1" t="s">
        <v>6283</v>
      </c>
      <c r="CR847" s="1" t="s">
        <v>6942</v>
      </c>
      <c r="CS847">
        <v>1729</v>
      </c>
      <c r="CT847">
        <v>1702.6</v>
      </c>
      <c r="CU847" s="1" t="s">
        <v>5214</v>
      </c>
      <c r="CV847" s="1" t="s">
        <v>666</v>
      </c>
      <c r="CW847">
        <v>67.2</v>
      </c>
      <c r="CX847">
        <v>70.900000000000006</v>
      </c>
      <c r="CY847">
        <v>66.400000000000006</v>
      </c>
      <c r="CZ847" s="1" t="s">
        <v>706</v>
      </c>
      <c r="DA847">
        <v>1</v>
      </c>
      <c r="DB847" t="s">
        <v>5096</v>
      </c>
      <c r="DC847">
        <v>70</v>
      </c>
      <c r="DD847">
        <v>64.120692284265004</v>
      </c>
      <c r="DE847" s="1" t="s">
        <v>6943</v>
      </c>
      <c r="DF847" t="str">
        <f>_xlfn.XLOOKUP(Table1[[#This Row],[Player ID]],Table2[feed_id],Table2[trade_status])</f>
        <v>free_agent</v>
      </c>
      <c r="DG847">
        <f>_xlfn.NUMBERVALUE(Table1[[#This Row],[predicted]])</f>
        <v>64.120692284265004</v>
      </c>
    </row>
    <row r="848" spans="1:111" hidden="1" x14ac:dyDescent="0.25">
      <c r="A848">
        <v>132742</v>
      </c>
      <c r="B848">
        <v>9241</v>
      </c>
      <c r="C848" t="s">
        <v>7418</v>
      </c>
      <c r="D848" t="s">
        <v>3116</v>
      </c>
      <c r="E848">
        <v>2025</v>
      </c>
      <c r="F848">
        <v>993834</v>
      </c>
      <c r="G848" t="s">
        <v>1318</v>
      </c>
      <c r="H848" t="s">
        <v>7517</v>
      </c>
      <c r="I848" t="s">
        <v>201</v>
      </c>
      <c r="J848">
        <v>27</v>
      </c>
      <c r="K848">
        <v>98</v>
      </c>
      <c r="L848">
        <v>88</v>
      </c>
      <c r="M848">
        <v>88</v>
      </c>
      <c r="N848">
        <v>72</v>
      </c>
      <c r="O848">
        <v>102</v>
      </c>
      <c r="P848">
        <v>10</v>
      </c>
      <c r="Q848">
        <v>12</v>
      </c>
      <c r="R848">
        <v>4</v>
      </c>
      <c r="S848">
        <v>8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113</v>
      </c>
      <c r="Z848" t="s">
        <v>877</v>
      </c>
      <c r="AA848" t="s">
        <v>7518</v>
      </c>
      <c r="AH848" t="s">
        <v>118</v>
      </c>
      <c r="AI848">
        <v>5</v>
      </c>
      <c r="AJ848">
        <v>0</v>
      </c>
      <c r="AK848">
        <v>0</v>
      </c>
      <c r="AL848">
        <v>0</v>
      </c>
      <c r="AM848">
        <v>2.2599999999999998</v>
      </c>
      <c r="AN848">
        <v>4.93</v>
      </c>
      <c r="AO848">
        <v>2.31</v>
      </c>
      <c r="AS848">
        <v>10</v>
      </c>
      <c r="AT848">
        <v>5</v>
      </c>
      <c r="AU848">
        <v>4</v>
      </c>
      <c r="AV848">
        <v>68</v>
      </c>
      <c r="AW848">
        <v>78</v>
      </c>
      <c r="AX848">
        <v>104</v>
      </c>
      <c r="AY848">
        <v>0</v>
      </c>
      <c r="AZ848" t="b">
        <v>0</v>
      </c>
      <c r="BA848">
        <v>1518</v>
      </c>
      <c r="BB848">
        <v>1780</v>
      </c>
      <c r="BC848">
        <v>6</v>
      </c>
      <c r="BD848" t="s">
        <v>7502</v>
      </c>
      <c r="BE848" s="1" t="s">
        <v>3594</v>
      </c>
      <c r="BF848">
        <v>0</v>
      </c>
      <c r="BG848">
        <v>71</v>
      </c>
      <c r="BH848">
        <v>1</v>
      </c>
      <c r="BI848" s="1" t="s">
        <v>157</v>
      </c>
      <c r="BJ848" s="1" t="s">
        <v>5920</v>
      </c>
      <c r="BK848" s="1" t="s">
        <v>123</v>
      </c>
      <c r="BL848">
        <v>12.2</v>
      </c>
      <c r="BM848" s="1" t="s">
        <v>211</v>
      </c>
      <c r="BN848">
        <v>4.5999999999999996</v>
      </c>
      <c r="BO848">
        <v>8</v>
      </c>
      <c r="BP848" s="1" t="s">
        <v>964</v>
      </c>
      <c r="BQ848">
        <v>0</v>
      </c>
      <c r="BR848">
        <v>0</v>
      </c>
      <c r="BS848" s="1" t="s">
        <v>126</v>
      </c>
      <c r="BT848" s="1" t="s">
        <v>126</v>
      </c>
      <c r="BU848" s="1" t="s">
        <v>129</v>
      </c>
      <c r="BV848" s="1" t="s">
        <v>238</v>
      </c>
      <c r="BW848" s="1" t="s">
        <v>129</v>
      </c>
      <c r="BX848" s="1" t="s">
        <v>184</v>
      </c>
      <c r="BY848" s="1" t="s">
        <v>129</v>
      </c>
      <c r="BZ848">
        <v>0.2</v>
      </c>
      <c r="CA848">
        <v>2.2599999999999998</v>
      </c>
      <c r="CB848">
        <v>2.2599999999999998</v>
      </c>
      <c r="CC848">
        <v>4.93</v>
      </c>
      <c r="CD848">
        <v>4.93</v>
      </c>
      <c r="CE848">
        <v>2.31</v>
      </c>
      <c r="CF848">
        <v>2.31</v>
      </c>
      <c r="CG848" s="1" t="s">
        <v>395</v>
      </c>
      <c r="CH848" s="1" t="s">
        <v>1398</v>
      </c>
      <c r="CI848" s="1" t="s">
        <v>204</v>
      </c>
      <c r="CJ848">
        <v>5</v>
      </c>
      <c r="CK848" s="1" t="s">
        <v>138</v>
      </c>
      <c r="CL848" s="1" t="s">
        <v>140</v>
      </c>
      <c r="CM848">
        <v>69</v>
      </c>
      <c r="CN848" s="1" t="s">
        <v>1471</v>
      </c>
      <c r="CO848" s="1" t="s">
        <v>516</v>
      </c>
      <c r="CP848" s="1" t="s">
        <v>6669</v>
      </c>
      <c r="CQ848">
        <v>197</v>
      </c>
      <c r="CR848">
        <v>291.60000000000002</v>
      </c>
      <c r="CS848" s="1" t="s">
        <v>7505</v>
      </c>
      <c r="CT848" s="1" t="s">
        <v>2626</v>
      </c>
      <c r="CU848" s="1" t="s">
        <v>7506</v>
      </c>
      <c r="CV848" s="1" t="s">
        <v>3538</v>
      </c>
      <c r="CW848">
        <v>110.6</v>
      </c>
      <c r="CX848">
        <v>111.1</v>
      </c>
      <c r="CY848">
        <v>121.4</v>
      </c>
      <c r="CZ848" s="1" t="s">
        <v>4316</v>
      </c>
      <c r="DA848">
        <v>1</v>
      </c>
      <c r="DB848" t="s">
        <v>877</v>
      </c>
      <c r="DC848">
        <v>88</v>
      </c>
      <c r="DD848" s="1" t="s">
        <v>7519</v>
      </c>
      <c r="DE848" s="1" t="s">
        <v>7520</v>
      </c>
      <c r="DF848" t="e">
        <f>_xlfn.XLOOKUP(Table1[[#This Row],[Player ID]],Table2[feed_id],Table2[trade_status])</f>
        <v>#N/A</v>
      </c>
      <c r="DG848">
        <f>_xlfn.NUMBERVALUE(Table1[[#This Row],[predicted]])</f>
        <v>86.2998653463941</v>
      </c>
    </row>
    <row r="849" spans="1:111" hidden="1" x14ac:dyDescent="0.25">
      <c r="A849">
        <v>132743</v>
      </c>
      <c r="B849">
        <v>9241</v>
      </c>
      <c r="C849" t="s">
        <v>7418</v>
      </c>
      <c r="D849" t="s">
        <v>3116</v>
      </c>
      <c r="E849">
        <v>2025</v>
      </c>
      <c r="F849">
        <v>1023517</v>
      </c>
      <c r="G849" t="s">
        <v>2115</v>
      </c>
      <c r="H849" t="s">
        <v>7521</v>
      </c>
      <c r="I849" t="s">
        <v>201</v>
      </c>
      <c r="J849">
        <v>19</v>
      </c>
      <c r="K849">
        <v>97</v>
      </c>
      <c r="L849">
        <v>112</v>
      </c>
      <c r="M849">
        <v>64</v>
      </c>
      <c r="N849">
        <v>75</v>
      </c>
      <c r="O849">
        <v>108</v>
      </c>
      <c r="P849">
        <v>14</v>
      </c>
      <c r="Q849">
        <v>17</v>
      </c>
      <c r="R849">
        <v>1</v>
      </c>
      <c r="S849">
        <v>4</v>
      </c>
      <c r="T849">
        <v>0</v>
      </c>
      <c r="U849">
        <v>2</v>
      </c>
      <c r="V849">
        <v>0</v>
      </c>
      <c r="W849">
        <v>0</v>
      </c>
      <c r="X849">
        <v>0</v>
      </c>
      <c r="Y849" t="s">
        <v>113</v>
      </c>
      <c r="Z849" t="s">
        <v>877</v>
      </c>
      <c r="AA849" t="s">
        <v>7522</v>
      </c>
      <c r="AH849" t="s">
        <v>118</v>
      </c>
      <c r="AI849">
        <v>8</v>
      </c>
      <c r="AJ849">
        <v>0</v>
      </c>
      <c r="AK849">
        <v>0</v>
      </c>
      <c r="AL849">
        <v>0</v>
      </c>
      <c r="AM849">
        <v>1.68</v>
      </c>
      <c r="AN849">
        <v>1.62</v>
      </c>
      <c r="AO849">
        <v>1.94</v>
      </c>
      <c r="AS849">
        <v>11</v>
      </c>
      <c r="AT849">
        <v>7</v>
      </c>
      <c r="AU849">
        <v>1</v>
      </c>
      <c r="AV849">
        <v>74</v>
      </c>
      <c r="AW849">
        <v>80</v>
      </c>
      <c r="AX849">
        <v>273</v>
      </c>
      <c r="AY849">
        <v>0</v>
      </c>
      <c r="AZ849" t="b">
        <v>0</v>
      </c>
      <c r="BA849">
        <v>1518</v>
      </c>
      <c r="BB849">
        <v>1780</v>
      </c>
      <c r="BC849">
        <v>6</v>
      </c>
      <c r="BD849" t="s">
        <v>7502</v>
      </c>
      <c r="BE849" s="1" t="s">
        <v>3594</v>
      </c>
      <c r="BF849">
        <v>1</v>
      </c>
      <c r="BG849">
        <v>71</v>
      </c>
      <c r="BH849">
        <v>1</v>
      </c>
      <c r="BI849" s="1" t="s">
        <v>1830</v>
      </c>
      <c r="BJ849" s="1" t="s">
        <v>7243</v>
      </c>
      <c r="BK849">
        <v>11</v>
      </c>
      <c r="BL849">
        <v>10.6</v>
      </c>
      <c r="BM849">
        <v>4</v>
      </c>
      <c r="BN849">
        <v>4.5999999999999996</v>
      </c>
      <c r="BO849">
        <v>3</v>
      </c>
      <c r="BP849" s="1" t="s">
        <v>322</v>
      </c>
      <c r="BQ849">
        <v>0</v>
      </c>
      <c r="BR849">
        <v>0</v>
      </c>
      <c r="BS849" s="1" t="s">
        <v>159</v>
      </c>
      <c r="BT849" s="1" t="s">
        <v>327</v>
      </c>
      <c r="BU849" s="1" t="s">
        <v>129</v>
      </c>
      <c r="BV849" s="1" t="s">
        <v>129</v>
      </c>
      <c r="BW849" s="1" t="s">
        <v>128</v>
      </c>
      <c r="BX849" s="1" t="s">
        <v>184</v>
      </c>
      <c r="BY849">
        <v>0</v>
      </c>
      <c r="BZ849" s="1" t="s">
        <v>231</v>
      </c>
      <c r="CA849">
        <v>1.68</v>
      </c>
      <c r="CB849">
        <v>1.68</v>
      </c>
      <c r="CC849">
        <v>1.62</v>
      </c>
      <c r="CD849">
        <v>1.62</v>
      </c>
      <c r="CE849">
        <v>1.94</v>
      </c>
      <c r="CF849">
        <v>1.94</v>
      </c>
      <c r="CG849">
        <v>9</v>
      </c>
      <c r="CH849" s="1" t="s">
        <v>1041</v>
      </c>
      <c r="CI849">
        <v>6</v>
      </c>
      <c r="CJ849" s="1" t="s">
        <v>230</v>
      </c>
      <c r="CK849" s="1" t="s">
        <v>159</v>
      </c>
      <c r="CL849" s="1" t="s">
        <v>170</v>
      </c>
      <c r="CM849" s="1" t="s">
        <v>1406</v>
      </c>
      <c r="CN849" s="1" t="s">
        <v>753</v>
      </c>
      <c r="CO849" s="1" t="s">
        <v>755</v>
      </c>
      <c r="CP849" s="1" t="s">
        <v>755</v>
      </c>
      <c r="CQ849" s="1" t="s">
        <v>7523</v>
      </c>
      <c r="CR849" s="1" t="s">
        <v>7524</v>
      </c>
      <c r="CS849" s="1" t="s">
        <v>7505</v>
      </c>
      <c r="CT849" s="1" t="s">
        <v>2626</v>
      </c>
      <c r="CU849" s="1" t="s">
        <v>7506</v>
      </c>
      <c r="CV849" s="1" t="s">
        <v>3538</v>
      </c>
      <c r="CW849">
        <v>93.75</v>
      </c>
      <c r="CX849">
        <v>103.9</v>
      </c>
      <c r="CY849">
        <v>109.4</v>
      </c>
      <c r="CZ849" s="1" t="s">
        <v>5090</v>
      </c>
      <c r="DA849">
        <v>1</v>
      </c>
      <c r="DB849" t="s">
        <v>877</v>
      </c>
      <c r="DC849">
        <v>112</v>
      </c>
      <c r="DD849" s="1" t="s">
        <v>7525</v>
      </c>
      <c r="DE849" s="1" t="s">
        <v>7526</v>
      </c>
      <c r="DF849" t="e">
        <f>_xlfn.XLOOKUP(Table1[[#This Row],[Player ID]],Table2[feed_id],Table2[trade_status])</f>
        <v>#N/A</v>
      </c>
      <c r="DG849">
        <f>_xlfn.NUMBERVALUE(Table1[[#This Row],[predicted]])</f>
        <v>77.027258149392594</v>
      </c>
    </row>
    <row r="850" spans="1:111" hidden="1" x14ac:dyDescent="0.25">
      <c r="A850">
        <v>132744</v>
      </c>
      <c r="B850">
        <v>9241</v>
      </c>
      <c r="C850" t="s">
        <v>7418</v>
      </c>
      <c r="D850" t="s">
        <v>3116</v>
      </c>
      <c r="E850">
        <v>2025</v>
      </c>
      <c r="F850">
        <v>298437</v>
      </c>
      <c r="G850" t="s">
        <v>3661</v>
      </c>
      <c r="H850" t="s">
        <v>3771</v>
      </c>
      <c r="I850" t="s">
        <v>201</v>
      </c>
      <c r="J850">
        <v>26</v>
      </c>
      <c r="K850">
        <v>96</v>
      </c>
      <c r="L850">
        <v>134</v>
      </c>
      <c r="M850">
        <v>86</v>
      </c>
      <c r="N850">
        <v>82</v>
      </c>
      <c r="O850">
        <v>108</v>
      </c>
      <c r="P850">
        <v>8</v>
      </c>
      <c r="Q850">
        <v>14</v>
      </c>
      <c r="R850">
        <v>6</v>
      </c>
      <c r="S850">
        <v>4</v>
      </c>
      <c r="T850">
        <v>0</v>
      </c>
      <c r="U850">
        <v>1</v>
      </c>
      <c r="V850">
        <v>1</v>
      </c>
      <c r="W850">
        <v>2</v>
      </c>
      <c r="X850">
        <v>0</v>
      </c>
      <c r="Y850" t="s">
        <v>113</v>
      </c>
      <c r="Z850" t="s">
        <v>525</v>
      </c>
      <c r="AA850" t="s">
        <v>7527</v>
      </c>
      <c r="AE850">
        <v>0</v>
      </c>
      <c r="AH850" t="s">
        <v>118</v>
      </c>
      <c r="AI850">
        <v>4</v>
      </c>
      <c r="AJ850">
        <v>13</v>
      </c>
      <c r="AK850">
        <v>58.08</v>
      </c>
      <c r="AL850">
        <v>0</v>
      </c>
      <c r="AM850">
        <v>0</v>
      </c>
      <c r="AN850">
        <v>0.26</v>
      </c>
      <c r="AO850">
        <v>0.75</v>
      </c>
      <c r="AS850">
        <v>12</v>
      </c>
      <c r="AT850">
        <v>0</v>
      </c>
      <c r="AU850">
        <v>3</v>
      </c>
      <c r="AV850">
        <v>81</v>
      </c>
      <c r="AW850">
        <v>84</v>
      </c>
      <c r="AX850">
        <v>163</v>
      </c>
      <c r="AY850">
        <v>0</v>
      </c>
      <c r="AZ850" t="b">
        <v>0</v>
      </c>
      <c r="BA850">
        <v>1518</v>
      </c>
      <c r="BB850">
        <v>1780</v>
      </c>
      <c r="BC850">
        <v>6</v>
      </c>
      <c r="BD850" t="s">
        <v>7502</v>
      </c>
      <c r="BE850" s="1" t="s">
        <v>3594</v>
      </c>
      <c r="BF850">
        <v>1</v>
      </c>
      <c r="BG850">
        <v>71</v>
      </c>
      <c r="BH850">
        <v>1</v>
      </c>
      <c r="BI850" s="1" t="s">
        <v>545</v>
      </c>
      <c r="BJ850" s="1" t="s">
        <v>158</v>
      </c>
      <c r="BK850" s="1" t="s">
        <v>397</v>
      </c>
      <c r="BL850" s="1" t="s">
        <v>449</v>
      </c>
      <c r="BM850">
        <v>7</v>
      </c>
      <c r="BN850" s="1" t="s">
        <v>781</v>
      </c>
      <c r="BO850">
        <v>3</v>
      </c>
      <c r="BP850">
        <v>2</v>
      </c>
      <c r="BQ850">
        <v>0</v>
      </c>
      <c r="BR850">
        <v>0</v>
      </c>
      <c r="BS850" s="1" t="s">
        <v>129</v>
      </c>
      <c r="BT850" s="1" t="s">
        <v>238</v>
      </c>
      <c r="BU850">
        <v>1</v>
      </c>
      <c r="BV850" s="1" t="s">
        <v>127</v>
      </c>
      <c r="BW850">
        <v>2</v>
      </c>
      <c r="BX850" s="1" t="s">
        <v>327</v>
      </c>
      <c r="BY850" s="1" t="s">
        <v>128</v>
      </c>
      <c r="BZ850">
        <v>0.8</v>
      </c>
      <c r="CA850">
        <v>0</v>
      </c>
      <c r="CB850">
        <v>0</v>
      </c>
      <c r="CC850">
        <v>0.26</v>
      </c>
      <c r="CD850">
        <v>0.26</v>
      </c>
      <c r="CE850">
        <v>0.75</v>
      </c>
      <c r="CF850">
        <v>0.75</v>
      </c>
      <c r="CG850" s="1" t="s">
        <v>124</v>
      </c>
      <c r="CH850">
        <v>5.8</v>
      </c>
      <c r="CI850" s="1" t="s">
        <v>128</v>
      </c>
      <c r="CJ850" s="1" t="s">
        <v>231</v>
      </c>
      <c r="CK850" s="1" t="s">
        <v>169</v>
      </c>
      <c r="CL850">
        <v>3</v>
      </c>
      <c r="CM850" s="1" t="s">
        <v>483</v>
      </c>
      <c r="CN850" s="1" t="s">
        <v>4563</v>
      </c>
      <c r="CO850" s="1" t="s">
        <v>516</v>
      </c>
      <c r="CP850" s="1" t="s">
        <v>2336</v>
      </c>
      <c r="CQ850" s="1" t="s">
        <v>7528</v>
      </c>
      <c r="CR850">
        <v>240.8</v>
      </c>
      <c r="CS850" s="1" t="s">
        <v>7505</v>
      </c>
      <c r="CT850" s="1" t="s">
        <v>2626</v>
      </c>
      <c r="CU850" s="1" t="s">
        <v>7506</v>
      </c>
      <c r="CV850" s="1" t="s">
        <v>3538</v>
      </c>
      <c r="CW850">
        <v>72.900000000000006</v>
      </c>
      <c r="CX850">
        <v>74.900000000000006</v>
      </c>
      <c r="CY850">
        <v>90.4</v>
      </c>
      <c r="CZ850" s="1" t="s">
        <v>6727</v>
      </c>
      <c r="DA850">
        <v>1</v>
      </c>
      <c r="DB850" t="s">
        <v>525</v>
      </c>
      <c r="DC850">
        <v>134</v>
      </c>
      <c r="DD850" s="1" t="s">
        <v>7529</v>
      </c>
      <c r="DE850" s="1" t="s">
        <v>7530</v>
      </c>
      <c r="DF850" t="e">
        <f>_xlfn.XLOOKUP(Table1[[#This Row],[Player ID]],Table2[feed_id],Table2[trade_status])</f>
        <v>#N/A</v>
      </c>
      <c r="DG850">
        <f>_xlfn.NUMBERVALUE(Table1[[#This Row],[predicted]])</f>
        <v>69.903026306694898</v>
      </c>
    </row>
    <row r="851" spans="1:111" hidden="1" x14ac:dyDescent="0.25">
      <c r="A851">
        <v>132745</v>
      </c>
      <c r="B851">
        <v>9241</v>
      </c>
      <c r="C851" t="s">
        <v>7418</v>
      </c>
      <c r="D851" t="s">
        <v>3116</v>
      </c>
      <c r="E851">
        <v>2025</v>
      </c>
      <c r="F851">
        <v>293535</v>
      </c>
      <c r="G851" t="s">
        <v>4008</v>
      </c>
      <c r="H851" t="s">
        <v>6848</v>
      </c>
      <c r="I851" t="s">
        <v>201</v>
      </c>
      <c r="J851">
        <v>19</v>
      </c>
      <c r="K851">
        <v>93</v>
      </c>
      <c r="L851">
        <v>90</v>
      </c>
      <c r="M851">
        <v>62</v>
      </c>
      <c r="N851">
        <v>79</v>
      </c>
      <c r="O851">
        <v>111</v>
      </c>
      <c r="P851">
        <v>14</v>
      </c>
      <c r="Q851">
        <v>14</v>
      </c>
      <c r="R851">
        <v>7</v>
      </c>
      <c r="S851">
        <v>2</v>
      </c>
      <c r="T851">
        <v>0</v>
      </c>
      <c r="U851">
        <v>0</v>
      </c>
      <c r="V851">
        <v>2</v>
      </c>
      <c r="W851">
        <v>0</v>
      </c>
      <c r="X851">
        <v>0</v>
      </c>
      <c r="Y851" t="s">
        <v>113</v>
      </c>
      <c r="Z851" t="s">
        <v>778</v>
      </c>
      <c r="AA851" t="s">
        <v>7531</v>
      </c>
      <c r="AB851" t="s">
        <v>877</v>
      </c>
      <c r="AC851" t="s">
        <v>1814</v>
      </c>
      <c r="AE851">
        <v>0</v>
      </c>
      <c r="AH851" t="s">
        <v>118</v>
      </c>
      <c r="AI851">
        <v>9</v>
      </c>
      <c r="AJ851">
        <v>21</v>
      </c>
      <c r="AK851">
        <v>99.62</v>
      </c>
      <c r="AL851">
        <v>0</v>
      </c>
      <c r="AM851">
        <v>0</v>
      </c>
      <c r="AN851">
        <v>4.05</v>
      </c>
      <c r="AO851">
        <v>2.65</v>
      </c>
      <c r="AS851">
        <v>14</v>
      </c>
      <c r="AT851">
        <v>11</v>
      </c>
      <c r="AU851">
        <v>8</v>
      </c>
      <c r="AV851">
        <v>67</v>
      </c>
      <c r="AW851">
        <v>88</v>
      </c>
      <c r="AX851">
        <v>419</v>
      </c>
      <c r="AY851">
        <v>0</v>
      </c>
      <c r="AZ851" t="b">
        <v>1</v>
      </c>
      <c r="BA851">
        <v>1518</v>
      </c>
      <c r="BB851">
        <v>1780</v>
      </c>
      <c r="BC851">
        <v>6</v>
      </c>
      <c r="BD851" t="s">
        <v>7502</v>
      </c>
      <c r="BE851" s="1" t="s">
        <v>3594</v>
      </c>
      <c r="BF851">
        <v>0</v>
      </c>
      <c r="BG851">
        <v>71</v>
      </c>
      <c r="BH851">
        <v>1</v>
      </c>
      <c r="BI851" s="1" t="s">
        <v>3068</v>
      </c>
      <c r="BJ851">
        <v>14</v>
      </c>
      <c r="BK851" s="1" t="s">
        <v>5004</v>
      </c>
      <c r="BL851" s="1" t="s">
        <v>1484</v>
      </c>
      <c r="BM851" s="1" t="s">
        <v>449</v>
      </c>
      <c r="BN851" s="1" t="s">
        <v>212</v>
      </c>
      <c r="BO851" s="1" t="s">
        <v>159</v>
      </c>
      <c r="BP851" s="1" t="s">
        <v>138</v>
      </c>
      <c r="BQ851">
        <v>0</v>
      </c>
      <c r="BR851">
        <v>0</v>
      </c>
      <c r="BS851" s="1" t="s">
        <v>129</v>
      </c>
      <c r="BT851" s="1" t="s">
        <v>257</v>
      </c>
      <c r="BU851">
        <v>2</v>
      </c>
      <c r="BV851" s="1" t="s">
        <v>298</v>
      </c>
      <c r="BW851" s="1" t="s">
        <v>129</v>
      </c>
      <c r="BX851" s="1" t="s">
        <v>238</v>
      </c>
      <c r="BY851">
        <v>0</v>
      </c>
      <c r="BZ851" s="1" t="s">
        <v>129</v>
      </c>
      <c r="CA851">
        <v>0</v>
      </c>
      <c r="CB851">
        <v>0</v>
      </c>
      <c r="CC851">
        <v>4.05</v>
      </c>
      <c r="CD851">
        <v>4.05</v>
      </c>
      <c r="CE851">
        <v>2.65</v>
      </c>
      <c r="CF851">
        <v>2.65</v>
      </c>
      <c r="CG851">
        <v>15</v>
      </c>
      <c r="CH851" s="1" t="s">
        <v>1874</v>
      </c>
      <c r="CI851" s="1" t="s">
        <v>137</v>
      </c>
      <c r="CJ851">
        <v>8.4</v>
      </c>
      <c r="CK851" s="1" t="s">
        <v>204</v>
      </c>
      <c r="CL851">
        <v>4.2</v>
      </c>
      <c r="CM851" s="1" t="s">
        <v>1080</v>
      </c>
      <c r="CN851" s="1" t="s">
        <v>1570</v>
      </c>
      <c r="CO851">
        <v>87</v>
      </c>
      <c r="CP851" s="1" t="s">
        <v>2738</v>
      </c>
      <c r="CQ851" s="1" t="s">
        <v>7532</v>
      </c>
      <c r="CR851">
        <v>336</v>
      </c>
      <c r="CS851" s="1" t="s">
        <v>7505</v>
      </c>
      <c r="CT851" s="1" t="s">
        <v>2626</v>
      </c>
      <c r="CU851" s="1" t="s">
        <v>7506</v>
      </c>
      <c r="CV851" s="1" t="s">
        <v>3538</v>
      </c>
      <c r="CW851">
        <v>114.05</v>
      </c>
      <c r="CX851">
        <v>110.7</v>
      </c>
      <c r="CY851">
        <v>108.6</v>
      </c>
      <c r="CZ851" s="1" t="s">
        <v>3610</v>
      </c>
      <c r="DA851">
        <v>1</v>
      </c>
      <c r="DB851" t="s">
        <v>778</v>
      </c>
      <c r="DC851">
        <v>90</v>
      </c>
      <c r="DD851" s="1" t="s">
        <v>7533</v>
      </c>
      <c r="DE851">
        <v>-30.099914288233599</v>
      </c>
      <c r="DF851" t="e">
        <f>_xlfn.XLOOKUP(Table1[[#This Row],[Player ID]],Table2[feed_id],Table2[trade_status])</f>
        <v>#N/A</v>
      </c>
      <c r="DG851">
        <f>_xlfn.NUMBERVALUE(Table1[[#This Row],[predicted]])</f>
        <v>120.09991428823299</v>
      </c>
    </row>
    <row r="852" spans="1:111" hidden="1" x14ac:dyDescent="0.25">
      <c r="A852">
        <v>132746</v>
      </c>
      <c r="B852">
        <v>9241</v>
      </c>
      <c r="C852" t="s">
        <v>7418</v>
      </c>
      <c r="D852" t="s">
        <v>3116</v>
      </c>
      <c r="E852">
        <v>2025</v>
      </c>
      <c r="F852">
        <v>261224</v>
      </c>
      <c r="G852" t="s">
        <v>2714</v>
      </c>
      <c r="H852" t="s">
        <v>7534</v>
      </c>
      <c r="I852" t="s">
        <v>201</v>
      </c>
      <c r="J852">
        <v>14</v>
      </c>
      <c r="K852">
        <v>90</v>
      </c>
      <c r="L852">
        <v>82</v>
      </c>
      <c r="M852">
        <v>40</v>
      </c>
      <c r="N852">
        <v>68</v>
      </c>
      <c r="O852">
        <v>93</v>
      </c>
      <c r="P852">
        <v>20</v>
      </c>
      <c r="Q852">
        <v>3</v>
      </c>
      <c r="R852">
        <v>6</v>
      </c>
      <c r="S852">
        <v>2</v>
      </c>
      <c r="T852">
        <v>0</v>
      </c>
      <c r="U852">
        <v>1</v>
      </c>
      <c r="V852">
        <v>1</v>
      </c>
      <c r="W852">
        <v>0</v>
      </c>
      <c r="X852">
        <v>0</v>
      </c>
      <c r="Y852" t="s">
        <v>113</v>
      </c>
      <c r="Z852" t="s">
        <v>226</v>
      </c>
      <c r="AA852" t="s">
        <v>7535</v>
      </c>
      <c r="AE852">
        <v>0</v>
      </c>
      <c r="AH852" t="s">
        <v>155</v>
      </c>
      <c r="AI852">
        <v>15</v>
      </c>
      <c r="AJ852">
        <v>21</v>
      </c>
      <c r="AK852">
        <v>97.62</v>
      </c>
      <c r="AL852">
        <v>0</v>
      </c>
      <c r="AM852">
        <v>0</v>
      </c>
      <c r="AN852">
        <v>0.84</v>
      </c>
      <c r="AO852">
        <v>0.82</v>
      </c>
      <c r="AS852">
        <v>3</v>
      </c>
      <c r="AT852">
        <v>0</v>
      </c>
      <c r="AU852">
        <v>2</v>
      </c>
      <c r="AV852">
        <v>78</v>
      </c>
      <c r="AW852">
        <v>76</v>
      </c>
      <c r="AX852">
        <v>651</v>
      </c>
      <c r="AY852">
        <v>1</v>
      </c>
      <c r="AZ852" t="b">
        <v>0</v>
      </c>
      <c r="BA852">
        <v>1518</v>
      </c>
      <c r="BB852">
        <v>1780</v>
      </c>
      <c r="BC852">
        <v>6</v>
      </c>
      <c r="BD852" t="s">
        <v>7502</v>
      </c>
      <c r="BE852" s="1" t="s">
        <v>3594</v>
      </c>
      <c r="BF852">
        <v>0</v>
      </c>
      <c r="BG852">
        <v>71</v>
      </c>
      <c r="BH852">
        <v>1</v>
      </c>
      <c r="BI852">
        <v>21</v>
      </c>
      <c r="BJ852">
        <v>21.6</v>
      </c>
      <c r="BK852" s="1" t="s">
        <v>125</v>
      </c>
      <c r="BL852">
        <v>4.5999999999999996</v>
      </c>
      <c r="BM852">
        <v>7</v>
      </c>
      <c r="BN852" s="1" t="s">
        <v>729</v>
      </c>
      <c r="BO852">
        <v>2</v>
      </c>
      <c r="BP852" s="1" t="s">
        <v>169</v>
      </c>
      <c r="BQ852">
        <v>0</v>
      </c>
      <c r="BR852">
        <v>0</v>
      </c>
      <c r="BS852" s="1" t="s">
        <v>128</v>
      </c>
      <c r="BT852" s="1" t="s">
        <v>130</v>
      </c>
      <c r="BU852" s="1" t="s">
        <v>128</v>
      </c>
      <c r="BV852">
        <v>0.6</v>
      </c>
      <c r="BW852">
        <v>0</v>
      </c>
      <c r="BX852" s="1" t="s">
        <v>184</v>
      </c>
      <c r="BY852" s="1" t="s">
        <v>129</v>
      </c>
      <c r="BZ852">
        <v>0.2</v>
      </c>
      <c r="CA852">
        <v>0</v>
      </c>
      <c r="CB852">
        <v>0</v>
      </c>
      <c r="CC852">
        <v>0.84</v>
      </c>
      <c r="CD852">
        <v>0.84</v>
      </c>
      <c r="CE852">
        <v>0.82</v>
      </c>
      <c r="CF852">
        <v>0.82</v>
      </c>
      <c r="CG852" s="1" t="s">
        <v>159</v>
      </c>
      <c r="CH852" s="1" t="s">
        <v>160</v>
      </c>
      <c r="CI852" s="1" t="s">
        <v>129</v>
      </c>
      <c r="CJ852" s="1" t="s">
        <v>128</v>
      </c>
      <c r="CK852" s="1" t="s">
        <v>159</v>
      </c>
      <c r="CL852">
        <v>2.6</v>
      </c>
      <c r="CM852" s="1" t="s">
        <v>1123</v>
      </c>
      <c r="CN852" s="1" t="s">
        <v>1258</v>
      </c>
      <c r="CO852" s="1" t="s">
        <v>239</v>
      </c>
      <c r="CP852" s="1" t="s">
        <v>1433</v>
      </c>
      <c r="CQ852" s="1" t="s">
        <v>7536</v>
      </c>
      <c r="CR852">
        <v>544.79999999999995</v>
      </c>
      <c r="CS852" s="1" t="s">
        <v>7505</v>
      </c>
      <c r="CT852" s="1" t="s">
        <v>2626</v>
      </c>
      <c r="CU852" s="1" t="s">
        <v>7506</v>
      </c>
      <c r="CV852" s="1" t="s">
        <v>3538</v>
      </c>
      <c r="CW852">
        <v>110.9</v>
      </c>
      <c r="CX852">
        <v>110.6</v>
      </c>
      <c r="CY852">
        <v>114</v>
      </c>
      <c r="CZ852">
        <v>104</v>
      </c>
      <c r="DA852">
        <v>1</v>
      </c>
      <c r="DB852" t="s">
        <v>226</v>
      </c>
      <c r="DC852">
        <v>82</v>
      </c>
      <c r="DD852" s="1" t="s">
        <v>7537</v>
      </c>
      <c r="DE852">
        <v>-40.851451062574199</v>
      </c>
      <c r="DF852" t="e">
        <f>_xlfn.XLOOKUP(Table1[[#This Row],[Player ID]],Table2[feed_id],Table2[trade_status])</f>
        <v>#N/A</v>
      </c>
      <c r="DG852">
        <f>_xlfn.NUMBERVALUE(Table1[[#This Row],[predicted]])</f>
        <v>122.851451062574</v>
      </c>
    </row>
    <row r="853" spans="1:111" x14ac:dyDescent="0.25">
      <c r="A853">
        <v>132903</v>
      </c>
      <c r="B853">
        <v>9245</v>
      </c>
      <c r="C853" t="s">
        <v>8180</v>
      </c>
      <c r="D853" t="s">
        <v>3116</v>
      </c>
      <c r="E853">
        <v>2025</v>
      </c>
      <c r="F853">
        <v>993979</v>
      </c>
      <c r="G853" t="s">
        <v>958</v>
      </c>
      <c r="H853" t="s">
        <v>8222</v>
      </c>
      <c r="I853" t="s">
        <v>425</v>
      </c>
      <c r="J853">
        <v>22</v>
      </c>
      <c r="K853">
        <v>75</v>
      </c>
      <c r="L853">
        <v>101</v>
      </c>
      <c r="M853">
        <v>97</v>
      </c>
      <c r="N853">
        <v>58</v>
      </c>
      <c r="O853">
        <v>76</v>
      </c>
      <c r="P853">
        <v>7</v>
      </c>
      <c r="Q853">
        <v>5</v>
      </c>
      <c r="R853">
        <v>3</v>
      </c>
      <c r="S853">
        <v>6</v>
      </c>
      <c r="T853">
        <v>0</v>
      </c>
      <c r="U853">
        <v>1</v>
      </c>
      <c r="V853">
        <v>1</v>
      </c>
      <c r="W853">
        <v>2</v>
      </c>
      <c r="X853">
        <v>1</v>
      </c>
      <c r="Y853" t="s">
        <v>113</v>
      </c>
      <c r="Z853" t="s">
        <v>525</v>
      </c>
      <c r="AA853" t="s">
        <v>8223</v>
      </c>
      <c r="AE853">
        <v>0</v>
      </c>
      <c r="AH853" t="s">
        <v>155</v>
      </c>
      <c r="AI853">
        <v>2</v>
      </c>
      <c r="AJ853">
        <v>15</v>
      </c>
      <c r="AK853">
        <v>76.13</v>
      </c>
      <c r="AL853">
        <v>0</v>
      </c>
      <c r="AM853">
        <v>0</v>
      </c>
      <c r="AN853">
        <v>0.31</v>
      </c>
      <c r="AO853">
        <v>0.72</v>
      </c>
      <c r="AS853">
        <v>8</v>
      </c>
      <c r="AT853">
        <v>0</v>
      </c>
      <c r="AU853">
        <v>2</v>
      </c>
      <c r="AV853">
        <v>75</v>
      </c>
      <c r="AW853">
        <v>86</v>
      </c>
      <c r="AX853">
        <v>253</v>
      </c>
      <c r="AY853">
        <v>0</v>
      </c>
      <c r="AZ853" t="b">
        <v>0</v>
      </c>
      <c r="BA853">
        <v>1477</v>
      </c>
      <c r="BB853">
        <v>1799</v>
      </c>
      <c r="BC853">
        <v>6</v>
      </c>
      <c r="BD853" t="s">
        <v>8182</v>
      </c>
      <c r="BE853" s="1" t="s">
        <v>3594</v>
      </c>
      <c r="BF853">
        <v>1</v>
      </c>
      <c r="BG853">
        <v>71</v>
      </c>
      <c r="BH853">
        <v>1</v>
      </c>
      <c r="BI853">
        <v>7</v>
      </c>
      <c r="BJ853" s="1" t="s">
        <v>253</v>
      </c>
      <c r="BK853" s="1" t="s">
        <v>204</v>
      </c>
      <c r="BL853">
        <v>4.5999999999999996</v>
      </c>
      <c r="BM853" s="1" t="s">
        <v>125</v>
      </c>
      <c r="BN853" s="1" t="s">
        <v>321</v>
      </c>
      <c r="BO853" s="1" t="s">
        <v>449</v>
      </c>
      <c r="BP853" s="1" t="s">
        <v>431</v>
      </c>
      <c r="BQ853">
        <v>0</v>
      </c>
      <c r="BR853">
        <v>0</v>
      </c>
      <c r="BS853" s="1" t="s">
        <v>126</v>
      </c>
      <c r="BT853" s="1" t="s">
        <v>399</v>
      </c>
      <c r="BU853">
        <v>1</v>
      </c>
      <c r="BV853">
        <v>1.6</v>
      </c>
      <c r="BW853">
        <v>1</v>
      </c>
      <c r="BX853" s="1" t="s">
        <v>257</v>
      </c>
      <c r="BY853" s="1" t="s">
        <v>161</v>
      </c>
      <c r="BZ853">
        <v>1.4</v>
      </c>
      <c r="CA853">
        <v>0</v>
      </c>
      <c r="CB853">
        <v>0</v>
      </c>
      <c r="CC853">
        <v>0.31</v>
      </c>
      <c r="CD853" s="1" t="s">
        <v>951</v>
      </c>
      <c r="CE853">
        <v>0.72</v>
      </c>
      <c r="CF853" s="1" t="s">
        <v>238</v>
      </c>
      <c r="CG853" s="1" t="s">
        <v>124</v>
      </c>
      <c r="CH853" s="1" t="s">
        <v>160</v>
      </c>
      <c r="CI853">
        <v>1</v>
      </c>
      <c r="CJ853">
        <v>1.2</v>
      </c>
      <c r="CK853" s="1" t="s">
        <v>125</v>
      </c>
      <c r="CL853" s="1" t="s">
        <v>321</v>
      </c>
      <c r="CM853" s="1" t="s">
        <v>2490</v>
      </c>
      <c r="CN853" s="1" t="s">
        <v>6353</v>
      </c>
      <c r="CO853">
        <v>85</v>
      </c>
      <c r="CP853">
        <v>81.599999999999994</v>
      </c>
      <c r="CQ853" s="1" t="s">
        <v>8224</v>
      </c>
      <c r="CR853" s="1" t="s">
        <v>8225</v>
      </c>
      <c r="CS853" s="1" t="s">
        <v>3934</v>
      </c>
      <c r="CT853">
        <v>1647</v>
      </c>
      <c r="CU853" s="1" t="s">
        <v>1533</v>
      </c>
      <c r="CV853" s="1" t="s">
        <v>7213</v>
      </c>
      <c r="CW853">
        <v>61.55</v>
      </c>
      <c r="CX853">
        <v>56.8</v>
      </c>
      <c r="CY853">
        <v>64.8</v>
      </c>
      <c r="CZ853" s="1" t="s">
        <v>261</v>
      </c>
      <c r="DA853">
        <v>1</v>
      </c>
      <c r="DB853" t="s">
        <v>525</v>
      </c>
      <c r="DC853">
        <v>101</v>
      </c>
      <c r="DD853" s="1" t="s">
        <v>8226</v>
      </c>
      <c r="DE853" s="1" t="s">
        <v>8227</v>
      </c>
      <c r="DF853" t="str">
        <f>_xlfn.XLOOKUP(Table1[[#This Row],[Player ID]],Table2[feed_id],Table2[trade_status])</f>
        <v>free_agent</v>
      </c>
      <c r="DG853">
        <f>_xlfn.NUMBERVALUE(Table1[[#This Row],[predicted]])</f>
        <v>64.102282298996002</v>
      </c>
    </row>
    <row r="854" spans="1:111" hidden="1" x14ac:dyDescent="0.25">
      <c r="A854">
        <v>132748</v>
      </c>
      <c r="B854">
        <v>9241</v>
      </c>
      <c r="C854" t="s">
        <v>7418</v>
      </c>
      <c r="D854" t="s">
        <v>3116</v>
      </c>
      <c r="E854">
        <v>2025</v>
      </c>
      <c r="F854">
        <v>998133</v>
      </c>
      <c r="G854" t="s">
        <v>2604</v>
      </c>
      <c r="H854" t="s">
        <v>5590</v>
      </c>
      <c r="I854" t="s">
        <v>201</v>
      </c>
      <c r="J854">
        <v>14</v>
      </c>
      <c r="K854">
        <v>86</v>
      </c>
      <c r="L854">
        <v>68</v>
      </c>
      <c r="M854">
        <v>65</v>
      </c>
      <c r="N854">
        <v>64</v>
      </c>
      <c r="O854">
        <v>87</v>
      </c>
      <c r="P854">
        <v>12</v>
      </c>
      <c r="Q854">
        <v>7</v>
      </c>
      <c r="R854">
        <v>5</v>
      </c>
      <c r="S854">
        <v>5</v>
      </c>
      <c r="T854">
        <v>0</v>
      </c>
      <c r="U854">
        <v>1</v>
      </c>
      <c r="V854">
        <v>0</v>
      </c>
      <c r="W854">
        <v>0</v>
      </c>
      <c r="X854">
        <v>0</v>
      </c>
      <c r="Y854" t="s">
        <v>113</v>
      </c>
      <c r="Z854" t="s">
        <v>525</v>
      </c>
      <c r="AA854" t="s">
        <v>7545</v>
      </c>
      <c r="AE854">
        <v>0</v>
      </c>
      <c r="AH854" t="s">
        <v>118</v>
      </c>
      <c r="AI854">
        <v>7</v>
      </c>
      <c r="AJ854">
        <v>20</v>
      </c>
      <c r="AK854">
        <v>76.150000000000006</v>
      </c>
      <c r="AL854">
        <v>0</v>
      </c>
      <c r="AM854">
        <v>0</v>
      </c>
      <c r="AN854">
        <v>0.31</v>
      </c>
      <c r="AO854">
        <v>0.27</v>
      </c>
      <c r="AS854">
        <v>6</v>
      </c>
      <c r="AT854">
        <v>1</v>
      </c>
      <c r="AU854">
        <v>2</v>
      </c>
      <c r="AV854">
        <v>73</v>
      </c>
      <c r="AW854">
        <v>84</v>
      </c>
      <c r="AX854">
        <v>275</v>
      </c>
      <c r="AY854">
        <v>0</v>
      </c>
      <c r="AZ854" t="b">
        <v>0</v>
      </c>
      <c r="BA854">
        <v>1518</v>
      </c>
      <c r="BB854">
        <v>1780</v>
      </c>
      <c r="BC854">
        <v>6</v>
      </c>
      <c r="BD854" t="s">
        <v>7502</v>
      </c>
      <c r="BE854" s="1" t="s">
        <v>3594</v>
      </c>
      <c r="BF854">
        <v>0</v>
      </c>
      <c r="BG854">
        <v>71</v>
      </c>
      <c r="BH854">
        <v>0</v>
      </c>
      <c r="BI854">
        <v>13</v>
      </c>
      <c r="BJ854" s="1" t="s">
        <v>1829</v>
      </c>
      <c r="BK854" s="1" t="s">
        <v>545</v>
      </c>
      <c r="BL854">
        <v>8.1999999999999993</v>
      </c>
      <c r="BM854" s="1" t="s">
        <v>124</v>
      </c>
      <c r="BN854" s="1" t="s">
        <v>430</v>
      </c>
      <c r="BO854" s="1" t="s">
        <v>211</v>
      </c>
      <c r="BP854" s="1" t="s">
        <v>431</v>
      </c>
      <c r="BQ854">
        <v>0</v>
      </c>
      <c r="BR854">
        <v>0</v>
      </c>
      <c r="BS854" s="1" t="s">
        <v>161</v>
      </c>
      <c r="BT854">
        <v>1</v>
      </c>
      <c r="BU854">
        <v>1</v>
      </c>
      <c r="BV854">
        <v>0.6</v>
      </c>
      <c r="BW854" s="1" t="s">
        <v>129</v>
      </c>
      <c r="BX854" s="1" t="s">
        <v>213</v>
      </c>
      <c r="BY854">
        <v>0</v>
      </c>
      <c r="BZ854">
        <v>0.2</v>
      </c>
      <c r="CA854">
        <v>0</v>
      </c>
      <c r="CB854">
        <v>0</v>
      </c>
      <c r="CC854">
        <v>0.31</v>
      </c>
      <c r="CD854">
        <v>0.31</v>
      </c>
      <c r="CE854">
        <v>0.27</v>
      </c>
      <c r="CF854">
        <v>0.27</v>
      </c>
      <c r="CG854">
        <v>7</v>
      </c>
      <c r="CH854" s="1" t="s">
        <v>680</v>
      </c>
      <c r="CI854" s="1" t="s">
        <v>161</v>
      </c>
      <c r="CJ854">
        <v>2.2000000000000002</v>
      </c>
      <c r="CK854">
        <v>4</v>
      </c>
      <c r="CL854" s="1" t="s">
        <v>373</v>
      </c>
      <c r="CM854" s="1" t="s">
        <v>1053</v>
      </c>
      <c r="CN854" s="1" t="s">
        <v>610</v>
      </c>
      <c r="CO854" s="1" t="s">
        <v>364</v>
      </c>
      <c r="CP854" s="1" t="s">
        <v>241</v>
      </c>
      <c r="CQ854" s="1" t="s">
        <v>7546</v>
      </c>
      <c r="CR854" s="1" t="s">
        <v>7547</v>
      </c>
      <c r="CS854" s="1" t="s">
        <v>7505</v>
      </c>
      <c r="CT854">
        <v>1739</v>
      </c>
      <c r="CU854" s="1" t="s">
        <v>7506</v>
      </c>
      <c r="CV854">
        <v>1545.4</v>
      </c>
      <c r="CW854">
        <v>88.3</v>
      </c>
      <c r="CX854">
        <v>88.1</v>
      </c>
      <c r="CY854">
        <v>86.8</v>
      </c>
      <c r="CZ854" s="1" t="s">
        <v>930</v>
      </c>
      <c r="DA854">
        <v>1</v>
      </c>
      <c r="DB854" t="s">
        <v>525</v>
      </c>
      <c r="DC854">
        <v>68</v>
      </c>
      <c r="DD854">
        <v>83.365019115423493</v>
      </c>
      <c r="DE854">
        <v>-15.365019115423401</v>
      </c>
      <c r="DF854" t="e">
        <f>_xlfn.XLOOKUP(Table1[[#This Row],[Player ID]],Table2[feed_id],Table2[trade_status])</f>
        <v>#N/A</v>
      </c>
      <c r="DG854">
        <f>_xlfn.NUMBERVALUE(Table1[[#This Row],[predicted]])</f>
        <v>83.365019115423493</v>
      </c>
    </row>
    <row r="855" spans="1:111" x14ac:dyDescent="0.25">
      <c r="A855">
        <v>132612</v>
      </c>
      <c r="B855">
        <v>9238</v>
      </c>
      <c r="C855" t="s">
        <v>6865</v>
      </c>
      <c r="D855" t="s">
        <v>3116</v>
      </c>
      <c r="E855">
        <v>2025</v>
      </c>
      <c r="F855">
        <v>1003203</v>
      </c>
      <c r="G855" t="s">
        <v>2868</v>
      </c>
      <c r="H855" t="s">
        <v>4984</v>
      </c>
      <c r="I855" t="s">
        <v>338</v>
      </c>
      <c r="J855">
        <v>20</v>
      </c>
      <c r="K855">
        <v>69</v>
      </c>
      <c r="L855">
        <v>55</v>
      </c>
      <c r="M855">
        <v>56</v>
      </c>
      <c r="N855">
        <v>60</v>
      </c>
      <c r="O855">
        <v>71</v>
      </c>
      <c r="P855">
        <v>7</v>
      </c>
      <c r="Q855">
        <v>3</v>
      </c>
      <c r="R855">
        <v>6</v>
      </c>
      <c r="S855">
        <v>1</v>
      </c>
      <c r="T855">
        <v>2</v>
      </c>
      <c r="U855">
        <v>0</v>
      </c>
      <c r="V855">
        <v>0</v>
      </c>
      <c r="W855">
        <v>3</v>
      </c>
      <c r="X855">
        <v>0</v>
      </c>
      <c r="Y855" t="s">
        <v>113</v>
      </c>
      <c r="Z855" t="s">
        <v>656</v>
      </c>
      <c r="AA855" t="s">
        <v>7000</v>
      </c>
      <c r="AH855" t="s">
        <v>155</v>
      </c>
      <c r="AI855">
        <v>2</v>
      </c>
      <c r="AJ855">
        <v>0</v>
      </c>
      <c r="AK855">
        <v>0</v>
      </c>
      <c r="AL855">
        <v>0</v>
      </c>
      <c r="AM855">
        <v>1.1499999999999999</v>
      </c>
      <c r="AN855">
        <v>0.71</v>
      </c>
      <c r="AO855">
        <v>0.62</v>
      </c>
      <c r="AS855">
        <v>1</v>
      </c>
      <c r="AT855">
        <v>0</v>
      </c>
      <c r="AU855">
        <v>3</v>
      </c>
      <c r="AV855">
        <v>80</v>
      </c>
      <c r="AW855">
        <v>76</v>
      </c>
      <c r="AX855">
        <v>194</v>
      </c>
      <c r="AY855">
        <v>0</v>
      </c>
      <c r="AZ855" t="b">
        <v>0</v>
      </c>
      <c r="BA855">
        <v>1741</v>
      </c>
      <c r="BB855">
        <v>1546</v>
      </c>
      <c r="BC855">
        <v>6</v>
      </c>
      <c r="BD855" t="s">
        <v>6968</v>
      </c>
      <c r="BE855" s="1" t="s">
        <v>3594</v>
      </c>
      <c r="BF855">
        <v>0</v>
      </c>
      <c r="BG855">
        <v>71</v>
      </c>
      <c r="BH855">
        <v>0</v>
      </c>
      <c r="BI855" s="1" t="s">
        <v>124</v>
      </c>
      <c r="BJ855" s="1" t="s">
        <v>398</v>
      </c>
      <c r="BK855" s="1" t="s">
        <v>138</v>
      </c>
      <c r="BL855">
        <v>4.2</v>
      </c>
      <c r="BM855" s="1" t="s">
        <v>138</v>
      </c>
      <c r="BN855" s="1" t="s">
        <v>781</v>
      </c>
      <c r="BO855" s="1" t="s">
        <v>159</v>
      </c>
      <c r="BP855" s="1" t="s">
        <v>375</v>
      </c>
      <c r="BQ855" s="1" t="s">
        <v>161</v>
      </c>
      <c r="BR855" s="1" t="s">
        <v>752</v>
      </c>
      <c r="BS855" s="1" t="s">
        <v>129</v>
      </c>
      <c r="BT855" s="1" t="s">
        <v>130</v>
      </c>
      <c r="BU855" s="1" t="s">
        <v>129</v>
      </c>
      <c r="BV855" s="1" t="s">
        <v>130</v>
      </c>
      <c r="BW855">
        <v>2</v>
      </c>
      <c r="BX855">
        <v>1.2</v>
      </c>
      <c r="BY855" s="1" t="s">
        <v>129</v>
      </c>
      <c r="BZ855">
        <v>0.6</v>
      </c>
      <c r="CA855">
        <v>1.1499999999999999</v>
      </c>
      <c r="CB855">
        <v>1.1499999999999999</v>
      </c>
      <c r="CC855">
        <v>0.71</v>
      </c>
      <c r="CD855">
        <v>0.71</v>
      </c>
      <c r="CE855">
        <v>0.62</v>
      </c>
      <c r="CF855">
        <v>0.62</v>
      </c>
      <c r="CG855" s="1" t="s">
        <v>138</v>
      </c>
      <c r="CH855" s="1" t="s">
        <v>160</v>
      </c>
      <c r="CI855">
        <v>0</v>
      </c>
      <c r="CJ855" s="1" t="s">
        <v>238</v>
      </c>
      <c r="CK855">
        <v>2</v>
      </c>
      <c r="CL855" s="1" t="s">
        <v>214</v>
      </c>
      <c r="CM855" s="1" t="s">
        <v>610</v>
      </c>
      <c r="CN855" s="1" t="s">
        <v>610</v>
      </c>
      <c r="CO855" s="1" t="s">
        <v>683</v>
      </c>
      <c r="CP855">
        <v>78</v>
      </c>
      <c r="CQ855" s="1" t="s">
        <v>7001</v>
      </c>
      <c r="CR855" s="1" t="s">
        <v>7002</v>
      </c>
      <c r="CS855" s="1" t="s">
        <v>6970</v>
      </c>
      <c r="CT855" s="1" t="s">
        <v>7003</v>
      </c>
      <c r="CU855">
        <v>1683</v>
      </c>
      <c r="CV855">
        <v>1661.2</v>
      </c>
      <c r="CW855">
        <v>64.099999999999994</v>
      </c>
      <c r="CX855">
        <v>58.4</v>
      </c>
      <c r="CY855">
        <v>60.2</v>
      </c>
      <c r="CZ855" s="1" t="s">
        <v>1166</v>
      </c>
      <c r="DA855">
        <v>1</v>
      </c>
      <c r="DB855" t="s">
        <v>656</v>
      </c>
      <c r="DC855">
        <v>55</v>
      </c>
      <c r="DD855" s="1" t="s">
        <v>7004</v>
      </c>
      <c r="DE855">
        <v>-8.9592597452690601</v>
      </c>
      <c r="DF855" t="str">
        <f>_xlfn.XLOOKUP(Table1[[#This Row],[Player ID]],Table2[feed_id],Table2[trade_status])</f>
        <v>free_agent</v>
      </c>
      <c r="DG855">
        <f>_xlfn.NUMBERVALUE(Table1[[#This Row],[predicted]])</f>
        <v>63.959259745269001</v>
      </c>
    </row>
    <row r="856" spans="1:111" x14ac:dyDescent="0.25">
      <c r="A856">
        <v>132597</v>
      </c>
      <c r="B856">
        <v>9238</v>
      </c>
      <c r="C856" t="s">
        <v>6865</v>
      </c>
      <c r="D856" t="s">
        <v>3116</v>
      </c>
      <c r="E856">
        <v>2025</v>
      </c>
      <c r="F856">
        <v>298288</v>
      </c>
      <c r="G856" t="s">
        <v>3105</v>
      </c>
      <c r="H856" t="s">
        <v>6944</v>
      </c>
      <c r="I856" t="s">
        <v>112</v>
      </c>
      <c r="J856">
        <v>8</v>
      </c>
      <c r="K856">
        <v>55</v>
      </c>
      <c r="L856">
        <v>84</v>
      </c>
      <c r="M856">
        <v>69</v>
      </c>
      <c r="N856">
        <v>42</v>
      </c>
      <c r="O856">
        <v>60</v>
      </c>
      <c r="P856">
        <v>3</v>
      </c>
      <c r="Q856">
        <v>11</v>
      </c>
      <c r="R856">
        <v>1</v>
      </c>
      <c r="S856">
        <v>5</v>
      </c>
      <c r="T856">
        <v>0</v>
      </c>
      <c r="U856">
        <v>1</v>
      </c>
      <c r="V856">
        <v>0</v>
      </c>
      <c r="W856">
        <v>0</v>
      </c>
      <c r="X856">
        <v>0</v>
      </c>
      <c r="Y856" t="s">
        <v>113</v>
      </c>
      <c r="Z856" t="s">
        <v>179</v>
      </c>
      <c r="AA856" t="s">
        <v>6945</v>
      </c>
      <c r="AE856">
        <v>0</v>
      </c>
      <c r="AH856" t="s">
        <v>181</v>
      </c>
      <c r="AI856">
        <v>30</v>
      </c>
      <c r="AJ856">
        <v>7</v>
      </c>
      <c r="AK856">
        <v>41.71</v>
      </c>
      <c r="AL856">
        <v>0</v>
      </c>
      <c r="AM856">
        <v>0</v>
      </c>
      <c r="AN856">
        <v>0.65</v>
      </c>
      <c r="AO856">
        <v>1.93</v>
      </c>
      <c r="AS856">
        <v>10</v>
      </c>
      <c r="AT856">
        <v>1</v>
      </c>
      <c r="AU856">
        <v>2</v>
      </c>
      <c r="AV856">
        <v>85</v>
      </c>
      <c r="AW856">
        <v>96</v>
      </c>
      <c r="AX856">
        <v>107</v>
      </c>
      <c r="AY856">
        <v>0</v>
      </c>
      <c r="AZ856" t="b">
        <v>0</v>
      </c>
      <c r="BA856">
        <v>1546</v>
      </c>
      <c r="BB856">
        <v>1741</v>
      </c>
      <c r="BC856">
        <v>6</v>
      </c>
      <c r="BD856" t="s">
        <v>6869</v>
      </c>
      <c r="BE856" s="1" t="s">
        <v>3594</v>
      </c>
      <c r="BF856">
        <v>0</v>
      </c>
      <c r="BG856">
        <v>71</v>
      </c>
      <c r="BH856">
        <v>1</v>
      </c>
      <c r="BI856" s="1" t="s">
        <v>397</v>
      </c>
      <c r="BJ856">
        <v>7</v>
      </c>
      <c r="BK856">
        <v>9</v>
      </c>
      <c r="BL856" s="1" t="s">
        <v>963</v>
      </c>
      <c r="BM856">
        <v>3</v>
      </c>
      <c r="BN856">
        <v>3.8</v>
      </c>
      <c r="BO856" s="1" t="s">
        <v>169</v>
      </c>
      <c r="BP856" s="1" t="s">
        <v>161</v>
      </c>
      <c r="BQ856">
        <v>0</v>
      </c>
      <c r="BR856">
        <v>6.6666666666666596E-2</v>
      </c>
      <c r="BS856" s="1" t="s">
        <v>126</v>
      </c>
      <c r="BT856" s="1" t="s">
        <v>238</v>
      </c>
      <c r="BU856" s="1" t="s">
        <v>128</v>
      </c>
      <c r="BV856" s="1" t="s">
        <v>162</v>
      </c>
      <c r="BW856">
        <v>0</v>
      </c>
      <c r="BX856">
        <v>0</v>
      </c>
      <c r="BY856" s="1" t="s">
        <v>129</v>
      </c>
      <c r="BZ856">
        <v>6.6666666666666596E-2</v>
      </c>
      <c r="CA856">
        <v>0</v>
      </c>
      <c r="CB856">
        <v>0</v>
      </c>
      <c r="CC856">
        <v>0.65</v>
      </c>
      <c r="CD856">
        <v>0.65</v>
      </c>
      <c r="CE856">
        <v>1.93</v>
      </c>
      <c r="CF856">
        <v>1.93</v>
      </c>
      <c r="CG856" s="1" t="s">
        <v>137</v>
      </c>
      <c r="CH856" s="1" t="s">
        <v>449</v>
      </c>
      <c r="CI856" s="1" t="s">
        <v>129</v>
      </c>
      <c r="CJ856">
        <v>0.2</v>
      </c>
      <c r="CK856" s="1" t="s">
        <v>161</v>
      </c>
      <c r="CL856" s="1" t="s">
        <v>304</v>
      </c>
      <c r="CM856" s="1" t="s">
        <v>516</v>
      </c>
      <c r="CN856" s="1" t="s">
        <v>6946</v>
      </c>
      <c r="CO856" s="1" t="s">
        <v>995</v>
      </c>
      <c r="CP856">
        <v>94.6</v>
      </c>
      <c r="CQ856" s="1" t="s">
        <v>3471</v>
      </c>
      <c r="CR856">
        <v>224.8</v>
      </c>
      <c r="CS856">
        <v>1729</v>
      </c>
      <c r="CT856">
        <v>1607.2</v>
      </c>
      <c r="CU856" s="1" t="s">
        <v>5214</v>
      </c>
      <c r="CV856" s="1" t="s">
        <v>6947</v>
      </c>
      <c r="CW856">
        <v>77</v>
      </c>
      <c r="CX856">
        <v>84.1</v>
      </c>
      <c r="CY856">
        <v>80.2</v>
      </c>
      <c r="CZ856" s="1" t="s">
        <v>406</v>
      </c>
      <c r="DA856">
        <v>1</v>
      </c>
      <c r="DB856" t="s">
        <v>179</v>
      </c>
      <c r="DC856">
        <v>84</v>
      </c>
      <c r="DD856" s="1" t="s">
        <v>6948</v>
      </c>
      <c r="DE856" s="1" t="s">
        <v>6949</v>
      </c>
      <c r="DF856" t="str">
        <f>_xlfn.XLOOKUP(Table1[[#This Row],[Player ID]],Table2[feed_id],Table2[trade_status])</f>
        <v>free_agent</v>
      </c>
      <c r="DG856">
        <f>_xlfn.NUMBERVALUE(Table1[[#This Row],[predicted]])</f>
        <v>63.916278896496799</v>
      </c>
    </row>
    <row r="857" spans="1:111" x14ac:dyDescent="0.25">
      <c r="A857">
        <v>132771</v>
      </c>
      <c r="B857">
        <v>9242</v>
      </c>
      <c r="C857" t="s">
        <v>7597</v>
      </c>
      <c r="D857" t="s">
        <v>3116</v>
      </c>
      <c r="E857">
        <v>2025</v>
      </c>
      <c r="F857">
        <v>1005330</v>
      </c>
      <c r="G857" t="s">
        <v>2617</v>
      </c>
      <c r="H857" t="s">
        <v>7654</v>
      </c>
      <c r="I857" t="s">
        <v>291</v>
      </c>
      <c r="J857">
        <v>15</v>
      </c>
      <c r="K857">
        <v>63</v>
      </c>
      <c r="L857">
        <v>56</v>
      </c>
      <c r="M857">
        <v>85</v>
      </c>
      <c r="N857">
        <v>44</v>
      </c>
      <c r="O857">
        <v>60</v>
      </c>
      <c r="P857">
        <v>7</v>
      </c>
      <c r="Q857">
        <v>4</v>
      </c>
      <c r="R857">
        <v>3</v>
      </c>
      <c r="S857">
        <v>6</v>
      </c>
      <c r="T857">
        <v>0</v>
      </c>
      <c r="U857">
        <v>1</v>
      </c>
      <c r="V857">
        <v>0</v>
      </c>
      <c r="W857">
        <v>0</v>
      </c>
      <c r="X857">
        <v>0</v>
      </c>
      <c r="Y857" t="s">
        <v>113</v>
      </c>
      <c r="Z857" t="s">
        <v>525</v>
      </c>
      <c r="AA857" t="s">
        <v>7655</v>
      </c>
      <c r="AH857" t="s">
        <v>155</v>
      </c>
      <c r="AI857">
        <v>37</v>
      </c>
      <c r="AJ857">
        <v>0</v>
      </c>
      <c r="AK857">
        <v>0</v>
      </c>
      <c r="AL857">
        <v>0</v>
      </c>
      <c r="AM857">
        <v>0.18</v>
      </c>
      <c r="AN857">
        <v>0.1</v>
      </c>
      <c r="AO857">
        <v>0.15</v>
      </c>
      <c r="AS857">
        <v>5</v>
      </c>
      <c r="AT857">
        <v>0</v>
      </c>
      <c r="AU857">
        <v>0</v>
      </c>
      <c r="AV857">
        <v>45</v>
      </c>
      <c r="AW857">
        <v>93</v>
      </c>
      <c r="AX857">
        <v>153</v>
      </c>
      <c r="AY857">
        <v>0</v>
      </c>
      <c r="AZ857" t="b">
        <v>0</v>
      </c>
      <c r="BA857">
        <v>1764</v>
      </c>
      <c r="BB857">
        <v>1522</v>
      </c>
      <c r="BC857">
        <v>6</v>
      </c>
      <c r="BD857" t="s">
        <v>7599</v>
      </c>
      <c r="BE857" s="1" t="s">
        <v>3594</v>
      </c>
      <c r="BF857">
        <v>0</v>
      </c>
      <c r="BG857">
        <v>71</v>
      </c>
      <c r="BH857">
        <v>0</v>
      </c>
      <c r="BI857" s="1" t="s">
        <v>253</v>
      </c>
      <c r="BJ857" s="1" t="s">
        <v>498</v>
      </c>
      <c r="BK857" s="1" t="s">
        <v>211</v>
      </c>
      <c r="BL857" s="1" t="s">
        <v>205</v>
      </c>
      <c r="BM857" s="1" t="s">
        <v>125</v>
      </c>
      <c r="BN857" s="1" t="s">
        <v>321</v>
      </c>
      <c r="BO857" s="1" t="s">
        <v>125</v>
      </c>
      <c r="BP857" s="1" t="s">
        <v>189</v>
      </c>
      <c r="BQ857">
        <v>0</v>
      </c>
      <c r="BR857">
        <v>0</v>
      </c>
      <c r="BS857" s="1" t="s">
        <v>128</v>
      </c>
      <c r="BT857" s="1" t="s">
        <v>130</v>
      </c>
      <c r="BU857" s="1" t="s">
        <v>128</v>
      </c>
      <c r="BV857" s="1" t="s">
        <v>130</v>
      </c>
      <c r="BW857" s="1" t="s">
        <v>129</v>
      </c>
      <c r="BX857">
        <v>0.8</v>
      </c>
      <c r="BY857">
        <v>0</v>
      </c>
      <c r="BZ857" s="1" t="s">
        <v>184</v>
      </c>
      <c r="CA857">
        <v>0.18</v>
      </c>
      <c r="CB857">
        <v>0.18</v>
      </c>
      <c r="CC857">
        <v>0.1</v>
      </c>
      <c r="CD857">
        <v>0.1</v>
      </c>
      <c r="CE857">
        <v>0.15</v>
      </c>
      <c r="CF857">
        <v>0.15</v>
      </c>
      <c r="CG857">
        <v>4</v>
      </c>
      <c r="CH857">
        <v>4.5999999999999996</v>
      </c>
      <c r="CI857">
        <v>0</v>
      </c>
      <c r="CJ857">
        <v>0.8</v>
      </c>
      <c r="CK857" s="1" t="s">
        <v>161</v>
      </c>
      <c r="CL857">
        <v>1.8</v>
      </c>
      <c r="CM857">
        <v>67</v>
      </c>
      <c r="CN857">
        <v>75.599999999999994</v>
      </c>
      <c r="CO857" s="1" t="s">
        <v>1013</v>
      </c>
      <c r="CP857" s="1" t="s">
        <v>1259</v>
      </c>
      <c r="CQ857" s="1" t="s">
        <v>7656</v>
      </c>
      <c r="CR857">
        <v>225.6</v>
      </c>
      <c r="CS857" s="1" t="s">
        <v>2460</v>
      </c>
      <c r="CT857" s="1" t="s">
        <v>805</v>
      </c>
      <c r="CU857" s="1" t="s">
        <v>7601</v>
      </c>
      <c r="CV857" s="1" t="s">
        <v>2071</v>
      </c>
      <c r="CW857">
        <v>64.95</v>
      </c>
      <c r="CX857">
        <v>72.3</v>
      </c>
      <c r="CY857">
        <v>77.400000000000006</v>
      </c>
      <c r="CZ857">
        <v>55</v>
      </c>
      <c r="DA857">
        <v>1</v>
      </c>
      <c r="DB857" t="s">
        <v>525</v>
      </c>
      <c r="DC857">
        <v>56</v>
      </c>
      <c r="DD857" s="1" t="s">
        <v>7657</v>
      </c>
      <c r="DE857">
        <v>-7.9057724551287496</v>
      </c>
      <c r="DF857" t="str">
        <f>_xlfn.XLOOKUP(Table1[[#This Row],[Player ID]],Table2[feed_id],Table2[trade_status])</f>
        <v>free_agent</v>
      </c>
      <c r="DG857">
        <f>_xlfn.NUMBERVALUE(Table1[[#This Row],[predicted]])</f>
        <v>63.905772455128698</v>
      </c>
    </row>
    <row r="858" spans="1:111" x14ac:dyDescent="0.25">
      <c r="A858">
        <v>132595</v>
      </c>
      <c r="B858">
        <v>9238</v>
      </c>
      <c r="C858" t="s">
        <v>6865</v>
      </c>
      <c r="D858" t="s">
        <v>3116</v>
      </c>
      <c r="E858">
        <v>2025</v>
      </c>
      <c r="F858">
        <v>1006148</v>
      </c>
      <c r="G858" t="s">
        <v>6936</v>
      </c>
      <c r="H858" t="s">
        <v>1378</v>
      </c>
      <c r="I858" t="s">
        <v>112</v>
      </c>
      <c r="J858">
        <v>14</v>
      </c>
      <c r="K858">
        <v>57</v>
      </c>
      <c r="L858">
        <v>86</v>
      </c>
      <c r="M858">
        <v>67</v>
      </c>
      <c r="N858">
        <v>48</v>
      </c>
      <c r="O858">
        <v>61</v>
      </c>
      <c r="P858">
        <v>7</v>
      </c>
      <c r="Q858">
        <v>5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3</v>
      </c>
      <c r="X858">
        <v>1</v>
      </c>
      <c r="Y858" t="s">
        <v>113</v>
      </c>
      <c r="Z858" t="s">
        <v>861</v>
      </c>
      <c r="AA858" t="s">
        <v>6937</v>
      </c>
      <c r="AH858" t="s">
        <v>155</v>
      </c>
      <c r="AI858">
        <v>23</v>
      </c>
      <c r="AJ858">
        <v>0</v>
      </c>
      <c r="AK858">
        <v>0</v>
      </c>
      <c r="AL858">
        <v>0</v>
      </c>
      <c r="AM858">
        <v>0.57999999999999996</v>
      </c>
      <c r="AN858">
        <v>0.86</v>
      </c>
      <c r="AO858">
        <v>1.73</v>
      </c>
      <c r="AS858">
        <v>7</v>
      </c>
      <c r="AT858">
        <v>1</v>
      </c>
      <c r="AU858">
        <v>1</v>
      </c>
      <c r="AV858">
        <v>75</v>
      </c>
      <c r="AW858">
        <v>73</v>
      </c>
      <c r="AX858">
        <v>277</v>
      </c>
      <c r="AY858">
        <v>0</v>
      </c>
      <c r="AZ858" t="b">
        <v>0</v>
      </c>
      <c r="BA858">
        <v>1546</v>
      </c>
      <c r="BB858">
        <v>1741</v>
      </c>
      <c r="BC858">
        <v>6</v>
      </c>
      <c r="BD858" t="s">
        <v>6869</v>
      </c>
      <c r="BE858" s="1" t="s">
        <v>3594</v>
      </c>
      <c r="BF858">
        <v>0</v>
      </c>
      <c r="BG858">
        <v>71</v>
      </c>
      <c r="BH858">
        <v>1</v>
      </c>
      <c r="BI858" s="1" t="s">
        <v>449</v>
      </c>
      <c r="BJ858" s="1" t="s">
        <v>1442</v>
      </c>
      <c r="BK858" s="1" t="s">
        <v>138</v>
      </c>
      <c r="BL858" s="1" t="s">
        <v>237</v>
      </c>
      <c r="BM858" s="1" t="s">
        <v>126</v>
      </c>
      <c r="BN858" s="1" t="s">
        <v>138</v>
      </c>
      <c r="BO858" s="1" t="s">
        <v>169</v>
      </c>
      <c r="BP858" s="1" t="s">
        <v>375</v>
      </c>
      <c r="BQ858">
        <v>0</v>
      </c>
      <c r="BR858">
        <v>0</v>
      </c>
      <c r="BS858" s="1" t="s">
        <v>126</v>
      </c>
      <c r="BT858" s="1" t="s">
        <v>231</v>
      </c>
      <c r="BU858" s="1" t="s">
        <v>128</v>
      </c>
      <c r="BV858" s="1" t="s">
        <v>127</v>
      </c>
      <c r="BW858" s="1" t="s">
        <v>161</v>
      </c>
      <c r="BX858" s="1" t="s">
        <v>327</v>
      </c>
      <c r="BY858">
        <v>1</v>
      </c>
      <c r="BZ858" s="1" t="s">
        <v>257</v>
      </c>
      <c r="CA858">
        <v>0.57999999999999996</v>
      </c>
      <c r="CB858">
        <v>0.57999999999999996</v>
      </c>
      <c r="CC858">
        <v>0.86</v>
      </c>
      <c r="CD858">
        <v>0.86</v>
      </c>
      <c r="CE858">
        <v>1.73</v>
      </c>
      <c r="CF858">
        <v>1.73</v>
      </c>
      <c r="CG858">
        <v>5</v>
      </c>
      <c r="CH858">
        <v>4.2</v>
      </c>
      <c r="CI858">
        <v>1</v>
      </c>
      <c r="CJ858" s="1" t="s">
        <v>128</v>
      </c>
      <c r="CK858" s="1" t="s">
        <v>126</v>
      </c>
      <c r="CL858" s="1" t="s">
        <v>373</v>
      </c>
      <c r="CM858" s="1" t="s">
        <v>787</v>
      </c>
      <c r="CN858" s="1" t="s">
        <v>1391</v>
      </c>
      <c r="CO858">
        <v>73</v>
      </c>
      <c r="CP858" s="1" t="s">
        <v>262</v>
      </c>
      <c r="CQ858" s="1" t="s">
        <v>6582</v>
      </c>
      <c r="CR858">
        <v>229</v>
      </c>
      <c r="CS858">
        <v>1729</v>
      </c>
      <c r="CT858" s="1" t="s">
        <v>6015</v>
      </c>
      <c r="CU858" s="1" t="s">
        <v>5214</v>
      </c>
      <c r="CV858" s="1" t="s">
        <v>2023</v>
      </c>
      <c r="CW858">
        <v>64.05</v>
      </c>
      <c r="CX858">
        <v>71.7</v>
      </c>
      <c r="CY858">
        <v>60.4</v>
      </c>
      <c r="CZ858" s="1" t="s">
        <v>772</v>
      </c>
      <c r="DA858">
        <v>1</v>
      </c>
      <c r="DB858" t="s">
        <v>861</v>
      </c>
      <c r="DC858">
        <v>86</v>
      </c>
      <c r="DD858" s="1" t="s">
        <v>6938</v>
      </c>
      <c r="DE858" s="1" t="s">
        <v>6939</v>
      </c>
      <c r="DF858" t="str">
        <f>_xlfn.XLOOKUP(Table1[[#This Row],[Player ID]],Table2[feed_id],Table2[trade_status])</f>
        <v>free_agent</v>
      </c>
      <c r="DG858">
        <f>_xlfn.NUMBERVALUE(Table1[[#This Row],[predicted]])</f>
        <v>63.903659272844301</v>
      </c>
    </row>
    <row r="859" spans="1:111" hidden="1" x14ac:dyDescent="0.25">
      <c r="A859">
        <v>132753</v>
      </c>
      <c r="B859">
        <v>9241</v>
      </c>
      <c r="C859" t="s">
        <v>7418</v>
      </c>
      <c r="D859" t="s">
        <v>3116</v>
      </c>
      <c r="E859">
        <v>2025</v>
      </c>
      <c r="F859">
        <v>1005521</v>
      </c>
      <c r="G859" t="s">
        <v>5141</v>
      </c>
      <c r="H859" t="s">
        <v>6200</v>
      </c>
      <c r="I859" t="s">
        <v>201</v>
      </c>
      <c r="J859">
        <v>26</v>
      </c>
      <c r="K859">
        <v>62</v>
      </c>
      <c r="L859">
        <v>48</v>
      </c>
      <c r="M859">
        <v>54</v>
      </c>
      <c r="N859">
        <v>60</v>
      </c>
      <c r="O859">
        <v>73</v>
      </c>
      <c r="P859">
        <v>4</v>
      </c>
      <c r="Q859">
        <v>4</v>
      </c>
      <c r="R859">
        <v>0</v>
      </c>
      <c r="S859">
        <v>2</v>
      </c>
      <c r="T859">
        <v>43</v>
      </c>
      <c r="U859">
        <v>0</v>
      </c>
      <c r="V859">
        <v>3</v>
      </c>
      <c r="W859">
        <v>0</v>
      </c>
      <c r="X859">
        <v>0</v>
      </c>
      <c r="Y859" t="s">
        <v>113</v>
      </c>
      <c r="Z859" t="s">
        <v>602</v>
      </c>
      <c r="AA859" t="s">
        <v>6741</v>
      </c>
      <c r="AE859">
        <v>0</v>
      </c>
      <c r="AH859" t="s">
        <v>274</v>
      </c>
      <c r="AI859">
        <v>46</v>
      </c>
      <c r="AJ859">
        <v>15</v>
      </c>
      <c r="AK859">
        <v>53.2</v>
      </c>
      <c r="AL859">
        <v>0</v>
      </c>
      <c r="AM859">
        <v>0</v>
      </c>
      <c r="AN859">
        <v>0.5</v>
      </c>
      <c r="AO859">
        <v>0.51</v>
      </c>
      <c r="AS859">
        <v>6</v>
      </c>
      <c r="AT859">
        <v>4</v>
      </c>
      <c r="AU859">
        <v>5</v>
      </c>
      <c r="AV859">
        <v>75</v>
      </c>
      <c r="AW859">
        <v>81</v>
      </c>
      <c r="AX859">
        <v>48</v>
      </c>
      <c r="AY859">
        <v>0</v>
      </c>
      <c r="AZ859" t="b">
        <v>0</v>
      </c>
      <c r="BA859">
        <v>1518</v>
      </c>
      <c r="BB859">
        <v>1780</v>
      </c>
      <c r="BC859">
        <v>6</v>
      </c>
      <c r="BD859" t="s">
        <v>7502</v>
      </c>
      <c r="BE859" s="1" t="s">
        <v>3594</v>
      </c>
      <c r="BF859">
        <v>0</v>
      </c>
      <c r="BG859">
        <v>71</v>
      </c>
      <c r="BH859">
        <v>0</v>
      </c>
      <c r="BI859">
        <v>5</v>
      </c>
      <c r="BJ859" s="1" t="s">
        <v>358</v>
      </c>
      <c r="BK859" s="1" t="s">
        <v>124</v>
      </c>
      <c r="BL859">
        <v>5.6</v>
      </c>
      <c r="BM859">
        <v>1</v>
      </c>
      <c r="BN859" s="1" t="s">
        <v>159</v>
      </c>
      <c r="BO859" s="1" t="s">
        <v>138</v>
      </c>
      <c r="BP859" s="1" t="s">
        <v>255</v>
      </c>
      <c r="BQ859" s="1" t="s">
        <v>807</v>
      </c>
      <c r="BR859">
        <v>32.799999999999997</v>
      </c>
      <c r="BS859" s="1" t="s">
        <v>161</v>
      </c>
      <c r="BT859" s="1" t="s">
        <v>206</v>
      </c>
      <c r="BU859" s="1" t="s">
        <v>161</v>
      </c>
      <c r="BV859" s="1" t="s">
        <v>162</v>
      </c>
      <c r="BW859">
        <v>0</v>
      </c>
      <c r="BX859" s="1" t="s">
        <v>184</v>
      </c>
      <c r="BY859">
        <v>0</v>
      </c>
      <c r="BZ859">
        <v>0.2</v>
      </c>
      <c r="CA859">
        <v>0</v>
      </c>
      <c r="CB859">
        <v>0</v>
      </c>
      <c r="CC859">
        <v>0.5</v>
      </c>
      <c r="CD859">
        <v>0.5</v>
      </c>
      <c r="CE859">
        <v>0.51</v>
      </c>
      <c r="CF859">
        <v>0.51</v>
      </c>
      <c r="CG859" s="1" t="s">
        <v>183</v>
      </c>
      <c r="CH859">
        <v>9.8000000000000007</v>
      </c>
      <c r="CI859" s="1" t="s">
        <v>124</v>
      </c>
      <c r="CJ859" s="1" t="s">
        <v>374</v>
      </c>
      <c r="CK859">
        <v>3</v>
      </c>
      <c r="CL859" s="1" t="s">
        <v>431</v>
      </c>
      <c r="CM859" s="1" t="s">
        <v>263</v>
      </c>
      <c r="CN859" s="1" t="s">
        <v>7575</v>
      </c>
      <c r="CO859" s="1" t="s">
        <v>516</v>
      </c>
      <c r="CP859" s="1" t="s">
        <v>364</v>
      </c>
      <c r="CQ859" s="1" t="s">
        <v>5156</v>
      </c>
      <c r="CR859">
        <v>220.4</v>
      </c>
      <c r="CS859" s="1" t="s">
        <v>7505</v>
      </c>
      <c r="CT859">
        <v>1713.6</v>
      </c>
      <c r="CU859" s="1" t="s">
        <v>7506</v>
      </c>
      <c r="CV859">
        <v>1570.8</v>
      </c>
      <c r="CW859">
        <v>94.7</v>
      </c>
      <c r="CX859">
        <v>86.3</v>
      </c>
      <c r="CY859">
        <v>70.8</v>
      </c>
      <c r="CZ859" s="1" t="s">
        <v>215</v>
      </c>
      <c r="DA859">
        <v>1</v>
      </c>
      <c r="DB859" t="s">
        <v>602</v>
      </c>
      <c r="DC859">
        <v>48</v>
      </c>
      <c r="DD859" s="1" t="s">
        <v>7576</v>
      </c>
      <c r="DE859">
        <v>-47.049360892278898</v>
      </c>
      <c r="DF859" t="e">
        <f>_xlfn.XLOOKUP(Table1[[#This Row],[Player ID]],Table2[feed_id],Table2[trade_status])</f>
        <v>#N/A</v>
      </c>
      <c r="DG859">
        <f>_xlfn.NUMBERVALUE(Table1[[#This Row],[predicted]])</f>
        <v>95.049360892278898</v>
      </c>
    </row>
    <row r="860" spans="1:111" hidden="1" x14ac:dyDescent="0.25">
      <c r="A860">
        <v>132754</v>
      </c>
      <c r="B860">
        <v>9241</v>
      </c>
      <c r="C860" t="s">
        <v>7418</v>
      </c>
      <c r="D860" t="s">
        <v>3116</v>
      </c>
      <c r="E860">
        <v>2025</v>
      </c>
      <c r="F860">
        <v>1017067</v>
      </c>
      <c r="G860" t="s">
        <v>3105</v>
      </c>
      <c r="H860" t="s">
        <v>7577</v>
      </c>
      <c r="I860" t="s">
        <v>201</v>
      </c>
      <c r="J860">
        <v>13</v>
      </c>
      <c r="K860">
        <v>62</v>
      </c>
      <c r="L860">
        <v>60</v>
      </c>
      <c r="M860">
        <v>34</v>
      </c>
      <c r="N860">
        <v>49</v>
      </c>
      <c r="O860">
        <v>66</v>
      </c>
      <c r="P860">
        <v>11</v>
      </c>
      <c r="Q860">
        <v>5</v>
      </c>
      <c r="R860">
        <v>3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 t="s">
        <v>113</v>
      </c>
      <c r="Z860" t="s">
        <v>226</v>
      </c>
      <c r="AA860" t="s">
        <v>7578</v>
      </c>
      <c r="AH860" t="s">
        <v>181</v>
      </c>
      <c r="AI860">
        <v>44</v>
      </c>
      <c r="AJ860">
        <v>0</v>
      </c>
      <c r="AK860">
        <v>0</v>
      </c>
      <c r="AL860">
        <v>0</v>
      </c>
      <c r="AM860">
        <v>0.57999999999999996</v>
      </c>
      <c r="AN860">
        <v>0.52</v>
      </c>
      <c r="AO860">
        <v>0.64</v>
      </c>
      <c r="AS860">
        <v>4</v>
      </c>
      <c r="AT860">
        <v>1</v>
      </c>
      <c r="AU860">
        <v>2</v>
      </c>
      <c r="AV860">
        <v>75</v>
      </c>
      <c r="AW860">
        <v>83</v>
      </c>
      <c r="AX860">
        <v>309</v>
      </c>
      <c r="AY860">
        <v>0</v>
      </c>
      <c r="AZ860" t="b">
        <v>0</v>
      </c>
      <c r="BA860">
        <v>1518</v>
      </c>
      <c r="BB860">
        <v>1780</v>
      </c>
      <c r="BC860">
        <v>6</v>
      </c>
      <c r="BD860" t="s">
        <v>7502</v>
      </c>
      <c r="BE860" s="1" t="s">
        <v>3594</v>
      </c>
      <c r="BF860">
        <v>0</v>
      </c>
      <c r="BG860">
        <v>71</v>
      </c>
      <c r="BH860">
        <v>0</v>
      </c>
      <c r="BI860">
        <v>15</v>
      </c>
      <c r="BJ860" s="1" t="s">
        <v>297</v>
      </c>
      <c r="BK860">
        <v>5</v>
      </c>
      <c r="BL860" s="1" t="s">
        <v>139</v>
      </c>
      <c r="BM860" s="1" t="s">
        <v>160</v>
      </c>
      <c r="BN860">
        <v>5</v>
      </c>
      <c r="BO860">
        <v>2</v>
      </c>
      <c r="BP860" s="1" t="s">
        <v>206</v>
      </c>
      <c r="BQ860">
        <v>0</v>
      </c>
      <c r="BR860">
        <v>0</v>
      </c>
      <c r="BS860" s="1" t="s">
        <v>128</v>
      </c>
      <c r="BT860" s="1" t="s">
        <v>130</v>
      </c>
      <c r="BU860" s="1" t="s">
        <v>128</v>
      </c>
      <c r="BV860">
        <v>0.8</v>
      </c>
      <c r="BW860" s="1" t="s">
        <v>129</v>
      </c>
      <c r="BX860">
        <v>6.6666666666666596E-2</v>
      </c>
      <c r="BY860">
        <v>0</v>
      </c>
      <c r="BZ860" s="1" t="s">
        <v>184</v>
      </c>
      <c r="CA860">
        <v>0.57999999999999996</v>
      </c>
      <c r="CB860">
        <v>0.57999999999999996</v>
      </c>
      <c r="CC860">
        <v>0.52</v>
      </c>
      <c r="CD860">
        <v>0.52</v>
      </c>
      <c r="CE860">
        <v>0.64</v>
      </c>
      <c r="CF860">
        <v>0.64</v>
      </c>
      <c r="CG860" s="1" t="s">
        <v>204</v>
      </c>
      <c r="CH860" s="1" t="s">
        <v>204</v>
      </c>
      <c r="CI860">
        <v>2</v>
      </c>
      <c r="CJ860" s="1" t="s">
        <v>298</v>
      </c>
      <c r="CK860" s="1" t="s">
        <v>169</v>
      </c>
      <c r="CL860" s="1" t="s">
        <v>373</v>
      </c>
      <c r="CM860">
        <v>73</v>
      </c>
      <c r="CN860" s="1" t="s">
        <v>1806</v>
      </c>
      <c r="CO860">
        <v>83</v>
      </c>
      <c r="CP860">
        <v>81</v>
      </c>
      <c r="CQ860" s="1" t="s">
        <v>7579</v>
      </c>
      <c r="CR860" s="1" t="s">
        <v>7580</v>
      </c>
      <c r="CS860" s="1" t="s">
        <v>7505</v>
      </c>
      <c r="CT860" s="1" t="s">
        <v>2626</v>
      </c>
      <c r="CU860" s="1" t="s">
        <v>7506</v>
      </c>
      <c r="CV860" s="1" t="s">
        <v>3538</v>
      </c>
      <c r="CW860">
        <v>82.3</v>
      </c>
      <c r="CX860">
        <v>75.2</v>
      </c>
      <c r="CY860">
        <v>81.2</v>
      </c>
      <c r="CZ860">
        <v>80</v>
      </c>
      <c r="DA860">
        <v>1</v>
      </c>
      <c r="DB860" t="s">
        <v>226</v>
      </c>
      <c r="DC860">
        <v>60</v>
      </c>
      <c r="DD860" s="1" t="s">
        <v>7581</v>
      </c>
      <c r="DE860">
        <v>-43.150256190450001</v>
      </c>
      <c r="DF860" t="e">
        <f>_xlfn.XLOOKUP(Table1[[#This Row],[Player ID]],Table2[feed_id],Table2[trade_status])</f>
        <v>#N/A</v>
      </c>
      <c r="DG860">
        <f>_xlfn.NUMBERVALUE(Table1[[#This Row],[predicted]])</f>
        <v>103.15025619044999</v>
      </c>
    </row>
    <row r="861" spans="1:111" hidden="1" x14ac:dyDescent="0.25">
      <c r="A861">
        <v>132755</v>
      </c>
      <c r="B861">
        <v>9241</v>
      </c>
      <c r="C861" t="s">
        <v>7418</v>
      </c>
      <c r="D861" t="s">
        <v>3116</v>
      </c>
      <c r="E861">
        <v>2025</v>
      </c>
      <c r="F861">
        <v>1002235</v>
      </c>
      <c r="G861" t="s">
        <v>2273</v>
      </c>
      <c r="H861" t="s">
        <v>7582</v>
      </c>
      <c r="I861" t="s">
        <v>201</v>
      </c>
      <c r="J861">
        <v>10</v>
      </c>
      <c r="K861">
        <v>59</v>
      </c>
      <c r="L861">
        <v>70</v>
      </c>
      <c r="M861">
        <v>40</v>
      </c>
      <c r="N861">
        <v>51</v>
      </c>
      <c r="O861">
        <v>67</v>
      </c>
      <c r="P861">
        <v>8</v>
      </c>
      <c r="Q861">
        <v>6</v>
      </c>
      <c r="R861">
        <v>3</v>
      </c>
      <c r="S861">
        <v>1</v>
      </c>
      <c r="T861">
        <v>0</v>
      </c>
      <c r="U861">
        <v>0</v>
      </c>
      <c r="V861">
        <v>1</v>
      </c>
      <c r="W861">
        <v>2</v>
      </c>
      <c r="X861">
        <v>1</v>
      </c>
      <c r="Y861" t="s">
        <v>113</v>
      </c>
      <c r="Z861" t="s">
        <v>5826</v>
      </c>
      <c r="AA861" t="s">
        <v>7583</v>
      </c>
      <c r="AE861">
        <v>0</v>
      </c>
      <c r="AI861">
        <v>16</v>
      </c>
      <c r="AJ861">
        <v>21</v>
      </c>
      <c r="AK861">
        <v>58.81</v>
      </c>
      <c r="AL861">
        <v>0</v>
      </c>
      <c r="AM861">
        <v>0</v>
      </c>
      <c r="AN861">
        <v>0.75</v>
      </c>
      <c r="AO861">
        <v>0.8</v>
      </c>
      <c r="AS861">
        <v>6</v>
      </c>
      <c r="AT861">
        <v>2</v>
      </c>
      <c r="AU861">
        <v>2</v>
      </c>
      <c r="AV861">
        <v>57</v>
      </c>
      <c r="AW861">
        <v>90</v>
      </c>
      <c r="AX861">
        <v>259</v>
      </c>
      <c r="AY861">
        <v>0</v>
      </c>
      <c r="AZ861" t="b">
        <v>0</v>
      </c>
      <c r="BA861">
        <v>1518</v>
      </c>
      <c r="BB861">
        <v>1780</v>
      </c>
      <c r="BC861">
        <v>6</v>
      </c>
      <c r="BD861" t="s">
        <v>7502</v>
      </c>
      <c r="BE861" s="1" t="s">
        <v>3594</v>
      </c>
      <c r="BF861">
        <v>0</v>
      </c>
      <c r="BG861">
        <v>71</v>
      </c>
      <c r="BH861">
        <v>0</v>
      </c>
      <c r="BI861">
        <v>7</v>
      </c>
      <c r="BJ861">
        <v>9</v>
      </c>
      <c r="BK861" s="1" t="s">
        <v>183</v>
      </c>
      <c r="BL861" s="1" t="s">
        <v>729</v>
      </c>
      <c r="BM861">
        <v>3</v>
      </c>
      <c r="BN861" s="1" t="s">
        <v>766</v>
      </c>
      <c r="BO861">
        <v>5</v>
      </c>
      <c r="BP861" s="1" t="s">
        <v>138</v>
      </c>
      <c r="BQ861">
        <v>0</v>
      </c>
      <c r="BR861">
        <v>0</v>
      </c>
      <c r="BS861" s="1" t="s">
        <v>129</v>
      </c>
      <c r="BT861">
        <v>0.6</v>
      </c>
      <c r="BU861">
        <v>1</v>
      </c>
      <c r="BV861" s="1" t="s">
        <v>257</v>
      </c>
      <c r="BW861" s="1" t="s">
        <v>128</v>
      </c>
      <c r="BX861" s="1" t="s">
        <v>298</v>
      </c>
      <c r="BY861" s="1" t="s">
        <v>128</v>
      </c>
      <c r="BZ861" s="1" t="s">
        <v>162</v>
      </c>
      <c r="CA861">
        <v>0</v>
      </c>
      <c r="CB861">
        <v>0</v>
      </c>
      <c r="CC861">
        <v>0.75</v>
      </c>
      <c r="CD861">
        <v>0.75</v>
      </c>
      <c r="CE861">
        <v>0.8</v>
      </c>
      <c r="CF861">
        <v>0.8</v>
      </c>
      <c r="CG861" s="1" t="s">
        <v>124</v>
      </c>
      <c r="CH861" s="1" t="s">
        <v>624</v>
      </c>
      <c r="CI861" s="1" t="s">
        <v>169</v>
      </c>
      <c r="CJ861" s="1" t="s">
        <v>214</v>
      </c>
      <c r="CK861" s="1" t="s">
        <v>159</v>
      </c>
      <c r="CL861">
        <v>3.8</v>
      </c>
      <c r="CM861" s="1" t="s">
        <v>772</v>
      </c>
      <c r="CN861">
        <v>62.2</v>
      </c>
      <c r="CO861" s="1" t="s">
        <v>406</v>
      </c>
      <c r="CP861">
        <v>81.599999999999994</v>
      </c>
      <c r="CQ861" s="1" t="s">
        <v>5796</v>
      </c>
      <c r="CR861">
        <v>315.8</v>
      </c>
      <c r="CS861" s="1" t="s">
        <v>7505</v>
      </c>
      <c r="CT861" s="1" t="s">
        <v>2626</v>
      </c>
      <c r="CU861" s="1" t="s">
        <v>7506</v>
      </c>
      <c r="CV861" s="1" t="s">
        <v>3538</v>
      </c>
      <c r="CW861">
        <v>75.150000000000006</v>
      </c>
      <c r="CX861">
        <v>61.4</v>
      </c>
      <c r="CY861">
        <v>58</v>
      </c>
      <c r="CZ861" s="1" t="s">
        <v>1838</v>
      </c>
      <c r="DA861">
        <v>1</v>
      </c>
      <c r="DB861" t="s">
        <v>5826</v>
      </c>
      <c r="DC861">
        <v>70</v>
      </c>
      <c r="DD861" s="1" t="s">
        <v>7584</v>
      </c>
      <c r="DE861">
        <v>-10.0624820345373</v>
      </c>
      <c r="DF861" t="e">
        <f>_xlfn.XLOOKUP(Table1[[#This Row],[Player ID]],Table2[feed_id],Table2[trade_status])</f>
        <v>#N/A</v>
      </c>
      <c r="DG861">
        <f>_xlfn.NUMBERVALUE(Table1[[#This Row],[predicted]])</f>
        <v>80.062482034537297</v>
      </c>
    </row>
    <row r="862" spans="1:111" x14ac:dyDescent="0.25">
      <c r="A862">
        <v>132569</v>
      </c>
      <c r="B862">
        <v>9237</v>
      </c>
      <c r="C862" t="s">
        <v>6650</v>
      </c>
      <c r="D862" t="s">
        <v>3116</v>
      </c>
      <c r="E862">
        <v>2025</v>
      </c>
      <c r="F862">
        <v>999326</v>
      </c>
      <c r="G862" t="s">
        <v>828</v>
      </c>
      <c r="H862" t="s">
        <v>6829</v>
      </c>
      <c r="I862" t="s">
        <v>1061</v>
      </c>
      <c r="J862">
        <v>11</v>
      </c>
      <c r="K862">
        <v>63</v>
      </c>
      <c r="L862">
        <v>83</v>
      </c>
      <c r="M862">
        <v>42</v>
      </c>
      <c r="N862">
        <v>50</v>
      </c>
      <c r="O862">
        <v>66</v>
      </c>
      <c r="P862">
        <v>9</v>
      </c>
      <c r="Q862">
        <v>5</v>
      </c>
      <c r="R862">
        <v>2</v>
      </c>
      <c r="S862">
        <v>2</v>
      </c>
      <c r="T862">
        <v>0</v>
      </c>
      <c r="U862">
        <v>0</v>
      </c>
      <c r="V862">
        <v>0</v>
      </c>
      <c r="W862">
        <v>2</v>
      </c>
      <c r="X862">
        <v>0</v>
      </c>
      <c r="Y862" t="s">
        <v>113</v>
      </c>
      <c r="Z862" t="s">
        <v>861</v>
      </c>
      <c r="AA862" t="s">
        <v>6830</v>
      </c>
      <c r="AI862">
        <v>45</v>
      </c>
      <c r="AJ862">
        <v>0</v>
      </c>
      <c r="AK862">
        <v>0</v>
      </c>
      <c r="AL862">
        <v>0</v>
      </c>
      <c r="AM862">
        <v>0.22</v>
      </c>
      <c r="AN862">
        <v>0.09</v>
      </c>
      <c r="AO862">
        <v>0.16</v>
      </c>
      <c r="AS862">
        <v>7</v>
      </c>
      <c r="AT862">
        <v>1</v>
      </c>
      <c r="AU862">
        <v>1</v>
      </c>
      <c r="AV862">
        <v>71</v>
      </c>
      <c r="AW862">
        <v>82</v>
      </c>
      <c r="AX862">
        <v>274</v>
      </c>
      <c r="AY862">
        <v>0</v>
      </c>
      <c r="AZ862" t="b">
        <v>0</v>
      </c>
      <c r="BA862">
        <v>1646</v>
      </c>
      <c r="BB862">
        <v>1632</v>
      </c>
      <c r="BC862">
        <v>6</v>
      </c>
      <c r="BD862" t="s">
        <v>6772</v>
      </c>
      <c r="BE862" s="1" t="s">
        <v>3594</v>
      </c>
      <c r="BF862">
        <v>0</v>
      </c>
      <c r="BG862">
        <v>71</v>
      </c>
      <c r="BH862">
        <v>1</v>
      </c>
      <c r="BI862" s="1" t="s">
        <v>204</v>
      </c>
      <c r="BJ862" s="1" t="s">
        <v>168</v>
      </c>
      <c r="BK862" s="1" t="s">
        <v>397</v>
      </c>
      <c r="BL862">
        <v>5.6</v>
      </c>
      <c r="BM862" s="1" t="s">
        <v>169</v>
      </c>
      <c r="BN862">
        <v>2.6</v>
      </c>
      <c r="BO862">
        <v>2</v>
      </c>
      <c r="BP862" s="1" t="s">
        <v>159</v>
      </c>
      <c r="BQ862">
        <v>0</v>
      </c>
      <c r="BR862">
        <v>0</v>
      </c>
      <c r="BS862" s="1" t="s">
        <v>128</v>
      </c>
      <c r="BT862">
        <v>0.8</v>
      </c>
      <c r="BU862">
        <v>0</v>
      </c>
      <c r="BV862">
        <v>0.2</v>
      </c>
      <c r="BW862">
        <v>1</v>
      </c>
      <c r="BX862">
        <v>0.8</v>
      </c>
      <c r="BY862" s="1" t="s">
        <v>129</v>
      </c>
      <c r="BZ862" s="1" t="s">
        <v>238</v>
      </c>
      <c r="CA862">
        <v>0.22</v>
      </c>
      <c r="CB862">
        <v>0.22</v>
      </c>
      <c r="CC862">
        <v>0.09</v>
      </c>
      <c r="CD862">
        <v>0.09</v>
      </c>
      <c r="CE862">
        <v>0.16</v>
      </c>
      <c r="CF862">
        <v>0.16</v>
      </c>
      <c r="CG862">
        <v>6</v>
      </c>
      <c r="CH862">
        <v>3.8</v>
      </c>
      <c r="CI862" s="1" t="s">
        <v>128</v>
      </c>
      <c r="CJ862" s="1" t="s">
        <v>231</v>
      </c>
      <c r="CK862" s="1" t="s">
        <v>129</v>
      </c>
      <c r="CL862" s="1" t="s">
        <v>206</v>
      </c>
      <c r="CM862" s="1" t="s">
        <v>2177</v>
      </c>
      <c r="CN862" s="1" t="s">
        <v>241</v>
      </c>
      <c r="CO862" s="1" t="s">
        <v>268</v>
      </c>
      <c r="CP862">
        <v>83.2</v>
      </c>
      <c r="CQ862">
        <v>155</v>
      </c>
      <c r="CR862">
        <v>177.6</v>
      </c>
      <c r="CS862" s="1" t="s">
        <v>4075</v>
      </c>
      <c r="CT862">
        <v>1682</v>
      </c>
      <c r="CU862" s="1" t="s">
        <v>4024</v>
      </c>
      <c r="CV862" s="1" t="s">
        <v>6773</v>
      </c>
      <c r="CW862">
        <v>60.25</v>
      </c>
      <c r="CX862">
        <v>56.2</v>
      </c>
      <c r="CY862">
        <v>74.8</v>
      </c>
      <c r="CZ862">
        <v>74</v>
      </c>
      <c r="DA862">
        <v>1</v>
      </c>
      <c r="DB862" t="s">
        <v>861</v>
      </c>
      <c r="DC862">
        <v>83</v>
      </c>
      <c r="DD862" s="1" t="s">
        <v>6831</v>
      </c>
      <c r="DE862" s="1" t="s">
        <v>6832</v>
      </c>
      <c r="DF862" t="str">
        <f>_xlfn.XLOOKUP(Table1[[#This Row],[Player ID]],Table2[feed_id],Table2[trade_status])</f>
        <v>free_agent</v>
      </c>
      <c r="DG862">
        <f>_xlfn.NUMBERVALUE(Table1[[#This Row],[predicted]])</f>
        <v>63.703028112470498</v>
      </c>
    </row>
    <row r="863" spans="1:111" x14ac:dyDescent="0.25">
      <c r="A863">
        <v>132598</v>
      </c>
      <c r="B863">
        <v>9238</v>
      </c>
      <c r="C863" t="s">
        <v>6865</v>
      </c>
      <c r="D863" t="s">
        <v>3116</v>
      </c>
      <c r="E863">
        <v>2025</v>
      </c>
      <c r="F863">
        <v>297504</v>
      </c>
      <c r="G863" t="s">
        <v>289</v>
      </c>
      <c r="H863" t="s">
        <v>6950</v>
      </c>
      <c r="I863" t="s">
        <v>112</v>
      </c>
      <c r="J863">
        <v>10</v>
      </c>
      <c r="K863">
        <v>52</v>
      </c>
      <c r="L863">
        <v>71</v>
      </c>
      <c r="M863">
        <v>67</v>
      </c>
      <c r="N863">
        <v>43</v>
      </c>
      <c r="O863">
        <v>56</v>
      </c>
      <c r="P863">
        <v>5</v>
      </c>
      <c r="Q863">
        <v>4</v>
      </c>
      <c r="R863">
        <v>4</v>
      </c>
      <c r="S863">
        <v>3</v>
      </c>
      <c r="T863">
        <v>2</v>
      </c>
      <c r="U863">
        <v>0</v>
      </c>
      <c r="V863">
        <v>1</v>
      </c>
      <c r="W863">
        <v>1</v>
      </c>
      <c r="X863">
        <v>0</v>
      </c>
      <c r="Y863" t="s">
        <v>113</v>
      </c>
      <c r="Z863" t="s">
        <v>656</v>
      </c>
      <c r="AA863" t="s">
        <v>6951</v>
      </c>
      <c r="AE863">
        <v>0</v>
      </c>
      <c r="AH863" t="s">
        <v>155</v>
      </c>
      <c r="AI863">
        <v>11</v>
      </c>
      <c r="AJ863">
        <v>18</v>
      </c>
      <c r="AK863">
        <v>52.44</v>
      </c>
      <c r="AL863">
        <v>0</v>
      </c>
      <c r="AM863">
        <v>0</v>
      </c>
      <c r="AN863">
        <v>0.1</v>
      </c>
      <c r="AO863">
        <v>0.16</v>
      </c>
      <c r="AS863">
        <v>8</v>
      </c>
      <c r="AT863">
        <v>1</v>
      </c>
      <c r="AU863">
        <v>3</v>
      </c>
      <c r="AV863">
        <v>66</v>
      </c>
      <c r="AW863">
        <v>84</v>
      </c>
      <c r="AX863">
        <v>138</v>
      </c>
      <c r="AY863">
        <v>0</v>
      </c>
      <c r="AZ863" t="b">
        <v>0</v>
      </c>
      <c r="BA863">
        <v>1546</v>
      </c>
      <c r="BB863">
        <v>1741</v>
      </c>
      <c r="BC863">
        <v>6</v>
      </c>
      <c r="BD863" t="s">
        <v>6869</v>
      </c>
      <c r="BE863" s="1" t="s">
        <v>3594</v>
      </c>
      <c r="BF863">
        <v>0</v>
      </c>
      <c r="BG863">
        <v>71</v>
      </c>
      <c r="BH863">
        <v>1</v>
      </c>
      <c r="BI863" s="1" t="s">
        <v>253</v>
      </c>
      <c r="BJ863" s="1" t="s">
        <v>397</v>
      </c>
      <c r="BK863" s="1" t="s">
        <v>138</v>
      </c>
      <c r="BL863" s="1" t="s">
        <v>587</v>
      </c>
      <c r="BM863" s="1" t="s">
        <v>125</v>
      </c>
      <c r="BN863" s="1" t="s">
        <v>436</v>
      </c>
      <c r="BO863" s="1" t="s">
        <v>138</v>
      </c>
      <c r="BP863">
        <v>2</v>
      </c>
      <c r="BQ863">
        <v>4</v>
      </c>
      <c r="BR863">
        <v>2.4</v>
      </c>
      <c r="BS863">
        <v>1</v>
      </c>
      <c r="BT863">
        <v>0.8</v>
      </c>
      <c r="BU863" s="1" t="s">
        <v>129</v>
      </c>
      <c r="BV863">
        <v>0.4</v>
      </c>
      <c r="BW863" s="1" t="s">
        <v>128</v>
      </c>
      <c r="BX863" s="1" t="s">
        <v>206</v>
      </c>
      <c r="BY863" s="1" t="s">
        <v>126</v>
      </c>
      <c r="BZ863">
        <v>0.8</v>
      </c>
      <c r="CA863">
        <v>0</v>
      </c>
      <c r="CB863">
        <v>0</v>
      </c>
      <c r="CC863">
        <v>0.1</v>
      </c>
      <c r="CD863" s="1" t="s">
        <v>546</v>
      </c>
      <c r="CE863">
        <v>0.16</v>
      </c>
      <c r="CF863" s="1" t="s">
        <v>3523</v>
      </c>
      <c r="CG863" s="1" t="s">
        <v>124</v>
      </c>
      <c r="CH863" s="1" t="s">
        <v>752</v>
      </c>
      <c r="CI863" s="1" t="s">
        <v>161</v>
      </c>
      <c r="CJ863">
        <v>1</v>
      </c>
      <c r="CK863" s="1" t="s">
        <v>161</v>
      </c>
      <c r="CL863">
        <v>1.8</v>
      </c>
      <c r="CM863" s="1" t="s">
        <v>759</v>
      </c>
      <c r="CN863">
        <v>67.2</v>
      </c>
      <c r="CO863" s="1" t="s">
        <v>1110</v>
      </c>
      <c r="CP863" s="1" t="s">
        <v>240</v>
      </c>
      <c r="CQ863">
        <v>210</v>
      </c>
      <c r="CR863">
        <v>164</v>
      </c>
      <c r="CS863">
        <v>1729</v>
      </c>
      <c r="CT863">
        <v>1660.8</v>
      </c>
      <c r="CU863" s="1" t="s">
        <v>5214</v>
      </c>
      <c r="CV863">
        <v>1622.2</v>
      </c>
      <c r="CW863">
        <v>61.05</v>
      </c>
      <c r="CX863">
        <v>65.5</v>
      </c>
      <c r="CY863">
        <v>70.8</v>
      </c>
      <c r="CZ863" s="1" t="s">
        <v>772</v>
      </c>
      <c r="DA863">
        <v>1</v>
      </c>
      <c r="DB863" t="s">
        <v>656</v>
      </c>
      <c r="DC863">
        <v>71</v>
      </c>
      <c r="DD863" s="1" t="s">
        <v>6952</v>
      </c>
      <c r="DE863" s="1" t="s">
        <v>6953</v>
      </c>
      <c r="DF863" t="str">
        <f>_xlfn.XLOOKUP(Table1[[#This Row],[Player ID]],Table2[feed_id],Table2[trade_status])</f>
        <v>free_agent</v>
      </c>
      <c r="DG863">
        <f>_xlfn.NUMBERVALUE(Table1[[#This Row],[predicted]])</f>
        <v>63.532839882875102</v>
      </c>
    </row>
    <row r="864" spans="1:111" x14ac:dyDescent="0.25">
      <c r="A864">
        <v>132928</v>
      </c>
      <c r="B864">
        <v>9245</v>
      </c>
      <c r="C864" t="s">
        <v>8180</v>
      </c>
      <c r="D864" t="s">
        <v>3116</v>
      </c>
      <c r="E864">
        <v>2025</v>
      </c>
      <c r="F864">
        <v>1000963</v>
      </c>
      <c r="G864" t="s">
        <v>2192</v>
      </c>
      <c r="H864" t="s">
        <v>8324</v>
      </c>
      <c r="I864" t="s">
        <v>391</v>
      </c>
      <c r="J864">
        <v>13</v>
      </c>
      <c r="K864">
        <v>62</v>
      </c>
      <c r="L864">
        <v>55</v>
      </c>
      <c r="M864">
        <v>53</v>
      </c>
      <c r="N864">
        <v>47</v>
      </c>
      <c r="O864">
        <v>69</v>
      </c>
      <c r="P864">
        <v>7</v>
      </c>
      <c r="Q864">
        <v>9</v>
      </c>
      <c r="R864">
        <v>2</v>
      </c>
      <c r="S864">
        <v>5</v>
      </c>
      <c r="T864">
        <v>0</v>
      </c>
      <c r="U864">
        <v>0</v>
      </c>
      <c r="V864">
        <v>1</v>
      </c>
      <c r="W864">
        <v>0</v>
      </c>
      <c r="X864">
        <v>0</v>
      </c>
      <c r="Y864" t="s">
        <v>113</v>
      </c>
      <c r="Z864" t="s">
        <v>525</v>
      </c>
      <c r="AA864" t="s">
        <v>8325</v>
      </c>
      <c r="AE864">
        <v>0</v>
      </c>
      <c r="AH864" t="s">
        <v>118</v>
      </c>
      <c r="AI864">
        <v>1</v>
      </c>
      <c r="AJ864">
        <v>18</v>
      </c>
      <c r="AK864">
        <v>64.72</v>
      </c>
      <c r="AL864">
        <v>0</v>
      </c>
      <c r="AM864">
        <v>0</v>
      </c>
      <c r="AN864">
        <v>0.18</v>
      </c>
      <c r="AO864">
        <v>0.06</v>
      </c>
      <c r="AS864">
        <v>7</v>
      </c>
      <c r="AT864">
        <v>1</v>
      </c>
      <c r="AU864">
        <v>4</v>
      </c>
      <c r="AV864">
        <v>68</v>
      </c>
      <c r="AW864">
        <v>82</v>
      </c>
      <c r="AX864">
        <v>215</v>
      </c>
      <c r="AY864">
        <v>0</v>
      </c>
      <c r="AZ864" t="b">
        <v>0</v>
      </c>
      <c r="BA864">
        <v>1799</v>
      </c>
      <c r="BB864">
        <v>1477</v>
      </c>
      <c r="BC864">
        <v>6</v>
      </c>
      <c r="BD864" t="s">
        <v>8277</v>
      </c>
      <c r="BE864" s="1" t="s">
        <v>3594</v>
      </c>
      <c r="BF864">
        <v>0</v>
      </c>
      <c r="BG864">
        <v>71</v>
      </c>
      <c r="BH864">
        <v>0</v>
      </c>
      <c r="BI864" s="1" t="s">
        <v>183</v>
      </c>
      <c r="BJ864" s="1" t="s">
        <v>1159</v>
      </c>
      <c r="BK864">
        <v>7</v>
      </c>
      <c r="BL864">
        <v>5.4</v>
      </c>
      <c r="BM864" s="1" t="s">
        <v>169</v>
      </c>
      <c r="BN864">
        <v>4.4000000000000004</v>
      </c>
      <c r="BO864" s="1" t="s">
        <v>160</v>
      </c>
      <c r="BP864" s="1" t="s">
        <v>169</v>
      </c>
      <c r="BQ864">
        <v>0</v>
      </c>
      <c r="BR864">
        <v>0</v>
      </c>
      <c r="BS864" s="1" t="s">
        <v>129</v>
      </c>
      <c r="BT864">
        <v>0.6</v>
      </c>
      <c r="BU864" s="1" t="s">
        <v>129</v>
      </c>
      <c r="BV864" s="1" t="s">
        <v>238</v>
      </c>
      <c r="BW864" s="1" t="s">
        <v>129</v>
      </c>
      <c r="BX864" s="1" t="s">
        <v>213</v>
      </c>
      <c r="BY864">
        <v>0</v>
      </c>
      <c r="BZ864">
        <v>6.6666666666666596E-2</v>
      </c>
      <c r="CA864">
        <v>0</v>
      </c>
      <c r="CB864">
        <v>0</v>
      </c>
      <c r="CC864">
        <v>0.18</v>
      </c>
      <c r="CD864">
        <v>0.18</v>
      </c>
      <c r="CE864">
        <v>0.06</v>
      </c>
      <c r="CF864">
        <v>0.06</v>
      </c>
      <c r="CG864">
        <v>5</v>
      </c>
      <c r="CH864" s="1" t="s">
        <v>211</v>
      </c>
      <c r="CI864" s="1" t="s">
        <v>126</v>
      </c>
      <c r="CJ864" s="1" t="s">
        <v>399</v>
      </c>
      <c r="CK864">
        <v>3</v>
      </c>
      <c r="CL864" s="1" t="s">
        <v>170</v>
      </c>
      <c r="CM864" s="1" t="s">
        <v>1838</v>
      </c>
      <c r="CN864" s="1" t="s">
        <v>1641</v>
      </c>
      <c r="CO864" s="1" t="s">
        <v>994</v>
      </c>
      <c r="CP864" s="1" t="s">
        <v>3346</v>
      </c>
      <c r="CQ864" s="1" t="s">
        <v>6609</v>
      </c>
      <c r="CR864" s="1" t="s">
        <v>4796</v>
      </c>
      <c r="CS864" s="1" t="s">
        <v>4566</v>
      </c>
      <c r="CT864" s="1" t="s">
        <v>8326</v>
      </c>
      <c r="CU864">
        <v>1616</v>
      </c>
      <c r="CV864" s="1" t="s">
        <v>8327</v>
      </c>
      <c r="CW864">
        <v>63.65</v>
      </c>
      <c r="CX864">
        <v>73</v>
      </c>
      <c r="CY864">
        <v>64.400000000000006</v>
      </c>
      <c r="CZ864" s="1" t="s">
        <v>2490</v>
      </c>
      <c r="DA864">
        <v>1</v>
      </c>
      <c r="DB864" t="s">
        <v>525</v>
      </c>
      <c r="DC864">
        <v>55</v>
      </c>
      <c r="DD864" s="1" t="s">
        <v>8328</v>
      </c>
      <c r="DE864">
        <v>-8.4909012926061394</v>
      </c>
      <c r="DF864" t="str">
        <f>_xlfn.XLOOKUP(Table1[[#This Row],[Player ID]],Table2[feed_id],Table2[trade_status])</f>
        <v>free_agent</v>
      </c>
      <c r="DG864">
        <f>_xlfn.NUMBERVALUE(Table1[[#This Row],[predicted]])</f>
        <v>63.490901292606097</v>
      </c>
    </row>
    <row r="865" spans="1:111" hidden="1" x14ac:dyDescent="0.25">
      <c r="A865">
        <v>132760</v>
      </c>
      <c r="B865">
        <v>9242</v>
      </c>
      <c r="C865" t="s">
        <v>7597</v>
      </c>
      <c r="D865" t="s">
        <v>3116</v>
      </c>
      <c r="E865">
        <v>2025</v>
      </c>
      <c r="F865">
        <v>290528</v>
      </c>
      <c r="G865" t="s">
        <v>5439</v>
      </c>
      <c r="H865" t="s">
        <v>7598</v>
      </c>
      <c r="I865" t="s">
        <v>291</v>
      </c>
      <c r="J865">
        <v>40</v>
      </c>
      <c r="K865">
        <v>118</v>
      </c>
      <c r="L865">
        <v>145</v>
      </c>
      <c r="M865">
        <v>133</v>
      </c>
      <c r="N865">
        <v>109</v>
      </c>
      <c r="O865">
        <v>133</v>
      </c>
      <c r="P865">
        <v>7</v>
      </c>
      <c r="Q865">
        <v>15</v>
      </c>
      <c r="R865">
        <v>4</v>
      </c>
      <c r="S865">
        <v>2</v>
      </c>
      <c r="T865">
        <v>49</v>
      </c>
      <c r="U865">
        <v>1</v>
      </c>
      <c r="V865">
        <v>1</v>
      </c>
      <c r="W865">
        <v>0</v>
      </c>
      <c r="X865">
        <v>0</v>
      </c>
      <c r="Y865" t="s">
        <v>113</v>
      </c>
      <c r="Z865" t="s">
        <v>1813</v>
      </c>
      <c r="AA865" t="s">
        <v>6966</v>
      </c>
      <c r="AB865" t="s">
        <v>602</v>
      </c>
      <c r="AC865" t="s">
        <v>6967</v>
      </c>
      <c r="AE865">
        <v>0</v>
      </c>
      <c r="AH865" t="s">
        <v>274</v>
      </c>
      <c r="AI865">
        <v>11</v>
      </c>
      <c r="AJ865">
        <v>21</v>
      </c>
      <c r="AK865">
        <v>110.91</v>
      </c>
      <c r="AL865">
        <v>0</v>
      </c>
      <c r="AM865">
        <v>0</v>
      </c>
      <c r="AN865">
        <v>53.16</v>
      </c>
      <c r="AO865">
        <v>31.71</v>
      </c>
      <c r="AS865">
        <v>17</v>
      </c>
      <c r="AT865">
        <v>8</v>
      </c>
      <c r="AU865">
        <v>3</v>
      </c>
      <c r="AV865">
        <v>68</v>
      </c>
      <c r="AW865">
        <v>82</v>
      </c>
      <c r="AX865">
        <v>203</v>
      </c>
      <c r="AY865">
        <v>0</v>
      </c>
      <c r="AZ865" t="b">
        <v>0</v>
      </c>
      <c r="BA865">
        <v>1764</v>
      </c>
      <c r="BB865">
        <v>1522</v>
      </c>
      <c r="BC865">
        <v>6</v>
      </c>
      <c r="BD865" t="s">
        <v>7599</v>
      </c>
      <c r="BE865" s="1" t="s">
        <v>3594</v>
      </c>
      <c r="BF865">
        <v>1</v>
      </c>
      <c r="BG865">
        <v>71</v>
      </c>
      <c r="BH865">
        <v>1</v>
      </c>
      <c r="BI865" s="1" t="s">
        <v>183</v>
      </c>
      <c r="BJ865">
        <v>9.1999999999999993</v>
      </c>
      <c r="BK865" s="1" t="s">
        <v>977</v>
      </c>
      <c r="BL865">
        <v>8.8000000000000007</v>
      </c>
      <c r="BM865" s="1" t="s">
        <v>211</v>
      </c>
      <c r="BN865">
        <v>4.4000000000000004</v>
      </c>
      <c r="BO865" s="1" t="s">
        <v>159</v>
      </c>
      <c r="BP865" s="1" t="s">
        <v>375</v>
      </c>
      <c r="BQ865" s="1" t="s">
        <v>576</v>
      </c>
      <c r="BR865">
        <v>34</v>
      </c>
      <c r="BS865" s="1" t="s">
        <v>126</v>
      </c>
      <c r="BT865" s="1" t="s">
        <v>275</v>
      </c>
      <c r="BU865" s="1" t="s">
        <v>161</v>
      </c>
      <c r="BV865" s="1" t="s">
        <v>127</v>
      </c>
      <c r="BW865">
        <v>0</v>
      </c>
      <c r="BX865" s="1" t="s">
        <v>129</v>
      </c>
      <c r="BY865" s="1" t="s">
        <v>129</v>
      </c>
      <c r="BZ865">
        <v>0.4</v>
      </c>
      <c r="CA865">
        <v>0</v>
      </c>
      <c r="CB865">
        <v>0</v>
      </c>
      <c r="CC865">
        <v>53.16</v>
      </c>
      <c r="CD865">
        <v>53.16</v>
      </c>
      <c r="CE865">
        <v>31.71</v>
      </c>
      <c r="CF865">
        <v>31.71</v>
      </c>
      <c r="CG865" s="1" t="s">
        <v>395</v>
      </c>
      <c r="CH865" s="1" t="s">
        <v>357</v>
      </c>
      <c r="CI865" s="1" t="s">
        <v>160</v>
      </c>
      <c r="CJ865" s="1" t="s">
        <v>211</v>
      </c>
      <c r="CK865" s="1" t="s">
        <v>160</v>
      </c>
      <c r="CL865" s="1" t="s">
        <v>990</v>
      </c>
      <c r="CM865">
        <v>58</v>
      </c>
      <c r="CN865" s="1" t="s">
        <v>7600</v>
      </c>
      <c r="CO865" s="1" t="s">
        <v>268</v>
      </c>
      <c r="CP865" s="1" t="s">
        <v>1433</v>
      </c>
      <c r="CQ865" s="1" t="s">
        <v>6707</v>
      </c>
      <c r="CR865">
        <v>228.4</v>
      </c>
      <c r="CS865" s="1" t="s">
        <v>2460</v>
      </c>
      <c r="CT865">
        <v>1552.8</v>
      </c>
      <c r="CU865" s="1" t="s">
        <v>7601</v>
      </c>
      <c r="CV865">
        <v>1733</v>
      </c>
      <c r="CW865">
        <v>118.35</v>
      </c>
      <c r="CX865">
        <v>117.4</v>
      </c>
      <c r="CY865">
        <v>110.2</v>
      </c>
      <c r="CZ865" s="1" t="s">
        <v>7602</v>
      </c>
      <c r="DA865">
        <v>1</v>
      </c>
      <c r="DB865" t="s">
        <v>1813</v>
      </c>
      <c r="DC865">
        <v>145</v>
      </c>
      <c r="DD865" s="1" t="s">
        <v>7603</v>
      </c>
      <c r="DE865" s="1" t="s">
        <v>7604</v>
      </c>
      <c r="DF865" t="e">
        <f>_xlfn.XLOOKUP(Table1[[#This Row],[Player ID]],Table2[feed_id],Table2[trade_status])</f>
        <v>#N/A</v>
      </c>
      <c r="DG865">
        <f>_xlfn.NUMBERVALUE(Table1[[#This Row],[predicted]])</f>
        <v>105.73297631504499</v>
      </c>
    </row>
    <row r="866" spans="1:111" hidden="1" x14ac:dyDescent="0.25">
      <c r="A866">
        <v>132761</v>
      </c>
      <c r="B866">
        <v>9242</v>
      </c>
      <c r="C866" t="s">
        <v>7597</v>
      </c>
      <c r="D866" t="s">
        <v>3116</v>
      </c>
      <c r="E866">
        <v>2025</v>
      </c>
      <c r="F866">
        <v>298264</v>
      </c>
      <c r="G866" t="s">
        <v>4834</v>
      </c>
      <c r="H866" t="s">
        <v>2678</v>
      </c>
      <c r="I866" t="s">
        <v>291</v>
      </c>
      <c r="J866">
        <v>31</v>
      </c>
      <c r="K866">
        <v>113</v>
      </c>
      <c r="L866">
        <v>119</v>
      </c>
      <c r="M866">
        <v>146</v>
      </c>
      <c r="N866">
        <v>94</v>
      </c>
      <c r="O866">
        <v>120</v>
      </c>
      <c r="P866">
        <v>19</v>
      </c>
      <c r="Q866">
        <v>6</v>
      </c>
      <c r="R866">
        <v>12</v>
      </c>
      <c r="S866">
        <v>1</v>
      </c>
      <c r="T866">
        <v>0</v>
      </c>
      <c r="U866">
        <v>1</v>
      </c>
      <c r="V866">
        <v>1</v>
      </c>
      <c r="W866">
        <v>1</v>
      </c>
      <c r="X866">
        <v>0</v>
      </c>
      <c r="Y866" t="s">
        <v>113</v>
      </c>
      <c r="Z866" t="s">
        <v>339</v>
      </c>
      <c r="AA866" t="s">
        <v>7605</v>
      </c>
      <c r="AB866" t="s">
        <v>525</v>
      </c>
      <c r="AC866" t="s">
        <v>7606</v>
      </c>
      <c r="AE866">
        <v>0</v>
      </c>
      <c r="AH866" t="s">
        <v>118</v>
      </c>
      <c r="AI866">
        <v>15</v>
      </c>
      <c r="AJ866">
        <v>20</v>
      </c>
      <c r="AK866">
        <v>86.9</v>
      </c>
      <c r="AL866">
        <v>0</v>
      </c>
      <c r="AM866">
        <v>0</v>
      </c>
      <c r="AN866">
        <v>0.2</v>
      </c>
      <c r="AO866">
        <v>0.3</v>
      </c>
      <c r="AS866">
        <v>7</v>
      </c>
      <c r="AT866">
        <v>3</v>
      </c>
      <c r="AU866">
        <v>1</v>
      </c>
      <c r="AV866">
        <v>88</v>
      </c>
      <c r="AW866">
        <v>100</v>
      </c>
      <c r="AX866">
        <v>474</v>
      </c>
      <c r="AY866">
        <v>0</v>
      </c>
      <c r="AZ866" t="b">
        <v>0</v>
      </c>
      <c r="BA866">
        <v>1764</v>
      </c>
      <c r="BB866">
        <v>1522</v>
      </c>
      <c r="BC866">
        <v>6</v>
      </c>
      <c r="BD866" t="s">
        <v>7599</v>
      </c>
      <c r="BE866" s="1" t="s">
        <v>3594</v>
      </c>
      <c r="BF866">
        <v>1</v>
      </c>
      <c r="BG866">
        <v>71</v>
      </c>
      <c r="BH866">
        <v>1</v>
      </c>
      <c r="BI866" s="1" t="s">
        <v>122</v>
      </c>
      <c r="BJ866" s="1" t="s">
        <v>5801</v>
      </c>
      <c r="BK866" s="1" t="s">
        <v>294</v>
      </c>
      <c r="BL866">
        <v>9.4</v>
      </c>
      <c r="BM866" s="1" t="s">
        <v>253</v>
      </c>
      <c r="BN866" s="1" t="s">
        <v>898</v>
      </c>
      <c r="BO866" s="1" t="s">
        <v>169</v>
      </c>
      <c r="BP866" s="1" t="s">
        <v>170</v>
      </c>
      <c r="BQ866">
        <v>0</v>
      </c>
      <c r="BR866">
        <v>0</v>
      </c>
      <c r="BS866" s="1" t="s">
        <v>129</v>
      </c>
      <c r="BT866">
        <v>0.6</v>
      </c>
      <c r="BU866" s="1" t="s">
        <v>129</v>
      </c>
      <c r="BV866" s="1" t="s">
        <v>238</v>
      </c>
      <c r="BW866" s="1" t="s">
        <v>128</v>
      </c>
      <c r="BX866" s="1" t="s">
        <v>238</v>
      </c>
      <c r="BY866" s="1" t="s">
        <v>129</v>
      </c>
      <c r="BZ866" s="1" t="s">
        <v>129</v>
      </c>
      <c r="CA866">
        <v>0</v>
      </c>
      <c r="CB866">
        <v>0</v>
      </c>
      <c r="CC866">
        <v>0.2</v>
      </c>
      <c r="CD866">
        <v>0.2</v>
      </c>
      <c r="CE866">
        <v>0.3</v>
      </c>
      <c r="CF866">
        <v>0.3</v>
      </c>
      <c r="CG866" s="1" t="s">
        <v>449</v>
      </c>
      <c r="CH866" s="1" t="s">
        <v>343</v>
      </c>
      <c r="CI866" s="1" t="s">
        <v>126</v>
      </c>
      <c r="CJ866" s="1" t="s">
        <v>275</v>
      </c>
      <c r="CK866" s="1" t="s">
        <v>128</v>
      </c>
      <c r="CL866" s="1" t="s">
        <v>255</v>
      </c>
      <c r="CM866" s="1" t="s">
        <v>930</v>
      </c>
      <c r="CN866">
        <v>73.2</v>
      </c>
      <c r="CO866" s="1" t="s">
        <v>6070</v>
      </c>
      <c r="CP866" s="1" t="s">
        <v>7607</v>
      </c>
      <c r="CQ866" s="1" t="s">
        <v>7608</v>
      </c>
      <c r="CR866" s="1" t="s">
        <v>7609</v>
      </c>
      <c r="CS866" s="1" t="s">
        <v>2460</v>
      </c>
      <c r="CT866" s="1" t="s">
        <v>805</v>
      </c>
      <c r="CU866" s="1" t="s">
        <v>7601</v>
      </c>
      <c r="CV866" s="1" t="s">
        <v>2071</v>
      </c>
      <c r="CW866">
        <v>83.55</v>
      </c>
      <c r="CX866">
        <v>88.9</v>
      </c>
      <c r="CY866">
        <v>90.8</v>
      </c>
      <c r="CZ866">
        <v>103</v>
      </c>
      <c r="DA866">
        <v>1</v>
      </c>
      <c r="DB866" t="s">
        <v>339</v>
      </c>
      <c r="DC866">
        <v>119</v>
      </c>
      <c r="DD866" s="1" t="s">
        <v>7610</v>
      </c>
      <c r="DE866" s="1" t="s">
        <v>7611</v>
      </c>
      <c r="DF866" t="e">
        <f>_xlfn.XLOOKUP(Table1[[#This Row],[Player ID]],Table2[feed_id],Table2[trade_status])</f>
        <v>#N/A</v>
      </c>
      <c r="DG866">
        <f>_xlfn.NUMBERVALUE(Table1[[#This Row],[predicted]])</f>
        <v>84.399345024394094</v>
      </c>
    </row>
    <row r="867" spans="1:111" hidden="1" x14ac:dyDescent="0.25">
      <c r="A867">
        <v>132762</v>
      </c>
      <c r="B867">
        <v>9242</v>
      </c>
      <c r="C867" t="s">
        <v>7597</v>
      </c>
      <c r="D867" t="s">
        <v>3116</v>
      </c>
      <c r="E867">
        <v>2025</v>
      </c>
      <c r="F867">
        <v>298210</v>
      </c>
      <c r="G867" t="s">
        <v>7612</v>
      </c>
      <c r="H867" t="s">
        <v>7613</v>
      </c>
      <c r="I867" t="s">
        <v>291</v>
      </c>
      <c r="J867">
        <v>24</v>
      </c>
      <c r="K867">
        <v>104</v>
      </c>
      <c r="L867">
        <v>96</v>
      </c>
      <c r="M867">
        <v>133</v>
      </c>
      <c r="N867">
        <v>83</v>
      </c>
      <c r="O867">
        <v>116</v>
      </c>
      <c r="P867">
        <v>13</v>
      </c>
      <c r="Q867">
        <v>14</v>
      </c>
      <c r="R867">
        <v>6</v>
      </c>
      <c r="S867">
        <v>5</v>
      </c>
      <c r="T867">
        <v>0</v>
      </c>
      <c r="U867">
        <v>0</v>
      </c>
      <c r="V867">
        <v>1</v>
      </c>
      <c r="W867">
        <v>0</v>
      </c>
      <c r="X867">
        <v>2</v>
      </c>
      <c r="Y867" t="s">
        <v>113</v>
      </c>
      <c r="Z867" t="s">
        <v>339</v>
      </c>
      <c r="AA867" t="s">
        <v>860</v>
      </c>
      <c r="AB867" t="s">
        <v>5826</v>
      </c>
      <c r="AC867" t="s">
        <v>7614</v>
      </c>
      <c r="AE867">
        <v>0</v>
      </c>
      <c r="AH867" t="s">
        <v>118</v>
      </c>
      <c r="AI867">
        <v>5</v>
      </c>
      <c r="AJ867">
        <v>20</v>
      </c>
      <c r="AK867">
        <v>79.8</v>
      </c>
      <c r="AL867">
        <v>0</v>
      </c>
      <c r="AM867">
        <v>0</v>
      </c>
      <c r="AN867">
        <v>22.41</v>
      </c>
      <c r="AO867">
        <v>5.56</v>
      </c>
      <c r="AS867">
        <v>10</v>
      </c>
      <c r="AT867">
        <v>4</v>
      </c>
      <c r="AU867">
        <v>5</v>
      </c>
      <c r="AV867">
        <v>59</v>
      </c>
      <c r="AW867">
        <v>86</v>
      </c>
      <c r="AX867">
        <v>553</v>
      </c>
      <c r="AY867">
        <v>0</v>
      </c>
      <c r="AZ867" t="b">
        <v>0</v>
      </c>
      <c r="BA867">
        <v>1764</v>
      </c>
      <c r="BB867">
        <v>1522</v>
      </c>
      <c r="BC867">
        <v>6</v>
      </c>
      <c r="BD867" t="s">
        <v>7599</v>
      </c>
      <c r="BE867" s="1" t="s">
        <v>3594</v>
      </c>
      <c r="BF867">
        <v>0</v>
      </c>
      <c r="BG867">
        <v>71</v>
      </c>
      <c r="BH867">
        <v>1</v>
      </c>
      <c r="BI867" s="1" t="s">
        <v>157</v>
      </c>
      <c r="BJ867" s="1" t="s">
        <v>1366</v>
      </c>
      <c r="BK867">
        <v>13</v>
      </c>
      <c r="BL867" s="1" t="s">
        <v>3438</v>
      </c>
      <c r="BM867">
        <v>4</v>
      </c>
      <c r="BN867">
        <v>4</v>
      </c>
      <c r="BO867">
        <v>3</v>
      </c>
      <c r="BP867">
        <v>3</v>
      </c>
      <c r="BQ867">
        <v>0</v>
      </c>
      <c r="BR867">
        <v>0</v>
      </c>
      <c r="BS867">
        <v>1</v>
      </c>
      <c r="BT867" s="1" t="s">
        <v>130</v>
      </c>
      <c r="BU867">
        <v>1</v>
      </c>
      <c r="BV867" s="1" t="s">
        <v>128</v>
      </c>
      <c r="BW867">
        <v>1</v>
      </c>
      <c r="BX867" s="1" t="s">
        <v>298</v>
      </c>
      <c r="BY867">
        <v>1</v>
      </c>
      <c r="BZ867" s="1" t="s">
        <v>399</v>
      </c>
      <c r="CA867">
        <v>0</v>
      </c>
      <c r="CB867">
        <v>0</v>
      </c>
      <c r="CC867">
        <v>22.41</v>
      </c>
      <c r="CD867">
        <v>22.41</v>
      </c>
      <c r="CE867">
        <v>5.56</v>
      </c>
      <c r="CF867">
        <v>5.56</v>
      </c>
      <c r="CG867">
        <v>11</v>
      </c>
      <c r="CH867">
        <v>10</v>
      </c>
      <c r="CI867">
        <v>3</v>
      </c>
      <c r="CJ867" s="1" t="s">
        <v>189</v>
      </c>
      <c r="CK867">
        <v>4</v>
      </c>
      <c r="CL867" s="1" t="s">
        <v>140</v>
      </c>
      <c r="CM867" s="1" t="s">
        <v>141</v>
      </c>
      <c r="CN867" s="1" t="s">
        <v>3552</v>
      </c>
      <c r="CO867" s="1" t="s">
        <v>403</v>
      </c>
      <c r="CP867" s="1" t="s">
        <v>1753</v>
      </c>
      <c r="CQ867">
        <v>410</v>
      </c>
      <c r="CR867" s="1" t="s">
        <v>7615</v>
      </c>
      <c r="CS867" s="1" t="s">
        <v>2460</v>
      </c>
      <c r="CT867">
        <v>1571.4</v>
      </c>
      <c r="CU867" s="1" t="s">
        <v>7601</v>
      </c>
      <c r="CV867" s="1" t="s">
        <v>4227</v>
      </c>
      <c r="CW867">
        <v>99.65</v>
      </c>
      <c r="CX867">
        <v>93</v>
      </c>
      <c r="CY867">
        <v>88.8</v>
      </c>
      <c r="CZ867" s="1" t="s">
        <v>1665</v>
      </c>
      <c r="DA867">
        <v>1</v>
      </c>
      <c r="DB867" t="s">
        <v>339</v>
      </c>
      <c r="DC867">
        <v>96</v>
      </c>
      <c r="DD867" s="1" t="s">
        <v>7616</v>
      </c>
      <c r="DE867" s="1" t="s">
        <v>7617</v>
      </c>
      <c r="DF867" t="e">
        <f>_xlfn.XLOOKUP(Table1[[#This Row],[Player ID]],Table2[feed_id],Table2[trade_status])</f>
        <v>#N/A</v>
      </c>
      <c r="DG867">
        <f>_xlfn.NUMBERVALUE(Table1[[#This Row],[predicted]])</f>
        <v>95.225970319657193</v>
      </c>
    </row>
    <row r="868" spans="1:111" hidden="1" x14ac:dyDescent="0.25">
      <c r="A868">
        <v>132763</v>
      </c>
      <c r="B868">
        <v>9242</v>
      </c>
      <c r="C868" t="s">
        <v>7597</v>
      </c>
      <c r="D868" t="s">
        <v>3116</v>
      </c>
      <c r="E868">
        <v>2025</v>
      </c>
      <c r="F868">
        <v>1008541</v>
      </c>
      <c r="G868" t="s">
        <v>7618</v>
      </c>
      <c r="H868" t="s">
        <v>5934</v>
      </c>
      <c r="I868" t="s">
        <v>291</v>
      </c>
      <c r="J868">
        <v>20</v>
      </c>
      <c r="K868">
        <v>99</v>
      </c>
      <c r="L868">
        <v>81</v>
      </c>
      <c r="M868">
        <v>125</v>
      </c>
      <c r="N868">
        <v>79</v>
      </c>
      <c r="O868">
        <v>102</v>
      </c>
      <c r="P868">
        <v>18</v>
      </c>
      <c r="Q868">
        <v>5</v>
      </c>
      <c r="R868">
        <v>6</v>
      </c>
      <c r="S868">
        <v>1</v>
      </c>
      <c r="T868">
        <v>0</v>
      </c>
      <c r="U868">
        <v>1</v>
      </c>
      <c r="V868">
        <v>0</v>
      </c>
      <c r="W868">
        <v>2</v>
      </c>
      <c r="X868">
        <v>0</v>
      </c>
      <c r="Y868" t="s">
        <v>113</v>
      </c>
      <c r="Z868" t="s">
        <v>5826</v>
      </c>
      <c r="AA868" t="s">
        <v>7619</v>
      </c>
      <c r="AH868" t="s">
        <v>155</v>
      </c>
      <c r="AI868">
        <v>36</v>
      </c>
      <c r="AJ868">
        <v>0</v>
      </c>
      <c r="AK868">
        <v>0</v>
      </c>
      <c r="AL868">
        <v>0</v>
      </c>
      <c r="AM868">
        <v>0.57999999999999996</v>
      </c>
      <c r="AN868">
        <v>0.45</v>
      </c>
      <c r="AO868">
        <v>0.89</v>
      </c>
      <c r="AS868">
        <v>5</v>
      </c>
      <c r="AT868">
        <v>4</v>
      </c>
      <c r="AU868">
        <v>4</v>
      </c>
      <c r="AV868">
        <v>60</v>
      </c>
      <c r="AW868">
        <v>87</v>
      </c>
      <c r="AX868">
        <v>489</v>
      </c>
      <c r="AY868">
        <v>0</v>
      </c>
      <c r="AZ868" t="b">
        <v>0</v>
      </c>
      <c r="BA868">
        <v>1764</v>
      </c>
      <c r="BB868">
        <v>1522</v>
      </c>
      <c r="BC868">
        <v>6</v>
      </c>
      <c r="BD868" t="s">
        <v>7599</v>
      </c>
      <c r="BE868" s="1" t="s">
        <v>3594</v>
      </c>
      <c r="BF868">
        <v>0</v>
      </c>
      <c r="BG868">
        <v>71</v>
      </c>
      <c r="BH868">
        <v>1</v>
      </c>
      <c r="BI868" s="1" t="s">
        <v>123</v>
      </c>
      <c r="BJ868">
        <v>10.8</v>
      </c>
      <c r="BK868" s="1" t="s">
        <v>124</v>
      </c>
      <c r="BL868" s="1" t="s">
        <v>528</v>
      </c>
      <c r="BM868" s="1" t="s">
        <v>211</v>
      </c>
      <c r="BN868" s="1" t="s">
        <v>528</v>
      </c>
      <c r="BO868" s="1" t="s">
        <v>169</v>
      </c>
      <c r="BP868" s="1" t="s">
        <v>766</v>
      </c>
      <c r="BQ868">
        <v>0</v>
      </c>
      <c r="BR868">
        <v>0</v>
      </c>
      <c r="BS868" s="1" t="s">
        <v>128</v>
      </c>
      <c r="BT868">
        <v>0.8</v>
      </c>
      <c r="BU868" s="1" t="s">
        <v>128</v>
      </c>
      <c r="BV868" s="1" t="s">
        <v>127</v>
      </c>
      <c r="BW868" s="1" t="s">
        <v>126</v>
      </c>
      <c r="BX868">
        <v>1.6</v>
      </c>
      <c r="BY868" s="1" t="s">
        <v>161</v>
      </c>
      <c r="BZ868" s="1" t="s">
        <v>126</v>
      </c>
      <c r="CA868">
        <v>0.57999999999999996</v>
      </c>
      <c r="CB868">
        <v>0.57999999999999996</v>
      </c>
      <c r="CC868">
        <v>0.45</v>
      </c>
      <c r="CD868">
        <v>0.45</v>
      </c>
      <c r="CE868">
        <v>0.89</v>
      </c>
      <c r="CF868">
        <v>0.89</v>
      </c>
      <c r="CG868" s="1" t="s">
        <v>397</v>
      </c>
      <c r="CH868">
        <v>5.6</v>
      </c>
      <c r="CI868">
        <v>3</v>
      </c>
      <c r="CJ868" s="1" t="s">
        <v>566</v>
      </c>
      <c r="CK868">
        <v>3</v>
      </c>
      <c r="CL868" s="1" t="s">
        <v>373</v>
      </c>
      <c r="CM868" s="1" t="s">
        <v>2490</v>
      </c>
      <c r="CN868" s="1" t="s">
        <v>4827</v>
      </c>
      <c r="CO868" s="1" t="s">
        <v>610</v>
      </c>
      <c r="CP868">
        <v>81.400000000000006</v>
      </c>
      <c r="CQ868" s="1" t="s">
        <v>7620</v>
      </c>
      <c r="CR868" s="1" t="s">
        <v>7621</v>
      </c>
      <c r="CS868" s="1" t="s">
        <v>7622</v>
      </c>
      <c r="CT868" s="1" t="s">
        <v>7623</v>
      </c>
      <c r="CU868" s="1" t="s">
        <v>285</v>
      </c>
      <c r="CV868" s="1" t="s">
        <v>2046</v>
      </c>
      <c r="CW868">
        <v>74.95</v>
      </c>
      <c r="CX868">
        <v>75</v>
      </c>
      <c r="CY868">
        <v>85.4</v>
      </c>
      <c r="CZ868" s="1" t="s">
        <v>3487</v>
      </c>
      <c r="DA868">
        <v>1</v>
      </c>
      <c r="DB868" t="s">
        <v>5826</v>
      </c>
      <c r="DC868">
        <v>81</v>
      </c>
      <c r="DD868" s="1" t="s">
        <v>7624</v>
      </c>
      <c r="DE868">
        <v>-5.3463860537527497</v>
      </c>
      <c r="DF868" t="e">
        <f>_xlfn.XLOOKUP(Table1[[#This Row],[Player ID]],Table2[feed_id],Table2[trade_status])</f>
        <v>#N/A</v>
      </c>
      <c r="DG868">
        <f>_xlfn.NUMBERVALUE(Table1[[#This Row],[predicted]])</f>
        <v>86.346386053752695</v>
      </c>
    </row>
    <row r="869" spans="1:111" hidden="1" x14ac:dyDescent="0.25">
      <c r="A869">
        <v>132764</v>
      </c>
      <c r="B869">
        <v>9242</v>
      </c>
      <c r="C869" t="s">
        <v>7597</v>
      </c>
      <c r="D869" t="s">
        <v>3116</v>
      </c>
      <c r="E869">
        <v>2025</v>
      </c>
      <c r="F869">
        <v>996701</v>
      </c>
      <c r="G869" t="s">
        <v>7625</v>
      </c>
      <c r="H869" t="s">
        <v>3871</v>
      </c>
      <c r="I869" t="s">
        <v>291</v>
      </c>
      <c r="J869">
        <v>26</v>
      </c>
      <c r="K869">
        <v>98</v>
      </c>
      <c r="L869">
        <v>86</v>
      </c>
      <c r="M869">
        <v>124</v>
      </c>
      <c r="N869">
        <v>74</v>
      </c>
      <c r="O869">
        <v>106</v>
      </c>
      <c r="P869">
        <v>6</v>
      </c>
      <c r="Q869">
        <v>18</v>
      </c>
      <c r="R869">
        <v>2</v>
      </c>
      <c r="S869">
        <v>9</v>
      </c>
      <c r="T869">
        <v>0</v>
      </c>
      <c r="U869">
        <v>1</v>
      </c>
      <c r="V869">
        <v>0</v>
      </c>
      <c r="W869">
        <v>0</v>
      </c>
      <c r="X869">
        <v>1</v>
      </c>
      <c r="Y869" t="s">
        <v>113</v>
      </c>
      <c r="Z869" t="s">
        <v>3955</v>
      </c>
      <c r="AA869" t="s">
        <v>7626</v>
      </c>
      <c r="AB869" t="s">
        <v>877</v>
      </c>
      <c r="AC869" t="s">
        <v>1814</v>
      </c>
      <c r="AE869">
        <v>0</v>
      </c>
      <c r="AH869" t="s">
        <v>118</v>
      </c>
      <c r="AI869">
        <v>13</v>
      </c>
      <c r="AJ869">
        <v>21</v>
      </c>
      <c r="AK869">
        <v>109.62</v>
      </c>
      <c r="AL869">
        <v>0</v>
      </c>
      <c r="AM869">
        <v>0</v>
      </c>
      <c r="AN869">
        <v>1.07</v>
      </c>
      <c r="AO869">
        <v>2.37</v>
      </c>
      <c r="AS869">
        <v>12</v>
      </c>
      <c r="AT869">
        <v>6</v>
      </c>
      <c r="AU869">
        <v>5</v>
      </c>
      <c r="AV869">
        <v>66</v>
      </c>
      <c r="AW869">
        <v>81</v>
      </c>
      <c r="AX869">
        <v>191</v>
      </c>
      <c r="AY869">
        <v>0</v>
      </c>
      <c r="AZ869" t="b">
        <v>0</v>
      </c>
      <c r="BA869">
        <v>1764</v>
      </c>
      <c r="BB869">
        <v>1522</v>
      </c>
      <c r="BC869">
        <v>6</v>
      </c>
      <c r="BD869" t="s">
        <v>7599</v>
      </c>
      <c r="BE869" s="1" t="s">
        <v>3594</v>
      </c>
      <c r="BF869">
        <v>0</v>
      </c>
      <c r="BG869">
        <v>71</v>
      </c>
      <c r="BH869">
        <v>1</v>
      </c>
      <c r="BI869">
        <v>11</v>
      </c>
      <c r="BJ869" s="1" t="s">
        <v>1761</v>
      </c>
      <c r="BK869" s="1" t="s">
        <v>296</v>
      </c>
      <c r="BL869" s="1" t="s">
        <v>7354</v>
      </c>
      <c r="BM869" s="1" t="s">
        <v>138</v>
      </c>
      <c r="BN869" s="1" t="s">
        <v>528</v>
      </c>
      <c r="BO869">
        <v>6</v>
      </c>
      <c r="BP869" s="1" t="s">
        <v>212</v>
      </c>
      <c r="BQ869">
        <v>0</v>
      </c>
      <c r="BR869">
        <v>0</v>
      </c>
      <c r="BS869">
        <v>1</v>
      </c>
      <c r="BT869" s="1" t="s">
        <v>128</v>
      </c>
      <c r="BU869">
        <v>0</v>
      </c>
      <c r="BV869">
        <v>1.6</v>
      </c>
      <c r="BW869">
        <v>0</v>
      </c>
      <c r="BX869">
        <v>0.2</v>
      </c>
      <c r="BY869" s="1" t="s">
        <v>128</v>
      </c>
      <c r="BZ869" s="1" t="s">
        <v>184</v>
      </c>
      <c r="CA869">
        <v>0</v>
      </c>
      <c r="CB869">
        <v>0</v>
      </c>
      <c r="CC869">
        <v>1.07</v>
      </c>
      <c r="CD869">
        <v>1.07</v>
      </c>
      <c r="CE869">
        <v>2.37</v>
      </c>
      <c r="CF869">
        <v>2.37</v>
      </c>
      <c r="CG869" s="1" t="s">
        <v>395</v>
      </c>
      <c r="CH869" s="1" t="s">
        <v>6706</v>
      </c>
      <c r="CI869" s="1" t="s">
        <v>204</v>
      </c>
      <c r="CJ869" s="1" t="s">
        <v>752</v>
      </c>
      <c r="CK869" s="1" t="s">
        <v>160</v>
      </c>
      <c r="CL869" s="1" t="s">
        <v>229</v>
      </c>
      <c r="CM869" s="1" t="s">
        <v>787</v>
      </c>
      <c r="CN869" s="1" t="s">
        <v>1242</v>
      </c>
      <c r="CO869" s="1" t="s">
        <v>930</v>
      </c>
      <c r="CP869">
        <v>79.400000000000006</v>
      </c>
      <c r="CQ869" s="1" t="s">
        <v>5754</v>
      </c>
      <c r="CR869" s="1" t="s">
        <v>7627</v>
      </c>
      <c r="CS869" s="1" t="s">
        <v>2460</v>
      </c>
      <c r="CT869" s="1" t="s">
        <v>2422</v>
      </c>
      <c r="CU869" s="1" t="s">
        <v>7601</v>
      </c>
      <c r="CV869">
        <v>1738.8</v>
      </c>
      <c r="CW869">
        <v>87.55</v>
      </c>
      <c r="CX869">
        <v>87.1</v>
      </c>
      <c r="CY869">
        <v>97.4</v>
      </c>
      <c r="CZ869">
        <v>88</v>
      </c>
      <c r="DA869">
        <v>1</v>
      </c>
      <c r="DB869" t="s">
        <v>3955</v>
      </c>
      <c r="DC869">
        <v>86</v>
      </c>
      <c r="DD869" s="1" t="s">
        <v>7628</v>
      </c>
      <c r="DE869">
        <v>-1.2798456242023</v>
      </c>
      <c r="DF869" t="e">
        <f>_xlfn.XLOOKUP(Table1[[#This Row],[Player ID]],Table2[feed_id],Table2[trade_status])</f>
        <v>#N/A</v>
      </c>
      <c r="DG869">
        <f>_xlfn.NUMBERVALUE(Table1[[#This Row],[predicted]])</f>
        <v>87.279845624202295</v>
      </c>
    </row>
    <row r="870" spans="1:111" hidden="1" x14ac:dyDescent="0.25">
      <c r="A870">
        <v>132765</v>
      </c>
      <c r="B870">
        <v>9242</v>
      </c>
      <c r="C870" t="s">
        <v>7597</v>
      </c>
      <c r="D870" t="s">
        <v>3116</v>
      </c>
      <c r="E870">
        <v>2025</v>
      </c>
      <c r="F870">
        <v>1012825</v>
      </c>
      <c r="G870" t="s">
        <v>1235</v>
      </c>
      <c r="H870" t="s">
        <v>7629</v>
      </c>
      <c r="I870" t="s">
        <v>291</v>
      </c>
      <c r="J870">
        <v>14</v>
      </c>
      <c r="K870">
        <v>90</v>
      </c>
      <c r="L870">
        <v>85</v>
      </c>
      <c r="M870">
        <v>118</v>
      </c>
      <c r="N870">
        <v>68</v>
      </c>
      <c r="O870">
        <v>93</v>
      </c>
      <c r="P870">
        <v>18</v>
      </c>
      <c r="Q870">
        <v>5</v>
      </c>
      <c r="R870">
        <v>6</v>
      </c>
      <c r="S870">
        <v>2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113</v>
      </c>
      <c r="Z870" t="s">
        <v>226</v>
      </c>
      <c r="AA870" t="s">
        <v>6990</v>
      </c>
      <c r="AH870" t="s">
        <v>181</v>
      </c>
      <c r="AI870">
        <v>17</v>
      </c>
      <c r="AJ870">
        <v>0</v>
      </c>
      <c r="AK870">
        <v>0</v>
      </c>
      <c r="AL870">
        <v>0</v>
      </c>
      <c r="AM870">
        <v>0.13</v>
      </c>
      <c r="AN870">
        <v>0.1</v>
      </c>
      <c r="AO870">
        <v>0.15</v>
      </c>
      <c r="AS870">
        <v>9</v>
      </c>
      <c r="AT870">
        <v>4</v>
      </c>
      <c r="AU870">
        <v>3</v>
      </c>
      <c r="AV870">
        <v>65</v>
      </c>
      <c r="AW870">
        <v>83</v>
      </c>
      <c r="AX870">
        <v>417</v>
      </c>
      <c r="AY870">
        <v>0</v>
      </c>
      <c r="AZ870" t="b">
        <v>0</v>
      </c>
      <c r="BA870">
        <v>1764</v>
      </c>
      <c r="BB870">
        <v>1522</v>
      </c>
      <c r="BC870">
        <v>6</v>
      </c>
      <c r="BD870" t="s">
        <v>7599</v>
      </c>
      <c r="BE870" s="1" t="s">
        <v>3594</v>
      </c>
      <c r="BF870">
        <v>0</v>
      </c>
      <c r="BG870">
        <v>71</v>
      </c>
      <c r="BH870">
        <v>1</v>
      </c>
      <c r="BI870">
        <v>16</v>
      </c>
      <c r="BJ870" s="1" t="s">
        <v>623</v>
      </c>
      <c r="BK870">
        <v>7</v>
      </c>
      <c r="BL870">
        <v>5</v>
      </c>
      <c r="BM870" s="1" t="s">
        <v>160</v>
      </c>
      <c r="BN870" s="1" t="s">
        <v>160</v>
      </c>
      <c r="BO870" s="1" t="s">
        <v>159</v>
      </c>
      <c r="BP870">
        <v>1.8</v>
      </c>
      <c r="BQ870">
        <v>0</v>
      </c>
      <c r="BR870">
        <v>0</v>
      </c>
      <c r="BS870" s="1" t="s">
        <v>128</v>
      </c>
      <c r="BT870" s="1" t="s">
        <v>128</v>
      </c>
      <c r="BU870">
        <v>0</v>
      </c>
      <c r="BV870">
        <v>0.2</v>
      </c>
      <c r="BW870" s="1" t="s">
        <v>129</v>
      </c>
      <c r="BX870" s="1" t="s">
        <v>213</v>
      </c>
      <c r="BY870">
        <v>0</v>
      </c>
      <c r="BZ870" s="1" t="s">
        <v>213</v>
      </c>
      <c r="CA870">
        <v>0.13</v>
      </c>
      <c r="CB870">
        <v>0.13</v>
      </c>
      <c r="CC870">
        <v>0.1</v>
      </c>
      <c r="CD870">
        <v>0.1</v>
      </c>
      <c r="CE870">
        <v>0.15</v>
      </c>
      <c r="CF870">
        <v>0.15</v>
      </c>
      <c r="CG870" s="1" t="s">
        <v>253</v>
      </c>
      <c r="CH870" s="1" t="s">
        <v>499</v>
      </c>
      <c r="CI870" s="1" t="s">
        <v>126</v>
      </c>
      <c r="CJ870" s="1" t="s">
        <v>231</v>
      </c>
      <c r="CK870" s="1" t="s">
        <v>159</v>
      </c>
      <c r="CL870" s="1" t="s">
        <v>304</v>
      </c>
      <c r="CM870" s="1" t="s">
        <v>610</v>
      </c>
      <c r="CN870" s="1" t="s">
        <v>1387</v>
      </c>
      <c r="CO870" s="1" t="s">
        <v>142</v>
      </c>
      <c r="CP870">
        <v>74.8</v>
      </c>
      <c r="CQ870">
        <v>438</v>
      </c>
      <c r="CR870" s="1" t="s">
        <v>7630</v>
      </c>
      <c r="CS870" s="1" t="s">
        <v>2460</v>
      </c>
      <c r="CT870" s="1" t="s">
        <v>7631</v>
      </c>
      <c r="CU870" s="1" t="s">
        <v>7601</v>
      </c>
      <c r="CV870" s="1" t="s">
        <v>7632</v>
      </c>
      <c r="CW870">
        <v>70.05</v>
      </c>
      <c r="CX870">
        <v>83.5</v>
      </c>
      <c r="CY870">
        <v>95</v>
      </c>
      <c r="CZ870">
        <v>94</v>
      </c>
      <c r="DA870">
        <v>1</v>
      </c>
      <c r="DB870" t="s">
        <v>226</v>
      </c>
      <c r="DC870">
        <v>85</v>
      </c>
      <c r="DD870" s="1" t="s">
        <v>7633</v>
      </c>
      <c r="DE870">
        <v>-13.2844628884367</v>
      </c>
      <c r="DF870" t="e">
        <f>_xlfn.XLOOKUP(Table1[[#This Row],[Player ID]],Table2[feed_id],Table2[trade_status])</f>
        <v>#N/A</v>
      </c>
      <c r="DG870">
        <f>_xlfn.NUMBERVALUE(Table1[[#This Row],[predicted]])</f>
        <v>98.284462888436707</v>
      </c>
    </row>
    <row r="871" spans="1:111" hidden="1" x14ac:dyDescent="0.25">
      <c r="A871">
        <v>132766</v>
      </c>
      <c r="B871">
        <v>9242</v>
      </c>
      <c r="C871" t="s">
        <v>7597</v>
      </c>
      <c r="D871" t="s">
        <v>3116</v>
      </c>
      <c r="E871">
        <v>2025</v>
      </c>
      <c r="F871">
        <v>296359</v>
      </c>
      <c r="G871" t="s">
        <v>7612</v>
      </c>
      <c r="H871" t="s">
        <v>7634</v>
      </c>
      <c r="I871" t="s">
        <v>291</v>
      </c>
      <c r="J871">
        <v>20</v>
      </c>
      <c r="K871">
        <v>89</v>
      </c>
      <c r="L871">
        <v>94</v>
      </c>
      <c r="M871">
        <v>118</v>
      </c>
      <c r="N871">
        <v>74</v>
      </c>
      <c r="O871">
        <v>99</v>
      </c>
      <c r="P871">
        <v>15</v>
      </c>
      <c r="Q871">
        <v>6</v>
      </c>
      <c r="R871">
        <v>10</v>
      </c>
      <c r="S871">
        <v>2</v>
      </c>
      <c r="T871">
        <v>0</v>
      </c>
      <c r="U871">
        <v>0</v>
      </c>
      <c r="V871">
        <v>2</v>
      </c>
      <c r="W871">
        <v>0</v>
      </c>
      <c r="X871">
        <v>0</v>
      </c>
      <c r="Y871" t="s">
        <v>113</v>
      </c>
      <c r="Z871" t="s">
        <v>226</v>
      </c>
      <c r="AA871" t="s">
        <v>6990</v>
      </c>
      <c r="AE871">
        <v>0</v>
      </c>
      <c r="AH871" t="s">
        <v>181</v>
      </c>
      <c r="AI871">
        <v>3</v>
      </c>
      <c r="AJ871">
        <v>20</v>
      </c>
      <c r="AK871">
        <v>78.150000000000006</v>
      </c>
      <c r="AL871">
        <v>0</v>
      </c>
      <c r="AM871">
        <v>0</v>
      </c>
      <c r="AN871">
        <v>0.51</v>
      </c>
      <c r="AO871">
        <v>0.5</v>
      </c>
      <c r="AS871">
        <v>6</v>
      </c>
      <c r="AT871">
        <v>1</v>
      </c>
      <c r="AU871">
        <v>2</v>
      </c>
      <c r="AV871">
        <v>85</v>
      </c>
      <c r="AW871">
        <v>88</v>
      </c>
      <c r="AX871">
        <v>354</v>
      </c>
      <c r="AY871">
        <v>0</v>
      </c>
      <c r="AZ871" t="b">
        <v>0</v>
      </c>
      <c r="BA871">
        <v>1764</v>
      </c>
      <c r="BB871">
        <v>1522</v>
      </c>
      <c r="BC871">
        <v>6</v>
      </c>
      <c r="BD871" t="s">
        <v>7599</v>
      </c>
      <c r="BE871" s="1" t="s">
        <v>3594</v>
      </c>
      <c r="BF871">
        <v>0</v>
      </c>
      <c r="BG871">
        <v>71</v>
      </c>
      <c r="BH871">
        <v>1</v>
      </c>
      <c r="BI871">
        <v>13</v>
      </c>
      <c r="BJ871" s="1" t="s">
        <v>7635</v>
      </c>
      <c r="BK871" s="1" t="s">
        <v>204</v>
      </c>
      <c r="BL871">
        <v>7</v>
      </c>
      <c r="BM871" s="1" t="s">
        <v>137</v>
      </c>
      <c r="BN871" s="1" t="s">
        <v>430</v>
      </c>
      <c r="BO871">
        <v>2</v>
      </c>
      <c r="BP871">
        <v>2.4</v>
      </c>
      <c r="BQ871">
        <v>0</v>
      </c>
      <c r="BR871">
        <v>0</v>
      </c>
      <c r="BS871" s="1" t="s">
        <v>129</v>
      </c>
      <c r="BT871" s="1" t="s">
        <v>128</v>
      </c>
      <c r="BU871" s="1" t="s">
        <v>126</v>
      </c>
      <c r="BV871" s="1" t="s">
        <v>128</v>
      </c>
      <c r="BW871">
        <v>0</v>
      </c>
      <c r="BX871">
        <v>0</v>
      </c>
      <c r="BY871">
        <v>0</v>
      </c>
      <c r="BZ871" s="1" t="s">
        <v>213</v>
      </c>
      <c r="CA871">
        <v>0</v>
      </c>
      <c r="CB871">
        <v>0</v>
      </c>
      <c r="CC871">
        <v>0.51</v>
      </c>
      <c r="CD871">
        <v>0.51</v>
      </c>
      <c r="CE871">
        <v>0.5</v>
      </c>
      <c r="CF871">
        <v>0.5</v>
      </c>
      <c r="CG871">
        <v>5</v>
      </c>
      <c r="CH871">
        <v>5.6</v>
      </c>
      <c r="CI871" s="1" t="s">
        <v>126</v>
      </c>
      <c r="CJ871" s="1" t="s">
        <v>298</v>
      </c>
      <c r="CK871">
        <v>3</v>
      </c>
      <c r="CL871">
        <v>2.4</v>
      </c>
      <c r="CM871">
        <v>79</v>
      </c>
      <c r="CN871" s="1" t="s">
        <v>216</v>
      </c>
      <c r="CO871" s="1" t="s">
        <v>1491</v>
      </c>
      <c r="CP871">
        <v>80.599999999999994</v>
      </c>
      <c r="CQ871" s="1" t="s">
        <v>7172</v>
      </c>
      <c r="CR871" s="1" t="s">
        <v>7636</v>
      </c>
      <c r="CS871" s="1" t="s">
        <v>2460</v>
      </c>
      <c r="CT871">
        <v>1584.6</v>
      </c>
      <c r="CU871" s="1" t="s">
        <v>7601</v>
      </c>
      <c r="CV871" s="1" t="s">
        <v>5691</v>
      </c>
      <c r="CW871">
        <v>81.95</v>
      </c>
      <c r="CX871">
        <v>85.3</v>
      </c>
      <c r="CY871">
        <v>91.6</v>
      </c>
      <c r="CZ871" s="1" t="s">
        <v>755</v>
      </c>
      <c r="DA871">
        <v>1</v>
      </c>
      <c r="DB871" t="s">
        <v>226</v>
      </c>
      <c r="DC871">
        <v>94</v>
      </c>
      <c r="DD871" s="1" t="s">
        <v>7637</v>
      </c>
      <c r="DE871">
        <v>-8.0194683235477395</v>
      </c>
      <c r="DF871" t="e">
        <f>_xlfn.XLOOKUP(Table1[[#This Row],[Player ID]],Table2[feed_id],Table2[trade_status])</f>
        <v>#N/A</v>
      </c>
      <c r="DG871">
        <f>_xlfn.NUMBERVALUE(Table1[[#This Row],[predicted]])</f>
        <v>102.019468323547</v>
      </c>
    </row>
    <row r="872" spans="1:111" x14ac:dyDescent="0.25">
      <c r="A872">
        <v>132929</v>
      </c>
      <c r="B872">
        <v>9245</v>
      </c>
      <c r="C872" t="s">
        <v>8180</v>
      </c>
      <c r="D872" t="s">
        <v>3116</v>
      </c>
      <c r="E872">
        <v>2025</v>
      </c>
      <c r="F872">
        <v>990290</v>
      </c>
      <c r="G872" t="s">
        <v>776</v>
      </c>
      <c r="H872" t="s">
        <v>8329</v>
      </c>
      <c r="I872" t="s">
        <v>391</v>
      </c>
      <c r="J872">
        <v>8</v>
      </c>
      <c r="K872">
        <v>62</v>
      </c>
      <c r="L872">
        <v>75</v>
      </c>
      <c r="M872">
        <v>34</v>
      </c>
      <c r="N872">
        <v>48</v>
      </c>
      <c r="O872">
        <v>60</v>
      </c>
      <c r="P872">
        <v>12</v>
      </c>
      <c r="Q872">
        <v>1</v>
      </c>
      <c r="R872">
        <v>6</v>
      </c>
      <c r="S872">
        <v>1</v>
      </c>
      <c r="T872">
        <v>0</v>
      </c>
      <c r="U872">
        <v>2</v>
      </c>
      <c r="V872">
        <v>0</v>
      </c>
      <c r="W872">
        <v>0</v>
      </c>
      <c r="X872">
        <v>0</v>
      </c>
      <c r="Y872" t="s">
        <v>113</v>
      </c>
      <c r="Z872" t="s">
        <v>179</v>
      </c>
      <c r="AA872" t="s">
        <v>8330</v>
      </c>
      <c r="AH872" t="s">
        <v>181</v>
      </c>
      <c r="AI872">
        <v>37</v>
      </c>
      <c r="AJ872">
        <v>0</v>
      </c>
      <c r="AK872">
        <v>0</v>
      </c>
      <c r="AL872">
        <v>0</v>
      </c>
      <c r="AM872">
        <v>0.66</v>
      </c>
      <c r="AN872">
        <v>0.18</v>
      </c>
      <c r="AO872">
        <v>0.95</v>
      </c>
      <c r="AS872">
        <v>6</v>
      </c>
      <c r="AT872">
        <v>0</v>
      </c>
      <c r="AU872">
        <v>2</v>
      </c>
      <c r="AV872">
        <v>84</v>
      </c>
      <c r="AW872">
        <v>87</v>
      </c>
      <c r="AX872">
        <v>365</v>
      </c>
      <c r="AY872">
        <v>0</v>
      </c>
      <c r="AZ872" t="b">
        <v>0</v>
      </c>
      <c r="BA872">
        <v>1799</v>
      </c>
      <c r="BB872">
        <v>1477</v>
      </c>
      <c r="BC872">
        <v>6</v>
      </c>
      <c r="BD872" t="s">
        <v>8277</v>
      </c>
      <c r="BE872" s="1" t="s">
        <v>3594</v>
      </c>
      <c r="BF872">
        <v>0</v>
      </c>
      <c r="BG872">
        <v>71</v>
      </c>
      <c r="BH872">
        <v>1</v>
      </c>
      <c r="BI872" s="1" t="s">
        <v>253</v>
      </c>
      <c r="BJ872" s="1" t="s">
        <v>303</v>
      </c>
      <c r="BK872">
        <v>3</v>
      </c>
      <c r="BL872">
        <v>3.6</v>
      </c>
      <c r="BM872" s="1" t="s">
        <v>211</v>
      </c>
      <c r="BN872" s="1" t="s">
        <v>397</v>
      </c>
      <c r="BO872" s="1" t="s">
        <v>161</v>
      </c>
      <c r="BP872" s="1" t="s">
        <v>126</v>
      </c>
      <c r="BQ872">
        <v>0</v>
      </c>
      <c r="BR872">
        <v>0.2</v>
      </c>
      <c r="BS872">
        <v>1</v>
      </c>
      <c r="BT872">
        <v>1</v>
      </c>
      <c r="BU872" s="1" t="s">
        <v>129</v>
      </c>
      <c r="BV872" s="1" t="s">
        <v>128</v>
      </c>
      <c r="BW872">
        <v>0</v>
      </c>
      <c r="BX872">
        <v>0</v>
      </c>
      <c r="BY872">
        <v>0</v>
      </c>
      <c r="BZ872">
        <v>0</v>
      </c>
      <c r="CA872">
        <v>0.66</v>
      </c>
      <c r="CB872">
        <v>0.66</v>
      </c>
      <c r="CC872">
        <v>0.18</v>
      </c>
      <c r="CD872">
        <v>0.18</v>
      </c>
      <c r="CE872">
        <v>0.95</v>
      </c>
      <c r="CF872">
        <v>0.95</v>
      </c>
      <c r="CG872">
        <v>5</v>
      </c>
      <c r="CH872" s="1" t="s">
        <v>752</v>
      </c>
      <c r="CI872">
        <v>0</v>
      </c>
      <c r="CJ872">
        <v>0</v>
      </c>
      <c r="CK872">
        <v>2</v>
      </c>
      <c r="CL872" s="1" t="s">
        <v>304</v>
      </c>
      <c r="CM872" s="1" t="s">
        <v>268</v>
      </c>
      <c r="CN872" s="1" t="s">
        <v>6946</v>
      </c>
      <c r="CO872" s="1" t="s">
        <v>310</v>
      </c>
      <c r="CP872" s="1" t="s">
        <v>8331</v>
      </c>
      <c r="CQ872" s="1" t="s">
        <v>3884</v>
      </c>
      <c r="CR872" s="1" t="s">
        <v>8332</v>
      </c>
      <c r="CS872" s="1" t="s">
        <v>4566</v>
      </c>
      <c r="CT872" s="1" t="s">
        <v>1405</v>
      </c>
      <c r="CU872">
        <v>1616</v>
      </c>
      <c r="CV872" s="1" t="s">
        <v>8333</v>
      </c>
      <c r="CW872">
        <v>80.599999999999994</v>
      </c>
      <c r="CX872">
        <v>71.400000000000006</v>
      </c>
      <c r="CY872">
        <v>58.8</v>
      </c>
      <c r="CZ872">
        <v>58</v>
      </c>
      <c r="DA872">
        <v>1</v>
      </c>
      <c r="DB872" t="s">
        <v>179</v>
      </c>
      <c r="DC872">
        <v>75</v>
      </c>
      <c r="DD872" s="1" t="s">
        <v>8334</v>
      </c>
      <c r="DE872" s="1" t="s">
        <v>8335</v>
      </c>
      <c r="DF872" t="str">
        <f>_xlfn.XLOOKUP(Table1[[#This Row],[Player ID]],Table2[feed_id],Table2[trade_status])</f>
        <v>free_agent</v>
      </c>
      <c r="DG872">
        <f>_xlfn.NUMBERVALUE(Table1[[#This Row],[predicted]])</f>
        <v>63.124411293104401</v>
      </c>
    </row>
    <row r="873" spans="1:111" x14ac:dyDescent="0.25">
      <c r="A873">
        <v>132668</v>
      </c>
      <c r="B873">
        <v>9239</v>
      </c>
      <c r="C873" t="s">
        <v>7040</v>
      </c>
      <c r="D873" t="s">
        <v>3116</v>
      </c>
      <c r="E873">
        <v>2025</v>
      </c>
      <c r="F873">
        <v>1017665</v>
      </c>
      <c r="G873" t="s">
        <v>7220</v>
      </c>
      <c r="H873" t="s">
        <v>7221</v>
      </c>
      <c r="I873" t="s">
        <v>524</v>
      </c>
      <c r="J873">
        <v>3</v>
      </c>
      <c r="K873">
        <v>35</v>
      </c>
      <c r="L873">
        <v>41</v>
      </c>
      <c r="M873">
        <v>17</v>
      </c>
      <c r="N873">
        <v>32</v>
      </c>
      <c r="O873">
        <v>45</v>
      </c>
      <c r="P873">
        <v>7</v>
      </c>
      <c r="Q873">
        <v>5</v>
      </c>
      <c r="R873">
        <v>3</v>
      </c>
      <c r="S873">
        <v>0</v>
      </c>
      <c r="T873">
        <v>0</v>
      </c>
      <c r="U873">
        <v>1</v>
      </c>
      <c r="V873">
        <v>2</v>
      </c>
      <c r="W873">
        <v>0</v>
      </c>
      <c r="X873">
        <v>0</v>
      </c>
      <c r="Y873" t="s">
        <v>113</v>
      </c>
      <c r="Z873" t="s">
        <v>7222</v>
      </c>
      <c r="AA873" t="s">
        <v>7223</v>
      </c>
      <c r="AH873" t="s">
        <v>181</v>
      </c>
      <c r="AI873">
        <v>32</v>
      </c>
      <c r="AJ873">
        <v>0</v>
      </c>
      <c r="AK873">
        <v>0</v>
      </c>
      <c r="AL873">
        <v>0</v>
      </c>
      <c r="AM873">
        <v>0.31</v>
      </c>
      <c r="AN873">
        <v>0.32</v>
      </c>
      <c r="AO873">
        <v>1.93</v>
      </c>
      <c r="AS873">
        <v>2</v>
      </c>
      <c r="AT873">
        <v>0</v>
      </c>
      <c r="AU873">
        <v>3</v>
      </c>
      <c r="AV873">
        <v>83</v>
      </c>
      <c r="AW873">
        <v>82</v>
      </c>
      <c r="AX873">
        <v>190</v>
      </c>
      <c r="AY873">
        <v>0</v>
      </c>
      <c r="AZ873" t="b">
        <v>0</v>
      </c>
      <c r="BA873">
        <v>1592</v>
      </c>
      <c r="BB873">
        <v>1678</v>
      </c>
      <c r="BC873">
        <v>6</v>
      </c>
      <c r="BD873" t="s">
        <v>7138</v>
      </c>
      <c r="BE873" s="1" t="s">
        <v>3594</v>
      </c>
      <c r="BF873">
        <v>0</v>
      </c>
      <c r="BG873">
        <v>71</v>
      </c>
      <c r="BH873">
        <v>0</v>
      </c>
      <c r="BI873">
        <v>8</v>
      </c>
      <c r="BJ873" s="1" t="s">
        <v>1761</v>
      </c>
      <c r="BK873" s="1" t="s">
        <v>449</v>
      </c>
      <c r="BL873" s="1" t="s">
        <v>1092</v>
      </c>
      <c r="BM873" s="1" t="s">
        <v>169</v>
      </c>
      <c r="BN873" s="1" t="s">
        <v>499</v>
      </c>
      <c r="BO873" s="1" t="s">
        <v>161</v>
      </c>
      <c r="BP873">
        <v>2</v>
      </c>
      <c r="BQ873">
        <v>0</v>
      </c>
      <c r="BR873">
        <v>0</v>
      </c>
      <c r="BS873">
        <v>1</v>
      </c>
      <c r="BT873" s="1" t="s">
        <v>399</v>
      </c>
      <c r="BU873" s="1" t="s">
        <v>128</v>
      </c>
      <c r="BV873" s="1" t="s">
        <v>128</v>
      </c>
      <c r="BW873">
        <v>0</v>
      </c>
      <c r="BX873">
        <v>0</v>
      </c>
      <c r="BY873">
        <v>0</v>
      </c>
      <c r="BZ873" s="1" t="s">
        <v>213</v>
      </c>
      <c r="CA873">
        <v>0.31</v>
      </c>
      <c r="CB873">
        <v>0.31</v>
      </c>
      <c r="CC873">
        <v>0.32</v>
      </c>
      <c r="CD873">
        <v>0.32</v>
      </c>
      <c r="CE873">
        <v>1.93</v>
      </c>
      <c r="CF873">
        <v>1.93</v>
      </c>
      <c r="CG873" s="1" t="s">
        <v>125</v>
      </c>
      <c r="CH873">
        <v>4</v>
      </c>
      <c r="CI873">
        <v>0</v>
      </c>
      <c r="CJ873" s="1" t="s">
        <v>129</v>
      </c>
      <c r="CK873">
        <v>2</v>
      </c>
      <c r="CL873" s="1" t="s">
        <v>304</v>
      </c>
      <c r="CM873" s="1" t="s">
        <v>1665</v>
      </c>
      <c r="CN873">
        <v>78</v>
      </c>
      <c r="CO873" s="1" t="s">
        <v>239</v>
      </c>
      <c r="CP873" s="1" t="s">
        <v>2335</v>
      </c>
      <c r="CQ873">
        <v>267</v>
      </c>
      <c r="CR873" s="1" t="s">
        <v>7224</v>
      </c>
      <c r="CS873" s="1" t="s">
        <v>806</v>
      </c>
      <c r="CT873">
        <v>1616</v>
      </c>
      <c r="CU873">
        <v>1593</v>
      </c>
      <c r="CV873" s="1" t="s">
        <v>7146</v>
      </c>
      <c r="CW873">
        <v>74</v>
      </c>
      <c r="CX873">
        <v>68.400000000000006</v>
      </c>
      <c r="CY873">
        <v>65.2</v>
      </c>
      <c r="CZ873" s="1" t="s">
        <v>759</v>
      </c>
      <c r="DA873">
        <v>1</v>
      </c>
      <c r="DB873" t="s">
        <v>7222</v>
      </c>
      <c r="DC873">
        <v>41</v>
      </c>
      <c r="DD873" s="1" t="s">
        <v>7225</v>
      </c>
      <c r="DE873">
        <v>-22.098623825021601</v>
      </c>
      <c r="DF873" t="str">
        <f>_xlfn.XLOOKUP(Table1[[#This Row],[Player ID]],Table2[feed_id],Table2[trade_status])</f>
        <v>free_agent</v>
      </c>
      <c r="DG873">
        <f>_xlfn.NUMBERVALUE(Table1[[#This Row],[predicted]])</f>
        <v>63.098623825021598</v>
      </c>
    </row>
    <row r="874" spans="1:111" x14ac:dyDescent="0.25">
      <c r="A874">
        <v>132576</v>
      </c>
      <c r="B874">
        <v>9237</v>
      </c>
      <c r="C874" t="s">
        <v>6650</v>
      </c>
      <c r="D874" t="s">
        <v>3116</v>
      </c>
      <c r="E874">
        <v>2025</v>
      </c>
      <c r="F874">
        <v>1016433</v>
      </c>
      <c r="G874" t="s">
        <v>5000</v>
      </c>
      <c r="H874" t="s">
        <v>6848</v>
      </c>
      <c r="I874" t="s">
        <v>1061</v>
      </c>
      <c r="J874">
        <v>9</v>
      </c>
      <c r="K874">
        <v>43</v>
      </c>
      <c r="L874">
        <v>45</v>
      </c>
      <c r="M874">
        <v>42</v>
      </c>
      <c r="N874">
        <v>34</v>
      </c>
      <c r="O874">
        <v>41</v>
      </c>
      <c r="P874">
        <v>3</v>
      </c>
      <c r="Q874">
        <v>2</v>
      </c>
      <c r="R874">
        <v>2</v>
      </c>
      <c r="S874">
        <v>3</v>
      </c>
      <c r="T874">
        <v>4</v>
      </c>
      <c r="U874">
        <v>1</v>
      </c>
      <c r="V874">
        <v>0</v>
      </c>
      <c r="W874">
        <v>1</v>
      </c>
      <c r="X874">
        <v>1</v>
      </c>
      <c r="Y874" t="s">
        <v>113</v>
      </c>
      <c r="Z874" t="s">
        <v>5152</v>
      </c>
      <c r="AA874" t="s">
        <v>6849</v>
      </c>
      <c r="AH874" t="s">
        <v>155</v>
      </c>
      <c r="AI874">
        <v>33</v>
      </c>
      <c r="AJ874">
        <v>0</v>
      </c>
      <c r="AK874">
        <v>0</v>
      </c>
      <c r="AL874">
        <v>0</v>
      </c>
      <c r="AM874">
        <v>0.04</v>
      </c>
      <c r="AN874">
        <v>0.09</v>
      </c>
      <c r="AO874">
        <v>0.17</v>
      </c>
      <c r="AS874">
        <v>3</v>
      </c>
      <c r="AT874">
        <v>1</v>
      </c>
      <c r="AU874">
        <v>0</v>
      </c>
      <c r="AV874">
        <v>60</v>
      </c>
      <c r="AW874">
        <v>72</v>
      </c>
      <c r="AX874">
        <v>85</v>
      </c>
      <c r="AY874">
        <v>1</v>
      </c>
      <c r="AZ874" t="b">
        <v>0</v>
      </c>
      <c r="BA874">
        <v>1646</v>
      </c>
      <c r="BB874">
        <v>1632</v>
      </c>
      <c r="BC874">
        <v>6</v>
      </c>
      <c r="BD874" t="s">
        <v>6772</v>
      </c>
      <c r="BE874" s="1" t="s">
        <v>3594</v>
      </c>
      <c r="BF874">
        <v>0</v>
      </c>
      <c r="BG874">
        <v>71</v>
      </c>
      <c r="BH874">
        <v>0</v>
      </c>
      <c r="BI874">
        <v>4</v>
      </c>
      <c r="BJ874">
        <v>5.4</v>
      </c>
      <c r="BK874" s="1" t="s">
        <v>161</v>
      </c>
      <c r="BL874" s="1" t="s">
        <v>140</v>
      </c>
      <c r="BM874" s="1" t="s">
        <v>138</v>
      </c>
      <c r="BN874" s="1" t="s">
        <v>189</v>
      </c>
      <c r="BO874">
        <v>3</v>
      </c>
      <c r="BP874" s="1" t="s">
        <v>170</v>
      </c>
      <c r="BQ874">
        <v>4</v>
      </c>
      <c r="BR874" s="1" t="s">
        <v>138</v>
      </c>
      <c r="BS874" s="1" t="s">
        <v>128</v>
      </c>
      <c r="BT874" s="1" t="s">
        <v>399</v>
      </c>
      <c r="BU874" s="1" t="s">
        <v>129</v>
      </c>
      <c r="BV874" s="1" t="s">
        <v>399</v>
      </c>
      <c r="BW874" s="1" t="s">
        <v>126</v>
      </c>
      <c r="BX874" s="1" t="s">
        <v>126</v>
      </c>
      <c r="BY874" s="1" t="s">
        <v>128</v>
      </c>
      <c r="BZ874">
        <v>0.8</v>
      </c>
      <c r="CA874">
        <v>0.04</v>
      </c>
      <c r="CB874">
        <v>0.04</v>
      </c>
      <c r="CC874">
        <v>0.09</v>
      </c>
      <c r="CD874">
        <v>0.09</v>
      </c>
      <c r="CE874">
        <v>0.17</v>
      </c>
      <c r="CF874">
        <v>0.17</v>
      </c>
      <c r="CG874" s="1" t="s">
        <v>138</v>
      </c>
      <c r="CH874" s="1" t="s">
        <v>499</v>
      </c>
      <c r="CI874" s="1" t="s">
        <v>129</v>
      </c>
      <c r="CJ874" s="1" t="s">
        <v>129</v>
      </c>
      <c r="CK874" s="1" t="s">
        <v>126</v>
      </c>
      <c r="CL874" s="1" t="s">
        <v>159</v>
      </c>
      <c r="CM874" s="1" t="s">
        <v>572</v>
      </c>
      <c r="CN874" s="1" t="s">
        <v>5981</v>
      </c>
      <c r="CO874">
        <v>85</v>
      </c>
      <c r="CP874">
        <v>80.599999999999994</v>
      </c>
      <c r="CQ874" s="1" t="s">
        <v>6850</v>
      </c>
      <c r="CR874">
        <v>145.6</v>
      </c>
      <c r="CS874" s="1" t="s">
        <v>4075</v>
      </c>
      <c r="CT874">
        <v>1684.6</v>
      </c>
      <c r="CU874" s="1" t="s">
        <v>4024</v>
      </c>
      <c r="CV874" s="1" t="s">
        <v>4732</v>
      </c>
      <c r="CW874">
        <v>55.15</v>
      </c>
      <c r="CX874">
        <v>56.5</v>
      </c>
      <c r="CY874">
        <v>48.2</v>
      </c>
      <c r="CZ874" s="1" t="s">
        <v>283</v>
      </c>
      <c r="DA874">
        <v>1</v>
      </c>
      <c r="DB874" t="s">
        <v>5152</v>
      </c>
      <c r="DC874">
        <v>45</v>
      </c>
      <c r="DD874" s="1" t="s">
        <v>6851</v>
      </c>
      <c r="DE874">
        <v>-18.092819598827202</v>
      </c>
      <c r="DF874" t="str">
        <f>_xlfn.XLOOKUP(Table1[[#This Row],[Player ID]],Table2[feed_id],Table2[trade_status])</f>
        <v>free_agent</v>
      </c>
      <c r="DG874">
        <f>_xlfn.NUMBERVALUE(Table1[[#This Row],[predicted]])</f>
        <v>63.092819598827198</v>
      </c>
    </row>
    <row r="875" spans="1:111" x14ac:dyDescent="0.25">
      <c r="A875">
        <v>132594</v>
      </c>
      <c r="B875">
        <v>9238</v>
      </c>
      <c r="C875" t="s">
        <v>6865</v>
      </c>
      <c r="D875" t="s">
        <v>3116</v>
      </c>
      <c r="E875">
        <v>2025</v>
      </c>
      <c r="F875">
        <v>291849</v>
      </c>
      <c r="G875" t="s">
        <v>6930</v>
      </c>
      <c r="H875" t="s">
        <v>6931</v>
      </c>
      <c r="I875" t="s">
        <v>112</v>
      </c>
      <c r="J875">
        <v>16</v>
      </c>
      <c r="K875">
        <v>59</v>
      </c>
      <c r="L875">
        <v>67</v>
      </c>
      <c r="M875">
        <v>73</v>
      </c>
      <c r="N875">
        <v>51</v>
      </c>
      <c r="O875">
        <v>61</v>
      </c>
      <c r="P875">
        <v>6</v>
      </c>
      <c r="Q875">
        <v>2</v>
      </c>
      <c r="R875">
        <v>4</v>
      </c>
      <c r="S875">
        <v>2</v>
      </c>
      <c r="T875">
        <v>0</v>
      </c>
      <c r="U875">
        <v>1</v>
      </c>
      <c r="V875">
        <v>1</v>
      </c>
      <c r="W875">
        <v>3</v>
      </c>
      <c r="X875">
        <v>1</v>
      </c>
      <c r="Y875" t="s">
        <v>113</v>
      </c>
      <c r="Z875" t="s">
        <v>656</v>
      </c>
      <c r="AA875" t="s">
        <v>6932</v>
      </c>
      <c r="AE875">
        <v>0</v>
      </c>
      <c r="AH875" t="s">
        <v>155</v>
      </c>
      <c r="AI875">
        <v>41</v>
      </c>
      <c r="AJ875">
        <v>11</v>
      </c>
      <c r="AK875">
        <v>61.91</v>
      </c>
      <c r="AL875">
        <v>0</v>
      </c>
      <c r="AM875">
        <v>0</v>
      </c>
      <c r="AN875">
        <v>0.25</v>
      </c>
      <c r="AO875">
        <v>0.36</v>
      </c>
      <c r="AS875">
        <v>4</v>
      </c>
      <c r="AT875">
        <v>0</v>
      </c>
      <c r="AU875">
        <v>1</v>
      </c>
      <c r="AV875">
        <v>87</v>
      </c>
      <c r="AW875">
        <v>84</v>
      </c>
      <c r="AX875">
        <v>164</v>
      </c>
      <c r="AY875">
        <v>1</v>
      </c>
      <c r="AZ875" t="b">
        <v>0</v>
      </c>
      <c r="BA875">
        <v>1546</v>
      </c>
      <c r="BB875">
        <v>1741</v>
      </c>
      <c r="BC875">
        <v>6</v>
      </c>
      <c r="BD875" t="s">
        <v>6869</v>
      </c>
      <c r="BE875" s="1" t="s">
        <v>3594</v>
      </c>
      <c r="BF875">
        <v>0</v>
      </c>
      <c r="BG875">
        <v>71</v>
      </c>
      <c r="BH875">
        <v>0</v>
      </c>
      <c r="BI875" s="1" t="s">
        <v>124</v>
      </c>
      <c r="BJ875" s="1" t="s">
        <v>818</v>
      </c>
      <c r="BK875" s="1" t="s">
        <v>138</v>
      </c>
      <c r="BL875" s="1" t="s">
        <v>640</v>
      </c>
      <c r="BM875" s="1" t="s">
        <v>160</v>
      </c>
      <c r="BN875" s="1" t="s">
        <v>990</v>
      </c>
      <c r="BO875" s="1" t="s">
        <v>161</v>
      </c>
      <c r="BP875" s="1" t="s">
        <v>159</v>
      </c>
      <c r="BQ875">
        <v>0</v>
      </c>
      <c r="BR875" s="1" t="s">
        <v>213</v>
      </c>
      <c r="BS875" s="1" t="s">
        <v>129</v>
      </c>
      <c r="BT875">
        <v>1</v>
      </c>
      <c r="BU875" s="1" t="s">
        <v>128</v>
      </c>
      <c r="BV875">
        <v>1.2</v>
      </c>
      <c r="BW875">
        <v>2</v>
      </c>
      <c r="BX875">
        <v>1.8</v>
      </c>
      <c r="BY875" s="1" t="s">
        <v>126</v>
      </c>
      <c r="BZ875" s="1" t="s">
        <v>298</v>
      </c>
      <c r="CA875">
        <v>0</v>
      </c>
      <c r="CB875">
        <v>1.2E-2</v>
      </c>
      <c r="CC875">
        <v>0.25</v>
      </c>
      <c r="CD875">
        <v>0.25</v>
      </c>
      <c r="CE875">
        <v>0.36</v>
      </c>
      <c r="CF875">
        <v>0.36</v>
      </c>
      <c r="CG875">
        <v>4</v>
      </c>
      <c r="CH875">
        <v>4.8</v>
      </c>
      <c r="CI875">
        <v>0</v>
      </c>
      <c r="CJ875">
        <v>6.6666666666666596E-2</v>
      </c>
      <c r="CK875" s="1" t="s">
        <v>126</v>
      </c>
      <c r="CL875" s="1" t="s">
        <v>214</v>
      </c>
      <c r="CM875">
        <v>61</v>
      </c>
      <c r="CN875" s="1" t="s">
        <v>1979</v>
      </c>
      <c r="CO875" s="1" t="s">
        <v>268</v>
      </c>
      <c r="CP875">
        <v>85.2</v>
      </c>
      <c r="CQ875">
        <v>134</v>
      </c>
      <c r="CR875">
        <v>178.8</v>
      </c>
      <c r="CS875" s="1" t="s">
        <v>2207</v>
      </c>
      <c r="CT875" s="1" t="s">
        <v>6933</v>
      </c>
      <c r="CU875" s="1" t="s">
        <v>3926</v>
      </c>
      <c r="CV875">
        <v>1677.8</v>
      </c>
      <c r="CW875">
        <v>63.35</v>
      </c>
      <c r="CX875">
        <v>55.6</v>
      </c>
      <c r="CY875">
        <v>54.8</v>
      </c>
      <c r="CZ875" s="1" t="s">
        <v>1459</v>
      </c>
      <c r="DA875">
        <v>1</v>
      </c>
      <c r="DB875" t="s">
        <v>656</v>
      </c>
      <c r="DC875">
        <v>67</v>
      </c>
      <c r="DD875" s="1" t="s">
        <v>6934</v>
      </c>
      <c r="DE875" s="1" t="s">
        <v>6935</v>
      </c>
      <c r="DF875" t="str">
        <f>_xlfn.XLOOKUP(Table1[[#This Row],[Player ID]],Table2[feed_id],Table2[trade_status])</f>
        <v>free_agent</v>
      </c>
      <c r="DG875">
        <f>_xlfn.NUMBERVALUE(Table1[[#This Row],[predicted]])</f>
        <v>62.871778777971102</v>
      </c>
    </row>
    <row r="876" spans="1:111" hidden="1" x14ac:dyDescent="0.25">
      <c r="A876">
        <v>132772</v>
      </c>
      <c r="B876">
        <v>9242</v>
      </c>
      <c r="C876" t="s">
        <v>7597</v>
      </c>
      <c r="D876" t="s">
        <v>3116</v>
      </c>
      <c r="E876">
        <v>2025</v>
      </c>
      <c r="F876">
        <v>291533</v>
      </c>
      <c r="G876" t="s">
        <v>776</v>
      </c>
      <c r="H876" t="s">
        <v>5142</v>
      </c>
      <c r="I876" t="s">
        <v>291</v>
      </c>
      <c r="J876">
        <v>9</v>
      </c>
      <c r="K876">
        <v>56</v>
      </c>
      <c r="L876">
        <v>65</v>
      </c>
      <c r="M876">
        <v>72</v>
      </c>
      <c r="N876">
        <v>46</v>
      </c>
      <c r="O876">
        <v>63</v>
      </c>
      <c r="P876">
        <v>8</v>
      </c>
      <c r="Q876">
        <v>7</v>
      </c>
      <c r="R876">
        <v>4</v>
      </c>
      <c r="S876">
        <v>2</v>
      </c>
      <c r="T876">
        <v>0</v>
      </c>
      <c r="U876">
        <v>1</v>
      </c>
      <c r="V876">
        <v>1</v>
      </c>
      <c r="W876">
        <v>0</v>
      </c>
      <c r="X876">
        <v>0</v>
      </c>
      <c r="Y876" t="s">
        <v>113</v>
      </c>
      <c r="Z876" t="s">
        <v>179</v>
      </c>
      <c r="AA876" t="s">
        <v>6305</v>
      </c>
      <c r="AE876">
        <v>0</v>
      </c>
      <c r="AH876" t="s">
        <v>155</v>
      </c>
      <c r="AI876">
        <v>25</v>
      </c>
      <c r="AJ876">
        <v>16</v>
      </c>
      <c r="AK876">
        <v>90.38</v>
      </c>
      <c r="AL876">
        <v>0</v>
      </c>
      <c r="AM876">
        <v>0</v>
      </c>
      <c r="AN876">
        <v>0.1</v>
      </c>
      <c r="AO876">
        <v>0.09</v>
      </c>
      <c r="AS876">
        <v>4</v>
      </c>
      <c r="AT876">
        <v>1</v>
      </c>
      <c r="AU876">
        <v>2</v>
      </c>
      <c r="AV876">
        <v>80</v>
      </c>
      <c r="AW876">
        <v>100</v>
      </c>
      <c r="AX876">
        <v>131</v>
      </c>
      <c r="AY876">
        <v>0</v>
      </c>
      <c r="AZ876" t="b">
        <v>0</v>
      </c>
      <c r="BA876">
        <v>1764</v>
      </c>
      <c r="BB876">
        <v>1522</v>
      </c>
      <c r="BC876">
        <v>6</v>
      </c>
      <c r="BD876" t="s">
        <v>7599</v>
      </c>
      <c r="BE876" s="1" t="s">
        <v>3594</v>
      </c>
      <c r="BF876">
        <v>0</v>
      </c>
      <c r="BG876">
        <v>71</v>
      </c>
      <c r="BH876">
        <v>0</v>
      </c>
      <c r="BI876" s="1" t="s">
        <v>356</v>
      </c>
      <c r="BJ876">
        <v>11</v>
      </c>
      <c r="BK876">
        <v>5</v>
      </c>
      <c r="BL876">
        <v>5</v>
      </c>
      <c r="BM876" s="1" t="s">
        <v>204</v>
      </c>
      <c r="BN876" s="1" t="s">
        <v>898</v>
      </c>
      <c r="BO876">
        <v>2</v>
      </c>
      <c r="BP876" s="1" t="s">
        <v>206</v>
      </c>
      <c r="BQ876">
        <v>0</v>
      </c>
      <c r="BR876">
        <v>0</v>
      </c>
      <c r="BS876" s="1" t="s">
        <v>128</v>
      </c>
      <c r="BT876" s="1" t="s">
        <v>130</v>
      </c>
      <c r="BU876">
        <v>1</v>
      </c>
      <c r="BV876" s="1" t="s">
        <v>130</v>
      </c>
      <c r="BW876">
        <v>0</v>
      </c>
      <c r="BX876">
        <v>6.6666666666666596E-2</v>
      </c>
      <c r="BY876">
        <v>0</v>
      </c>
      <c r="BZ876">
        <v>0</v>
      </c>
      <c r="CA876">
        <v>0</v>
      </c>
      <c r="CB876">
        <v>0</v>
      </c>
      <c r="CC876">
        <v>0.1</v>
      </c>
      <c r="CD876">
        <v>0.1</v>
      </c>
      <c r="CE876">
        <v>0.09</v>
      </c>
      <c r="CF876">
        <v>0.09</v>
      </c>
      <c r="CG876" s="1" t="s">
        <v>160</v>
      </c>
      <c r="CH876" s="1" t="s">
        <v>229</v>
      </c>
      <c r="CI876" s="1" t="s">
        <v>129</v>
      </c>
      <c r="CJ876" s="1" t="s">
        <v>213</v>
      </c>
      <c r="CK876">
        <v>2</v>
      </c>
      <c r="CL876" s="1" t="s">
        <v>159</v>
      </c>
      <c r="CM876" s="1" t="s">
        <v>239</v>
      </c>
      <c r="CN876">
        <v>76.2</v>
      </c>
      <c r="CO876">
        <v>99</v>
      </c>
      <c r="CP876">
        <v>97.2</v>
      </c>
      <c r="CQ876" s="1" t="s">
        <v>7658</v>
      </c>
      <c r="CR876">
        <v>278.2</v>
      </c>
      <c r="CS876" s="1" t="s">
        <v>2460</v>
      </c>
      <c r="CT876" s="1" t="s">
        <v>805</v>
      </c>
      <c r="CU876" s="1" t="s">
        <v>7601</v>
      </c>
      <c r="CV876" s="1" t="s">
        <v>2071</v>
      </c>
      <c r="CW876">
        <v>82.65</v>
      </c>
      <c r="CX876">
        <v>79.2</v>
      </c>
      <c r="CY876">
        <v>83.4</v>
      </c>
      <c r="CZ876" s="1" t="s">
        <v>1123</v>
      </c>
      <c r="DA876">
        <v>1</v>
      </c>
      <c r="DB876" t="s">
        <v>179</v>
      </c>
      <c r="DC876">
        <v>65</v>
      </c>
      <c r="DD876" s="1" t="s">
        <v>7659</v>
      </c>
      <c r="DE876">
        <v>-4.6122378809616702</v>
      </c>
      <c r="DF876" t="e">
        <f>_xlfn.XLOOKUP(Table1[[#This Row],[Player ID]],Table2[feed_id],Table2[trade_status])</f>
        <v>#N/A</v>
      </c>
      <c r="DG876">
        <f>_xlfn.NUMBERVALUE(Table1[[#This Row],[predicted]])</f>
        <v>69.612237880961601</v>
      </c>
    </row>
    <row r="877" spans="1:111" x14ac:dyDescent="0.25">
      <c r="A877">
        <v>132701</v>
      </c>
      <c r="B877">
        <v>9240</v>
      </c>
      <c r="C877" t="s">
        <v>7230</v>
      </c>
      <c r="D877" t="s">
        <v>3116</v>
      </c>
      <c r="E877">
        <v>2025</v>
      </c>
      <c r="F877">
        <v>1004364</v>
      </c>
      <c r="G877" t="s">
        <v>1464</v>
      </c>
      <c r="H877" t="s">
        <v>1332</v>
      </c>
      <c r="I877" t="s">
        <v>582</v>
      </c>
      <c r="J877">
        <v>11</v>
      </c>
      <c r="K877">
        <v>58</v>
      </c>
      <c r="L877">
        <v>78</v>
      </c>
      <c r="M877">
        <v>35</v>
      </c>
      <c r="N877">
        <v>50</v>
      </c>
      <c r="O877">
        <v>65</v>
      </c>
      <c r="P877">
        <v>10</v>
      </c>
      <c r="Q877">
        <v>2</v>
      </c>
      <c r="R877">
        <v>3</v>
      </c>
      <c r="S877">
        <v>2</v>
      </c>
      <c r="T877">
        <v>0</v>
      </c>
      <c r="U877">
        <v>2</v>
      </c>
      <c r="V877">
        <v>3</v>
      </c>
      <c r="W877">
        <v>2</v>
      </c>
      <c r="X877">
        <v>2</v>
      </c>
      <c r="Y877" t="s">
        <v>113</v>
      </c>
      <c r="Z877" t="s">
        <v>861</v>
      </c>
      <c r="AA877" t="s">
        <v>7379</v>
      </c>
      <c r="AH877" t="s">
        <v>155</v>
      </c>
      <c r="AI877">
        <v>1</v>
      </c>
      <c r="AJ877">
        <v>0</v>
      </c>
      <c r="AK877">
        <v>0</v>
      </c>
      <c r="AL877">
        <v>0</v>
      </c>
      <c r="AM877">
        <v>0.27</v>
      </c>
      <c r="AN877">
        <v>0.45</v>
      </c>
      <c r="AO877">
        <v>0.5</v>
      </c>
      <c r="AS877">
        <v>6</v>
      </c>
      <c r="AT877">
        <v>1</v>
      </c>
      <c r="AU877">
        <v>3</v>
      </c>
      <c r="AV877">
        <v>83</v>
      </c>
      <c r="AW877">
        <v>85</v>
      </c>
      <c r="AX877">
        <v>247</v>
      </c>
      <c r="AY877">
        <v>0</v>
      </c>
      <c r="AZ877" t="b">
        <v>0</v>
      </c>
      <c r="BA877">
        <v>1976</v>
      </c>
      <c r="BB877">
        <v>1285</v>
      </c>
      <c r="BC877">
        <v>6</v>
      </c>
      <c r="BD877" t="s">
        <v>7344</v>
      </c>
      <c r="BE877" s="1" t="s">
        <v>3594</v>
      </c>
      <c r="BF877">
        <v>0</v>
      </c>
      <c r="BG877">
        <v>71</v>
      </c>
      <c r="BH877">
        <v>1</v>
      </c>
      <c r="BI877" s="1" t="s">
        <v>294</v>
      </c>
      <c r="BJ877" s="1" t="s">
        <v>977</v>
      </c>
      <c r="BK877" s="1" t="s">
        <v>138</v>
      </c>
      <c r="BL877" s="1" t="s">
        <v>990</v>
      </c>
      <c r="BM877" s="1" t="s">
        <v>138</v>
      </c>
      <c r="BN877">
        <v>4</v>
      </c>
      <c r="BO877">
        <v>1</v>
      </c>
      <c r="BP877" s="1" t="s">
        <v>161</v>
      </c>
      <c r="BQ877">
        <v>0</v>
      </c>
      <c r="BR877">
        <v>0</v>
      </c>
      <c r="BS877">
        <v>1</v>
      </c>
      <c r="BT877" s="1" t="s">
        <v>162</v>
      </c>
      <c r="BU877">
        <v>1</v>
      </c>
      <c r="BV877" s="1" t="s">
        <v>231</v>
      </c>
      <c r="BW877">
        <v>2</v>
      </c>
      <c r="BX877">
        <v>1</v>
      </c>
      <c r="BY877">
        <v>1</v>
      </c>
      <c r="BZ877">
        <v>0.8</v>
      </c>
      <c r="CA877">
        <v>0.27</v>
      </c>
      <c r="CB877">
        <v>0.27</v>
      </c>
      <c r="CC877">
        <v>0.45</v>
      </c>
      <c r="CD877">
        <v>0.45</v>
      </c>
      <c r="CE877">
        <v>0.5</v>
      </c>
      <c r="CF877">
        <v>0.5</v>
      </c>
      <c r="CG877" s="1" t="s">
        <v>124</v>
      </c>
      <c r="CH877" s="1" t="s">
        <v>160</v>
      </c>
      <c r="CI877" s="1" t="s">
        <v>129</v>
      </c>
      <c r="CJ877">
        <v>1</v>
      </c>
      <c r="CK877">
        <v>2</v>
      </c>
      <c r="CL877" s="1" t="s">
        <v>159</v>
      </c>
      <c r="CM877">
        <v>63</v>
      </c>
      <c r="CN877" s="1" t="s">
        <v>5981</v>
      </c>
      <c r="CO877">
        <v>85</v>
      </c>
      <c r="CP877" s="1" t="s">
        <v>2600</v>
      </c>
      <c r="CQ877">
        <v>302</v>
      </c>
      <c r="CR877" s="1" t="s">
        <v>7380</v>
      </c>
      <c r="CS877" s="1" t="s">
        <v>7381</v>
      </c>
      <c r="CT877" s="1" t="s">
        <v>7382</v>
      </c>
      <c r="CU877">
        <v>1909</v>
      </c>
      <c r="CV877">
        <v>1834.4</v>
      </c>
      <c r="CW877">
        <v>58.45</v>
      </c>
      <c r="CX877">
        <v>67.3</v>
      </c>
      <c r="CY877">
        <v>69.2</v>
      </c>
      <c r="CZ877" s="1" t="s">
        <v>483</v>
      </c>
      <c r="DA877">
        <v>1</v>
      </c>
      <c r="DB877" t="s">
        <v>861</v>
      </c>
      <c r="DC877">
        <v>78</v>
      </c>
      <c r="DD877" s="1" t="s">
        <v>7383</v>
      </c>
      <c r="DE877" s="1" t="s">
        <v>7384</v>
      </c>
      <c r="DF877" t="str">
        <f>_xlfn.XLOOKUP(Table1[[#This Row],[Player ID]],Table2[feed_id],Table2[trade_status])</f>
        <v>free_agent</v>
      </c>
      <c r="DG877">
        <f>_xlfn.NUMBERVALUE(Table1[[#This Row],[predicted]])</f>
        <v>62.773140366798302</v>
      </c>
    </row>
    <row r="878" spans="1:111" hidden="1" x14ac:dyDescent="0.25">
      <c r="A878">
        <v>132775</v>
      </c>
      <c r="B878">
        <v>9242</v>
      </c>
      <c r="C878" t="s">
        <v>7597</v>
      </c>
      <c r="D878" t="s">
        <v>3116</v>
      </c>
      <c r="E878">
        <v>2025</v>
      </c>
      <c r="F878">
        <v>281085</v>
      </c>
      <c r="G878" t="s">
        <v>1211</v>
      </c>
      <c r="H878" t="s">
        <v>7667</v>
      </c>
      <c r="I878" t="s">
        <v>291</v>
      </c>
      <c r="J878">
        <v>3</v>
      </c>
      <c r="K878">
        <v>47</v>
      </c>
      <c r="L878">
        <v>47</v>
      </c>
      <c r="M878">
        <v>61</v>
      </c>
      <c r="N878">
        <v>36</v>
      </c>
      <c r="O878">
        <v>48</v>
      </c>
      <c r="P878">
        <v>9</v>
      </c>
      <c r="Q878">
        <v>3</v>
      </c>
      <c r="R878">
        <v>3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0</v>
      </c>
      <c r="Y878" t="s">
        <v>113</v>
      </c>
      <c r="Z878" t="s">
        <v>778</v>
      </c>
      <c r="AA878" t="s">
        <v>7668</v>
      </c>
      <c r="AB878" t="s">
        <v>179</v>
      </c>
      <c r="AC878" t="s">
        <v>7669</v>
      </c>
      <c r="AE878">
        <v>0</v>
      </c>
      <c r="AH878" t="s">
        <v>181</v>
      </c>
      <c r="AI878">
        <v>1</v>
      </c>
      <c r="AJ878">
        <v>16</v>
      </c>
      <c r="AK878">
        <v>76.13</v>
      </c>
      <c r="AL878">
        <v>0</v>
      </c>
      <c r="AM878">
        <v>0</v>
      </c>
      <c r="AN878">
        <v>0.3</v>
      </c>
      <c r="AO878">
        <v>0.53</v>
      </c>
      <c r="AS878">
        <v>4</v>
      </c>
      <c r="AT878">
        <v>0</v>
      </c>
      <c r="AU878">
        <v>2</v>
      </c>
      <c r="AV878">
        <v>66</v>
      </c>
      <c r="AW878">
        <v>92</v>
      </c>
      <c r="AX878">
        <v>257</v>
      </c>
      <c r="AY878">
        <v>0</v>
      </c>
      <c r="AZ878" t="b">
        <v>1</v>
      </c>
      <c r="BA878">
        <v>1764</v>
      </c>
      <c r="BB878">
        <v>1522</v>
      </c>
      <c r="BC878">
        <v>6</v>
      </c>
      <c r="BD878" t="s">
        <v>7599</v>
      </c>
      <c r="BE878" s="1" t="s">
        <v>3594</v>
      </c>
      <c r="BF878">
        <v>0</v>
      </c>
      <c r="BG878">
        <v>71</v>
      </c>
      <c r="BH878">
        <v>0</v>
      </c>
      <c r="BI878">
        <v>16</v>
      </c>
      <c r="BJ878" s="1" t="s">
        <v>1830</v>
      </c>
      <c r="BK878" s="1" t="s">
        <v>125</v>
      </c>
      <c r="BL878" s="1" t="s">
        <v>373</v>
      </c>
      <c r="BM878" s="1" t="s">
        <v>124</v>
      </c>
      <c r="BN878" s="1" t="s">
        <v>898</v>
      </c>
      <c r="BO878" s="1" t="s">
        <v>129</v>
      </c>
      <c r="BP878">
        <v>0.8</v>
      </c>
      <c r="BQ878">
        <v>0</v>
      </c>
      <c r="BR878">
        <v>0</v>
      </c>
      <c r="BS878" s="1" t="s">
        <v>128</v>
      </c>
      <c r="BT878" s="1" t="s">
        <v>238</v>
      </c>
      <c r="BU878" s="1" t="s">
        <v>126</v>
      </c>
      <c r="BV878" s="1" t="s">
        <v>130</v>
      </c>
      <c r="BW878">
        <v>0</v>
      </c>
      <c r="BX878">
        <v>6.6666666666666596E-2</v>
      </c>
      <c r="BY878">
        <v>0</v>
      </c>
      <c r="BZ878">
        <v>0</v>
      </c>
      <c r="CA878">
        <v>0</v>
      </c>
      <c r="CB878">
        <v>0</v>
      </c>
      <c r="CC878">
        <v>0.3</v>
      </c>
      <c r="CD878">
        <v>0.3</v>
      </c>
      <c r="CE878">
        <v>0.53</v>
      </c>
      <c r="CF878">
        <v>0.53</v>
      </c>
      <c r="CG878" s="1" t="s">
        <v>211</v>
      </c>
      <c r="CH878" s="1" t="s">
        <v>230</v>
      </c>
      <c r="CI878">
        <v>0</v>
      </c>
      <c r="CJ878">
        <v>0</v>
      </c>
      <c r="CK878" s="1" t="s">
        <v>211</v>
      </c>
      <c r="CL878" s="1" t="s">
        <v>373</v>
      </c>
      <c r="CM878" s="1" t="s">
        <v>930</v>
      </c>
      <c r="CN878" s="1" t="s">
        <v>629</v>
      </c>
      <c r="CO878">
        <v>94</v>
      </c>
      <c r="CP878" s="1" t="s">
        <v>4375</v>
      </c>
      <c r="CQ878">
        <v>431</v>
      </c>
      <c r="CR878" s="1" t="s">
        <v>7670</v>
      </c>
      <c r="CS878" s="1" t="s">
        <v>2460</v>
      </c>
      <c r="CT878" s="1" t="s">
        <v>7671</v>
      </c>
      <c r="CU878" s="1" t="s">
        <v>7601</v>
      </c>
      <c r="CV878" s="1" t="s">
        <v>7672</v>
      </c>
      <c r="CW878">
        <v>91.6</v>
      </c>
      <c r="CX878">
        <v>89.8</v>
      </c>
      <c r="CY878">
        <v>81.400000000000006</v>
      </c>
      <c r="CZ878">
        <v>80</v>
      </c>
      <c r="DA878">
        <v>1</v>
      </c>
      <c r="DB878" t="s">
        <v>778</v>
      </c>
      <c r="DC878">
        <v>47</v>
      </c>
      <c r="DD878" s="1" t="s">
        <v>7673</v>
      </c>
      <c r="DE878">
        <v>-50.6227617271689</v>
      </c>
      <c r="DF878" t="e">
        <f>_xlfn.XLOOKUP(Table1[[#This Row],[Player ID]],Table2[feed_id],Table2[trade_status])</f>
        <v>#N/A</v>
      </c>
      <c r="DG878">
        <f>_xlfn.NUMBERVALUE(Table1[[#This Row],[predicted]])</f>
        <v>97.622761727168907</v>
      </c>
    </row>
    <row r="879" spans="1:111" x14ac:dyDescent="0.25">
      <c r="A879">
        <v>132939</v>
      </c>
      <c r="B879">
        <v>9245</v>
      </c>
      <c r="C879" t="s">
        <v>8180</v>
      </c>
      <c r="D879" t="s">
        <v>3116</v>
      </c>
      <c r="E879">
        <v>2025</v>
      </c>
      <c r="F879">
        <v>994077</v>
      </c>
      <c r="G879" t="s">
        <v>8375</v>
      </c>
      <c r="H879" t="s">
        <v>8376</v>
      </c>
      <c r="I879" t="s">
        <v>391</v>
      </c>
      <c r="J879">
        <v>8</v>
      </c>
      <c r="K879">
        <v>35</v>
      </c>
      <c r="L879">
        <v>39</v>
      </c>
      <c r="M879">
        <v>30</v>
      </c>
      <c r="N879">
        <v>27</v>
      </c>
      <c r="O879">
        <v>35</v>
      </c>
      <c r="P879">
        <v>4</v>
      </c>
      <c r="Q879">
        <v>1</v>
      </c>
      <c r="R879">
        <v>1</v>
      </c>
      <c r="S879">
        <v>3</v>
      </c>
      <c r="T879">
        <v>2</v>
      </c>
      <c r="U879">
        <v>1</v>
      </c>
      <c r="V879">
        <v>1</v>
      </c>
      <c r="W879">
        <v>1</v>
      </c>
      <c r="X879">
        <v>0</v>
      </c>
      <c r="Y879" t="s">
        <v>113</v>
      </c>
      <c r="Z879" t="s">
        <v>5677</v>
      </c>
      <c r="AA879" t="s">
        <v>8377</v>
      </c>
      <c r="AB879" t="s">
        <v>5152</v>
      </c>
      <c r="AC879" t="s">
        <v>8378</v>
      </c>
      <c r="AE879">
        <v>0</v>
      </c>
      <c r="AH879" t="s">
        <v>155</v>
      </c>
      <c r="AI879">
        <v>18</v>
      </c>
      <c r="AJ879">
        <v>0</v>
      </c>
      <c r="AK879">
        <v>0</v>
      </c>
      <c r="AL879">
        <v>0</v>
      </c>
      <c r="AM879">
        <v>0</v>
      </c>
      <c r="AN879">
        <v>0.48</v>
      </c>
      <c r="AO879">
        <v>0.45</v>
      </c>
      <c r="AS879">
        <v>3</v>
      </c>
      <c r="AT879">
        <v>1</v>
      </c>
      <c r="AU879">
        <v>1</v>
      </c>
      <c r="AV879">
        <v>100</v>
      </c>
      <c r="AW879">
        <v>84</v>
      </c>
      <c r="AX879">
        <v>137</v>
      </c>
      <c r="AY879">
        <v>0</v>
      </c>
      <c r="AZ879" t="b">
        <v>0</v>
      </c>
      <c r="BA879">
        <v>1799</v>
      </c>
      <c r="BB879">
        <v>1477</v>
      </c>
      <c r="BC879">
        <v>6</v>
      </c>
      <c r="BD879" t="s">
        <v>8277</v>
      </c>
      <c r="BE879" s="1" t="s">
        <v>3594</v>
      </c>
      <c r="BF879">
        <v>0</v>
      </c>
      <c r="BG879">
        <v>71</v>
      </c>
      <c r="BH879">
        <v>0</v>
      </c>
      <c r="BI879" s="1" t="s">
        <v>124</v>
      </c>
      <c r="BJ879" s="1" t="s">
        <v>398</v>
      </c>
      <c r="BK879" s="1" t="s">
        <v>126</v>
      </c>
      <c r="BL879" s="1" t="s">
        <v>566</v>
      </c>
      <c r="BM879" s="1" t="s">
        <v>159</v>
      </c>
      <c r="BN879" s="1" t="s">
        <v>189</v>
      </c>
      <c r="BO879">
        <v>2</v>
      </c>
      <c r="BP879">
        <v>2</v>
      </c>
      <c r="BQ879">
        <v>1</v>
      </c>
      <c r="BR879">
        <v>1.4</v>
      </c>
      <c r="BS879" s="1" t="s">
        <v>129</v>
      </c>
      <c r="BT879" s="1" t="s">
        <v>238</v>
      </c>
      <c r="BU879" s="1" t="s">
        <v>159</v>
      </c>
      <c r="BV879" s="1" t="s">
        <v>126</v>
      </c>
      <c r="BW879" s="1" t="s">
        <v>126</v>
      </c>
      <c r="BX879" s="1" t="s">
        <v>206</v>
      </c>
      <c r="BY879" s="1" t="s">
        <v>128</v>
      </c>
      <c r="BZ879" s="1" t="s">
        <v>399</v>
      </c>
      <c r="CA879">
        <v>0</v>
      </c>
      <c r="CB879">
        <v>0</v>
      </c>
      <c r="CC879">
        <v>0.48</v>
      </c>
      <c r="CD879">
        <v>0.48</v>
      </c>
      <c r="CE879">
        <v>0.45</v>
      </c>
      <c r="CF879">
        <v>0.45</v>
      </c>
      <c r="CG879" s="1" t="s">
        <v>169</v>
      </c>
      <c r="CH879">
        <v>3.8</v>
      </c>
      <c r="CI879" s="1" t="s">
        <v>129</v>
      </c>
      <c r="CJ879" s="1" t="s">
        <v>130</v>
      </c>
      <c r="CK879">
        <v>4</v>
      </c>
      <c r="CL879">
        <v>3</v>
      </c>
      <c r="CM879" s="1" t="s">
        <v>558</v>
      </c>
      <c r="CN879">
        <v>66.400000000000006</v>
      </c>
      <c r="CO879">
        <v>81</v>
      </c>
      <c r="CP879">
        <v>84.4</v>
      </c>
      <c r="CQ879">
        <v>153</v>
      </c>
      <c r="CR879" s="1" t="s">
        <v>8379</v>
      </c>
      <c r="CS879" s="1" t="s">
        <v>4566</v>
      </c>
      <c r="CT879">
        <v>1730.8</v>
      </c>
      <c r="CU879">
        <v>1616</v>
      </c>
      <c r="CV879">
        <v>1553</v>
      </c>
      <c r="CW879">
        <v>56.75</v>
      </c>
      <c r="CX879">
        <v>52.3</v>
      </c>
      <c r="CY879">
        <v>50.6</v>
      </c>
      <c r="CZ879">
        <v>39</v>
      </c>
      <c r="DA879">
        <v>1</v>
      </c>
      <c r="DB879" t="s">
        <v>5677</v>
      </c>
      <c r="DC879">
        <v>39</v>
      </c>
      <c r="DD879" s="1" t="s">
        <v>8380</v>
      </c>
      <c r="DE879">
        <v>-23.683866069633002</v>
      </c>
      <c r="DF879" t="str">
        <f>_xlfn.XLOOKUP(Table1[[#This Row],[Player ID]],Table2[feed_id],Table2[trade_status])</f>
        <v>free_agent</v>
      </c>
      <c r="DG879">
        <f>_xlfn.NUMBERVALUE(Table1[[#This Row],[predicted]])</f>
        <v>62.683866069632998</v>
      </c>
    </row>
    <row r="880" spans="1:111" x14ac:dyDescent="0.25">
      <c r="A880">
        <v>132658</v>
      </c>
      <c r="B880">
        <v>9239</v>
      </c>
      <c r="C880" t="s">
        <v>7040</v>
      </c>
      <c r="D880" t="s">
        <v>3116</v>
      </c>
      <c r="E880">
        <v>2025</v>
      </c>
      <c r="F880">
        <v>1013257</v>
      </c>
      <c r="G880" t="s">
        <v>958</v>
      </c>
      <c r="H880" t="s">
        <v>7190</v>
      </c>
      <c r="I880" t="s">
        <v>524</v>
      </c>
      <c r="J880">
        <v>8</v>
      </c>
      <c r="K880">
        <v>61</v>
      </c>
      <c r="L880">
        <v>55</v>
      </c>
      <c r="M880">
        <v>34</v>
      </c>
      <c r="N880">
        <v>48</v>
      </c>
      <c r="O880">
        <v>64</v>
      </c>
      <c r="P880">
        <v>11</v>
      </c>
      <c r="Q880">
        <v>5</v>
      </c>
      <c r="R880">
        <v>4</v>
      </c>
      <c r="S880">
        <v>1</v>
      </c>
      <c r="T880">
        <v>0</v>
      </c>
      <c r="U880">
        <v>1</v>
      </c>
      <c r="V880">
        <v>0</v>
      </c>
      <c r="W880">
        <v>0</v>
      </c>
      <c r="X880">
        <v>1</v>
      </c>
      <c r="Y880" t="s">
        <v>113</v>
      </c>
      <c r="Z880" t="s">
        <v>525</v>
      </c>
      <c r="AA880" t="s">
        <v>7191</v>
      </c>
      <c r="AH880" t="s">
        <v>181</v>
      </c>
      <c r="AI880">
        <v>33</v>
      </c>
      <c r="AJ880">
        <v>0</v>
      </c>
      <c r="AK880">
        <v>0</v>
      </c>
      <c r="AL880">
        <v>0</v>
      </c>
      <c r="AM880">
        <v>6.51</v>
      </c>
      <c r="AN880">
        <v>3.44</v>
      </c>
      <c r="AO880">
        <v>1.56</v>
      </c>
      <c r="AS880">
        <v>5</v>
      </c>
      <c r="AT880">
        <v>0</v>
      </c>
      <c r="AU880">
        <v>3</v>
      </c>
      <c r="AV880">
        <v>62</v>
      </c>
      <c r="AW880">
        <v>76</v>
      </c>
      <c r="AX880">
        <v>342</v>
      </c>
      <c r="AY880">
        <v>0</v>
      </c>
      <c r="AZ880" t="b">
        <v>0</v>
      </c>
      <c r="BA880">
        <v>1592</v>
      </c>
      <c r="BB880">
        <v>1678</v>
      </c>
      <c r="BC880">
        <v>6</v>
      </c>
      <c r="BD880" t="s">
        <v>7138</v>
      </c>
      <c r="BE880" s="1" t="s">
        <v>3594</v>
      </c>
      <c r="BF880">
        <v>0</v>
      </c>
      <c r="BG880">
        <v>71</v>
      </c>
      <c r="BH880">
        <v>0</v>
      </c>
      <c r="BI880">
        <v>10</v>
      </c>
      <c r="BJ880">
        <v>9.4</v>
      </c>
      <c r="BK880" s="1" t="s">
        <v>124</v>
      </c>
      <c r="BL880">
        <v>5.8</v>
      </c>
      <c r="BM880" s="1" t="s">
        <v>160</v>
      </c>
      <c r="BN880" s="1" t="s">
        <v>766</v>
      </c>
      <c r="BO880" s="1" t="s">
        <v>161</v>
      </c>
      <c r="BP880" s="1" t="s">
        <v>566</v>
      </c>
      <c r="BQ880">
        <v>0</v>
      </c>
      <c r="BR880">
        <v>0</v>
      </c>
      <c r="BS880" s="1" t="s">
        <v>129</v>
      </c>
      <c r="BT880" s="1" t="s">
        <v>128</v>
      </c>
      <c r="BU880">
        <v>0</v>
      </c>
      <c r="BV880" s="1" t="s">
        <v>129</v>
      </c>
      <c r="BW880">
        <v>0</v>
      </c>
      <c r="BX880">
        <v>0</v>
      </c>
      <c r="BY880" s="1" t="s">
        <v>129</v>
      </c>
      <c r="BZ880">
        <v>0.2</v>
      </c>
      <c r="CA880">
        <v>6.51</v>
      </c>
      <c r="CB880">
        <v>6.51</v>
      </c>
      <c r="CC880">
        <v>3.44</v>
      </c>
      <c r="CD880">
        <v>3.44</v>
      </c>
      <c r="CE880">
        <v>1.56</v>
      </c>
      <c r="CF880">
        <v>1.56</v>
      </c>
      <c r="CG880" s="1" t="s">
        <v>125</v>
      </c>
      <c r="CH880" s="1" t="s">
        <v>565</v>
      </c>
      <c r="CI880" s="1" t="s">
        <v>129</v>
      </c>
      <c r="CJ880">
        <v>1</v>
      </c>
      <c r="CK880">
        <v>2</v>
      </c>
      <c r="CL880" s="1" t="s">
        <v>275</v>
      </c>
      <c r="CM880" s="1" t="s">
        <v>772</v>
      </c>
      <c r="CN880" s="1" t="s">
        <v>3365</v>
      </c>
      <c r="CO880" s="1" t="s">
        <v>754</v>
      </c>
      <c r="CP880" s="1" t="s">
        <v>3535</v>
      </c>
      <c r="CQ880" s="1" t="s">
        <v>5922</v>
      </c>
      <c r="CR880">
        <v>292</v>
      </c>
      <c r="CS880" s="1" t="s">
        <v>806</v>
      </c>
      <c r="CT880">
        <v>1616</v>
      </c>
      <c r="CU880">
        <v>1593</v>
      </c>
      <c r="CV880" s="1" t="s">
        <v>7146</v>
      </c>
      <c r="CW880">
        <v>61</v>
      </c>
      <c r="CX880">
        <v>57</v>
      </c>
      <c r="CY880">
        <v>52.8</v>
      </c>
      <c r="CZ880">
        <v>53</v>
      </c>
      <c r="DA880">
        <v>1</v>
      </c>
      <c r="DB880" t="s">
        <v>525</v>
      </c>
      <c r="DC880">
        <v>55</v>
      </c>
      <c r="DD880" s="1" t="s">
        <v>7192</v>
      </c>
      <c r="DE880">
        <v>-7.5483391438223704</v>
      </c>
      <c r="DF880" t="str">
        <f>_xlfn.XLOOKUP(Table1[[#This Row],[Player ID]],Table2[feed_id],Table2[trade_status])</f>
        <v>free_agent</v>
      </c>
      <c r="DG880">
        <f>_xlfn.NUMBERVALUE(Table1[[#This Row],[predicted]])</f>
        <v>62.548339143822297</v>
      </c>
    </row>
    <row r="881" spans="1:111" x14ac:dyDescent="0.25">
      <c r="A881">
        <v>132590</v>
      </c>
      <c r="B881">
        <v>9238</v>
      </c>
      <c r="C881" t="s">
        <v>6865</v>
      </c>
      <c r="D881" t="s">
        <v>3116</v>
      </c>
      <c r="E881">
        <v>2025</v>
      </c>
      <c r="F881">
        <v>291720</v>
      </c>
      <c r="G881" t="s">
        <v>2115</v>
      </c>
      <c r="H881" t="s">
        <v>6915</v>
      </c>
      <c r="I881" t="s">
        <v>112</v>
      </c>
      <c r="J881">
        <v>11</v>
      </c>
      <c r="K881">
        <v>65</v>
      </c>
      <c r="L881">
        <v>70</v>
      </c>
      <c r="M881">
        <v>83</v>
      </c>
      <c r="N881">
        <v>51</v>
      </c>
      <c r="O881">
        <v>66</v>
      </c>
      <c r="P881">
        <v>8</v>
      </c>
      <c r="Q881">
        <v>5</v>
      </c>
      <c r="R881">
        <v>4</v>
      </c>
      <c r="S881">
        <v>3</v>
      </c>
      <c r="T881">
        <v>0</v>
      </c>
      <c r="U881">
        <v>1</v>
      </c>
      <c r="V881">
        <v>0</v>
      </c>
      <c r="W881">
        <v>1</v>
      </c>
      <c r="X881">
        <v>0</v>
      </c>
      <c r="Y881" t="s">
        <v>113</v>
      </c>
      <c r="Z881" t="s">
        <v>525</v>
      </c>
      <c r="AA881" t="s">
        <v>6916</v>
      </c>
      <c r="AE881">
        <v>0</v>
      </c>
      <c r="AH881" t="s">
        <v>155</v>
      </c>
      <c r="AI881">
        <v>32</v>
      </c>
      <c r="AJ881">
        <v>21</v>
      </c>
      <c r="AK881">
        <v>68.05</v>
      </c>
      <c r="AL881">
        <v>0</v>
      </c>
      <c r="AM881">
        <v>0</v>
      </c>
      <c r="AN881">
        <v>0.44</v>
      </c>
      <c r="AO881">
        <v>0.6</v>
      </c>
      <c r="AS881">
        <v>2</v>
      </c>
      <c r="AT881">
        <v>0</v>
      </c>
      <c r="AU881">
        <v>2</v>
      </c>
      <c r="AV881">
        <v>100</v>
      </c>
      <c r="AW881">
        <v>79</v>
      </c>
      <c r="AX881">
        <v>226</v>
      </c>
      <c r="AY881">
        <v>0</v>
      </c>
      <c r="AZ881" t="b">
        <v>0</v>
      </c>
      <c r="BA881">
        <v>1546</v>
      </c>
      <c r="BB881">
        <v>1741</v>
      </c>
      <c r="BC881">
        <v>6</v>
      </c>
      <c r="BD881" t="s">
        <v>6869</v>
      </c>
      <c r="BE881" s="1" t="s">
        <v>3594</v>
      </c>
      <c r="BF881">
        <v>0</v>
      </c>
      <c r="BG881">
        <v>71</v>
      </c>
      <c r="BH881">
        <v>0</v>
      </c>
      <c r="BI881" s="1" t="s">
        <v>253</v>
      </c>
      <c r="BJ881">
        <v>9</v>
      </c>
      <c r="BK881" s="1" t="s">
        <v>138</v>
      </c>
      <c r="BL881" s="1" t="s">
        <v>237</v>
      </c>
      <c r="BM881" s="1" t="s">
        <v>211</v>
      </c>
      <c r="BN881" s="1" t="s">
        <v>212</v>
      </c>
      <c r="BO881" s="1" t="s">
        <v>126</v>
      </c>
      <c r="BP881">
        <v>1.4</v>
      </c>
      <c r="BQ881">
        <v>0</v>
      </c>
      <c r="BR881">
        <v>0</v>
      </c>
      <c r="BS881" s="1" t="s">
        <v>128</v>
      </c>
      <c r="BT881">
        <v>0.4</v>
      </c>
      <c r="BU881">
        <v>0</v>
      </c>
      <c r="BV881">
        <v>0.2</v>
      </c>
      <c r="BW881" s="1" t="s">
        <v>128</v>
      </c>
      <c r="BX881" s="1" t="s">
        <v>399</v>
      </c>
      <c r="BY881">
        <v>2</v>
      </c>
      <c r="BZ881">
        <v>0.8</v>
      </c>
      <c r="CA881">
        <v>0</v>
      </c>
      <c r="CB881">
        <v>0</v>
      </c>
      <c r="CC881">
        <v>0.44</v>
      </c>
      <c r="CD881">
        <v>0.44</v>
      </c>
      <c r="CE881">
        <v>0.6</v>
      </c>
      <c r="CF881">
        <v>0.6</v>
      </c>
      <c r="CG881" s="1" t="s">
        <v>138</v>
      </c>
      <c r="CH881">
        <v>4.2</v>
      </c>
      <c r="CI881">
        <v>0</v>
      </c>
      <c r="CJ881" s="1" t="s">
        <v>184</v>
      </c>
      <c r="CK881">
        <v>1</v>
      </c>
      <c r="CL881">
        <v>2.2000000000000002</v>
      </c>
      <c r="CM881" s="1" t="s">
        <v>418</v>
      </c>
      <c r="CN881" s="1" t="s">
        <v>1012</v>
      </c>
      <c r="CO881">
        <v>77</v>
      </c>
      <c r="CP881">
        <v>78.400000000000006</v>
      </c>
      <c r="CQ881">
        <v>186</v>
      </c>
      <c r="CR881" s="1" t="s">
        <v>6917</v>
      </c>
      <c r="CS881" s="1" t="s">
        <v>1068</v>
      </c>
      <c r="CT881">
        <v>1609.4</v>
      </c>
      <c r="CU881">
        <v>1584</v>
      </c>
      <c r="CV881" s="1" t="s">
        <v>6918</v>
      </c>
      <c r="CW881">
        <v>66.5</v>
      </c>
      <c r="CX881">
        <v>65.5</v>
      </c>
      <c r="CY881">
        <v>54.8</v>
      </c>
      <c r="CZ881">
        <v>62</v>
      </c>
      <c r="DA881">
        <v>1</v>
      </c>
      <c r="DB881" t="s">
        <v>525</v>
      </c>
      <c r="DC881">
        <v>70</v>
      </c>
      <c r="DD881">
        <v>62.455761466460899</v>
      </c>
      <c r="DE881" s="1" t="s">
        <v>6919</v>
      </c>
      <c r="DF881" t="str">
        <f>_xlfn.XLOOKUP(Table1[[#This Row],[Player ID]],Table2[feed_id],Table2[trade_status])</f>
        <v>free_agent</v>
      </c>
      <c r="DG881">
        <f>_xlfn.NUMBERVALUE(Table1[[#This Row],[predicted]])</f>
        <v>62.455761466460899</v>
      </c>
    </row>
    <row r="882" spans="1:111" x14ac:dyDescent="0.25">
      <c r="A882">
        <v>132723</v>
      </c>
      <c r="B882">
        <v>9241</v>
      </c>
      <c r="C882" t="s">
        <v>7418</v>
      </c>
      <c r="D882" t="s">
        <v>3116</v>
      </c>
      <c r="E882">
        <v>2025</v>
      </c>
      <c r="F882">
        <v>990740</v>
      </c>
      <c r="G882" t="s">
        <v>4099</v>
      </c>
      <c r="H882" t="s">
        <v>7452</v>
      </c>
      <c r="I882" t="s">
        <v>712</v>
      </c>
      <c r="J882">
        <v>18</v>
      </c>
      <c r="K882">
        <v>80</v>
      </c>
      <c r="L882">
        <v>90</v>
      </c>
      <c r="M882">
        <v>104</v>
      </c>
      <c r="N882">
        <v>64</v>
      </c>
      <c r="O882">
        <v>88</v>
      </c>
      <c r="P882">
        <v>10</v>
      </c>
      <c r="Q882">
        <v>9</v>
      </c>
      <c r="R882">
        <v>6</v>
      </c>
      <c r="S882">
        <v>4</v>
      </c>
      <c r="T882">
        <v>1</v>
      </c>
      <c r="U882">
        <v>0</v>
      </c>
      <c r="V882">
        <v>1</v>
      </c>
      <c r="W882">
        <v>0</v>
      </c>
      <c r="X882">
        <v>0</v>
      </c>
      <c r="Y882" t="s">
        <v>113</v>
      </c>
      <c r="Z882" t="s">
        <v>179</v>
      </c>
      <c r="AA882" t="s">
        <v>7453</v>
      </c>
      <c r="AE882">
        <v>0</v>
      </c>
      <c r="AH882" t="s">
        <v>155</v>
      </c>
      <c r="AI882">
        <v>7</v>
      </c>
      <c r="AJ882">
        <v>16</v>
      </c>
      <c r="AK882">
        <v>66.81</v>
      </c>
      <c r="AL882">
        <v>0</v>
      </c>
      <c r="AM882">
        <v>0</v>
      </c>
      <c r="AN882">
        <v>7.0000000000000007E-2</v>
      </c>
      <c r="AO882">
        <v>0.12</v>
      </c>
      <c r="AS882">
        <v>6</v>
      </c>
      <c r="AT882">
        <v>0</v>
      </c>
      <c r="AU882">
        <v>1</v>
      </c>
      <c r="AV882">
        <v>84</v>
      </c>
      <c r="AW882">
        <v>100</v>
      </c>
      <c r="AX882">
        <v>307</v>
      </c>
      <c r="AY882">
        <v>0</v>
      </c>
      <c r="AZ882" t="b">
        <v>0</v>
      </c>
      <c r="BA882">
        <v>1780</v>
      </c>
      <c r="BB882">
        <v>1518</v>
      </c>
      <c r="BC882">
        <v>6</v>
      </c>
      <c r="BD882" t="s">
        <v>7420</v>
      </c>
      <c r="BE882" s="1" t="s">
        <v>3594</v>
      </c>
      <c r="BF882">
        <v>0</v>
      </c>
      <c r="BG882">
        <v>71</v>
      </c>
      <c r="BH882">
        <v>1</v>
      </c>
      <c r="BI882">
        <v>9</v>
      </c>
      <c r="BJ882" s="1" t="s">
        <v>294</v>
      </c>
      <c r="BK882" s="1" t="s">
        <v>124</v>
      </c>
      <c r="BL882" s="1" t="s">
        <v>449</v>
      </c>
      <c r="BM882" s="1" t="s">
        <v>449</v>
      </c>
      <c r="BN882" s="1" t="s">
        <v>429</v>
      </c>
      <c r="BO882" s="1" t="s">
        <v>169</v>
      </c>
      <c r="BP882" s="1" t="s">
        <v>214</v>
      </c>
      <c r="BQ882" s="1" t="s">
        <v>129</v>
      </c>
      <c r="BR882" s="1" t="s">
        <v>298</v>
      </c>
      <c r="BS882" s="1" t="s">
        <v>128</v>
      </c>
      <c r="BT882">
        <v>0.8</v>
      </c>
      <c r="BU882" s="1" t="s">
        <v>129</v>
      </c>
      <c r="BV882" s="1" t="s">
        <v>238</v>
      </c>
      <c r="BW882">
        <v>0</v>
      </c>
      <c r="BX882">
        <v>0</v>
      </c>
      <c r="BY882">
        <v>0</v>
      </c>
      <c r="BZ882">
        <v>6.6666666666666596E-2</v>
      </c>
      <c r="CA882">
        <v>0</v>
      </c>
      <c r="CB882">
        <v>0</v>
      </c>
      <c r="CC882">
        <v>7.0000000000000007E-2</v>
      </c>
      <c r="CD882">
        <v>7.0000000000000007E-2</v>
      </c>
      <c r="CE882">
        <v>0.12</v>
      </c>
      <c r="CF882">
        <v>0.12</v>
      </c>
      <c r="CG882" s="1" t="s">
        <v>124</v>
      </c>
      <c r="CH882">
        <v>6.2</v>
      </c>
      <c r="CI882">
        <v>0</v>
      </c>
      <c r="CJ882">
        <v>0.4</v>
      </c>
      <c r="CK882">
        <v>1</v>
      </c>
      <c r="CL882" s="1" t="s">
        <v>275</v>
      </c>
      <c r="CM882">
        <v>78</v>
      </c>
      <c r="CN882" s="1" t="s">
        <v>4628</v>
      </c>
      <c r="CO882">
        <v>100</v>
      </c>
      <c r="CP882" s="1" t="s">
        <v>996</v>
      </c>
      <c r="CQ882">
        <v>331</v>
      </c>
      <c r="CR882">
        <v>259.60000000000002</v>
      </c>
      <c r="CS882" s="1" t="s">
        <v>664</v>
      </c>
      <c r="CT882" s="1" t="s">
        <v>6909</v>
      </c>
      <c r="CU882" s="1" t="s">
        <v>3948</v>
      </c>
      <c r="CV882">
        <v>1647</v>
      </c>
      <c r="CW882">
        <v>74.3</v>
      </c>
      <c r="CX882">
        <v>74.2</v>
      </c>
      <c r="CY882">
        <v>73</v>
      </c>
      <c r="CZ882" s="1" t="s">
        <v>516</v>
      </c>
      <c r="DA882">
        <v>1</v>
      </c>
      <c r="DB882" t="s">
        <v>179</v>
      </c>
      <c r="DC882">
        <v>90</v>
      </c>
      <c r="DD882" s="1" t="s">
        <v>7454</v>
      </c>
      <c r="DE882" s="1" t="s">
        <v>7455</v>
      </c>
      <c r="DF882" t="str">
        <f>_xlfn.XLOOKUP(Table1[[#This Row],[Player ID]],Table2[feed_id],Table2[trade_status])</f>
        <v>free_agent</v>
      </c>
      <c r="DG882">
        <f>_xlfn.NUMBERVALUE(Table1[[#This Row],[predicted]])</f>
        <v>62.288282228893003</v>
      </c>
    </row>
    <row r="883" spans="1:111" x14ac:dyDescent="0.25">
      <c r="A883">
        <v>132867</v>
      </c>
      <c r="B883">
        <v>9244</v>
      </c>
      <c r="C883" t="s">
        <v>7983</v>
      </c>
      <c r="D883" t="s">
        <v>3116</v>
      </c>
      <c r="E883">
        <v>2025</v>
      </c>
      <c r="F883">
        <v>1023272</v>
      </c>
      <c r="G883" t="s">
        <v>1718</v>
      </c>
      <c r="H883" t="s">
        <v>8065</v>
      </c>
      <c r="I883" t="s">
        <v>152</v>
      </c>
      <c r="J883">
        <v>4</v>
      </c>
      <c r="K883">
        <v>42</v>
      </c>
      <c r="L883">
        <v>30</v>
      </c>
      <c r="M883">
        <v>55</v>
      </c>
      <c r="N883">
        <v>35</v>
      </c>
      <c r="O883">
        <v>51</v>
      </c>
      <c r="P883">
        <v>7</v>
      </c>
      <c r="Q883">
        <v>5</v>
      </c>
      <c r="R883">
        <v>2</v>
      </c>
      <c r="S883">
        <v>2</v>
      </c>
      <c r="T883">
        <v>3</v>
      </c>
      <c r="U883">
        <v>0</v>
      </c>
      <c r="V883">
        <v>2</v>
      </c>
      <c r="W883">
        <v>0</v>
      </c>
      <c r="X883">
        <v>0</v>
      </c>
      <c r="Y883" t="s">
        <v>113</v>
      </c>
      <c r="Z883" t="s">
        <v>6040</v>
      </c>
      <c r="AA883" t="s">
        <v>8066</v>
      </c>
      <c r="AB883" t="s">
        <v>5152</v>
      </c>
      <c r="AC883" t="s">
        <v>8067</v>
      </c>
      <c r="AH883" t="s">
        <v>155</v>
      </c>
      <c r="AI883">
        <v>10</v>
      </c>
      <c r="AJ883">
        <v>0</v>
      </c>
      <c r="AK883">
        <v>0</v>
      </c>
      <c r="AL883">
        <v>0</v>
      </c>
      <c r="AM883">
        <v>1.99</v>
      </c>
      <c r="AN883">
        <v>2.48</v>
      </c>
      <c r="AO883">
        <v>1.9</v>
      </c>
      <c r="AS883">
        <v>9</v>
      </c>
      <c r="AT883">
        <v>4</v>
      </c>
      <c r="AU883">
        <v>5</v>
      </c>
      <c r="AV883">
        <v>41</v>
      </c>
      <c r="AW883">
        <v>88</v>
      </c>
      <c r="AX883">
        <v>172</v>
      </c>
      <c r="AY883">
        <v>0</v>
      </c>
      <c r="AZ883" t="b">
        <v>0</v>
      </c>
      <c r="BA883">
        <v>1816</v>
      </c>
      <c r="BB883">
        <v>1473</v>
      </c>
      <c r="BC883">
        <v>6</v>
      </c>
      <c r="BD883" t="s">
        <v>7985</v>
      </c>
      <c r="BE883" s="1" t="s">
        <v>3594</v>
      </c>
      <c r="BF883">
        <v>0</v>
      </c>
      <c r="BG883">
        <v>71</v>
      </c>
      <c r="BH883">
        <v>0</v>
      </c>
      <c r="BI883" s="1" t="s">
        <v>253</v>
      </c>
      <c r="BJ883" s="1" t="s">
        <v>183</v>
      </c>
      <c r="BK883">
        <v>4</v>
      </c>
      <c r="BL883">
        <v>4</v>
      </c>
      <c r="BM883" s="1" t="s">
        <v>169</v>
      </c>
      <c r="BN883" s="1" t="s">
        <v>321</v>
      </c>
      <c r="BO883">
        <v>1</v>
      </c>
      <c r="BP883">
        <v>2.4</v>
      </c>
      <c r="BQ883" s="1" t="s">
        <v>169</v>
      </c>
      <c r="BR883" s="1" t="s">
        <v>127</v>
      </c>
      <c r="BS883">
        <v>1</v>
      </c>
      <c r="BT883" s="1" t="s">
        <v>161</v>
      </c>
      <c r="BU883">
        <v>1</v>
      </c>
      <c r="BV883">
        <v>1</v>
      </c>
      <c r="BW883">
        <v>2</v>
      </c>
      <c r="BX883">
        <v>1</v>
      </c>
      <c r="BY883">
        <v>1</v>
      </c>
      <c r="BZ883" s="1" t="s">
        <v>130</v>
      </c>
      <c r="CA883">
        <v>1.99</v>
      </c>
      <c r="CB883">
        <v>1.99</v>
      </c>
      <c r="CC883">
        <v>2.48</v>
      </c>
      <c r="CD883">
        <v>2.48</v>
      </c>
      <c r="CE883">
        <v>1.9</v>
      </c>
      <c r="CF883">
        <v>1.9</v>
      </c>
      <c r="CG883" s="1" t="s">
        <v>397</v>
      </c>
      <c r="CH883" s="1" t="s">
        <v>1092</v>
      </c>
      <c r="CI883" s="1" t="s">
        <v>126</v>
      </c>
      <c r="CJ883" s="1" t="s">
        <v>399</v>
      </c>
      <c r="CK883">
        <v>2</v>
      </c>
      <c r="CL883" s="1" t="s">
        <v>373</v>
      </c>
      <c r="CM883">
        <v>58</v>
      </c>
      <c r="CN883">
        <v>60.4</v>
      </c>
      <c r="CO883" s="1" t="s">
        <v>2738</v>
      </c>
      <c r="CP883" s="1" t="s">
        <v>4597</v>
      </c>
      <c r="CQ883">
        <v>187</v>
      </c>
      <c r="CR883">
        <v>199.8</v>
      </c>
      <c r="CS883" s="1" t="s">
        <v>7987</v>
      </c>
      <c r="CT883">
        <v>1673.4</v>
      </c>
      <c r="CU883" s="1" t="s">
        <v>7988</v>
      </c>
      <c r="CV883" s="1" t="s">
        <v>8068</v>
      </c>
      <c r="CW883">
        <v>60.25</v>
      </c>
      <c r="CX883">
        <v>68.2</v>
      </c>
      <c r="CY883">
        <v>62.6</v>
      </c>
      <c r="CZ883" s="1" t="s">
        <v>772</v>
      </c>
      <c r="DA883">
        <v>1</v>
      </c>
      <c r="DB883" t="s">
        <v>6040</v>
      </c>
      <c r="DC883">
        <v>30</v>
      </c>
      <c r="DD883" s="1" t="s">
        <v>8069</v>
      </c>
      <c r="DE883">
        <v>-31.760078310568701</v>
      </c>
      <c r="DF883" t="str">
        <f>_xlfn.XLOOKUP(Table1[[#This Row],[Player ID]],Table2[feed_id],Table2[trade_status])</f>
        <v>free_agent</v>
      </c>
      <c r="DG883">
        <f>_xlfn.NUMBERVALUE(Table1[[#This Row],[predicted]])</f>
        <v>61.760078310568701</v>
      </c>
    </row>
    <row r="884" spans="1:111" x14ac:dyDescent="0.25">
      <c r="A884">
        <v>132709</v>
      </c>
      <c r="B884">
        <v>9240</v>
      </c>
      <c r="C884" t="s">
        <v>7230</v>
      </c>
      <c r="D884" t="s">
        <v>3116</v>
      </c>
      <c r="E884">
        <v>2025</v>
      </c>
      <c r="F884">
        <v>1013973</v>
      </c>
      <c r="G884" t="s">
        <v>1002</v>
      </c>
      <c r="H884" t="s">
        <v>7412</v>
      </c>
      <c r="I884" t="s">
        <v>582</v>
      </c>
      <c r="J884">
        <v>9</v>
      </c>
      <c r="K884">
        <v>42</v>
      </c>
      <c r="L884">
        <v>54</v>
      </c>
      <c r="M884">
        <v>28</v>
      </c>
      <c r="N884">
        <v>36</v>
      </c>
      <c r="O884">
        <v>47</v>
      </c>
      <c r="P884">
        <v>6</v>
      </c>
      <c r="Q884">
        <v>4</v>
      </c>
      <c r="R884">
        <v>2</v>
      </c>
      <c r="S884">
        <v>1</v>
      </c>
      <c r="T884">
        <v>0</v>
      </c>
      <c r="U884">
        <v>1</v>
      </c>
      <c r="V884">
        <v>1</v>
      </c>
      <c r="W884">
        <v>1</v>
      </c>
      <c r="X884">
        <v>2</v>
      </c>
      <c r="Y884" t="s">
        <v>113</v>
      </c>
      <c r="Z884" t="s">
        <v>861</v>
      </c>
      <c r="AA884" t="s">
        <v>7413</v>
      </c>
      <c r="AH884" t="s">
        <v>155</v>
      </c>
      <c r="AI884">
        <v>16</v>
      </c>
      <c r="AJ884">
        <v>0</v>
      </c>
      <c r="AK884">
        <v>0</v>
      </c>
      <c r="AL884">
        <v>0</v>
      </c>
      <c r="AM884">
        <v>0.13</v>
      </c>
      <c r="AN884">
        <v>0.04</v>
      </c>
      <c r="AO884">
        <v>0.11</v>
      </c>
      <c r="AS884">
        <v>6</v>
      </c>
      <c r="AT884">
        <v>0</v>
      </c>
      <c r="AU884">
        <v>1</v>
      </c>
      <c r="AV884">
        <v>80</v>
      </c>
      <c r="AW884">
        <v>70</v>
      </c>
      <c r="AX884">
        <v>163</v>
      </c>
      <c r="AY884">
        <v>0</v>
      </c>
      <c r="AZ884" t="b">
        <v>0</v>
      </c>
      <c r="BA884">
        <v>1976</v>
      </c>
      <c r="BB884">
        <v>1285</v>
      </c>
      <c r="BC884">
        <v>6</v>
      </c>
      <c r="BD884" t="s">
        <v>7344</v>
      </c>
      <c r="BE884" s="1" t="s">
        <v>3594</v>
      </c>
      <c r="BF884">
        <v>0</v>
      </c>
      <c r="BG884">
        <v>71</v>
      </c>
      <c r="BH884">
        <v>0</v>
      </c>
      <c r="BI884" s="1" t="s">
        <v>211</v>
      </c>
      <c r="BJ884" s="1" t="s">
        <v>963</v>
      </c>
      <c r="BK884">
        <v>3</v>
      </c>
      <c r="BL884" s="1" t="s">
        <v>321</v>
      </c>
      <c r="BM884">
        <v>2</v>
      </c>
      <c r="BN884" s="1" t="s">
        <v>237</v>
      </c>
      <c r="BO884" s="1" t="s">
        <v>159</v>
      </c>
      <c r="BP884" s="1" t="s">
        <v>237</v>
      </c>
      <c r="BQ884">
        <v>0</v>
      </c>
      <c r="BR884">
        <v>0</v>
      </c>
      <c r="BS884" s="1" t="s">
        <v>128</v>
      </c>
      <c r="BT884" s="1" t="s">
        <v>231</v>
      </c>
      <c r="BU884" s="1" t="s">
        <v>129</v>
      </c>
      <c r="BV884" s="1" t="s">
        <v>128</v>
      </c>
      <c r="BW884" s="1" t="s">
        <v>128</v>
      </c>
      <c r="BX884" s="1" t="s">
        <v>126</v>
      </c>
      <c r="BY884" s="1" t="s">
        <v>128</v>
      </c>
      <c r="BZ884" s="1" t="s">
        <v>238</v>
      </c>
      <c r="CA884">
        <v>0.13</v>
      </c>
      <c r="CB884">
        <v>0.13</v>
      </c>
      <c r="CC884">
        <v>0.04</v>
      </c>
      <c r="CD884">
        <v>0.04</v>
      </c>
      <c r="CE884">
        <v>0.11</v>
      </c>
      <c r="CF884">
        <v>0.11</v>
      </c>
      <c r="CG884" s="1" t="s">
        <v>125</v>
      </c>
      <c r="CH884" s="1" t="s">
        <v>189</v>
      </c>
      <c r="CI884">
        <v>0</v>
      </c>
      <c r="CJ884">
        <v>6.6666666666666596E-2</v>
      </c>
      <c r="CK884" s="1" t="s">
        <v>161</v>
      </c>
      <c r="CL884" s="1" t="s">
        <v>170</v>
      </c>
      <c r="CM884">
        <v>60</v>
      </c>
      <c r="CN884" s="1" t="s">
        <v>7414</v>
      </c>
      <c r="CO884">
        <v>76</v>
      </c>
      <c r="CP884">
        <v>77.400000000000006</v>
      </c>
      <c r="CQ884" s="1" t="s">
        <v>7415</v>
      </c>
      <c r="CR884" s="1" t="s">
        <v>7416</v>
      </c>
      <c r="CS884" s="1" t="s">
        <v>7346</v>
      </c>
      <c r="CT884" s="1" t="s">
        <v>1823</v>
      </c>
      <c r="CU884" s="1" t="s">
        <v>7348</v>
      </c>
      <c r="CV884" s="1" t="s">
        <v>1419</v>
      </c>
      <c r="CW884">
        <v>58.05</v>
      </c>
      <c r="CX884">
        <v>50</v>
      </c>
      <c r="CY884">
        <v>48.6</v>
      </c>
      <c r="CZ884" s="1" t="s">
        <v>2765</v>
      </c>
      <c r="DA884">
        <v>1</v>
      </c>
      <c r="DB884" t="s">
        <v>861</v>
      </c>
      <c r="DC884">
        <v>54</v>
      </c>
      <c r="DD884" s="1" t="s">
        <v>7417</v>
      </c>
      <c r="DE884">
        <v>-7.6529738581763302</v>
      </c>
      <c r="DF884" t="str">
        <f>_xlfn.XLOOKUP(Table1[[#This Row],[Player ID]],Table2[feed_id],Table2[trade_status])</f>
        <v>free_agent</v>
      </c>
      <c r="DG884">
        <f>_xlfn.NUMBERVALUE(Table1[[#This Row],[predicted]])</f>
        <v>61.652973858176303</v>
      </c>
    </row>
    <row r="885" spans="1:111" hidden="1" x14ac:dyDescent="0.25">
      <c r="A885">
        <v>132783</v>
      </c>
      <c r="B885">
        <v>9242</v>
      </c>
      <c r="C885" t="s">
        <v>7597</v>
      </c>
      <c r="D885" t="s">
        <v>3116</v>
      </c>
      <c r="E885">
        <v>2025</v>
      </c>
      <c r="F885">
        <v>992016</v>
      </c>
      <c r="G885" t="s">
        <v>5859</v>
      </c>
      <c r="H885" t="s">
        <v>986</v>
      </c>
      <c r="I885" t="s">
        <v>619</v>
      </c>
      <c r="J885">
        <v>31</v>
      </c>
      <c r="K885">
        <v>134</v>
      </c>
      <c r="L885">
        <v>124</v>
      </c>
      <c r="M885">
        <v>107</v>
      </c>
      <c r="N885">
        <v>109</v>
      </c>
      <c r="O885">
        <v>151</v>
      </c>
      <c r="P885">
        <v>15</v>
      </c>
      <c r="Q885">
        <v>22</v>
      </c>
      <c r="R885">
        <v>8</v>
      </c>
      <c r="S885">
        <v>5</v>
      </c>
      <c r="T885">
        <v>0</v>
      </c>
      <c r="U885">
        <v>0</v>
      </c>
      <c r="V885">
        <v>0</v>
      </c>
      <c r="W885">
        <v>0</v>
      </c>
      <c r="X885">
        <v>1</v>
      </c>
      <c r="Y885" t="s">
        <v>113</v>
      </c>
      <c r="Z885" t="s">
        <v>6867</v>
      </c>
      <c r="AA885" t="s">
        <v>7707</v>
      </c>
      <c r="AB885" t="s">
        <v>877</v>
      </c>
      <c r="AC885" t="s">
        <v>1814</v>
      </c>
      <c r="AE885">
        <v>0</v>
      </c>
      <c r="AH885" t="s">
        <v>118</v>
      </c>
      <c r="AI885">
        <v>7</v>
      </c>
      <c r="AJ885">
        <v>21</v>
      </c>
      <c r="AK885">
        <v>100.91</v>
      </c>
      <c r="AL885">
        <v>0</v>
      </c>
      <c r="AM885">
        <v>0</v>
      </c>
      <c r="AN885">
        <v>8.69</v>
      </c>
      <c r="AO885">
        <v>10.17</v>
      </c>
      <c r="AS885">
        <v>14</v>
      </c>
      <c r="AT885">
        <v>2</v>
      </c>
      <c r="AU885">
        <v>5</v>
      </c>
      <c r="AV885">
        <v>59</v>
      </c>
      <c r="AW885">
        <v>85</v>
      </c>
      <c r="AX885">
        <v>342</v>
      </c>
      <c r="AY885">
        <v>1</v>
      </c>
      <c r="AZ885" t="b">
        <v>0</v>
      </c>
      <c r="BA885">
        <v>1522</v>
      </c>
      <c r="BB885">
        <v>1764</v>
      </c>
      <c r="BC885">
        <v>6</v>
      </c>
      <c r="BD885" t="s">
        <v>7708</v>
      </c>
      <c r="BE885" s="1" t="s">
        <v>3594</v>
      </c>
      <c r="BF885">
        <v>1</v>
      </c>
      <c r="BG885">
        <v>71</v>
      </c>
      <c r="BH885">
        <v>1</v>
      </c>
      <c r="BI885" s="1" t="s">
        <v>3068</v>
      </c>
      <c r="BJ885" s="1" t="s">
        <v>413</v>
      </c>
      <c r="BK885">
        <v>19</v>
      </c>
      <c r="BL885" s="1" t="s">
        <v>1816</v>
      </c>
      <c r="BM885">
        <v>5</v>
      </c>
      <c r="BN885">
        <v>4.5999999999999996</v>
      </c>
      <c r="BO885" s="1" t="s">
        <v>138</v>
      </c>
      <c r="BP885" s="1" t="s">
        <v>565</v>
      </c>
      <c r="BQ885">
        <v>0</v>
      </c>
      <c r="BR885">
        <v>0</v>
      </c>
      <c r="BS885">
        <v>1</v>
      </c>
      <c r="BT885">
        <v>1.4</v>
      </c>
      <c r="BU885">
        <v>0</v>
      </c>
      <c r="BV885" s="1" t="s">
        <v>231</v>
      </c>
      <c r="BW885" s="1" t="s">
        <v>126</v>
      </c>
      <c r="BX885">
        <v>0.8</v>
      </c>
      <c r="BY885" s="1" t="s">
        <v>126</v>
      </c>
      <c r="BZ885" s="1" t="s">
        <v>130</v>
      </c>
      <c r="CA885">
        <v>0</v>
      </c>
      <c r="CB885">
        <v>0</v>
      </c>
      <c r="CC885">
        <v>8.69</v>
      </c>
      <c r="CD885">
        <v>8.69</v>
      </c>
      <c r="CE885">
        <v>10.17</v>
      </c>
      <c r="CF885">
        <v>10.17</v>
      </c>
      <c r="CG885" s="1" t="s">
        <v>356</v>
      </c>
      <c r="CH885" s="1" t="s">
        <v>396</v>
      </c>
      <c r="CI885">
        <v>3</v>
      </c>
      <c r="CJ885" s="1" t="s">
        <v>321</v>
      </c>
      <c r="CK885" s="1" t="s">
        <v>125</v>
      </c>
      <c r="CL885" s="1" t="s">
        <v>138</v>
      </c>
      <c r="CM885">
        <v>63</v>
      </c>
      <c r="CN885" s="1" t="s">
        <v>4178</v>
      </c>
      <c r="CO885" s="1" t="s">
        <v>1123</v>
      </c>
      <c r="CP885">
        <v>84.8</v>
      </c>
      <c r="CQ885" s="1" t="s">
        <v>7709</v>
      </c>
      <c r="CR885" s="1" t="s">
        <v>7710</v>
      </c>
      <c r="CS885" s="1" t="s">
        <v>144</v>
      </c>
      <c r="CT885">
        <v>1651.2</v>
      </c>
      <c r="CU885" s="1" t="s">
        <v>4416</v>
      </c>
      <c r="CV885" s="1" t="s">
        <v>7711</v>
      </c>
      <c r="CW885">
        <v>112.25</v>
      </c>
      <c r="CX885">
        <v>114.8</v>
      </c>
      <c r="CY885">
        <v>119.8</v>
      </c>
      <c r="CZ885">
        <v>125</v>
      </c>
      <c r="DA885">
        <v>1</v>
      </c>
      <c r="DB885" t="s">
        <v>6867</v>
      </c>
      <c r="DC885">
        <v>124</v>
      </c>
      <c r="DD885" s="1" t="s">
        <v>7712</v>
      </c>
      <c r="DE885" s="1" t="s">
        <v>7713</v>
      </c>
      <c r="DF885" t="e">
        <f>_xlfn.XLOOKUP(Table1[[#This Row],[Player ID]],Table2[feed_id],Table2[trade_status])</f>
        <v>#N/A</v>
      </c>
      <c r="DG885">
        <f>_xlfn.NUMBERVALUE(Table1[[#This Row],[predicted]])</f>
        <v>109.602044333103</v>
      </c>
    </row>
    <row r="886" spans="1:111" hidden="1" x14ac:dyDescent="0.25">
      <c r="A886">
        <v>132784</v>
      </c>
      <c r="B886">
        <v>9242</v>
      </c>
      <c r="C886" t="s">
        <v>7597</v>
      </c>
      <c r="D886" t="s">
        <v>3116</v>
      </c>
      <c r="E886">
        <v>2025</v>
      </c>
      <c r="F886">
        <v>1012013</v>
      </c>
      <c r="G886" t="s">
        <v>4427</v>
      </c>
      <c r="H886" t="s">
        <v>3981</v>
      </c>
      <c r="I886" t="s">
        <v>619</v>
      </c>
      <c r="J886">
        <v>31</v>
      </c>
      <c r="K886">
        <v>121</v>
      </c>
      <c r="L886">
        <v>108</v>
      </c>
      <c r="M886">
        <v>82</v>
      </c>
      <c r="N886">
        <v>99</v>
      </c>
      <c r="O886">
        <v>129</v>
      </c>
      <c r="P886">
        <v>18</v>
      </c>
      <c r="Q886">
        <v>10</v>
      </c>
      <c r="R886">
        <v>11</v>
      </c>
      <c r="S886">
        <v>2</v>
      </c>
      <c r="T886">
        <v>0</v>
      </c>
      <c r="U886">
        <v>0</v>
      </c>
      <c r="V886">
        <v>0</v>
      </c>
      <c r="W886">
        <v>1</v>
      </c>
      <c r="X886">
        <v>0</v>
      </c>
      <c r="Y886" t="s">
        <v>113</v>
      </c>
      <c r="Z886" t="s">
        <v>339</v>
      </c>
      <c r="AA886" t="s">
        <v>860</v>
      </c>
      <c r="AB886" t="s">
        <v>987</v>
      </c>
      <c r="AC886" t="s">
        <v>7714</v>
      </c>
      <c r="AI886">
        <v>37</v>
      </c>
      <c r="AJ886">
        <v>0</v>
      </c>
      <c r="AK886">
        <v>0</v>
      </c>
      <c r="AL886">
        <v>0</v>
      </c>
      <c r="AM886">
        <v>1.1499999999999999</v>
      </c>
      <c r="AN886">
        <v>1.22</v>
      </c>
      <c r="AO886">
        <v>0</v>
      </c>
      <c r="AS886">
        <v>4</v>
      </c>
      <c r="AT886">
        <v>1</v>
      </c>
      <c r="AU886">
        <v>4</v>
      </c>
      <c r="AV886">
        <v>89</v>
      </c>
      <c r="AW886">
        <v>95</v>
      </c>
      <c r="AX886">
        <v>184</v>
      </c>
      <c r="AY886">
        <v>0</v>
      </c>
      <c r="AZ886" t="b">
        <v>0</v>
      </c>
      <c r="BA886">
        <v>1522</v>
      </c>
      <c r="BB886">
        <v>1764</v>
      </c>
      <c r="BC886">
        <v>6</v>
      </c>
      <c r="BD886" t="s">
        <v>7708</v>
      </c>
      <c r="BE886" s="1" t="s">
        <v>3594</v>
      </c>
      <c r="BF886">
        <v>1</v>
      </c>
      <c r="BG886">
        <v>71</v>
      </c>
      <c r="BH886">
        <v>1</v>
      </c>
      <c r="BI886" s="1" t="s">
        <v>395</v>
      </c>
      <c r="BJ886" s="1" t="s">
        <v>1035</v>
      </c>
      <c r="BK886">
        <v>10</v>
      </c>
      <c r="BL886" s="1" t="s">
        <v>962</v>
      </c>
      <c r="BM886" s="1" t="s">
        <v>204</v>
      </c>
      <c r="BN886">
        <v>6.8</v>
      </c>
      <c r="BO886" s="1" t="s">
        <v>126</v>
      </c>
      <c r="BP886">
        <v>2.8</v>
      </c>
      <c r="BQ886">
        <v>0</v>
      </c>
      <c r="BR886">
        <v>0</v>
      </c>
      <c r="BS886">
        <v>0</v>
      </c>
      <c r="BT886" s="1" t="s">
        <v>238</v>
      </c>
      <c r="BU886" s="1" t="s">
        <v>129</v>
      </c>
      <c r="BV886">
        <v>0.6</v>
      </c>
      <c r="BW886">
        <v>1</v>
      </c>
      <c r="BX886">
        <v>1</v>
      </c>
      <c r="BY886" s="1" t="s">
        <v>129</v>
      </c>
      <c r="BZ886">
        <v>0.4</v>
      </c>
      <c r="CA886">
        <v>1.1499999999999999</v>
      </c>
      <c r="CB886">
        <v>1.1499999999999999</v>
      </c>
      <c r="CC886">
        <v>1.22</v>
      </c>
      <c r="CD886">
        <v>1.22</v>
      </c>
      <c r="CE886">
        <v>0</v>
      </c>
      <c r="CF886">
        <v>0</v>
      </c>
      <c r="CG886" s="1" t="s">
        <v>138</v>
      </c>
      <c r="CH886">
        <v>5.6</v>
      </c>
      <c r="CI886">
        <v>1</v>
      </c>
      <c r="CJ886" s="1" t="s">
        <v>162</v>
      </c>
      <c r="CK886">
        <v>2</v>
      </c>
      <c r="CL886" s="1" t="s">
        <v>138</v>
      </c>
      <c r="CM886">
        <v>83</v>
      </c>
      <c r="CN886" s="1" t="s">
        <v>3961</v>
      </c>
      <c r="CO886" s="1" t="s">
        <v>2492</v>
      </c>
      <c r="CP886" s="1" t="s">
        <v>2348</v>
      </c>
      <c r="CQ886" s="1" t="s">
        <v>7715</v>
      </c>
      <c r="CR886" s="1" t="s">
        <v>7716</v>
      </c>
      <c r="CS886" s="1" t="s">
        <v>144</v>
      </c>
      <c r="CT886">
        <v>1651.2</v>
      </c>
      <c r="CU886" s="1" t="s">
        <v>4416</v>
      </c>
      <c r="CV886" s="1" t="s">
        <v>7711</v>
      </c>
      <c r="CW886">
        <v>100.7</v>
      </c>
      <c r="CX886">
        <v>101.2</v>
      </c>
      <c r="CY886">
        <v>91.6</v>
      </c>
      <c r="CZ886" s="1" t="s">
        <v>645</v>
      </c>
      <c r="DA886">
        <v>1</v>
      </c>
      <c r="DB886" t="s">
        <v>339</v>
      </c>
      <c r="DC886">
        <v>108</v>
      </c>
      <c r="DD886" s="1" t="s">
        <v>7717</v>
      </c>
      <c r="DE886" s="1" t="s">
        <v>7718</v>
      </c>
      <c r="DF886" t="e">
        <f>_xlfn.XLOOKUP(Table1[[#This Row],[Player ID]],Table2[feed_id],Table2[trade_status])</f>
        <v>#N/A</v>
      </c>
      <c r="DG886">
        <f>_xlfn.NUMBERVALUE(Table1[[#This Row],[predicted]])</f>
        <v>93.324472857618204</v>
      </c>
    </row>
    <row r="887" spans="1:111" hidden="1" x14ac:dyDescent="0.25">
      <c r="A887">
        <v>132786</v>
      </c>
      <c r="B887">
        <v>9242</v>
      </c>
      <c r="C887" t="s">
        <v>7597</v>
      </c>
      <c r="D887" t="s">
        <v>3116</v>
      </c>
      <c r="E887">
        <v>2025</v>
      </c>
      <c r="F887">
        <v>998215</v>
      </c>
      <c r="G887" t="s">
        <v>2115</v>
      </c>
      <c r="H887" t="s">
        <v>7719</v>
      </c>
      <c r="I887" t="s">
        <v>619</v>
      </c>
      <c r="J887">
        <v>44</v>
      </c>
      <c r="K887">
        <v>104</v>
      </c>
      <c r="L887">
        <v>110</v>
      </c>
      <c r="M887">
        <v>88</v>
      </c>
      <c r="N887">
        <v>71</v>
      </c>
      <c r="O887">
        <v>102</v>
      </c>
      <c r="P887">
        <v>13</v>
      </c>
      <c r="Q887">
        <v>8</v>
      </c>
      <c r="R887">
        <v>3</v>
      </c>
      <c r="S887">
        <v>10</v>
      </c>
      <c r="T887">
        <v>0</v>
      </c>
      <c r="U887">
        <v>0</v>
      </c>
      <c r="V887">
        <v>0</v>
      </c>
      <c r="W887">
        <v>0</v>
      </c>
      <c r="X887">
        <v>0</v>
      </c>
      <c r="Y887" t="s">
        <v>113</v>
      </c>
      <c r="Z887" t="s">
        <v>339</v>
      </c>
      <c r="AA887" t="s">
        <v>1827</v>
      </c>
      <c r="AB887" t="s">
        <v>1563</v>
      </c>
      <c r="AC887" t="s">
        <v>7720</v>
      </c>
      <c r="AE887">
        <v>0</v>
      </c>
      <c r="AH887" t="s">
        <v>118</v>
      </c>
      <c r="AI887">
        <v>12</v>
      </c>
      <c r="AJ887">
        <v>0</v>
      </c>
      <c r="AK887">
        <v>0</v>
      </c>
      <c r="AL887">
        <v>0</v>
      </c>
      <c r="AM887">
        <v>0</v>
      </c>
      <c r="AN887">
        <v>0.16</v>
      </c>
      <c r="AO887">
        <v>0.11</v>
      </c>
      <c r="AS887">
        <v>5</v>
      </c>
      <c r="AT887">
        <v>2</v>
      </c>
      <c r="AU887">
        <v>1</v>
      </c>
      <c r="AV887">
        <v>76</v>
      </c>
      <c r="AW887">
        <v>78</v>
      </c>
      <c r="AX887">
        <v>355</v>
      </c>
      <c r="AY887">
        <v>1</v>
      </c>
      <c r="AZ887" t="b">
        <v>0</v>
      </c>
      <c r="BA887">
        <v>1522</v>
      </c>
      <c r="BB887">
        <v>1764</v>
      </c>
      <c r="BC887">
        <v>6</v>
      </c>
      <c r="BD887" t="s">
        <v>7708</v>
      </c>
      <c r="BE887" s="1" t="s">
        <v>3594</v>
      </c>
      <c r="BF887">
        <v>1</v>
      </c>
      <c r="BG887">
        <v>71</v>
      </c>
      <c r="BH887">
        <v>1</v>
      </c>
      <c r="BI887" s="1" t="s">
        <v>276</v>
      </c>
      <c r="BJ887">
        <v>11.6</v>
      </c>
      <c r="BK887">
        <v>8</v>
      </c>
      <c r="BL887" s="1" t="s">
        <v>1426</v>
      </c>
      <c r="BM887">
        <v>3</v>
      </c>
      <c r="BN887" s="1" t="s">
        <v>436</v>
      </c>
      <c r="BO887" s="1" t="s">
        <v>253</v>
      </c>
      <c r="BP887" s="1" t="s">
        <v>680</v>
      </c>
      <c r="BQ887">
        <v>0</v>
      </c>
      <c r="BR887">
        <v>0</v>
      </c>
      <c r="BS887" s="1" t="s">
        <v>129</v>
      </c>
      <c r="BT887">
        <v>0.8</v>
      </c>
      <c r="BU887">
        <v>0</v>
      </c>
      <c r="BV887" s="1" t="s">
        <v>184</v>
      </c>
      <c r="BW887">
        <v>0</v>
      </c>
      <c r="BX887" s="1" t="s">
        <v>213</v>
      </c>
      <c r="BY887" s="1" t="s">
        <v>129</v>
      </c>
      <c r="BZ887" s="1" t="s">
        <v>129</v>
      </c>
      <c r="CA887">
        <v>0</v>
      </c>
      <c r="CB887">
        <v>4.1333333333333298E-2</v>
      </c>
      <c r="CC887">
        <v>0.16</v>
      </c>
      <c r="CD887">
        <v>0.5</v>
      </c>
      <c r="CE887">
        <v>0.11</v>
      </c>
      <c r="CF887">
        <v>0.47</v>
      </c>
      <c r="CG887">
        <v>6</v>
      </c>
      <c r="CH887" s="1" t="s">
        <v>498</v>
      </c>
      <c r="CI887" s="1" t="s">
        <v>169</v>
      </c>
      <c r="CJ887">
        <v>3.6</v>
      </c>
      <c r="CK887" s="1" t="s">
        <v>159</v>
      </c>
      <c r="CL887" s="1" t="s">
        <v>373</v>
      </c>
      <c r="CM887" s="1" t="s">
        <v>610</v>
      </c>
      <c r="CN887" s="1" t="s">
        <v>572</v>
      </c>
      <c r="CO887">
        <v>75</v>
      </c>
      <c r="CP887" s="1" t="s">
        <v>1980</v>
      </c>
      <c r="CQ887" s="1" t="s">
        <v>7721</v>
      </c>
      <c r="CR887">
        <v>348.8</v>
      </c>
      <c r="CS887" s="1" t="s">
        <v>3994</v>
      </c>
      <c r="CT887" s="1" t="s">
        <v>7722</v>
      </c>
      <c r="CU887" s="1" t="s">
        <v>2011</v>
      </c>
      <c r="CV887">
        <v>1644.4</v>
      </c>
      <c r="CW887">
        <v>89.55</v>
      </c>
      <c r="CX887">
        <v>88.3</v>
      </c>
      <c r="CY887">
        <v>107.8</v>
      </c>
      <c r="CZ887">
        <v>98</v>
      </c>
      <c r="DA887">
        <v>1</v>
      </c>
      <c r="DB887" t="s">
        <v>339</v>
      </c>
      <c r="DC887">
        <v>110</v>
      </c>
      <c r="DD887">
        <v>85.852962625575401</v>
      </c>
      <c r="DE887">
        <v>24.147037374424599</v>
      </c>
      <c r="DF887" t="e">
        <f>_xlfn.XLOOKUP(Table1[[#This Row],[Player ID]],Table2[feed_id],Table2[trade_status])</f>
        <v>#N/A</v>
      </c>
      <c r="DG887">
        <f>_xlfn.NUMBERVALUE(Table1[[#This Row],[predicted]])</f>
        <v>85.852962625575401</v>
      </c>
    </row>
    <row r="888" spans="1:111" hidden="1" x14ac:dyDescent="0.25">
      <c r="A888">
        <v>132787</v>
      </c>
      <c r="B888">
        <v>9242</v>
      </c>
      <c r="C888" t="s">
        <v>7597</v>
      </c>
      <c r="D888" t="s">
        <v>3116</v>
      </c>
      <c r="E888">
        <v>2025</v>
      </c>
      <c r="F888">
        <v>1005577</v>
      </c>
      <c r="G888" t="s">
        <v>958</v>
      </c>
      <c r="H888" t="s">
        <v>7723</v>
      </c>
      <c r="I888" t="s">
        <v>619</v>
      </c>
      <c r="J888">
        <v>22</v>
      </c>
      <c r="K888">
        <v>101</v>
      </c>
      <c r="L888">
        <v>110</v>
      </c>
      <c r="M888">
        <v>74</v>
      </c>
      <c r="N888">
        <v>89</v>
      </c>
      <c r="O888">
        <v>113</v>
      </c>
      <c r="P888">
        <v>12</v>
      </c>
      <c r="Q888">
        <v>10</v>
      </c>
      <c r="R888">
        <v>5</v>
      </c>
      <c r="S888">
        <v>2</v>
      </c>
      <c r="T888">
        <v>26</v>
      </c>
      <c r="U888">
        <v>2</v>
      </c>
      <c r="V888">
        <v>2</v>
      </c>
      <c r="W888">
        <v>0</v>
      </c>
      <c r="X888">
        <v>0</v>
      </c>
      <c r="Y888" t="s">
        <v>113</v>
      </c>
      <c r="Z888" t="s">
        <v>339</v>
      </c>
      <c r="AA888" t="s">
        <v>6966</v>
      </c>
      <c r="AB888" t="s">
        <v>602</v>
      </c>
      <c r="AC888" t="s">
        <v>7724</v>
      </c>
      <c r="AE888">
        <v>0</v>
      </c>
      <c r="AH888" t="s">
        <v>274</v>
      </c>
      <c r="AI888">
        <v>2</v>
      </c>
      <c r="AJ888">
        <v>0</v>
      </c>
      <c r="AK888">
        <v>0</v>
      </c>
      <c r="AL888">
        <v>0</v>
      </c>
      <c r="AM888">
        <v>0</v>
      </c>
      <c r="AN888">
        <v>0.85</v>
      </c>
      <c r="AO888">
        <v>1.65</v>
      </c>
      <c r="AS888">
        <v>13</v>
      </c>
      <c r="AT888">
        <v>5</v>
      </c>
      <c r="AU888">
        <v>4</v>
      </c>
      <c r="AV888">
        <v>81</v>
      </c>
      <c r="AW888">
        <v>87</v>
      </c>
      <c r="AX888">
        <v>470</v>
      </c>
      <c r="AY888">
        <v>0</v>
      </c>
      <c r="AZ888" t="b">
        <v>0</v>
      </c>
      <c r="BA888">
        <v>1522</v>
      </c>
      <c r="BB888">
        <v>1764</v>
      </c>
      <c r="BC888">
        <v>6</v>
      </c>
      <c r="BD888" t="s">
        <v>7708</v>
      </c>
      <c r="BE888" s="1" t="s">
        <v>3594</v>
      </c>
      <c r="BF888">
        <v>1</v>
      </c>
      <c r="BG888">
        <v>71</v>
      </c>
      <c r="BH888">
        <v>1</v>
      </c>
      <c r="BI888" s="1" t="s">
        <v>183</v>
      </c>
      <c r="BJ888" s="1" t="s">
        <v>254</v>
      </c>
      <c r="BK888">
        <v>6</v>
      </c>
      <c r="BL888">
        <v>4.5999999999999996</v>
      </c>
      <c r="BM888" s="1" t="s">
        <v>138</v>
      </c>
      <c r="BN888" s="1" t="s">
        <v>766</v>
      </c>
      <c r="BO888" s="1" t="s">
        <v>161</v>
      </c>
      <c r="BP888">
        <v>2.4</v>
      </c>
      <c r="BQ888">
        <v>17</v>
      </c>
      <c r="BR888" s="1" t="s">
        <v>7725</v>
      </c>
      <c r="BS888">
        <v>2</v>
      </c>
      <c r="BT888" s="1" t="s">
        <v>206</v>
      </c>
      <c r="BU888" s="1" t="s">
        <v>161</v>
      </c>
      <c r="BV888" s="1" t="s">
        <v>275</v>
      </c>
      <c r="BW888" s="1" t="s">
        <v>161</v>
      </c>
      <c r="BX888" s="1" t="s">
        <v>127</v>
      </c>
      <c r="BY888">
        <v>0</v>
      </c>
      <c r="BZ888" s="1" t="s">
        <v>238</v>
      </c>
      <c r="CA888">
        <v>0</v>
      </c>
      <c r="CB888">
        <v>0</v>
      </c>
      <c r="CC888">
        <v>0.85</v>
      </c>
      <c r="CD888">
        <v>0.85</v>
      </c>
      <c r="CE888">
        <v>1.65</v>
      </c>
      <c r="CF888">
        <v>1.65</v>
      </c>
      <c r="CG888" s="1" t="s">
        <v>545</v>
      </c>
      <c r="CH888" s="1" t="s">
        <v>254</v>
      </c>
      <c r="CI888">
        <v>3</v>
      </c>
      <c r="CJ888" s="1" t="s">
        <v>766</v>
      </c>
      <c r="CK888" s="1" t="s">
        <v>125</v>
      </c>
      <c r="CL888" s="1" t="s">
        <v>990</v>
      </c>
      <c r="CM888" s="1" t="s">
        <v>483</v>
      </c>
      <c r="CN888" s="1" t="s">
        <v>6436</v>
      </c>
      <c r="CO888" s="1" t="s">
        <v>1739</v>
      </c>
      <c r="CP888" s="1" t="s">
        <v>573</v>
      </c>
      <c r="CQ888">
        <v>273</v>
      </c>
      <c r="CR888">
        <v>242.8</v>
      </c>
      <c r="CS888" s="1" t="s">
        <v>144</v>
      </c>
      <c r="CT888">
        <v>1657.4</v>
      </c>
      <c r="CU888" s="1" t="s">
        <v>4416</v>
      </c>
      <c r="CV888" s="1" t="s">
        <v>1545</v>
      </c>
      <c r="CW888">
        <v>78.400000000000006</v>
      </c>
      <c r="CX888">
        <v>90.9</v>
      </c>
      <c r="CY888">
        <v>82.6</v>
      </c>
      <c r="CZ888" s="1" t="s">
        <v>239</v>
      </c>
      <c r="DA888">
        <v>1</v>
      </c>
      <c r="DB888" t="s">
        <v>339</v>
      </c>
      <c r="DC888">
        <v>110</v>
      </c>
      <c r="DD888" s="1" t="s">
        <v>7726</v>
      </c>
      <c r="DE888" s="1" t="s">
        <v>7727</v>
      </c>
      <c r="DF888" t="e">
        <f>_xlfn.XLOOKUP(Table1[[#This Row],[Player ID]],Table2[feed_id],Table2[trade_status])</f>
        <v>#N/A</v>
      </c>
      <c r="DG888">
        <f>_xlfn.NUMBERVALUE(Table1[[#This Row],[predicted]])</f>
        <v>77.885077993064797</v>
      </c>
    </row>
    <row r="889" spans="1:111" hidden="1" x14ac:dyDescent="0.25">
      <c r="A889">
        <v>132788</v>
      </c>
      <c r="B889">
        <v>9242</v>
      </c>
      <c r="C889" t="s">
        <v>7597</v>
      </c>
      <c r="D889" t="s">
        <v>3116</v>
      </c>
      <c r="E889">
        <v>2025</v>
      </c>
      <c r="F889">
        <v>1001026</v>
      </c>
      <c r="G889" t="s">
        <v>2755</v>
      </c>
      <c r="H889" t="s">
        <v>7728</v>
      </c>
      <c r="I889" t="s">
        <v>619</v>
      </c>
      <c r="J889">
        <v>19</v>
      </c>
      <c r="K889">
        <v>100</v>
      </c>
      <c r="L889">
        <v>106</v>
      </c>
      <c r="M889">
        <v>60</v>
      </c>
      <c r="N889">
        <v>81</v>
      </c>
      <c r="O889">
        <v>108</v>
      </c>
      <c r="P889">
        <v>17</v>
      </c>
      <c r="Q889">
        <v>9</v>
      </c>
      <c r="R889">
        <v>9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113</v>
      </c>
      <c r="Z889" t="s">
        <v>339</v>
      </c>
      <c r="AA889" t="s">
        <v>225</v>
      </c>
      <c r="AB889" t="s">
        <v>179</v>
      </c>
      <c r="AC889" t="s">
        <v>7729</v>
      </c>
      <c r="AE889">
        <v>0</v>
      </c>
      <c r="AH889" t="s">
        <v>181</v>
      </c>
      <c r="AI889">
        <v>14</v>
      </c>
      <c r="AJ889">
        <v>3</v>
      </c>
      <c r="AK889">
        <v>54</v>
      </c>
      <c r="AL889">
        <v>0</v>
      </c>
      <c r="AM889">
        <v>0</v>
      </c>
      <c r="AN889">
        <v>7.6</v>
      </c>
      <c r="AO889">
        <v>1.67</v>
      </c>
      <c r="AS889">
        <v>3</v>
      </c>
      <c r="AT889">
        <v>0</v>
      </c>
      <c r="AU889">
        <v>0</v>
      </c>
      <c r="AV889">
        <v>88</v>
      </c>
      <c r="AW889">
        <v>86</v>
      </c>
      <c r="AX889">
        <v>401</v>
      </c>
      <c r="AY889">
        <v>0</v>
      </c>
      <c r="AZ889" t="b">
        <v>0</v>
      </c>
      <c r="BA889">
        <v>1522</v>
      </c>
      <c r="BB889">
        <v>1764</v>
      </c>
      <c r="BC889">
        <v>6</v>
      </c>
      <c r="BD889" t="s">
        <v>7708</v>
      </c>
      <c r="BE889" s="1" t="s">
        <v>3594</v>
      </c>
      <c r="BF889">
        <v>1</v>
      </c>
      <c r="BG889">
        <v>71</v>
      </c>
      <c r="BH889">
        <v>1</v>
      </c>
      <c r="BI889" s="1" t="s">
        <v>276</v>
      </c>
      <c r="BJ889" s="1" t="s">
        <v>7730</v>
      </c>
      <c r="BK889" s="1" t="s">
        <v>124</v>
      </c>
      <c r="BL889">
        <v>5.6</v>
      </c>
      <c r="BM889" s="1" t="s">
        <v>449</v>
      </c>
      <c r="BN889" s="1" t="s">
        <v>358</v>
      </c>
      <c r="BO889">
        <v>1</v>
      </c>
      <c r="BP889" s="1" t="s">
        <v>127</v>
      </c>
      <c r="BQ889">
        <v>0</v>
      </c>
      <c r="BR889">
        <v>0</v>
      </c>
      <c r="BS889">
        <v>0</v>
      </c>
      <c r="BT889">
        <v>0.4</v>
      </c>
      <c r="BU889" s="1" t="s">
        <v>129</v>
      </c>
      <c r="BV889" s="1" t="s">
        <v>231</v>
      </c>
      <c r="BW889">
        <v>0</v>
      </c>
      <c r="BX889">
        <v>6.6666666666666596E-2</v>
      </c>
      <c r="BY889" s="1" t="s">
        <v>129</v>
      </c>
      <c r="BZ889">
        <v>6.6666666666666596E-2</v>
      </c>
      <c r="CA889">
        <v>0</v>
      </c>
      <c r="CB889">
        <v>0</v>
      </c>
      <c r="CC889">
        <v>7.6</v>
      </c>
      <c r="CD889" s="1" t="s">
        <v>7731</v>
      </c>
      <c r="CE889">
        <v>1.67</v>
      </c>
      <c r="CF889" s="1" t="s">
        <v>7732</v>
      </c>
      <c r="CG889">
        <v>2</v>
      </c>
      <c r="CH889">
        <v>4</v>
      </c>
      <c r="CI889">
        <v>0</v>
      </c>
      <c r="CJ889">
        <v>0</v>
      </c>
      <c r="CK889" s="1" t="s">
        <v>129</v>
      </c>
      <c r="CL889" s="1" t="s">
        <v>257</v>
      </c>
      <c r="CM889" s="1" t="s">
        <v>968</v>
      </c>
      <c r="CN889">
        <v>87.4</v>
      </c>
      <c r="CO889">
        <v>73</v>
      </c>
      <c r="CP889">
        <v>83.2</v>
      </c>
      <c r="CQ889" s="1" t="s">
        <v>7733</v>
      </c>
      <c r="CR889">
        <v>375.6</v>
      </c>
      <c r="CS889">
        <v>1649</v>
      </c>
      <c r="CT889">
        <v>1679</v>
      </c>
      <c r="CU889" s="1" t="s">
        <v>3046</v>
      </c>
      <c r="CV889" s="1" t="s">
        <v>3136</v>
      </c>
      <c r="CW889">
        <v>104.9</v>
      </c>
      <c r="CX889">
        <v>95.3</v>
      </c>
      <c r="CY889">
        <v>90.8</v>
      </c>
      <c r="CZ889">
        <v>75</v>
      </c>
      <c r="DA889">
        <v>1</v>
      </c>
      <c r="DB889" t="s">
        <v>339</v>
      </c>
      <c r="DC889">
        <v>106</v>
      </c>
      <c r="DD889" s="1" t="s">
        <v>7734</v>
      </c>
      <c r="DE889" s="1" t="s">
        <v>7735</v>
      </c>
      <c r="DF889" t="e">
        <f>_xlfn.XLOOKUP(Table1[[#This Row],[Player ID]],Table2[feed_id],Table2[trade_status])</f>
        <v>#N/A</v>
      </c>
      <c r="DG889">
        <f>_xlfn.NUMBERVALUE(Table1[[#This Row],[predicted]])</f>
        <v>91.932248471560797</v>
      </c>
    </row>
    <row r="890" spans="1:111" hidden="1" x14ac:dyDescent="0.25">
      <c r="A890">
        <v>132789</v>
      </c>
      <c r="B890">
        <v>9242</v>
      </c>
      <c r="C890" t="s">
        <v>7597</v>
      </c>
      <c r="D890" t="s">
        <v>3116</v>
      </c>
      <c r="E890">
        <v>2025</v>
      </c>
      <c r="F890">
        <v>1015810</v>
      </c>
      <c r="G890" t="s">
        <v>958</v>
      </c>
      <c r="H890" t="s">
        <v>7736</v>
      </c>
      <c r="I890" t="s">
        <v>619</v>
      </c>
      <c r="J890">
        <v>19</v>
      </c>
      <c r="K890">
        <v>99</v>
      </c>
      <c r="L890">
        <v>105</v>
      </c>
      <c r="M890">
        <v>69</v>
      </c>
      <c r="N890">
        <v>81</v>
      </c>
      <c r="O890">
        <v>111</v>
      </c>
      <c r="P890">
        <v>14</v>
      </c>
      <c r="Q890">
        <v>14</v>
      </c>
      <c r="R890">
        <v>6</v>
      </c>
      <c r="S890">
        <v>3</v>
      </c>
      <c r="T890">
        <v>0</v>
      </c>
      <c r="U890">
        <v>2</v>
      </c>
      <c r="V890">
        <v>1</v>
      </c>
      <c r="W890">
        <v>0</v>
      </c>
      <c r="X890">
        <v>0</v>
      </c>
      <c r="Y890" t="s">
        <v>113</v>
      </c>
      <c r="Z890" t="s">
        <v>877</v>
      </c>
      <c r="AA890" t="s">
        <v>7737</v>
      </c>
      <c r="AH890" t="s">
        <v>118</v>
      </c>
      <c r="AI890">
        <v>22</v>
      </c>
      <c r="AJ890">
        <v>0</v>
      </c>
      <c r="AK890">
        <v>0</v>
      </c>
      <c r="AL890">
        <v>0</v>
      </c>
      <c r="AM890">
        <v>0.35</v>
      </c>
      <c r="AN890">
        <v>0.99</v>
      </c>
      <c r="AO890">
        <v>0.54</v>
      </c>
      <c r="AS890">
        <v>9</v>
      </c>
      <c r="AT890">
        <v>5</v>
      </c>
      <c r="AU890">
        <v>2</v>
      </c>
      <c r="AV890">
        <v>78</v>
      </c>
      <c r="AW890">
        <v>84</v>
      </c>
      <c r="AX890">
        <v>516</v>
      </c>
      <c r="AY890">
        <v>0</v>
      </c>
      <c r="AZ890" t="b">
        <v>0</v>
      </c>
      <c r="BA890">
        <v>1522</v>
      </c>
      <c r="BB890">
        <v>1764</v>
      </c>
      <c r="BC890">
        <v>6</v>
      </c>
      <c r="BD890" t="s">
        <v>7708</v>
      </c>
      <c r="BE890" s="1" t="s">
        <v>3594</v>
      </c>
      <c r="BF890">
        <v>1</v>
      </c>
      <c r="BG890">
        <v>71</v>
      </c>
      <c r="BH890">
        <v>1</v>
      </c>
      <c r="BI890" s="1" t="s">
        <v>157</v>
      </c>
      <c r="BJ890" s="1" t="s">
        <v>357</v>
      </c>
      <c r="BK890">
        <v>15</v>
      </c>
      <c r="BL890" s="1" t="s">
        <v>276</v>
      </c>
      <c r="BM890">
        <v>4</v>
      </c>
      <c r="BN890">
        <v>4.4000000000000004</v>
      </c>
      <c r="BO890" s="1" t="s">
        <v>138</v>
      </c>
      <c r="BP890">
        <v>4.2</v>
      </c>
      <c r="BQ890">
        <v>0</v>
      </c>
      <c r="BR890">
        <v>0</v>
      </c>
      <c r="BS890" s="1" t="s">
        <v>126</v>
      </c>
      <c r="BT890" s="1" t="s">
        <v>127</v>
      </c>
      <c r="BU890" s="1" t="s">
        <v>126</v>
      </c>
      <c r="BV890" s="1" t="s">
        <v>126</v>
      </c>
      <c r="BW890">
        <v>0</v>
      </c>
      <c r="BX890">
        <v>0.4</v>
      </c>
      <c r="BY890">
        <v>0</v>
      </c>
      <c r="BZ890" s="1" t="s">
        <v>213</v>
      </c>
      <c r="CA890">
        <v>0.35</v>
      </c>
      <c r="CB890">
        <v>0.35</v>
      </c>
      <c r="CC890">
        <v>0.99</v>
      </c>
      <c r="CD890">
        <v>0.99</v>
      </c>
      <c r="CE890">
        <v>0.54</v>
      </c>
      <c r="CF890">
        <v>0.54</v>
      </c>
      <c r="CG890" s="1" t="s">
        <v>1829</v>
      </c>
      <c r="CH890" s="1" t="s">
        <v>1587</v>
      </c>
      <c r="CI890" s="1" t="s">
        <v>124</v>
      </c>
      <c r="CJ890">
        <v>4.4000000000000004</v>
      </c>
      <c r="CK890" s="1" t="s">
        <v>125</v>
      </c>
      <c r="CL890">
        <v>3.8</v>
      </c>
      <c r="CM890" s="1" t="s">
        <v>241</v>
      </c>
      <c r="CN890">
        <v>75</v>
      </c>
      <c r="CO890" s="1" t="s">
        <v>239</v>
      </c>
      <c r="CP890" s="1" t="s">
        <v>994</v>
      </c>
      <c r="CQ890">
        <v>361</v>
      </c>
      <c r="CR890" s="1" t="s">
        <v>7738</v>
      </c>
      <c r="CS890" s="1" t="s">
        <v>144</v>
      </c>
      <c r="CT890">
        <v>1651.2</v>
      </c>
      <c r="CU890" s="1" t="s">
        <v>4416</v>
      </c>
      <c r="CV890" s="1" t="s">
        <v>7711</v>
      </c>
      <c r="CW890">
        <v>93.2</v>
      </c>
      <c r="CX890">
        <v>92.6</v>
      </c>
      <c r="CY890">
        <v>93.8</v>
      </c>
      <c r="CZ890">
        <v>97</v>
      </c>
      <c r="DA890">
        <v>1</v>
      </c>
      <c r="DB890" t="s">
        <v>877</v>
      </c>
      <c r="DC890">
        <v>105</v>
      </c>
      <c r="DD890" s="1" t="s">
        <v>7739</v>
      </c>
      <c r="DE890" s="1" t="s">
        <v>7740</v>
      </c>
      <c r="DF890" t="e">
        <f>_xlfn.XLOOKUP(Table1[[#This Row],[Player ID]],Table2[feed_id],Table2[trade_status])</f>
        <v>#N/A</v>
      </c>
      <c r="DG890">
        <f>_xlfn.NUMBERVALUE(Table1[[#This Row],[predicted]])</f>
        <v>77.253208719473307</v>
      </c>
    </row>
    <row r="891" spans="1:111" x14ac:dyDescent="0.25">
      <c r="A891">
        <v>132770</v>
      </c>
      <c r="B891">
        <v>9242</v>
      </c>
      <c r="C891" t="s">
        <v>7597</v>
      </c>
      <c r="D891" t="s">
        <v>3116</v>
      </c>
      <c r="E891">
        <v>2025</v>
      </c>
      <c r="F891">
        <v>1001438</v>
      </c>
      <c r="G891" t="s">
        <v>7647</v>
      </c>
      <c r="H891" t="s">
        <v>7648</v>
      </c>
      <c r="I891" t="s">
        <v>291</v>
      </c>
      <c r="J891">
        <v>17</v>
      </c>
      <c r="K891">
        <v>72</v>
      </c>
      <c r="L891">
        <v>74</v>
      </c>
      <c r="M891">
        <v>92</v>
      </c>
      <c r="N891">
        <v>56</v>
      </c>
      <c r="O891">
        <v>69</v>
      </c>
      <c r="P891">
        <v>6</v>
      </c>
      <c r="Q891">
        <v>4</v>
      </c>
      <c r="R891">
        <v>4</v>
      </c>
      <c r="S891">
        <v>5</v>
      </c>
      <c r="T891">
        <v>0</v>
      </c>
      <c r="U891">
        <v>2</v>
      </c>
      <c r="V891">
        <v>0</v>
      </c>
      <c r="W891">
        <v>2</v>
      </c>
      <c r="X891">
        <v>0</v>
      </c>
      <c r="Y891" t="s">
        <v>113</v>
      </c>
      <c r="Z891" t="s">
        <v>656</v>
      </c>
      <c r="AA891" t="s">
        <v>7649</v>
      </c>
      <c r="AE891">
        <v>0</v>
      </c>
      <c r="AH891" t="s">
        <v>155</v>
      </c>
      <c r="AI891">
        <v>31</v>
      </c>
      <c r="AJ891">
        <v>20</v>
      </c>
      <c r="AK891">
        <v>75.45</v>
      </c>
      <c r="AL891">
        <v>0</v>
      </c>
      <c r="AM891">
        <v>0</v>
      </c>
      <c r="AN891">
        <v>0.25</v>
      </c>
      <c r="AO891">
        <v>0.42</v>
      </c>
      <c r="AS891">
        <v>3</v>
      </c>
      <c r="AT891">
        <v>0</v>
      </c>
      <c r="AU891">
        <v>1</v>
      </c>
      <c r="AV891">
        <v>90</v>
      </c>
      <c r="AW891">
        <v>84</v>
      </c>
      <c r="AX891">
        <v>139</v>
      </c>
      <c r="AY891">
        <v>0</v>
      </c>
      <c r="AZ891" t="b">
        <v>0</v>
      </c>
      <c r="BA891">
        <v>1764</v>
      </c>
      <c r="BB891">
        <v>1522</v>
      </c>
      <c r="BC891">
        <v>6</v>
      </c>
      <c r="BD891" t="s">
        <v>7599</v>
      </c>
      <c r="BE891" s="1" t="s">
        <v>3594</v>
      </c>
      <c r="BF891">
        <v>0</v>
      </c>
      <c r="BG891">
        <v>71</v>
      </c>
      <c r="BH891">
        <v>1</v>
      </c>
      <c r="BI891" s="1" t="s">
        <v>137</v>
      </c>
      <c r="BJ891" s="1" t="s">
        <v>624</v>
      </c>
      <c r="BK891" s="1" t="s">
        <v>449</v>
      </c>
      <c r="BL891">
        <v>3.4</v>
      </c>
      <c r="BM891" s="1" t="s">
        <v>449</v>
      </c>
      <c r="BN891">
        <v>3.6</v>
      </c>
      <c r="BO891" s="1" t="s">
        <v>169</v>
      </c>
      <c r="BP891" s="1" t="s">
        <v>257</v>
      </c>
      <c r="BQ891">
        <v>0</v>
      </c>
      <c r="BR891">
        <v>0</v>
      </c>
      <c r="BS891" s="1" t="s">
        <v>128</v>
      </c>
      <c r="BT891" s="1" t="s">
        <v>184</v>
      </c>
      <c r="BU891" s="1" t="s">
        <v>129</v>
      </c>
      <c r="BV891" s="1" t="s">
        <v>128</v>
      </c>
      <c r="BW891" s="1" t="s">
        <v>128</v>
      </c>
      <c r="BX891" s="1" t="s">
        <v>127</v>
      </c>
      <c r="BY891">
        <v>2</v>
      </c>
      <c r="BZ891">
        <v>1</v>
      </c>
      <c r="CA891">
        <v>0</v>
      </c>
      <c r="CB891">
        <v>0</v>
      </c>
      <c r="CC891">
        <v>0.25</v>
      </c>
      <c r="CD891">
        <v>0.25</v>
      </c>
      <c r="CE891">
        <v>0.42</v>
      </c>
      <c r="CF891">
        <v>0.42</v>
      </c>
      <c r="CG891" s="1" t="s">
        <v>125</v>
      </c>
      <c r="CH891">
        <v>4</v>
      </c>
      <c r="CI891">
        <v>0</v>
      </c>
      <c r="CJ891" s="1" t="s">
        <v>213</v>
      </c>
      <c r="CK891" s="1" t="s">
        <v>126</v>
      </c>
      <c r="CL891" s="1" t="s">
        <v>275</v>
      </c>
      <c r="CM891" s="1" t="s">
        <v>593</v>
      </c>
      <c r="CN891">
        <v>60.8</v>
      </c>
      <c r="CO891" s="1" t="s">
        <v>1258</v>
      </c>
      <c r="CP891" s="1" t="s">
        <v>406</v>
      </c>
      <c r="CQ891" s="1" t="s">
        <v>7650</v>
      </c>
      <c r="CR891" s="1" t="s">
        <v>7651</v>
      </c>
      <c r="CS891" s="1" t="s">
        <v>2460</v>
      </c>
      <c r="CT891" s="1" t="s">
        <v>805</v>
      </c>
      <c r="CU891" s="1" t="s">
        <v>7601</v>
      </c>
      <c r="CV891" s="1" t="s">
        <v>2071</v>
      </c>
      <c r="CW891">
        <v>53.45</v>
      </c>
      <c r="CX891">
        <v>52.6</v>
      </c>
      <c r="CY891">
        <v>56.4</v>
      </c>
      <c r="CZ891" s="1" t="s">
        <v>1012</v>
      </c>
      <c r="DA891">
        <v>1</v>
      </c>
      <c r="DB891" t="s">
        <v>656</v>
      </c>
      <c r="DC891">
        <v>74</v>
      </c>
      <c r="DD891" s="1" t="s">
        <v>7652</v>
      </c>
      <c r="DE891" s="1" t="s">
        <v>7653</v>
      </c>
      <c r="DF891" t="str">
        <f>_xlfn.XLOOKUP(Table1[[#This Row],[Player ID]],Table2[feed_id],Table2[trade_status])</f>
        <v>free_agent</v>
      </c>
      <c r="DG891">
        <f>_xlfn.NUMBERVALUE(Table1[[#This Row],[predicted]])</f>
        <v>61.577872773307803</v>
      </c>
    </row>
    <row r="892" spans="1:111" hidden="1" x14ac:dyDescent="0.25">
      <c r="A892">
        <v>132791</v>
      </c>
      <c r="B892">
        <v>9242</v>
      </c>
      <c r="C892" t="s">
        <v>7597</v>
      </c>
      <c r="D892" t="s">
        <v>3116</v>
      </c>
      <c r="E892">
        <v>2025</v>
      </c>
      <c r="F892">
        <v>291783</v>
      </c>
      <c r="G892" t="s">
        <v>1986</v>
      </c>
      <c r="H892" t="s">
        <v>7750</v>
      </c>
      <c r="I892" t="s">
        <v>619</v>
      </c>
      <c r="J892">
        <v>20</v>
      </c>
      <c r="K892">
        <v>91</v>
      </c>
      <c r="L892">
        <v>88</v>
      </c>
      <c r="M892">
        <v>60</v>
      </c>
      <c r="N892">
        <v>77</v>
      </c>
      <c r="O892">
        <v>108</v>
      </c>
      <c r="P892">
        <v>12</v>
      </c>
      <c r="Q892">
        <v>18</v>
      </c>
      <c r="R892">
        <v>3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 t="s">
        <v>113</v>
      </c>
      <c r="Z892" t="s">
        <v>6665</v>
      </c>
      <c r="AA892" t="s">
        <v>7751</v>
      </c>
      <c r="AB892" t="s">
        <v>877</v>
      </c>
      <c r="AC892" t="s">
        <v>7752</v>
      </c>
      <c r="AE892">
        <v>0</v>
      </c>
      <c r="AH892" t="s">
        <v>118</v>
      </c>
      <c r="AI892">
        <v>9</v>
      </c>
      <c r="AJ892">
        <v>20</v>
      </c>
      <c r="AK892">
        <v>89.5</v>
      </c>
      <c r="AL892">
        <v>0</v>
      </c>
      <c r="AM892">
        <v>0</v>
      </c>
      <c r="AN892">
        <v>0.3</v>
      </c>
      <c r="AO892">
        <v>0.28999999999999998</v>
      </c>
      <c r="AS892">
        <v>11</v>
      </c>
      <c r="AT892">
        <v>7</v>
      </c>
      <c r="AU892">
        <v>6</v>
      </c>
      <c r="AV892">
        <v>73</v>
      </c>
      <c r="AW892">
        <v>69</v>
      </c>
      <c r="AX892">
        <v>287</v>
      </c>
      <c r="AY892">
        <v>0</v>
      </c>
      <c r="AZ892" t="b">
        <v>0</v>
      </c>
      <c r="BA892">
        <v>1522</v>
      </c>
      <c r="BB892">
        <v>1764</v>
      </c>
      <c r="BC892">
        <v>6</v>
      </c>
      <c r="BD892" t="s">
        <v>7708</v>
      </c>
      <c r="BE892" s="1" t="s">
        <v>3594</v>
      </c>
      <c r="BF892">
        <v>0</v>
      </c>
      <c r="BG892">
        <v>71</v>
      </c>
      <c r="BH892">
        <v>1</v>
      </c>
      <c r="BI892" s="1" t="s">
        <v>276</v>
      </c>
      <c r="BJ892" s="1" t="s">
        <v>1426</v>
      </c>
      <c r="BK892" s="1" t="s">
        <v>122</v>
      </c>
      <c r="BL892">
        <v>10</v>
      </c>
      <c r="BM892">
        <v>3</v>
      </c>
      <c r="BN892" s="1" t="s">
        <v>431</v>
      </c>
      <c r="BO892" s="1" t="s">
        <v>169</v>
      </c>
      <c r="BP892" s="1" t="s">
        <v>528</v>
      </c>
      <c r="BQ892">
        <v>0</v>
      </c>
      <c r="BR892">
        <v>0</v>
      </c>
      <c r="BS892">
        <v>0</v>
      </c>
      <c r="BT892" s="1" t="s">
        <v>184</v>
      </c>
      <c r="BU892" s="1" t="s">
        <v>129</v>
      </c>
      <c r="BV892" s="1" t="s">
        <v>231</v>
      </c>
      <c r="BW892" s="1" t="s">
        <v>129</v>
      </c>
      <c r="BX892">
        <v>0.2</v>
      </c>
      <c r="BY892">
        <v>0</v>
      </c>
      <c r="BZ892">
        <v>0</v>
      </c>
      <c r="CA892">
        <v>0</v>
      </c>
      <c r="CB892">
        <v>0</v>
      </c>
      <c r="CC892">
        <v>0.3</v>
      </c>
      <c r="CD892" s="1" t="s">
        <v>551</v>
      </c>
      <c r="CE892">
        <v>0.28999999999999998</v>
      </c>
      <c r="CF892" s="1" t="s">
        <v>698</v>
      </c>
      <c r="CG892">
        <v>7</v>
      </c>
      <c r="CH892">
        <v>6.4</v>
      </c>
      <c r="CI892">
        <v>4</v>
      </c>
      <c r="CJ892" s="1" t="s">
        <v>321</v>
      </c>
      <c r="CK892" s="1" t="s">
        <v>160</v>
      </c>
      <c r="CL892" s="1" t="s">
        <v>170</v>
      </c>
      <c r="CM892">
        <v>74</v>
      </c>
      <c r="CN892">
        <v>73.400000000000006</v>
      </c>
      <c r="CO892">
        <v>71</v>
      </c>
      <c r="CP892">
        <v>60.2</v>
      </c>
      <c r="CQ892" s="1" t="s">
        <v>7503</v>
      </c>
      <c r="CR892" s="1" t="s">
        <v>7753</v>
      </c>
      <c r="CS892" s="1" t="s">
        <v>144</v>
      </c>
      <c r="CT892">
        <v>1675.6</v>
      </c>
      <c r="CU892" s="1" t="s">
        <v>4416</v>
      </c>
      <c r="CV892" s="1" t="s">
        <v>7754</v>
      </c>
      <c r="CW892">
        <v>68.599999999999994</v>
      </c>
      <c r="CX892">
        <v>77.5</v>
      </c>
      <c r="CY892">
        <v>72.8</v>
      </c>
      <c r="CZ892">
        <v>80</v>
      </c>
      <c r="DA892">
        <v>1</v>
      </c>
      <c r="DB892" t="s">
        <v>6665</v>
      </c>
      <c r="DC892">
        <v>88</v>
      </c>
      <c r="DD892">
        <v>82.024178439440504</v>
      </c>
      <c r="DE892" s="1" t="s">
        <v>7755</v>
      </c>
      <c r="DF892" t="e">
        <f>_xlfn.XLOOKUP(Table1[[#This Row],[Player ID]],Table2[feed_id],Table2[trade_status])</f>
        <v>#N/A</v>
      </c>
      <c r="DG892">
        <f>_xlfn.NUMBERVALUE(Table1[[#This Row],[predicted]])</f>
        <v>82.024178439440504</v>
      </c>
    </row>
    <row r="893" spans="1:111" x14ac:dyDescent="0.25">
      <c r="A893">
        <v>132705</v>
      </c>
      <c r="B893">
        <v>9240</v>
      </c>
      <c r="C893" t="s">
        <v>7230</v>
      </c>
      <c r="D893" t="s">
        <v>3116</v>
      </c>
      <c r="E893">
        <v>2025</v>
      </c>
      <c r="F893">
        <v>1004385</v>
      </c>
      <c r="G893" t="s">
        <v>5141</v>
      </c>
      <c r="H893" t="s">
        <v>3080</v>
      </c>
      <c r="I893" t="s">
        <v>582</v>
      </c>
      <c r="J893">
        <v>10</v>
      </c>
      <c r="K893">
        <v>47</v>
      </c>
      <c r="L893">
        <v>54</v>
      </c>
      <c r="M893">
        <v>37</v>
      </c>
      <c r="N893">
        <v>39</v>
      </c>
      <c r="O893">
        <v>48</v>
      </c>
      <c r="P893">
        <v>6</v>
      </c>
      <c r="Q893">
        <v>2</v>
      </c>
      <c r="R893">
        <v>4</v>
      </c>
      <c r="S893">
        <v>2</v>
      </c>
      <c r="T893">
        <v>0</v>
      </c>
      <c r="U893">
        <v>2</v>
      </c>
      <c r="V893">
        <v>1</v>
      </c>
      <c r="W893">
        <v>1</v>
      </c>
      <c r="X893">
        <v>0</v>
      </c>
      <c r="Y893" t="s">
        <v>113</v>
      </c>
      <c r="Z893" t="s">
        <v>656</v>
      </c>
      <c r="AA893" t="s">
        <v>7392</v>
      </c>
      <c r="AH893" t="s">
        <v>155</v>
      </c>
      <c r="AI893">
        <v>12</v>
      </c>
      <c r="AJ893">
        <v>0</v>
      </c>
      <c r="AK893">
        <v>0</v>
      </c>
      <c r="AL893">
        <v>0</v>
      </c>
      <c r="AM893">
        <v>1.1100000000000001</v>
      </c>
      <c r="AN893">
        <v>1.2</v>
      </c>
      <c r="AO893">
        <v>1.87</v>
      </c>
      <c r="AS893">
        <v>2</v>
      </c>
      <c r="AT893">
        <v>0</v>
      </c>
      <c r="AU893">
        <v>3</v>
      </c>
      <c r="AV893">
        <v>75</v>
      </c>
      <c r="AW893">
        <v>87</v>
      </c>
      <c r="AX893">
        <v>185</v>
      </c>
      <c r="AY893">
        <v>0</v>
      </c>
      <c r="AZ893" t="b">
        <v>0</v>
      </c>
      <c r="BA893">
        <v>1976</v>
      </c>
      <c r="BB893">
        <v>1285</v>
      </c>
      <c r="BC893">
        <v>6</v>
      </c>
      <c r="BD893" t="s">
        <v>7344</v>
      </c>
      <c r="BE893" s="1" t="s">
        <v>3594</v>
      </c>
      <c r="BF893">
        <v>0</v>
      </c>
      <c r="BG893">
        <v>71</v>
      </c>
      <c r="BH893">
        <v>0</v>
      </c>
      <c r="BI893">
        <v>5</v>
      </c>
      <c r="BJ893">
        <v>6.6</v>
      </c>
      <c r="BK893" s="1" t="s">
        <v>161</v>
      </c>
      <c r="BL893">
        <v>2.2000000000000002</v>
      </c>
      <c r="BM893">
        <v>3</v>
      </c>
      <c r="BN893">
        <v>4.4000000000000004</v>
      </c>
      <c r="BO893" s="1" t="s">
        <v>138</v>
      </c>
      <c r="BP893" s="1" t="s">
        <v>161</v>
      </c>
      <c r="BQ893">
        <v>0</v>
      </c>
      <c r="BR893">
        <v>0</v>
      </c>
      <c r="BS893">
        <v>1</v>
      </c>
      <c r="BT893" s="1" t="s">
        <v>238</v>
      </c>
      <c r="BU893" s="1" t="s">
        <v>129</v>
      </c>
      <c r="BV893" s="1" t="s">
        <v>231</v>
      </c>
      <c r="BW893" s="1" t="s">
        <v>129</v>
      </c>
      <c r="BX893">
        <v>1.6</v>
      </c>
      <c r="BY893" s="1" t="s">
        <v>129</v>
      </c>
      <c r="BZ893">
        <v>1</v>
      </c>
      <c r="CA893">
        <v>1.1100000000000001</v>
      </c>
      <c r="CB893">
        <v>1.1100000000000001</v>
      </c>
      <c r="CC893">
        <v>1.2</v>
      </c>
      <c r="CD893">
        <v>1.2</v>
      </c>
      <c r="CE893">
        <v>1.87</v>
      </c>
      <c r="CF893">
        <v>1.87</v>
      </c>
      <c r="CG893">
        <v>2</v>
      </c>
      <c r="CH893" s="1" t="s">
        <v>640</v>
      </c>
      <c r="CI893" s="1" t="s">
        <v>129</v>
      </c>
      <c r="CJ893" s="1" t="s">
        <v>213</v>
      </c>
      <c r="CK893" s="1" t="s">
        <v>159</v>
      </c>
      <c r="CL893" s="1" t="s">
        <v>275</v>
      </c>
      <c r="CM893" s="1" t="s">
        <v>329</v>
      </c>
      <c r="CN893">
        <v>61</v>
      </c>
      <c r="CO893">
        <v>88</v>
      </c>
      <c r="CP893" s="1" t="s">
        <v>7393</v>
      </c>
      <c r="CQ893" s="1" t="s">
        <v>6123</v>
      </c>
      <c r="CR893" s="1" t="s">
        <v>7394</v>
      </c>
      <c r="CS893" s="1" t="s">
        <v>7346</v>
      </c>
      <c r="CT893" s="1" t="s">
        <v>7373</v>
      </c>
      <c r="CU893" s="1" t="s">
        <v>7348</v>
      </c>
      <c r="CV893" s="1" t="s">
        <v>7374</v>
      </c>
      <c r="CW893">
        <v>57.7</v>
      </c>
      <c r="CX893">
        <v>53.4</v>
      </c>
      <c r="CY893">
        <v>44.4</v>
      </c>
      <c r="CZ893">
        <v>44</v>
      </c>
      <c r="DA893">
        <v>1</v>
      </c>
      <c r="DB893" t="s">
        <v>656</v>
      </c>
      <c r="DC893">
        <v>54</v>
      </c>
      <c r="DD893" s="1" t="s">
        <v>7395</v>
      </c>
      <c r="DE893">
        <v>-7.43240174148373</v>
      </c>
      <c r="DF893" t="str">
        <f>_xlfn.XLOOKUP(Table1[[#This Row],[Player ID]],Table2[feed_id],Table2[trade_status])</f>
        <v>free_agent</v>
      </c>
      <c r="DG893">
        <f>_xlfn.NUMBERVALUE(Table1[[#This Row],[predicted]])</f>
        <v>61.432401741483702</v>
      </c>
    </row>
    <row r="894" spans="1:111" hidden="1" x14ac:dyDescent="0.25">
      <c r="A894">
        <v>132794</v>
      </c>
      <c r="B894">
        <v>9242</v>
      </c>
      <c r="C894" t="s">
        <v>7597</v>
      </c>
      <c r="D894" t="s">
        <v>3116</v>
      </c>
      <c r="E894">
        <v>2025</v>
      </c>
      <c r="F894">
        <v>997078</v>
      </c>
      <c r="G894" t="s">
        <v>6295</v>
      </c>
      <c r="H894" t="s">
        <v>7761</v>
      </c>
      <c r="I894" t="s">
        <v>619</v>
      </c>
      <c r="J894">
        <v>15</v>
      </c>
      <c r="K894">
        <v>81</v>
      </c>
      <c r="L894">
        <v>86</v>
      </c>
      <c r="M894">
        <v>45</v>
      </c>
      <c r="N894">
        <v>65</v>
      </c>
      <c r="O894">
        <v>87</v>
      </c>
      <c r="P894">
        <v>14</v>
      </c>
      <c r="Q894">
        <v>8</v>
      </c>
      <c r="R894">
        <v>4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 t="s">
        <v>113</v>
      </c>
      <c r="Z894" t="s">
        <v>226</v>
      </c>
      <c r="AA894" t="s">
        <v>7762</v>
      </c>
      <c r="AE894">
        <v>0</v>
      </c>
      <c r="AH894" t="s">
        <v>181</v>
      </c>
      <c r="AI894">
        <v>27</v>
      </c>
      <c r="AJ894">
        <v>2</v>
      </c>
      <c r="AK894">
        <v>81.5</v>
      </c>
      <c r="AL894">
        <v>0</v>
      </c>
      <c r="AM894">
        <v>0</v>
      </c>
      <c r="AN894">
        <v>0.92</v>
      </c>
      <c r="AO894">
        <v>1.21</v>
      </c>
      <c r="AS894">
        <v>4</v>
      </c>
      <c r="AT894">
        <v>0</v>
      </c>
      <c r="AU894">
        <v>0</v>
      </c>
      <c r="AV894">
        <v>86</v>
      </c>
      <c r="AW894">
        <v>87</v>
      </c>
      <c r="AX894">
        <v>329</v>
      </c>
      <c r="AY894">
        <v>0</v>
      </c>
      <c r="AZ894" t="b">
        <v>0</v>
      </c>
      <c r="BA894">
        <v>1522</v>
      </c>
      <c r="BB894">
        <v>1764</v>
      </c>
      <c r="BC894">
        <v>6</v>
      </c>
      <c r="BD894" t="s">
        <v>7708</v>
      </c>
      <c r="BE894" s="1" t="s">
        <v>3594</v>
      </c>
      <c r="BF894">
        <v>0</v>
      </c>
      <c r="BG894">
        <v>71</v>
      </c>
      <c r="BH894">
        <v>1</v>
      </c>
      <c r="BI894">
        <v>16</v>
      </c>
      <c r="BJ894">
        <v>15.6</v>
      </c>
      <c r="BK894" s="1" t="s">
        <v>160</v>
      </c>
      <c r="BL894">
        <v>5.2</v>
      </c>
      <c r="BM894">
        <v>4</v>
      </c>
      <c r="BN894">
        <v>5.8</v>
      </c>
      <c r="BO894" s="1" t="s">
        <v>161</v>
      </c>
      <c r="BP894" s="1" t="s">
        <v>214</v>
      </c>
      <c r="BQ894">
        <v>0</v>
      </c>
      <c r="BR894">
        <v>0</v>
      </c>
      <c r="BS894" s="1" t="s">
        <v>128</v>
      </c>
      <c r="BT894" s="1" t="s">
        <v>399</v>
      </c>
      <c r="BU894" s="1" t="s">
        <v>129</v>
      </c>
      <c r="BV894" s="1" t="s">
        <v>238</v>
      </c>
      <c r="BW894" s="1" t="s">
        <v>128</v>
      </c>
      <c r="BX894">
        <v>0.2</v>
      </c>
      <c r="BY894">
        <v>0</v>
      </c>
      <c r="BZ894">
        <v>0.2</v>
      </c>
      <c r="CA894">
        <v>0</v>
      </c>
      <c r="CB894">
        <v>0</v>
      </c>
      <c r="CC894">
        <v>0.92</v>
      </c>
      <c r="CD894">
        <v>0.92</v>
      </c>
      <c r="CE894">
        <v>1.21</v>
      </c>
      <c r="CF894">
        <v>1.21</v>
      </c>
      <c r="CG894">
        <v>3</v>
      </c>
      <c r="CH894" s="1" t="s">
        <v>189</v>
      </c>
      <c r="CI894">
        <v>0</v>
      </c>
      <c r="CJ894" s="1" t="s">
        <v>231</v>
      </c>
      <c r="CK894" s="1" t="s">
        <v>126</v>
      </c>
      <c r="CL894" s="1" t="s">
        <v>161</v>
      </c>
      <c r="CM894" s="1" t="s">
        <v>142</v>
      </c>
      <c r="CN894">
        <v>85</v>
      </c>
      <c r="CO894">
        <v>86</v>
      </c>
      <c r="CP894">
        <v>83.2</v>
      </c>
      <c r="CQ894">
        <v>419</v>
      </c>
      <c r="CR894" s="1" t="s">
        <v>7763</v>
      </c>
      <c r="CS894" s="1" t="s">
        <v>144</v>
      </c>
      <c r="CT894" s="1" t="s">
        <v>7764</v>
      </c>
      <c r="CU894" s="1" t="s">
        <v>4416</v>
      </c>
      <c r="CV894">
        <v>1635.4</v>
      </c>
      <c r="CW894">
        <v>88.6</v>
      </c>
      <c r="CX894">
        <v>90.8</v>
      </c>
      <c r="CY894">
        <v>87.4</v>
      </c>
      <c r="CZ894" s="1" t="s">
        <v>306</v>
      </c>
      <c r="DA894">
        <v>1</v>
      </c>
      <c r="DB894" t="s">
        <v>226</v>
      </c>
      <c r="DC894">
        <v>86</v>
      </c>
      <c r="DD894" s="1" t="s">
        <v>7765</v>
      </c>
      <c r="DE894">
        <v>-20.909958416998499</v>
      </c>
      <c r="DF894" t="e">
        <f>_xlfn.XLOOKUP(Table1[[#This Row],[Player ID]],Table2[feed_id],Table2[trade_status])</f>
        <v>#N/A</v>
      </c>
      <c r="DG894">
        <f>_xlfn.NUMBERVALUE(Table1[[#This Row],[predicted]])</f>
        <v>106.90995841699799</v>
      </c>
    </row>
    <row r="895" spans="1:111" hidden="1" x14ac:dyDescent="0.25">
      <c r="A895">
        <v>132795</v>
      </c>
      <c r="B895">
        <v>9242</v>
      </c>
      <c r="C895" t="s">
        <v>7597</v>
      </c>
      <c r="D895" t="s">
        <v>3116</v>
      </c>
      <c r="E895">
        <v>2025</v>
      </c>
      <c r="F895">
        <v>998102</v>
      </c>
      <c r="G895" t="s">
        <v>247</v>
      </c>
      <c r="H895" t="s">
        <v>7766</v>
      </c>
      <c r="I895" t="s">
        <v>619</v>
      </c>
      <c r="J895">
        <v>14</v>
      </c>
      <c r="K895">
        <v>81</v>
      </c>
      <c r="L895">
        <v>77</v>
      </c>
      <c r="M895">
        <v>51</v>
      </c>
      <c r="N895">
        <v>66</v>
      </c>
      <c r="O895">
        <v>96</v>
      </c>
      <c r="P895">
        <v>13</v>
      </c>
      <c r="Q895">
        <v>13</v>
      </c>
      <c r="R895">
        <v>3</v>
      </c>
      <c r="S895">
        <v>3</v>
      </c>
      <c r="T895">
        <v>0</v>
      </c>
      <c r="U895">
        <v>1</v>
      </c>
      <c r="V895">
        <v>2</v>
      </c>
      <c r="W895">
        <v>0</v>
      </c>
      <c r="X895">
        <v>0</v>
      </c>
      <c r="Y895" t="s">
        <v>113</v>
      </c>
      <c r="Z895" t="s">
        <v>226</v>
      </c>
      <c r="AA895" t="s">
        <v>6047</v>
      </c>
      <c r="AE895">
        <v>0</v>
      </c>
      <c r="AH895" t="s">
        <v>181</v>
      </c>
      <c r="AI895">
        <v>1</v>
      </c>
      <c r="AJ895">
        <v>19</v>
      </c>
      <c r="AK895">
        <v>72.739999999999995</v>
      </c>
      <c r="AL895">
        <v>0</v>
      </c>
      <c r="AM895">
        <v>0</v>
      </c>
      <c r="AN895">
        <v>0.35</v>
      </c>
      <c r="AO895">
        <v>0.52</v>
      </c>
      <c r="AS895">
        <v>8</v>
      </c>
      <c r="AT895">
        <v>1</v>
      </c>
      <c r="AU895">
        <v>7</v>
      </c>
      <c r="AV895">
        <v>76</v>
      </c>
      <c r="AW895">
        <v>82</v>
      </c>
      <c r="AX895">
        <v>270</v>
      </c>
      <c r="AY895">
        <v>0</v>
      </c>
      <c r="AZ895" t="b">
        <v>0</v>
      </c>
      <c r="BA895">
        <v>1522</v>
      </c>
      <c r="BB895">
        <v>1764</v>
      </c>
      <c r="BC895">
        <v>6</v>
      </c>
      <c r="BD895" t="s">
        <v>7708</v>
      </c>
      <c r="BE895" s="1" t="s">
        <v>3594</v>
      </c>
      <c r="BF895">
        <v>0</v>
      </c>
      <c r="BG895">
        <v>71</v>
      </c>
      <c r="BH895">
        <v>1</v>
      </c>
      <c r="BI895" s="1" t="s">
        <v>137</v>
      </c>
      <c r="BJ895" s="1" t="s">
        <v>4169</v>
      </c>
      <c r="BK895" s="1" t="s">
        <v>294</v>
      </c>
      <c r="BL895">
        <v>9.4</v>
      </c>
      <c r="BM895">
        <v>3</v>
      </c>
      <c r="BN895">
        <v>4.5999999999999996</v>
      </c>
      <c r="BO895" s="1" t="s">
        <v>161</v>
      </c>
      <c r="BP895" s="1" t="s">
        <v>214</v>
      </c>
      <c r="BQ895">
        <v>0</v>
      </c>
      <c r="BR895">
        <v>0</v>
      </c>
      <c r="BS895" s="1" t="s">
        <v>128</v>
      </c>
      <c r="BT895" s="1" t="s">
        <v>238</v>
      </c>
      <c r="BU895">
        <v>1</v>
      </c>
      <c r="BV895">
        <v>0.4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0.35</v>
      </c>
      <c r="CD895">
        <v>0.35</v>
      </c>
      <c r="CE895">
        <v>0.52</v>
      </c>
      <c r="CF895">
        <v>0.52</v>
      </c>
      <c r="CG895">
        <v>5</v>
      </c>
      <c r="CH895" s="1" t="s">
        <v>449</v>
      </c>
      <c r="CI895" s="1" t="s">
        <v>128</v>
      </c>
      <c r="CJ895" s="1" t="s">
        <v>128</v>
      </c>
      <c r="CK895" s="1" t="s">
        <v>138</v>
      </c>
      <c r="CL895" s="1" t="s">
        <v>375</v>
      </c>
      <c r="CM895">
        <v>77</v>
      </c>
      <c r="CN895">
        <v>79.8</v>
      </c>
      <c r="CO895">
        <v>81</v>
      </c>
      <c r="CP895">
        <v>82</v>
      </c>
      <c r="CQ895" s="1" t="s">
        <v>7767</v>
      </c>
      <c r="CR895" s="1" t="s">
        <v>7768</v>
      </c>
      <c r="CS895" s="1" t="s">
        <v>144</v>
      </c>
      <c r="CT895">
        <v>1651.2</v>
      </c>
      <c r="CU895" s="1" t="s">
        <v>4416</v>
      </c>
      <c r="CV895" s="1" t="s">
        <v>7711</v>
      </c>
      <c r="CW895">
        <v>84.95</v>
      </c>
      <c r="CX895">
        <v>86.3</v>
      </c>
      <c r="CY895">
        <v>76</v>
      </c>
      <c r="CZ895">
        <v>59</v>
      </c>
      <c r="DA895">
        <v>1</v>
      </c>
      <c r="DB895" t="s">
        <v>226</v>
      </c>
      <c r="DC895">
        <v>77</v>
      </c>
      <c r="DD895" s="1" t="s">
        <v>7769</v>
      </c>
      <c r="DE895">
        <v>-24.4471699237547</v>
      </c>
      <c r="DF895" t="e">
        <f>_xlfn.XLOOKUP(Table1[[#This Row],[Player ID]],Table2[feed_id],Table2[trade_status])</f>
        <v>#N/A</v>
      </c>
      <c r="DG895">
        <f>_xlfn.NUMBERVALUE(Table1[[#This Row],[predicted]])</f>
        <v>101.447169923754</v>
      </c>
    </row>
    <row r="896" spans="1:111" x14ac:dyDescent="0.25">
      <c r="A896">
        <v>132870</v>
      </c>
      <c r="B896">
        <v>9244</v>
      </c>
      <c r="C896" t="s">
        <v>7983</v>
      </c>
      <c r="D896" t="s">
        <v>3116</v>
      </c>
      <c r="E896">
        <v>2025</v>
      </c>
      <c r="F896">
        <v>991988</v>
      </c>
      <c r="G896" t="s">
        <v>8070</v>
      </c>
      <c r="H896" t="s">
        <v>890</v>
      </c>
      <c r="I896" t="s">
        <v>152</v>
      </c>
      <c r="J896">
        <v>2</v>
      </c>
      <c r="K896">
        <v>27</v>
      </c>
      <c r="L896">
        <v>31</v>
      </c>
      <c r="M896">
        <v>32</v>
      </c>
      <c r="N896">
        <v>27</v>
      </c>
      <c r="O896">
        <v>42</v>
      </c>
      <c r="P896">
        <v>4</v>
      </c>
      <c r="Q896">
        <v>9</v>
      </c>
      <c r="R896">
        <v>1</v>
      </c>
      <c r="S896">
        <v>0</v>
      </c>
      <c r="T896">
        <v>0</v>
      </c>
      <c r="U896">
        <v>0</v>
      </c>
      <c r="V896">
        <v>2</v>
      </c>
      <c r="W896">
        <v>0</v>
      </c>
      <c r="X896">
        <v>0</v>
      </c>
      <c r="Y896" t="s">
        <v>113</v>
      </c>
      <c r="Z896" t="s">
        <v>525</v>
      </c>
      <c r="AA896" t="s">
        <v>8071</v>
      </c>
      <c r="AH896" t="s">
        <v>118</v>
      </c>
      <c r="AI896">
        <v>3</v>
      </c>
      <c r="AJ896">
        <v>0</v>
      </c>
      <c r="AK896">
        <v>0</v>
      </c>
      <c r="AL896">
        <v>0</v>
      </c>
      <c r="AM896">
        <v>0.84</v>
      </c>
      <c r="AN896">
        <v>0.77</v>
      </c>
      <c r="AO896">
        <v>0.41</v>
      </c>
      <c r="AS896">
        <v>3</v>
      </c>
      <c r="AT896">
        <v>0</v>
      </c>
      <c r="AU896">
        <v>2</v>
      </c>
      <c r="AV896">
        <v>61</v>
      </c>
      <c r="AW896">
        <v>79</v>
      </c>
      <c r="AX896">
        <v>124</v>
      </c>
      <c r="AY896">
        <v>0</v>
      </c>
      <c r="AZ896" t="b">
        <v>0</v>
      </c>
      <c r="BA896">
        <v>1816</v>
      </c>
      <c r="BB896">
        <v>1473</v>
      </c>
      <c r="BC896">
        <v>6</v>
      </c>
      <c r="BD896" t="s">
        <v>7985</v>
      </c>
      <c r="BE896" s="1" t="s">
        <v>3594</v>
      </c>
      <c r="BF896">
        <v>0</v>
      </c>
      <c r="BG896">
        <v>71</v>
      </c>
      <c r="BH896">
        <v>0</v>
      </c>
      <c r="BI896" s="1" t="s">
        <v>160</v>
      </c>
      <c r="BJ896" s="1" t="s">
        <v>254</v>
      </c>
      <c r="BK896">
        <v>10</v>
      </c>
      <c r="BL896" s="1" t="s">
        <v>158</v>
      </c>
      <c r="BM896" s="1" t="s">
        <v>169</v>
      </c>
      <c r="BN896" s="1" t="s">
        <v>640</v>
      </c>
      <c r="BO896">
        <v>1</v>
      </c>
      <c r="BP896">
        <v>2.4</v>
      </c>
      <c r="BQ896">
        <v>0</v>
      </c>
      <c r="BR896">
        <v>0</v>
      </c>
      <c r="BS896" s="1" t="s">
        <v>129</v>
      </c>
      <c r="BT896">
        <v>0.8</v>
      </c>
      <c r="BU896" s="1" t="s">
        <v>126</v>
      </c>
      <c r="BV896">
        <v>1.2</v>
      </c>
      <c r="BW896">
        <v>0</v>
      </c>
      <c r="BX896" s="1" t="s">
        <v>213</v>
      </c>
      <c r="BY896" s="1" t="s">
        <v>129</v>
      </c>
      <c r="BZ896">
        <v>6.6666666666666596E-2</v>
      </c>
      <c r="CA896">
        <v>0.84</v>
      </c>
      <c r="CB896">
        <v>0.84</v>
      </c>
      <c r="CC896">
        <v>0.77</v>
      </c>
      <c r="CD896">
        <v>0.77</v>
      </c>
      <c r="CE896">
        <v>0.41</v>
      </c>
      <c r="CF896">
        <v>0.41</v>
      </c>
      <c r="CG896">
        <v>5</v>
      </c>
      <c r="CH896">
        <v>5.8</v>
      </c>
      <c r="CI896" s="1" t="s">
        <v>126</v>
      </c>
      <c r="CJ896" s="1" t="s">
        <v>375</v>
      </c>
      <c r="CK896" s="1" t="s">
        <v>161</v>
      </c>
      <c r="CL896" s="1" t="s">
        <v>159</v>
      </c>
      <c r="CM896" s="1" t="s">
        <v>930</v>
      </c>
      <c r="CN896" s="1" t="s">
        <v>1243</v>
      </c>
      <c r="CO896" s="1" t="s">
        <v>263</v>
      </c>
      <c r="CP896">
        <v>65.400000000000006</v>
      </c>
      <c r="CQ896" s="1" t="s">
        <v>8072</v>
      </c>
      <c r="CR896">
        <v>186.4</v>
      </c>
      <c r="CS896" s="1" t="s">
        <v>7987</v>
      </c>
      <c r="CT896" s="1" t="s">
        <v>8073</v>
      </c>
      <c r="CU896" s="1" t="s">
        <v>7988</v>
      </c>
      <c r="CV896">
        <v>1647</v>
      </c>
      <c r="CW896">
        <v>62.5</v>
      </c>
      <c r="CX896">
        <v>71</v>
      </c>
      <c r="CY896">
        <v>64.8</v>
      </c>
      <c r="CZ896">
        <v>57</v>
      </c>
      <c r="DA896">
        <v>1</v>
      </c>
      <c r="DB896" t="s">
        <v>525</v>
      </c>
      <c r="DC896">
        <v>31</v>
      </c>
      <c r="DD896" s="1" t="s">
        <v>8074</v>
      </c>
      <c r="DE896">
        <v>-30.373913833702701</v>
      </c>
      <c r="DF896" t="str">
        <f>_xlfn.XLOOKUP(Table1[[#This Row],[Player ID]],Table2[feed_id],Table2[trade_status])</f>
        <v>free_agent</v>
      </c>
      <c r="DG896">
        <f>_xlfn.NUMBERVALUE(Table1[[#This Row],[predicted]])</f>
        <v>61.373913833702701</v>
      </c>
    </row>
    <row r="897" spans="1:111" x14ac:dyDescent="0.25">
      <c r="A897">
        <v>132793</v>
      </c>
      <c r="B897">
        <v>9242</v>
      </c>
      <c r="C897" t="s">
        <v>7597</v>
      </c>
      <c r="D897" t="s">
        <v>3116</v>
      </c>
      <c r="E897">
        <v>2025</v>
      </c>
      <c r="F897">
        <v>1017088</v>
      </c>
      <c r="G897" t="s">
        <v>670</v>
      </c>
      <c r="H897" t="s">
        <v>7756</v>
      </c>
      <c r="I897" t="s">
        <v>619</v>
      </c>
      <c r="J897">
        <v>21</v>
      </c>
      <c r="K897">
        <v>88</v>
      </c>
      <c r="L897">
        <v>79</v>
      </c>
      <c r="M897">
        <v>69</v>
      </c>
      <c r="N897">
        <v>70</v>
      </c>
      <c r="O897">
        <v>94</v>
      </c>
      <c r="P897">
        <v>10</v>
      </c>
      <c r="Q897">
        <v>10</v>
      </c>
      <c r="R897">
        <v>3</v>
      </c>
      <c r="S897">
        <v>4</v>
      </c>
      <c r="T897">
        <v>0</v>
      </c>
      <c r="U897">
        <v>0</v>
      </c>
      <c r="V897">
        <v>0</v>
      </c>
      <c r="W897">
        <v>2</v>
      </c>
      <c r="X897">
        <v>1</v>
      </c>
      <c r="Y897" t="s">
        <v>113</v>
      </c>
      <c r="Z897" t="s">
        <v>525</v>
      </c>
      <c r="AA897" t="s">
        <v>7757</v>
      </c>
      <c r="AH897" t="s">
        <v>155</v>
      </c>
      <c r="AI897">
        <v>8</v>
      </c>
      <c r="AJ897">
        <v>0</v>
      </c>
      <c r="AK897">
        <v>0</v>
      </c>
      <c r="AL897">
        <v>0</v>
      </c>
      <c r="AM897">
        <v>0.35</v>
      </c>
      <c r="AN897">
        <v>0.43</v>
      </c>
      <c r="AO897">
        <v>0.56000000000000005</v>
      </c>
      <c r="AS897">
        <v>8</v>
      </c>
      <c r="AT897">
        <v>5</v>
      </c>
      <c r="AU897">
        <v>4</v>
      </c>
      <c r="AV897">
        <v>65</v>
      </c>
      <c r="AW897">
        <v>63</v>
      </c>
      <c r="AX897">
        <v>310</v>
      </c>
      <c r="AY897">
        <v>0</v>
      </c>
      <c r="AZ897" t="b">
        <v>0</v>
      </c>
      <c r="BA897">
        <v>1522</v>
      </c>
      <c r="BB897">
        <v>1764</v>
      </c>
      <c r="BC897">
        <v>6</v>
      </c>
      <c r="BD897" t="s">
        <v>7708</v>
      </c>
      <c r="BE897" s="1" t="s">
        <v>3594</v>
      </c>
      <c r="BF897">
        <v>0</v>
      </c>
      <c r="BG897">
        <v>71</v>
      </c>
      <c r="BH897">
        <v>1</v>
      </c>
      <c r="BI897">
        <v>7</v>
      </c>
      <c r="BJ897" s="1" t="s">
        <v>964</v>
      </c>
      <c r="BK897" s="1" t="s">
        <v>356</v>
      </c>
      <c r="BL897">
        <v>7.2</v>
      </c>
      <c r="BM897" s="1" t="s">
        <v>161</v>
      </c>
      <c r="BN897" s="1" t="s">
        <v>275</v>
      </c>
      <c r="BO897">
        <v>3</v>
      </c>
      <c r="BP897" s="1" t="s">
        <v>138</v>
      </c>
      <c r="BQ897">
        <v>0</v>
      </c>
      <c r="BR897">
        <v>0</v>
      </c>
      <c r="BS897">
        <v>1</v>
      </c>
      <c r="BT897" s="1" t="s">
        <v>130</v>
      </c>
      <c r="BU897">
        <v>1</v>
      </c>
      <c r="BV897" s="1" t="s">
        <v>162</v>
      </c>
      <c r="BW897" s="1" t="s">
        <v>128</v>
      </c>
      <c r="BX897" s="1" t="s">
        <v>184</v>
      </c>
      <c r="BY897" s="1" t="s">
        <v>129</v>
      </c>
      <c r="BZ897" s="1" t="s">
        <v>213</v>
      </c>
      <c r="CA897">
        <v>0.35</v>
      </c>
      <c r="CB897">
        <v>0.35</v>
      </c>
      <c r="CC897">
        <v>0.43</v>
      </c>
      <c r="CD897">
        <v>0.43</v>
      </c>
      <c r="CE897">
        <v>0.56000000000000005</v>
      </c>
      <c r="CF897">
        <v>0.56000000000000005</v>
      </c>
      <c r="CG897">
        <v>7</v>
      </c>
      <c r="CH897">
        <v>4.8</v>
      </c>
      <c r="CI897" s="1" t="s">
        <v>138</v>
      </c>
      <c r="CJ897" s="1" t="s">
        <v>257</v>
      </c>
      <c r="CK897" s="1" t="s">
        <v>211</v>
      </c>
      <c r="CL897" s="1" t="s">
        <v>255</v>
      </c>
      <c r="CM897">
        <v>69</v>
      </c>
      <c r="CN897" s="1" t="s">
        <v>417</v>
      </c>
      <c r="CO897" s="1" t="s">
        <v>822</v>
      </c>
      <c r="CP897" s="1" t="s">
        <v>3822</v>
      </c>
      <c r="CQ897">
        <v>187</v>
      </c>
      <c r="CR897">
        <v>172.6</v>
      </c>
      <c r="CS897" s="1" t="s">
        <v>144</v>
      </c>
      <c r="CT897">
        <v>1685.4</v>
      </c>
      <c r="CU897" s="1" t="s">
        <v>4416</v>
      </c>
      <c r="CV897" s="1" t="s">
        <v>7758</v>
      </c>
      <c r="CW897">
        <v>55.2</v>
      </c>
      <c r="CX897">
        <v>43.6</v>
      </c>
      <c r="CY897">
        <v>54.6</v>
      </c>
      <c r="CZ897" s="1" t="s">
        <v>1242</v>
      </c>
      <c r="DA897">
        <v>1</v>
      </c>
      <c r="DB897" t="s">
        <v>525</v>
      </c>
      <c r="DC897">
        <v>79</v>
      </c>
      <c r="DD897" s="1" t="s">
        <v>7759</v>
      </c>
      <c r="DE897" s="1" t="s">
        <v>7760</v>
      </c>
      <c r="DF897" t="str">
        <f>_xlfn.XLOOKUP(Table1[[#This Row],[Player ID]],Table2[feed_id],Table2[trade_status])</f>
        <v>free_agent</v>
      </c>
      <c r="DG897">
        <f>_xlfn.NUMBERVALUE(Table1[[#This Row],[predicted]])</f>
        <v>61.304385361261502</v>
      </c>
    </row>
    <row r="898" spans="1:111" x14ac:dyDescent="0.25">
      <c r="A898">
        <v>132563</v>
      </c>
      <c r="B898">
        <v>9237</v>
      </c>
      <c r="C898" t="s">
        <v>6650</v>
      </c>
      <c r="D898" t="s">
        <v>3116</v>
      </c>
      <c r="E898">
        <v>2025</v>
      </c>
      <c r="F898">
        <v>998260</v>
      </c>
      <c r="G898" t="s">
        <v>1127</v>
      </c>
      <c r="H898" t="s">
        <v>6808</v>
      </c>
      <c r="I898" t="s">
        <v>1061</v>
      </c>
      <c r="J898">
        <v>20</v>
      </c>
      <c r="K898">
        <v>74</v>
      </c>
      <c r="L898">
        <v>83</v>
      </c>
      <c r="M898">
        <v>47</v>
      </c>
      <c r="N898">
        <v>59</v>
      </c>
      <c r="O898">
        <v>84</v>
      </c>
      <c r="P898">
        <v>13</v>
      </c>
      <c r="Q898">
        <v>5</v>
      </c>
      <c r="R898">
        <v>4</v>
      </c>
      <c r="S898">
        <v>4</v>
      </c>
      <c r="T898">
        <v>0</v>
      </c>
      <c r="U898">
        <v>0</v>
      </c>
      <c r="V898">
        <v>3</v>
      </c>
      <c r="W898">
        <v>1</v>
      </c>
      <c r="X898">
        <v>0</v>
      </c>
      <c r="Y898" t="s">
        <v>113</v>
      </c>
      <c r="Z898" t="s">
        <v>877</v>
      </c>
      <c r="AA898" t="s">
        <v>6809</v>
      </c>
      <c r="AE898">
        <v>0</v>
      </c>
      <c r="AH898" t="s">
        <v>181</v>
      </c>
      <c r="AI898">
        <v>12</v>
      </c>
      <c r="AJ898">
        <v>15</v>
      </c>
      <c r="AK898">
        <v>62.33</v>
      </c>
      <c r="AL898">
        <v>0</v>
      </c>
      <c r="AM898">
        <v>0</v>
      </c>
      <c r="AN898">
        <v>0.28000000000000003</v>
      </c>
      <c r="AO898">
        <v>0.4</v>
      </c>
      <c r="AS898">
        <v>6</v>
      </c>
      <c r="AT898">
        <v>3</v>
      </c>
      <c r="AU898">
        <v>4</v>
      </c>
      <c r="AV898">
        <v>72</v>
      </c>
      <c r="AW898">
        <v>79</v>
      </c>
      <c r="AX898">
        <v>400</v>
      </c>
      <c r="AY898">
        <v>0</v>
      </c>
      <c r="AZ898" t="b">
        <v>0</v>
      </c>
      <c r="BA898">
        <v>1646</v>
      </c>
      <c r="BB898">
        <v>1632</v>
      </c>
      <c r="BC898">
        <v>6</v>
      </c>
      <c r="BD898" t="s">
        <v>6772</v>
      </c>
      <c r="BE898" s="1" t="s">
        <v>3594</v>
      </c>
      <c r="BF898">
        <v>0</v>
      </c>
      <c r="BG898">
        <v>71</v>
      </c>
      <c r="BH898">
        <v>1</v>
      </c>
      <c r="BI898" s="1" t="s">
        <v>157</v>
      </c>
      <c r="BJ898">
        <v>11.8</v>
      </c>
      <c r="BK898" s="1" t="s">
        <v>160</v>
      </c>
      <c r="BL898">
        <v>6.2</v>
      </c>
      <c r="BM898" s="1" t="s">
        <v>138</v>
      </c>
      <c r="BN898" s="1" t="s">
        <v>766</v>
      </c>
      <c r="BO898" s="1" t="s">
        <v>125</v>
      </c>
      <c r="BP898" s="1" t="s">
        <v>565</v>
      </c>
      <c r="BQ898">
        <v>0</v>
      </c>
      <c r="BR898">
        <v>0</v>
      </c>
      <c r="BS898" s="1" t="s">
        <v>128</v>
      </c>
      <c r="BT898" s="1" t="s">
        <v>130</v>
      </c>
      <c r="BU898" s="1" t="s">
        <v>159</v>
      </c>
      <c r="BV898">
        <v>1.2</v>
      </c>
      <c r="BW898">
        <v>1</v>
      </c>
      <c r="BX898">
        <v>0.6</v>
      </c>
      <c r="BY898">
        <v>0</v>
      </c>
      <c r="BZ898">
        <v>6.6666666666666596E-2</v>
      </c>
      <c r="CA898">
        <v>0</v>
      </c>
      <c r="CB898">
        <v>0</v>
      </c>
      <c r="CC898">
        <v>0.28000000000000003</v>
      </c>
      <c r="CD898">
        <v>0.28000000000000003</v>
      </c>
      <c r="CE898">
        <v>0.4</v>
      </c>
      <c r="CF898">
        <v>0.4</v>
      </c>
      <c r="CG898" s="1" t="s">
        <v>160</v>
      </c>
      <c r="CH898" s="1" t="s">
        <v>818</v>
      </c>
      <c r="CI898" s="1" t="s">
        <v>159</v>
      </c>
      <c r="CJ898">
        <v>3.2</v>
      </c>
      <c r="CK898" s="1" t="s">
        <v>138</v>
      </c>
      <c r="CL898" s="1" t="s">
        <v>640</v>
      </c>
      <c r="CM898">
        <v>75</v>
      </c>
      <c r="CN898">
        <v>65.8</v>
      </c>
      <c r="CO898" s="1" t="s">
        <v>215</v>
      </c>
      <c r="CP898" s="1" t="s">
        <v>3309</v>
      </c>
      <c r="CQ898" s="1" t="s">
        <v>6810</v>
      </c>
      <c r="CR898">
        <v>340.4</v>
      </c>
      <c r="CS898" s="1" t="s">
        <v>4075</v>
      </c>
      <c r="CT898">
        <v>1682</v>
      </c>
      <c r="CU898" s="1" t="s">
        <v>4024</v>
      </c>
      <c r="CV898" s="1" t="s">
        <v>6773</v>
      </c>
      <c r="CW898">
        <v>78.75</v>
      </c>
      <c r="CX898">
        <v>77.3</v>
      </c>
      <c r="CY898">
        <v>66.599999999999994</v>
      </c>
      <c r="CZ898" s="1" t="s">
        <v>2147</v>
      </c>
      <c r="DA898">
        <v>1</v>
      </c>
      <c r="DB898" t="s">
        <v>877</v>
      </c>
      <c r="DC898">
        <v>83</v>
      </c>
      <c r="DD898" s="1" t="s">
        <v>6811</v>
      </c>
      <c r="DE898" s="1" t="s">
        <v>6812</v>
      </c>
      <c r="DF898" t="str">
        <f>_xlfn.XLOOKUP(Table1[[#This Row],[Player ID]],Table2[feed_id],Table2[trade_status])</f>
        <v>free_agent</v>
      </c>
      <c r="DG898">
        <f>_xlfn.NUMBERVALUE(Table1[[#This Row],[predicted]])</f>
        <v>61.054035323301797</v>
      </c>
    </row>
    <row r="899" spans="1:111" x14ac:dyDescent="0.25">
      <c r="A899">
        <v>132796</v>
      </c>
      <c r="B899">
        <v>9242</v>
      </c>
      <c r="C899" t="s">
        <v>7597</v>
      </c>
      <c r="D899" t="s">
        <v>3116</v>
      </c>
      <c r="E899">
        <v>2025</v>
      </c>
      <c r="F899">
        <v>298421</v>
      </c>
      <c r="G899" t="s">
        <v>7770</v>
      </c>
      <c r="H899" t="s">
        <v>7771</v>
      </c>
      <c r="I899" t="s">
        <v>619</v>
      </c>
      <c r="J899">
        <v>15</v>
      </c>
      <c r="K899">
        <v>75</v>
      </c>
      <c r="L899">
        <v>64</v>
      </c>
      <c r="M899">
        <v>68</v>
      </c>
      <c r="N899">
        <v>63</v>
      </c>
      <c r="O899">
        <v>84</v>
      </c>
      <c r="P899">
        <v>6</v>
      </c>
      <c r="Q899">
        <v>12</v>
      </c>
      <c r="R899">
        <v>5</v>
      </c>
      <c r="S899">
        <v>3</v>
      </c>
      <c r="T899">
        <v>0</v>
      </c>
      <c r="U899">
        <v>0</v>
      </c>
      <c r="V899">
        <v>0</v>
      </c>
      <c r="W899">
        <v>1</v>
      </c>
      <c r="X899">
        <v>0</v>
      </c>
      <c r="Y899" t="s">
        <v>113</v>
      </c>
      <c r="Z899" t="s">
        <v>525</v>
      </c>
      <c r="AA899" t="s">
        <v>7772</v>
      </c>
      <c r="AH899" t="s">
        <v>118</v>
      </c>
      <c r="AI899">
        <v>11</v>
      </c>
      <c r="AJ899">
        <v>0</v>
      </c>
      <c r="AK899">
        <v>0</v>
      </c>
      <c r="AL899">
        <v>0</v>
      </c>
      <c r="AM899">
        <v>1.06</v>
      </c>
      <c r="AN899">
        <v>1.47</v>
      </c>
      <c r="AO899">
        <v>1.24</v>
      </c>
      <c r="AS899">
        <v>4</v>
      </c>
      <c r="AT899">
        <v>3</v>
      </c>
      <c r="AU899">
        <v>1</v>
      </c>
      <c r="AV899">
        <v>77</v>
      </c>
      <c r="AW899">
        <v>81</v>
      </c>
      <c r="AX899">
        <v>169</v>
      </c>
      <c r="AY899">
        <v>0</v>
      </c>
      <c r="AZ899" t="b">
        <v>0</v>
      </c>
      <c r="BA899">
        <v>1522</v>
      </c>
      <c r="BB899">
        <v>1764</v>
      </c>
      <c r="BC899">
        <v>6</v>
      </c>
      <c r="BD899" t="s">
        <v>7708</v>
      </c>
      <c r="BE899" s="1" t="s">
        <v>3594</v>
      </c>
      <c r="BF899">
        <v>0</v>
      </c>
      <c r="BG899">
        <v>71</v>
      </c>
      <c r="BH899">
        <v>0</v>
      </c>
      <c r="BI899" s="1" t="s">
        <v>253</v>
      </c>
      <c r="BJ899">
        <v>6.4</v>
      </c>
      <c r="BK899">
        <v>9</v>
      </c>
      <c r="BL899" s="1" t="s">
        <v>430</v>
      </c>
      <c r="BM899" s="1" t="s">
        <v>125</v>
      </c>
      <c r="BN899" s="1" t="s">
        <v>169</v>
      </c>
      <c r="BO899" s="1" t="s">
        <v>211</v>
      </c>
      <c r="BP899">
        <v>2.8</v>
      </c>
      <c r="BQ899">
        <v>0</v>
      </c>
      <c r="BR899">
        <v>0</v>
      </c>
      <c r="BS899">
        <v>1</v>
      </c>
      <c r="BT899" s="1" t="s">
        <v>129</v>
      </c>
      <c r="BU899" s="1" t="s">
        <v>129</v>
      </c>
      <c r="BV899">
        <v>0.8</v>
      </c>
      <c r="BW899">
        <v>1</v>
      </c>
      <c r="BX899" s="1" t="s">
        <v>399</v>
      </c>
      <c r="BY899" s="1" t="s">
        <v>128</v>
      </c>
      <c r="BZ899" s="1" t="s">
        <v>231</v>
      </c>
      <c r="CA899">
        <v>1.06</v>
      </c>
      <c r="CB899">
        <v>1.06</v>
      </c>
      <c r="CC899">
        <v>1.47</v>
      </c>
      <c r="CD899">
        <v>1.47</v>
      </c>
      <c r="CE899">
        <v>1.24</v>
      </c>
      <c r="CF899">
        <v>1.24</v>
      </c>
      <c r="CG899" s="1" t="s">
        <v>160</v>
      </c>
      <c r="CH899" s="1" t="s">
        <v>211</v>
      </c>
      <c r="CI899">
        <v>2</v>
      </c>
      <c r="CJ899">
        <v>1.4</v>
      </c>
      <c r="CK899">
        <v>1</v>
      </c>
      <c r="CL899" s="1" t="s">
        <v>214</v>
      </c>
      <c r="CM899">
        <v>75</v>
      </c>
      <c r="CN899">
        <v>67.2</v>
      </c>
      <c r="CO899">
        <v>84</v>
      </c>
      <c r="CP899">
        <v>79</v>
      </c>
      <c r="CQ899">
        <v>193</v>
      </c>
      <c r="CR899" s="1" t="s">
        <v>7773</v>
      </c>
      <c r="CS899" s="1" t="s">
        <v>144</v>
      </c>
      <c r="CT899" s="1" t="s">
        <v>7774</v>
      </c>
      <c r="CU899" s="1" t="s">
        <v>4416</v>
      </c>
      <c r="CV899" s="1" t="s">
        <v>5843</v>
      </c>
      <c r="CW899">
        <v>57.15</v>
      </c>
      <c r="CX899">
        <v>57.7</v>
      </c>
      <c r="CY899">
        <v>64.400000000000006</v>
      </c>
      <c r="CZ899" s="1" t="s">
        <v>241</v>
      </c>
      <c r="DA899">
        <v>1</v>
      </c>
      <c r="DB899" t="s">
        <v>525</v>
      </c>
      <c r="DC899">
        <v>64</v>
      </c>
      <c r="DD899" s="1" t="s">
        <v>7775</v>
      </c>
      <c r="DE899" s="1" t="s">
        <v>7776</v>
      </c>
      <c r="DF899" t="str">
        <f>_xlfn.XLOOKUP(Table1[[#This Row],[Player ID]],Table2[feed_id],Table2[trade_status])</f>
        <v>free_agent</v>
      </c>
      <c r="DG899">
        <f>_xlfn.NUMBERVALUE(Table1[[#This Row],[predicted]])</f>
        <v>60.9435128796529</v>
      </c>
    </row>
    <row r="900" spans="1:111" x14ac:dyDescent="0.25">
      <c r="A900">
        <v>132702</v>
      </c>
      <c r="B900">
        <v>9240</v>
      </c>
      <c r="C900" t="s">
        <v>7230</v>
      </c>
      <c r="D900" t="s">
        <v>3116</v>
      </c>
      <c r="E900">
        <v>2025</v>
      </c>
      <c r="F900">
        <v>1023025</v>
      </c>
      <c r="G900" t="s">
        <v>7385</v>
      </c>
      <c r="H900" t="s">
        <v>7386</v>
      </c>
      <c r="I900" t="s">
        <v>582</v>
      </c>
      <c r="J900">
        <v>9</v>
      </c>
      <c r="K900">
        <v>55</v>
      </c>
      <c r="L900">
        <v>48</v>
      </c>
      <c r="M900">
        <v>45</v>
      </c>
      <c r="N900">
        <v>40</v>
      </c>
      <c r="O900">
        <v>54</v>
      </c>
      <c r="P900">
        <v>7</v>
      </c>
      <c r="Q900">
        <v>4</v>
      </c>
      <c r="R900">
        <v>3</v>
      </c>
      <c r="S900">
        <v>4</v>
      </c>
      <c r="T900">
        <v>0</v>
      </c>
      <c r="U900">
        <v>1</v>
      </c>
      <c r="V900">
        <v>0</v>
      </c>
      <c r="W900">
        <v>0</v>
      </c>
      <c r="X900">
        <v>0</v>
      </c>
      <c r="Y900" t="s">
        <v>113</v>
      </c>
      <c r="Z900" t="s">
        <v>179</v>
      </c>
      <c r="AA900" t="s">
        <v>7387</v>
      </c>
      <c r="AH900" t="s">
        <v>181</v>
      </c>
      <c r="AI900">
        <v>7</v>
      </c>
      <c r="AJ900">
        <v>0</v>
      </c>
      <c r="AK900">
        <v>0</v>
      </c>
      <c r="AL900">
        <v>0</v>
      </c>
      <c r="AM900">
        <v>2.52</v>
      </c>
      <c r="AN900">
        <v>1.85</v>
      </c>
      <c r="AO900">
        <v>4.9800000000000004</v>
      </c>
      <c r="AS900">
        <v>4</v>
      </c>
      <c r="AT900">
        <v>0</v>
      </c>
      <c r="AU900">
        <v>5</v>
      </c>
      <c r="AV900">
        <v>72</v>
      </c>
      <c r="AW900">
        <v>88</v>
      </c>
      <c r="AX900">
        <v>156</v>
      </c>
      <c r="AY900">
        <v>0</v>
      </c>
      <c r="AZ900" t="b">
        <v>0</v>
      </c>
      <c r="BA900">
        <v>1976</v>
      </c>
      <c r="BB900">
        <v>1285</v>
      </c>
      <c r="BC900">
        <v>6</v>
      </c>
      <c r="BD900" t="s">
        <v>7344</v>
      </c>
      <c r="BE900" s="1" t="s">
        <v>3594</v>
      </c>
      <c r="BF900">
        <v>0</v>
      </c>
      <c r="BG900">
        <v>71</v>
      </c>
      <c r="BH900">
        <v>0</v>
      </c>
      <c r="BI900" s="1" t="s">
        <v>294</v>
      </c>
      <c r="BJ900" s="1" t="s">
        <v>498</v>
      </c>
      <c r="BK900" s="1" t="s">
        <v>125</v>
      </c>
      <c r="BL900" s="1" t="s">
        <v>430</v>
      </c>
      <c r="BM900" s="1" t="s">
        <v>125</v>
      </c>
      <c r="BN900" s="1" t="s">
        <v>140</v>
      </c>
      <c r="BO900" s="1" t="s">
        <v>169</v>
      </c>
      <c r="BP900" s="1" t="s">
        <v>373</v>
      </c>
      <c r="BQ900">
        <v>0</v>
      </c>
      <c r="BR900">
        <v>6.6666666666666596E-2</v>
      </c>
      <c r="BS900">
        <v>1</v>
      </c>
      <c r="BT900">
        <v>0.6</v>
      </c>
      <c r="BU900">
        <v>1</v>
      </c>
      <c r="BV900" s="1" t="s">
        <v>231</v>
      </c>
      <c r="BW900">
        <v>0</v>
      </c>
      <c r="BX900">
        <v>0</v>
      </c>
      <c r="BY900">
        <v>0</v>
      </c>
      <c r="BZ900">
        <v>0</v>
      </c>
      <c r="CA900">
        <v>2.52</v>
      </c>
      <c r="CB900">
        <v>2.52</v>
      </c>
      <c r="CC900">
        <v>1.85</v>
      </c>
      <c r="CD900">
        <v>1.85</v>
      </c>
      <c r="CE900">
        <v>4.9800000000000004</v>
      </c>
      <c r="CF900">
        <v>4.9800000000000004</v>
      </c>
      <c r="CG900" s="1" t="s">
        <v>449</v>
      </c>
      <c r="CH900" s="1" t="s">
        <v>898</v>
      </c>
      <c r="CI900" s="1" t="s">
        <v>129</v>
      </c>
      <c r="CJ900" s="1" t="s">
        <v>127</v>
      </c>
      <c r="CK900" s="1" t="s">
        <v>125</v>
      </c>
      <c r="CL900" s="1" t="s">
        <v>214</v>
      </c>
      <c r="CM900" s="1" t="s">
        <v>141</v>
      </c>
      <c r="CN900" s="1" t="s">
        <v>261</v>
      </c>
      <c r="CO900" s="1" t="s">
        <v>941</v>
      </c>
      <c r="CP900" s="1" t="s">
        <v>3094</v>
      </c>
      <c r="CQ900">
        <v>304</v>
      </c>
      <c r="CR900" s="1" t="s">
        <v>7388</v>
      </c>
      <c r="CS900" s="1" t="s">
        <v>7346</v>
      </c>
      <c r="CT900" s="1" t="s">
        <v>7373</v>
      </c>
      <c r="CU900" s="1" t="s">
        <v>7348</v>
      </c>
      <c r="CV900" s="1" t="s">
        <v>7374</v>
      </c>
      <c r="CW900">
        <v>71.349999999999994</v>
      </c>
      <c r="CX900">
        <v>69.099999999999994</v>
      </c>
      <c r="CY900">
        <v>70.2</v>
      </c>
      <c r="CZ900" s="1" t="s">
        <v>572</v>
      </c>
      <c r="DA900">
        <v>1</v>
      </c>
      <c r="DB900" t="s">
        <v>179</v>
      </c>
      <c r="DC900">
        <v>48</v>
      </c>
      <c r="DD900" s="1" t="s">
        <v>7389</v>
      </c>
      <c r="DE900">
        <v>-12.7642067372872</v>
      </c>
      <c r="DF900" t="str">
        <f>_xlfn.XLOOKUP(Table1[[#This Row],[Player ID]],Table2[feed_id],Table2[trade_status])</f>
        <v>free_agent</v>
      </c>
      <c r="DG900">
        <f>_xlfn.NUMBERVALUE(Table1[[#This Row],[predicted]])</f>
        <v>60.764206737287203</v>
      </c>
    </row>
    <row r="901" spans="1:111" x14ac:dyDescent="0.25">
      <c r="A901">
        <v>132703</v>
      </c>
      <c r="B901">
        <v>9240</v>
      </c>
      <c r="C901" t="s">
        <v>7230</v>
      </c>
      <c r="D901" t="s">
        <v>3116</v>
      </c>
      <c r="E901">
        <v>2025</v>
      </c>
      <c r="F901">
        <v>994385</v>
      </c>
      <c r="G901" t="s">
        <v>5806</v>
      </c>
      <c r="H901" t="s">
        <v>1423</v>
      </c>
      <c r="I901" t="s">
        <v>582</v>
      </c>
      <c r="J901">
        <v>7</v>
      </c>
      <c r="K901">
        <v>52</v>
      </c>
      <c r="L901">
        <v>49</v>
      </c>
      <c r="M901">
        <v>27</v>
      </c>
      <c r="N901">
        <v>42</v>
      </c>
      <c r="O901">
        <v>60</v>
      </c>
      <c r="P901">
        <v>10</v>
      </c>
      <c r="Q901">
        <v>6</v>
      </c>
      <c r="R901">
        <v>3</v>
      </c>
      <c r="S901">
        <v>1</v>
      </c>
      <c r="T901">
        <v>0</v>
      </c>
      <c r="U901">
        <v>0</v>
      </c>
      <c r="V901">
        <v>1</v>
      </c>
      <c r="W901">
        <v>0</v>
      </c>
      <c r="X901">
        <v>0</v>
      </c>
      <c r="Y901" t="s">
        <v>113</v>
      </c>
      <c r="Z901" t="s">
        <v>525</v>
      </c>
      <c r="AA901" t="s">
        <v>7390</v>
      </c>
      <c r="AE901">
        <v>0</v>
      </c>
      <c r="AH901" t="s">
        <v>181</v>
      </c>
      <c r="AI901">
        <v>5</v>
      </c>
      <c r="AJ901">
        <v>6</v>
      </c>
      <c r="AK901">
        <v>46.83</v>
      </c>
      <c r="AL901">
        <v>0</v>
      </c>
      <c r="AM901">
        <v>0</v>
      </c>
      <c r="AN901">
        <v>7.0000000000000007E-2</v>
      </c>
      <c r="AO901">
        <v>0.41</v>
      </c>
      <c r="AS901">
        <v>4</v>
      </c>
      <c r="AT901">
        <v>1</v>
      </c>
      <c r="AU901">
        <v>3</v>
      </c>
      <c r="AV901">
        <v>62</v>
      </c>
      <c r="AW901">
        <v>83</v>
      </c>
      <c r="AX901">
        <v>344</v>
      </c>
      <c r="AY901">
        <v>0</v>
      </c>
      <c r="AZ901" t="b">
        <v>0</v>
      </c>
      <c r="BA901">
        <v>1976</v>
      </c>
      <c r="BB901">
        <v>1285</v>
      </c>
      <c r="BC901">
        <v>6</v>
      </c>
      <c r="BD901" t="s">
        <v>7344</v>
      </c>
      <c r="BE901" s="1" t="s">
        <v>3594</v>
      </c>
      <c r="BF901">
        <v>0</v>
      </c>
      <c r="BG901">
        <v>71</v>
      </c>
      <c r="BH901">
        <v>0</v>
      </c>
      <c r="BI901" s="1" t="s">
        <v>137</v>
      </c>
      <c r="BJ901">
        <v>10.199999999999999</v>
      </c>
      <c r="BK901" s="1" t="s">
        <v>449</v>
      </c>
      <c r="BL901" s="1" t="s">
        <v>680</v>
      </c>
      <c r="BM901" s="1" t="s">
        <v>169</v>
      </c>
      <c r="BN901" s="1" t="s">
        <v>990</v>
      </c>
      <c r="BO901" s="1" t="s">
        <v>126</v>
      </c>
      <c r="BP901" s="1" t="s">
        <v>161</v>
      </c>
      <c r="BQ901">
        <v>0</v>
      </c>
      <c r="BR901">
        <v>0</v>
      </c>
      <c r="BS901" s="1" t="s">
        <v>129</v>
      </c>
      <c r="BT901" s="1" t="s">
        <v>231</v>
      </c>
      <c r="BU901">
        <v>1</v>
      </c>
      <c r="BV901" s="1" t="s">
        <v>130</v>
      </c>
      <c r="BW901" s="1" t="s">
        <v>129</v>
      </c>
      <c r="BX901">
        <v>6.6666666666666596E-2</v>
      </c>
      <c r="BY901" s="1" t="s">
        <v>128</v>
      </c>
      <c r="BZ901" s="1" t="s">
        <v>184</v>
      </c>
      <c r="CA901">
        <v>0</v>
      </c>
      <c r="CB901">
        <v>0</v>
      </c>
      <c r="CC901">
        <v>7.0000000000000007E-2</v>
      </c>
      <c r="CD901">
        <v>7.0000000000000007E-2</v>
      </c>
      <c r="CE901">
        <v>0.41</v>
      </c>
      <c r="CF901">
        <v>0.41</v>
      </c>
      <c r="CG901">
        <v>5</v>
      </c>
      <c r="CH901">
        <v>5.6</v>
      </c>
      <c r="CI901" s="1" t="s">
        <v>126</v>
      </c>
      <c r="CJ901" s="1" t="s">
        <v>566</v>
      </c>
      <c r="CK901" s="1" t="s">
        <v>138</v>
      </c>
      <c r="CL901">
        <v>2.6</v>
      </c>
      <c r="CM901" s="1" t="s">
        <v>759</v>
      </c>
      <c r="CN901">
        <v>71.8</v>
      </c>
      <c r="CO901" s="1" t="s">
        <v>239</v>
      </c>
      <c r="CP901" s="1" t="s">
        <v>1123</v>
      </c>
      <c r="CQ901">
        <v>330</v>
      </c>
      <c r="CR901">
        <v>328.2</v>
      </c>
      <c r="CS901" s="1" t="s">
        <v>7346</v>
      </c>
      <c r="CT901" s="1" t="s">
        <v>7373</v>
      </c>
      <c r="CU901" s="1" t="s">
        <v>7348</v>
      </c>
      <c r="CV901" s="1" t="s">
        <v>7374</v>
      </c>
      <c r="CW901">
        <v>59.3</v>
      </c>
      <c r="CX901">
        <v>56</v>
      </c>
      <c r="CY901">
        <v>43.6</v>
      </c>
      <c r="CZ901" s="1" t="s">
        <v>4123</v>
      </c>
      <c r="DA901">
        <v>1</v>
      </c>
      <c r="DB901" t="s">
        <v>525</v>
      </c>
      <c r="DC901">
        <v>49</v>
      </c>
      <c r="DD901" s="1" t="s">
        <v>7391</v>
      </c>
      <c r="DE901">
        <v>-11.587910394978399</v>
      </c>
      <c r="DF901" t="str">
        <f>_xlfn.XLOOKUP(Table1[[#This Row],[Player ID]],Table2[feed_id],Table2[trade_status])</f>
        <v>free_agent</v>
      </c>
      <c r="DG901">
        <f>_xlfn.NUMBERVALUE(Table1[[#This Row],[predicted]])</f>
        <v>60.587910394978401</v>
      </c>
    </row>
    <row r="902" spans="1:111" hidden="1" x14ac:dyDescent="0.25">
      <c r="A902">
        <v>132805</v>
      </c>
      <c r="B902">
        <v>9243</v>
      </c>
      <c r="C902" t="s">
        <v>7798</v>
      </c>
      <c r="D902" t="s">
        <v>3116</v>
      </c>
      <c r="E902">
        <v>2025</v>
      </c>
      <c r="F902">
        <v>992049</v>
      </c>
      <c r="G902" t="s">
        <v>5806</v>
      </c>
      <c r="H902" t="s">
        <v>7799</v>
      </c>
      <c r="I902" t="s">
        <v>317</v>
      </c>
      <c r="J902">
        <v>20</v>
      </c>
      <c r="K902">
        <v>103</v>
      </c>
      <c r="L902">
        <v>103</v>
      </c>
      <c r="M902">
        <v>135</v>
      </c>
      <c r="N902">
        <v>79</v>
      </c>
      <c r="O902">
        <v>105</v>
      </c>
      <c r="P902">
        <v>20</v>
      </c>
      <c r="Q902">
        <v>5</v>
      </c>
      <c r="R902">
        <v>8</v>
      </c>
      <c r="S902">
        <v>2</v>
      </c>
      <c r="T902">
        <v>0</v>
      </c>
      <c r="U902">
        <v>1</v>
      </c>
      <c r="V902">
        <v>0</v>
      </c>
      <c r="W902">
        <v>0</v>
      </c>
      <c r="X902">
        <v>0</v>
      </c>
      <c r="Y902" t="s">
        <v>113</v>
      </c>
      <c r="Z902" t="s">
        <v>339</v>
      </c>
      <c r="AA902" t="s">
        <v>392</v>
      </c>
      <c r="AB902" t="s">
        <v>226</v>
      </c>
      <c r="AC902" t="s">
        <v>2607</v>
      </c>
      <c r="AH902" t="s">
        <v>118</v>
      </c>
      <c r="AI902">
        <v>15</v>
      </c>
      <c r="AJ902">
        <v>0</v>
      </c>
      <c r="AK902">
        <v>0</v>
      </c>
      <c r="AL902">
        <v>0</v>
      </c>
      <c r="AM902">
        <v>4.96</v>
      </c>
      <c r="AN902">
        <v>0.98</v>
      </c>
      <c r="AO902">
        <v>1.64</v>
      </c>
      <c r="AS902">
        <v>3</v>
      </c>
      <c r="AT902">
        <v>0</v>
      </c>
      <c r="AU902">
        <v>3</v>
      </c>
      <c r="AV902">
        <v>80</v>
      </c>
      <c r="AW902">
        <v>77</v>
      </c>
      <c r="AX902">
        <v>538</v>
      </c>
      <c r="AY902">
        <v>0</v>
      </c>
      <c r="AZ902" t="b">
        <v>0</v>
      </c>
      <c r="BA902">
        <v>1728</v>
      </c>
      <c r="BB902">
        <v>1559</v>
      </c>
      <c r="BC902">
        <v>6</v>
      </c>
      <c r="BD902" t="s">
        <v>7800</v>
      </c>
      <c r="BE902" s="1" t="s">
        <v>3594</v>
      </c>
      <c r="BF902">
        <v>1</v>
      </c>
      <c r="BG902">
        <v>71</v>
      </c>
      <c r="BH902">
        <v>1</v>
      </c>
      <c r="BI902">
        <v>21</v>
      </c>
      <c r="BJ902" s="1" t="s">
        <v>4500</v>
      </c>
      <c r="BK902" s="1" t="s">
        <v>211</v>
      </c>
      <c r="BL902">
        <v>5.2</v>
      </c>
      <c r="BM902" s="1" t="s">
        <v>183</v>
      </c>
      <c r="BN902" s="1" t="s">
        <v>1092</v>
      </c>
      <c r="BO902" s="1" t="s">
        <v>161</v>
      </c>
      <c r="BP902">
        <v>1.6</v>
      </c>
      <c r="BQ902">
        <v>0</v>
      </c>
      <c r="BR902">
        <v>0</v>
      </c>
      <c r="BS902">
        <v>1</v>
      </c>
      <c r="BT902" s="1" t="s">
        <v>130</v>
      </c>
      <c r="BU902" s="1" t="s">
        <v>128</v>
      </c>
      <c r="BV902">
        <v>0.4</v>
      </c>
      <c r="BW902">
        <v>0</v>
      </c>
      <c r="BX902">
        <v>0</v>
      </c>
      <c r="BY902">
        <v>0</v>
      </c>
      <c r="BZ902">
        <v>6.6666666666666596E-2</v>
      </c>
      <c r="CA902">
        <v>4.96</v>
      </c>
      <c r="CB902">
        <v>4.96</v>
      </c>
      <c r="CC902">
        <v>0.98</v>
      </c>
      <c r="CD902">
        <v>0.98</v>
      </c>
      <c r="CE902">
        <v>1.64</v>
      </c>
      <c r="CF902">
        <v>1.64</v>
      </c>
      <c r="CG902" s="1" t="s">
        <v>211</v>
      </c>
      <c r="CH902">
        <v>3.8</v>
      </c>
      <c r="CI902">
        <v>1</v>
      </c>
      <c r="CJ902" s="1" t="s">
        <v>130</v>
      </c>
      <c r="CK902">
        <v>3</v>
      </c>
      <c r="CL902" s="1" t="s">
        <v>375</v>
      </c>
      <c r="CM902" s="1" t="s">
        <v>305</v>
      </c>
      <c r="CN902">
        <v>83.8</v>
      </c>
      <c r="CO902" s="1" t="s">
        <v>406</v>
      </c>
      <c r="CP902" s="1" t="s">
        <v>6688</v>
      </c>
      <c r="CQ902" s="1" t="s">
        <v>7801</v>
      </c>
      <c r="CR902" s="1" t="s">
        <v>7802</v>
      </c>
      <c r="CS902" s="1" t="s">
        <v>4221</v>
      </c>
      <c r="CT902" s="1" t="s">
        <v>7803</v>
      </c>
      <c r="CU902" s="1" t="s">
        <v>5939</v>
      </c>
      <c r="CV902">
        <v>1790.2</v>
      </c>
      <c r="CW902">
        <v>85</v>
      </c>
      <c r="CX902">
        <v>91.5</v>
      </c>
      <c r="CY902">
        <v>86.4</v>
      </c>
      <c r="CZ902" s="1" t="s">
        <v>1739</v>
      </c>
      <c r="DA902">
        <v>1</v>
      </c>
      <c r="DB902" t="s">
        <v>339</v>
      </c>
      <c r="DC902">
        <v>103</v>
      </c>
      <c r="DD902" s="1" t="s">
        <v>7804</v>
      </c>
      <c r="DE902" s="1" t="s">
        <v>7805</v>
      </c>
      <c r="DF902" t="e">
        <f>_xlfn.XLOOKUP(Table1[[#This Row],[Player ID]],Table2[feed_id],Table2[trade_status])</f>
        <v>#N/A</v>
      </c>
      <c r="DG902">
        <f>_xlfn.NUMBERVALUE(Table1[[#This Row],[predicted]])</f>
        <v>86.602918657289706</v>
      </c>
    </row>
    <row r="903" spans="1:111" hidden="1" x14ac:dyDescent="0.25">
      <c r="A903">
        <v>132806</v>
      </c>
      <c r="B903">
        <v>9243</v>
      </c>
      <c r="C903" t="s">
        <v>7798</v>
      </c>
      <c r="D903" t="s">
        <v>3116</v>
      </c>
      <c r="E903">
        <v>2025</v>
      </c>
      <c r="F903">
        <v>993903</v>
      </c>
      <c r="G903" t="s">
        <v>3830</v>
      </c>
      <c r="H903" t="s">
        <v>7806</v>
      </c>
      <c r="I903" t="s">
        <v>317</v>
      </c>
      <c r="J903">
        <v>26</v>
      </c>
      <c r="K903">
        <v>97</v>
      </c>
      <c r="L903">
        <v>118</v>
      </c>
      <c r="M903">
        <v>120</v>
      </c>
      <c r="N903">
        <v>85</v>
      </c>
      <c r="O903">
        <v>126</v>
      </c>
      <c r="P903">
        <v>8</v>
      </c>
      <c r="Q903">
        <v>25</v>
      </c>
      <c r="R903">
        <v>3</v>
      </c>
      <c r="S903">
        <v>6</v>
      </c>
      <c r="T903">
        <v>0</v>
      </c>
      <c r="U903">
        <v>2</v>
      </c>
      <c r="V903">
        <v>4</v>
      </c>
      <c r="W903">
        <v>0</v>
      </c>
      <c r="X903">
        <v>0</v>
      </c>
      <c r="Y903" t="s">
        <v>113</v>
      </c>
      <c r="Z903" t="s">
        <v>877</v>
      </c>
      <c r="AA903" t="s">
        <v>7807</v>
      </c>
      <c r="AE903">
        <v>0</v>
      </c>
      <c r="AH903" t="s">
        <v>118</v>
      </c>
      <c r="AI903">
        <v>2</v>
      </c>
      <c r="AJ903">
        <v>18</v>
      </c>
      <c r="AK903">
        <v>80.56</v>
      </c>
      <c r="AL903">
        <v>0</v>
      </c>
      <c r="AM903">
        <v>0</v>
      </c>
      <c r="AN903">
        <v>0.54</v>
      </c>
      <c r="AO903">
        <v>0.61</v>
      </c>
      <c r="AS903">
        <v>14</v>
      </c>
      <c r="AT903">
        <v>5</v>
      </c>
      <c r="AU903">
        <v>6</v>
      </c>
      <c r="AV903">
        <v>66</v>
      </c>
      <c r="AW903">
        <v>69</v>
      </c>
      <c r="AX903">
        <v>223</v>
      </c>
      <c r="AY903">
        <v>0</v>
      </c>
      <c r="AZ903" t="b">
        <v>0</v>
      </c>
      <c r="BA903">
        <v>1728</v>
      </c>
      <c r="BB903">
        <v>1559</v>
      </c>
      <c r="BC903">
        <v>6</v>
      </c>
      <c r="BD903" t="s">
        <v>7800</v>
      </c>
      <c r="BE903" s="1" t="s">
        <v>3594</v>
      </c>
      <c r="BF903">
        <v>1</v>
      </c>
      <c r="BG903">
        <v>71</v>
      </c>
      <c r="BH903">
        <v>1</v>
      </c>
      <c r="BI903" s="1" t="s">
        <v>1008</v>
      </c>
      <c r="BJ903">
        <v>10.4</v>
      </c>
      <c r="BK903" s="1" t="s">
        <v>6374</v>
      </c>
      <c r="BL903" s="1" t="s">
        <v>7808</v>
      </c>
      <c r="BM903" s="1" t="s">
        <v>160</v>
      </c>
      <c r="BN903" s="1" t="s">
        <v>321</v>
      </c>
      <c r="BO903">
        <v>4</v>
      </c>
      <c r="BP903" s="1" t="s">
        <v>125</v>
      </c>
      <c r="BQ903">
        <v>0</v>
      </c>
      <c r="BR903">
        <v>0</v>
      </c>
      <c r="BS903">
        <v>1</v>
      </c>
      <c r="BT903" s="1" t="s">
        <v>162</v>
      </c>
      <c r="BU903" s="1" t="s">
        <v>159</v>
      </c>
      <c r="BV903" s="1" t="s">
        <v>327</v>
      </c>
      <c r="BW903">
        <v>0</v>
      </c>
      <c r="BX903" s="1" t="s">
        <v>213</v>
      </c>
      <c r="BY903">
        <v>0</v>
      </c>
      <c r="BZ903" s="1" t="s">
        <v>184</v>
      </c>
      <c r="CA903">
        <v>0</v>
      </c>
      <c r="CB903">
        <v>0</v>
      </c>
      <c r="CC903">
        <v>0.54</v>
      </c>
      <c r="CD903">
        <v>0.54</v>
      </c>
      <c r="CE903">
        <v>0.61</v>
      </c>
      <c r="CF903">
        <v>0.61</v>
      </c>
      <c r="CG903" s="1" t="s">
        <v>1829</v>
      </c>
      <c r="CH903" s="1" t="s">
        <v>1761</v>
      </c>
      <c r="CI903" s="1" t="s">
        <v>449</v>
      </c>
      <c r="CJ903" s="1" t="s">
        <v>565</v>
      </c>
      <c r="CK903">
        <v>4</v>
      </c>
      <c r="CL903" s="1" t="s">
        <v>212</v>
      </c>
      <c r="CM903" s="1" t="s">
        <v>1080</v>
      </c>
      <c r="CN903" s="1" t="s">
        <v>4343</v>
      </c>
      <c r="CO903" s="1" t="s">
        <v>754</v>
      </c>
      <c r="CP903" s="1" t="s">
        <v>1532</v>
      </c>
      <c r="CQ903">
        <v>255</v>
      </c>
      <c r="CR903" s="1" t="s">
        <v>7809</v>
      </c>
      <c r="CS903" s="1" t="s">
        <v>4221</v>
      </c>
      <c r="CT903">
        <v>1486</v>
      </c>
      <c r="CU903" s="1" t="s">
        <v>5939</v>
      </c>
      <c r="CV903" s="1" t="s">
        <v>7810</v>
      </c>
      <c r="CW903">
        <v>83.2</v>
      </c>
      <c r="CX903">
        <v>82.6</v>
      </c>
      <c r="CY903">
        <v>93.8</v>
      </c>
      <c r="CZ903" s="1" t="s">
        <v>7811</v>
      </c>
      <c r="DA903">
        <v>1</v>
      </c>
      <c r="DB903" t="s">
        <v>877</v>
      </c>
      <c r="DC903">
        <v>118</v>
      </c>
      <c r="DD903" s="1" t="s">
        <v>7812</v>
      </c>
      <c r="DE903" s="1" t="s">
        <v>7813</v>
      </c>
      <c r="DF903" t="e">
        <f>_xlfn.XLOOKUP(Table1[[#This Row],[Player ID]],Table2[feed_id],Table2[trade_status])</f>
        <v>#N/A</v>
      </c>
      <c r="DG903">
        <f>_xlfn.NUMBERVALUE(Table1[[#This Row],[predicted]])</f>
        <v>73.764689633639605</v>
      </c>
    </row>
    <row r="904" spans="1:111" hidden="1" x14ac:dyDescent="0.25">
      <c r="A904">
        <v>132807</v>
      </c>
      <c r="B904">
        <v>9243</v>
      </c>
      <c r="C904" t="s">
        <v>7798</v>
      </c>
      <c r="D904" t="s">
        <v>3116</v>
      </c>
      <c r="E904">
        <v>2025</v>
      </c>
      <c r="F904">
        <v>998172</v>
      </c>
      <c r="G904" t="s">
        <v>1918</v>
      </c>
      <c r="H904" t="s">
        <v>7814</v>
      </c>
      <c r="I904" t="s">
        <v>317</v>
      </c>
      <c r="J904">
        <v>26</v>
      </c>
      <c r="K904">
        <v>97</v>
      </c>
      <c r="L904">
        <v>101</v>
      </c>
      <c r="M904">
        <v>126</v>
      </c>
      <c r="N904">
        <v>76</v>
      </c>
      <c r="O904">
        <v>111</v>
      </c>
      <c r="P904">
        <v>11</v>
      </c>
      <c r="Q904">
        <v>15</v>
      </c>
      <c r="R904">
        <v>4</v>
      </c>
      <c r="S904">
        <v>7</v>
      </c>
      <c r="T904">
        <v>0</v>
      </c>
      <c r="U904">
        <v>0</v>
      </c>
      <c r="V904">
        <v>2</v>
      </c>
      <c r="W904">
        <v>0</v>
      </c>
      <c r="X904">
        <v>0</v>
      </c>
      <c r="Y904" t="s">
        <v>113</v>
      </c>
      <c r="Z904" t="s">
        <v>877</v>
      </c>
      <c r="AA904" t="s">
        <v>7815</v>
      </c>
      <c r="AE904">
        <v>0</v>
      </c>
      <c r="AH904" t="s">
        <v>118</v>
      </c>
      <c r="AI904">
        <v>14</v>
      </c>
      <c r="AJ904">
        <v>20</v>
      </c>
      <c r="AK904">
        <v>91.15</v>
      </c>
      <c r="AL904">
        <v>0</v>
      </c>
      <c r="AM904">
        <v>0</v>
      </c>
      <c r="AN904">
        <v>1.95</v>
      </c>
      <c r="AO904">
        <v>3.16</v>
      </c>
      <c r="AS904">
        <v>8</v>
      </c>
      <c r="AT904">
        <v>4</v>
      </c>
      <c r="AU904">
        <v>5</v>
      </c>
      <c r="AV904">
        <v>88</v>
      </c>
      <c r="AW904">
        <v>86</v>
      </c>
      <c r="AX904">
        <v>342</v>
      </c>
      <c r="AY904">
        <v>0</v>
      </c>
      <c r="AZ904" t="b">
        <v>0</v>
      </c>
      <c r="BA904">
        <v>1728</v>
      </c>
      <c r="BB904">
        <v>1559</v>
      </c>
      <c r="BC904">
        <v>6</v>
      </c>
      <c r="BD904" t="s">
        <v>7800</v>
      </c>
      <c r="BE904" s="1" t="s">
        <v>3594</v>
      </c>
      <c r="BF904">
        <v>1</v>
      </c>
      <c r="BG904">
        <v>71</v>
      </c>
      <c r="BH904">
        <v>1</v>
      </c>
      <c r="BI904" s="1" t="s">
        <v>157</v>
      </c>
      <c r="BJ904">
        <v>11</v>
      </c>
      <c r="BK904" s="1" t="s">
        <v>123</v>
      </c>
      <c r="BL904" s="1" t="s">
        <v>122</v>
      </c>
      <c r="BM904" s="1" t="s">
        <v>159</v>
      </c>
      <c r="BN904" s="1" t="s">
        <v>322</v>
      </c>
      <c r="BO904" s="1" t="s">
        <v>204</v>
      </c>
      <c r="BP904" s="1" t="s">
        <v>449</v>
      </c>
      <c r="BQ904">
        <v>0</v>
      </c>
      <c r="BR904">
        <v>0</v>
      </c>
      <c r="BS904">
        <v>1</v>
      </c>
      <c r="BT904" s="1" t="s">
        <v>257</v>
      </c>
      <c r="BU904">
        <v>1</v>
      </c>
      <c r="BV904" s="1" t="s">
        <v>128</v>
      </c>
      <c r="BW904" s="1" t="s">
        <v>129</v>
      </c>
      <c r="BX904" s="1" t="s">
        <v>184</v>
      </c>
      <c r="BY904">
        <v>0</v>
      </c>
      <c r="BZ904">
        <v>0.4</v>
      </c>
      <c r="CA904">
        <v>0</v>
      </c>
      <c r="CB904">
        <v>0</v>
      </c>
      <c r="CC904">
        <v>1.95</v>
      </c>
      <c r="CD904">
        <v>1.95</v>
      </c>
      <c r="CE904">
        <v>3.16</v>
      </c>
      <c r="CF904">
        <v>3.16</v>
      </c>
      <c r="CG904" s="1" t="s">
        <v>356</v>
      </c>
      <c r="CH904">
        <v>11.6</v>
      </c>
      <c r="CI904">
        <v>6</v>
      </c>
      <c r="CJ904" s="1" t="s">
        <v>898</v>
      </c>
      <c r="CK904" s="1" t="s">
        <v>211</v>
      </c>
      <c r="CL904">
        <v>3.6</v>
      </c>
      <c r="CM904">
        <v>77</v>
      </c>
      <c r="CN904">
        <v>67.8</v>
      </c>
      <c r="CO904" s="1" t="s">
        <v>239</v>
      </c>
      <c r="CP904" s="1" t="s">
        <v>1779</v>
      </c>
      <c r="CQ904" s="1" t="s">
        <v>5633</v>
      </c>
      <c r="CR904" s="1" t="s">
        <v>7816</v>
      </c>
      <c r="CS904" s="1" t="s">
        <v>4221</v>
      </c>
      <c r="CT904" s="1" t="s">
        <v>7817</v>
      </c>
      <c r="CU904" s="1" t="s">
        <v>5939</v>
      </c>
      <c r="CV904" s="1" t="s">
        <v>7818</v>
      </c>
      <c r="CW904">
        <v>90.55</v>
      </c>
      <c r="CX904">
        <v>80.900000000000006</v>
      </c>
      <c r="CY904">
        <v>86.2</v>
      </c>
      <c r="CZ904" s="1" t="s">
        <v>6070</v>
      </c>
      <c r="DA904">
        <v>1</v>
      </c>
      <c r="DB904" t="s">
        <v>877</v>
      </c>
      <c r="DC904">
        <v>101</v>
      </c>
      <c r="DD904" s="1" t="s">
        <v>7819</v>
      </c>
      <c r="DE904" s="1" t="s">
        <v>7820</v>
      </c>
      <c r="DF904" t="e">
        <f>_xlfn.XLOOKUP(Table1[[#This Row],[Player ID]],Table2[feed_id],Table2[trade_status])</f>
        <v>#N/A</v>
      </c>
      <c r="DG904">
        <f>_xlfn.NUMBERVALUE(Table1[[#This Row],[predicted]])</f>
        <v>74.942242620508196</v>
      </c>
    </row>
    <row r="905" spans="1:111" x14ac:dyDescent="0.25">
      <c r="A905">
        <v>132733</v>
      </c>
      <c r="B905">
        <v>9241</v>
      </c>
      <c r="C905" t="s">
        <v>7418</v>
      </c>
      <c r="D905" t="s">
        <v>3116</v>
      </c>
      <c r="E905">
        <v>2025</v>
      </c>
      <c r="F905">
        <v>1032966</v>
      </c>
      <c r="G905" t="s">
        <v>617</v>
      </c>
      <c r="H905" t="s">
        <v>7481</v>
      </c>
      <c r="I905" t="s">
        <v>712</v>
      </c>
      <c r="J905">
        <v>3</v>
      </c>
      <c r="K905">
        <v>37</v>
      </c>
      <c r="L905">
        <v>30</v>
      </c>
      <c r="M905">
        <v>50</v>
      </c>
      <c r="N905">
        <v>27</v>
      </c>
      <c r="O905">
        <v>36</v>
      </c>
      <c r="P905">
        <v>6</v>
      </c>
      <c r="Q905">
        <v>1</v>
      </c>
      <c r="R905">
        <v>3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0</v>
      </c>
      <c r="Y905" t="s">
        <v>113</v>
      </c>
      <c r="Z905" t="s">
        <v>4803</v>
      </c>
      <c r="AA905" t="s">
        <v>7482</v>
      </c>
      <c r="AH905" t="s">
        <v>181</v>
      </c>
      <c r="AI905">
        <v>18</v>
      </c>
      <c r="AJ905">
        <v>0</v>
      </c>
      <c r="AK905">
        <v>0</v>
      </c>
      <c r="AL905">
        <v>0</v>
      </c>
      <c r="AM905">
        <v>0.18</v>
      </c>
      <c r="AN905">
        <v>0.39</v>
      </c>
      <c r="AO905">
        <v>0.85</v>
      </c>
      <c r="AS905">
        <v>1</v>
      </c>
      <c r="AT905">
        <v>0</v>
      </c>
      <c r="AU905">
        <v>2</v>
      </c>
      <c r="AV905">
        <v>71</v>
      </c>
      <c r="AW905">
        <v>79</v>
      </c>
      <c r="AX905">
        <v>162</v>
      </c>
      <c r="AY905">
        <v>0</v>
      </c>
      <c r="AZ905" t="b">
        <v>0</v>
      </c>
      <c r="BA905">
        <v>1780</v>
      </c>
      <c r="BB905">
        <v>1518</v>
      </c>
      <c r="BC905">
        <v>6</v>
      </c>
      <c r="BD905" t="s">
        <v>7420</v>
      </c>
      <c r="BE905" s="1" t="s">
        <v>3594</v>
      </c>
      <c r="BF905">
        <v>0</v>
      </c>
      <c r="BG905">
        <v>71</v>
      </c>
      <c r="BH905">
        <v>0</v>
      </c>
      <c r="BI905" s="1" t="s">
        <v>204</v>
      </c>
      <c r="BJ905">
        <v>7.6</v>
      </c>
      <c r="BK905" s="1" t="s">
        <v>159</v>
      </c>
      <c r="BL905" s="1" t="s">
        <v>140</v>
      </c>
      <c r="BM905" s="1" t="s">
        <v>159</v>
      </c>
      <c r="BN905" s="1" t="s">
        <v>990</v>
      </c>
      <c r="BO905" s="1" t="s">
        <v>161</v>
      </c>
      <c r="BP905" s="1" t="s">
        <v>257</v>
      </c>
      <c r="BQ905" s="1" t="s">
        <v>126</v>
      </c>
      <c r="BR905" s="1" t="s">
        <v>184</v>
      </c>
      <c r="BS905" s="1" t="s">
        <v>159</v>
      </c>
      <c r="BT905" s="1" t="s">
        <v>128</v>
      </c>
      <c r="BU905">
        <v>0</v>
      </c>
      <c r="BV905" s="1" t="s">
        <v>130</v>
      </c>
      <c r="BW905">
        <v>1</v>
      </c>
      <c r="BX905" s="1" t="s">
        <v>129</v>
      </c>
      <c r="BY905" s="1" t="s">
        <v>128</v>
      </c>
      <c r="BZ905">
        <v>0.2</v>
      </c>
      <c r="CA905">
        <v>0.18</v>
      </c>
      <c r="CB905">
        <v>0.18</v>
      </c>
      <c r="CC905">
        <v>0.39</v>
      </c>
      <c r="CD905">
        <v>0.39</v>
      </c>
      <c r="CE905">
        <v>0.85</v>
      </c>
      <c r="CF905">
        <v>0.85</v>
      </c>
      <c r="CG905" s="1" t="s">
        <v>138</v>
      </c>
      <c r="CH905" s="1" t="s">
        <v>640</v>
      </c>
      <c r="CI905" s="1" t="s">
        <v>128</v>
      </c>
      <c r="CJ905">
        <v>0.2</v>
      </c>
      <c r="CK905" s="1" t="s">
        <v>161</v>
      </c>
      <c r="CL905" s="1" t="s">
        <v>375</v>
      </c>
      <c r="CM905" s="1" t="s">
        <v>572</v>
      </c>
      <c r="CN905" s="1" t="s">
        <v>1839</v>
      </c>
      <c r="CO905" s="1" t="s">
        <v>1110</v>
      </c>
      <c r="CP905" s="1" t="s">
        <v>365</v>
      </c>
      <c r="CQ905" s="1" t="s">
        <v>7483</v>
      </c>
      <c r="CR905" s="1" t="s">
        <v>7484</v>
      </c>
      <c r="CS905" s="1" t="s">
        <v>664</v>
      </c>
      <c r="CT905" s="1" t="s">
        <v>4752</v>
      </c>
      <c r="CU905" s="1" t="s">
        <v>3948</v>
      </c>
      <c r="CV905">
        <v>1632.4</v>
      </c>
      <c r="CW905">
        <v>52.35</v>
      </c>
      <c r="CX905">
        <v>50.9</v>
      </c>
      <c r="CY905">
        <v>49.6</v>
      </c>
      <c r="CZ905" s="1" t="s">
        <v>1357</v>
      </c>
      <c r="DA905">
        <v>1</v>
      </c>
      <c r="DB905" t="s">
        <v>4803</v>
      </c>
      <c r="DC905">
        <v>30</v>
      </c>
      <c r="DD905" s="1" t="s">
        <v>7485</v>
      </c>
      <c r="DE905">
        <v>-30.549750612499299</v>
      </c>
      <c r="DF905" t="str">
        <f>_xlfn.XLOOKUP(Table1[[#This Row],[Player ID]],Table2[feed_id],Table2[trade_status])</f>
        <v>free_agent</v>
      </c>
      <c r="DG905">
        <f>_xlfn.NUMBERVALUE(Table1[[#This Row],[predicted]])</f>
        <v>60.549750612499302</v>
      </c>
    </row>
    <row r="906" spans="1:111" hidden="1" x14ac:dyDescent="0.25">
      <c r="A906">
        <v>132810</v>
      </c>
      <c r="B906">
        <v>9243</v>
      </c>
      <c r="C906" t="s">
        <v>7798</v>
      </c>
      <c r="D906" t="s">
        <v>3116</v>
      </c>
      <c r="E906">
        <v>2025</v>
      </c>
      <c r="F906">
        <v>294674</v>
      </c>
      <c r="G906" t="s">
        <v>740</v>
      </c>
      <c r="H906" t="s">
        <v>7827</v>
      </c>
      <c r="I906" t="s">
        <v>317</v>
      </c>
      <c r="J906">
        <v>15</v>
      </c>
      <c r="K906">
        <v>89</v>
      </c>
      <c r="L906">
        <v>96</v>
      </c>
      <c r="M906">
        <v>117</v>
      </c>
      <c r="N906">
        <v>74</v>
      </c>
      <c r="O906">
        <v>96</v>
      </c>
      <c r="P906">
        <v>13</v>
      </c>
      <c r="Q906">
        <v>7</v>
      </c>
      <c r="R906">
        <v>9</v>
      </c>
      <c r="S906">
        <v>3</v>
      </c>
      <c r="T906">
        <v>0</v>
      </c>
      <c r="U906">
        <v>3</v>
      </c>
      <c r="V906">
        <v>2</v>
      </c>
      <c r="W906">
        <v>0</v>
      </c>
      <c r="X906">
        <v>0</v>
      </c>
      <c r="Y906" t="s">
        <v>113</v>
      </c>
      <c r="Z906" t="s">
        <v>114</v>
      </c>
      <c r="AA906" t="s">
        <v>7828</v>
      </c>
      <c r="AB906" t="s">
        <v>226</v>
      </c>
      <c r="AC906" t="s">
        <v>3355</v>
      </c>
      <c r="AH906" t="s">
        <v>181</v>
      </c>
      <c r="AI906">
        <v>1</v>
      </c>
      <c r="AJ906">
        <v>0</v>
      </c>
      <c r="AK906">
        <v>0</v>
      </c>
      <c r="AL906">
        <v>0</v>
      </c>
      <c r="AM906">
        <v>0.09</v>
      </c>
      <c r="AN906">
        <v>0.11</v>
      </c>
      <c r="AO906">
        <v>0.2</v>
      </c>
      <c r="AS906">
        <v>5</v>
      </c>
      <c r="AT906">
        <v>0</v>
      </c>
      <c r="AU906">
        <v>3</v>
      </c>
      <c r="AV906">
        <v>85</v>
      </c>
      <c r="AW906">
        <v>83</v>
      </c>
      <c r="AX906">
        <v>372</v>
      </c>
      <c r="AY906">
        <v>1</v>
      </c>
      <c r="AZ906" t="b">
        <v>1</v>
      </c>
      <c r="BA906">
        <v>1728</v>
      </c>
      <c r="BB906">
        <v>1559</v>
      </c>
      <c r="BC906">
        <v>6</v>
      </c>
      <c r="BD906" t="s">
        <v>7800</v>
      </c>
      <c r="BE906" s="1" t="s">
        <v>3594</v>
      </c>
      <c r="BF906">
        <v>0</v>
      </c>
      <c r="BG906">
        <v>71</v>
      </c>
      <c r="BH906">
        <v>1</v>
      </c>
      <c r="BI906" s="1" t="s">
        <v>395</v>
      </c>
      <c r="BJ906" s="1" t="s">
        <v>1817</v>
      </c>
      <c r="BK906" s="1" t="s">
        <v>125</v>
      </c>
      <c r="BL906">
        <v>5.4</v>
      </c>
      <c r="BM906" s="1" t="s">
        <v>397</v>
      </c>
      <c r="BN906">
        <v>7</v>
      </c>
      <c r="BO906" s="1" t="s">
        <v>169</v>
      </c>
      <c r="BP906">
        <v>2.2000000000000002</v>
      </c>
      <c r="BQ906">
        <v>0</v>
      </c>
      <c r="BR906">
        <v>0</v>
      </c>
      <c r="BS906" s="1" t="s">
        <v>126</v>
      </c>
      <c r="BT906">
        <v>1.2</v>
      </c>
      <c r="BU906" s="1" t="s">
        <v>126</v>
      </c>
      <c r="BV906" s="1" t="s">
        <v>298</v>
      </c>
      <c r="BW906">
        <v>0</v>
      </c>
      <c r="BX906">
        <v>0</v>
      </c>
      <c r="BY906">
        <v>0</v>
      </c>
      <c r="BZ906">
        <v>0</v>
      </c>
      <c r="CA906">
        <v>0.09</v>
      </c>
      <c r="CB906">
        <v>0.09</v>
      </c>
      <c r="CC906">
        <v>0.11</v>
      </c>
      <c r="CD906">
        <v>0.11</v>
      </c>
      <c r="CE906">
        <v>0.2</v>
      </c>
      <c r="CF906">
        <v>0.2</v>
      </c>
      <c r="CG906">
        <v>4</v>
      </c>
      <c r="CH906" s="1" t="s">
        <v>205</v>
      </c>
      <c r="CI906">
        <v>0</v>
      </c>
      <c r="CJ906">
        <v>0.4</v>
      </c>
      <c r="CK906" s="1" t="s">
        <v>169</v>
      </c>
      <c r="CL906">
        <v>2.8</v>
      </c>
      <c r="CM906" s="1" t="s">
        <v>364</v>
      </c>
      <c r="CN906" s="1" t="s">
        <v>663</v>
      </c>
      <c r="CO906" s="1" t="s">
        <v>968</v>
      </c>
      <c r="CP906" s="1" t="s">
        <v>1740</v>
      </c>
      <c r="CQ906" s="1" t="s">
        <v>7829</v>
      </c>
      <c r="CR906">
        <v>394.2</v>
      </c>
      <c r="CS906" s="1" t="s">
        <v>4221</v>
      </c>
      <c r="CT906">
        <v>1494.4</v>
      </c>
      <c r="CU906" s="1" t="s">
        <v>5939</v>
      </c>
      <c r="CV906" s="1" t="s">
        <v>7830</v>
      </c>
      <c r="CW906">
        <v>83.4</v>
      </c>
      <c r="CX906">
        <v>87.6</v>
      </c>
      <c r="CY906">
        <v>80</v>
      </c>
      <c r="CZ906" s="1" t="s">
        <v>516</v>
      </c>
      <c r="DA906">
        <v>1</v>
      </c>
      <c r="DB906" t="s">
        <v>114</v>
      </c>
      <c r="DC906">
        <v>96</v>
      </c>
      <c r="DD906" s="1" t="s">
        <v>7831</v>
      </c>
      <c r="DE906" s="1" t="s">
        <v>7832</v>
      </c>
      <c r="DF906" t="e">
        <f>_xlfn.XLOOKUP(Table1[[#This Row],[Player ID]],Table2[feed_id],Table2[trade_status])</f>
        <v>#N/A</v>
      </c>
      <c r="DG906">
        <f>_xlfn.NUMBERVALUE(Table1[[#This Row],[predicted]])</f>
        <v>61.8425345311801</v>
      </c>
    </row>
    <row r="907" spans="1:111" x14ac:dyDescent="0.25">
      <c r="A907">
        <v>132750</v>
      </c>
      <c r="B907">
        <v>9241</v>
      </c>
      <c r="C907" t="s">
        <v>7418</v>
      </c>
      <c r="D907" t="s">
        <v>3116</v>
      </c>
      <c r="E907">
        <v>2025</v>
      </c>
      <c r="F907">
        <v>1028019</v>
      </c>
      <c r="G907" t="s">
        <v>6149</v>
      </c>
      <c r="H907" t="s">
        <v>1212</v>
      </c>
      <c r="I907" t="s">
        <v>201</v>
      </c>
      <c r="J907">
        <v>21</v>
      </c>
      <c r="K907">
        <v>77</v>
      </c>
      <c r="L907">
        <v>93</v>
      </c>
      <c r="M907">
        <v>56</v>
      </c>
      <c r="N907">
        <v>68</v>
      </c>
      <c r="O907">
        <v>84</v>
      </c>
      <c r="P907">
        <v>9</v>
      </c>
      <c r="Q907">
        <v>6</v>
      </c>
      <c r="R907">
        <v>4</v>
      </c>
      <c r="S907">
        <v>1</v>
      </c>
      <c r="T907">
        <v>0</v>
      </c>
      <c r="U907">
        <v>1</v>
      </c>
      <c r="V907">
        <v>1</v>
      </c>
      <c r="W907">
        <v>4</v>
      </c>
      <c r="X907">
        <v>0</v>
      </c>
      <c r="Y907" t="s">
        <v>113</v>
      </c>
      <c r="Z907" t="s">
        <v>4395</v>
      </c>
      <c r="AA907" t="s">
        <v>7200</v>
      </c>
      <c r="AB907" t="s">
        <v>7557</v>
      </c>
      <c r="AC907" t="s">
        <v>7558</v>
      </c>
      <c r="AH907" t="s">
        <v>155</v>
      </c>
      <c r="AI907">
        <v>13</v>
      </c>
      <c r="AJ907">
        <v>0</v>
      </c>
      <c r="AK907">
        <v>0</v>
      </c>
      <c r="AL907">
        <v>0</v>
      </c>
      <c r="AM907">
        <v>0.18</v>
      </c>
      <c r="AN907">
        <v>0.28999999999999998</v>
      </c>
      <c r="AO907">
        <v>0.18</v>
      </c>
      <c r="AS907">
        <v>6</v>
      </c>
      <c r="AT907">
        <v>0</v>
      </c>
      <c r="AU907">
        <v>1</v>
      </c>
      <c r="AV907">
        <v>86</v>
      </c>
      <c r="AW907">
        <v>80</v>
      </c>
      <c r="AX907">
        <v>266</v>
      </c>
      <c r="AY907">
        <v>0</v>
      </c>
      <c r="AZ907" t="b">
        <v>0</v>
      </c>
      <c r="BA907">
        <v>1518</v>
      </c>
      <c r="BB907">
        <v>1780</v>
      </c>
      <c r="BC907">
        <v>6</v>
      </c>
      <c r="BD907" t="s">
        <v>7502</v>
      </c>
      <c r="BE907" s="1" t="s">
        <v>3594</v>
      </c>
      <c r="BF907">
        <v>0</v>
      </c>
      <c r="BG907">
        <v>71</v>
      </c>
      <c r="BH907">
        <v>1</v>
      </c>
      <c r="BI907" s="1" t="s">
        <v>253</v>
      </c>
      <c r="BJ907">
        <v>6.4</v>
      </c>
      <c r="BK907">
        <v>4</v>
      </c>
      <c r="BL907" s="1" t="s">
        <v>373</v>
      </c>
      <c r="BM907" s="1" t="s">
        <v>160</v>
      </c>
      <c r="BN907" s="1" t="s">
        <v>990</v>
      </c>
      <c r="BO907" s="1" t="s">
        <v>161</v>
      </c>
      <c r="BP907" s="1" t="s">
        <v>399</v>
      </c>
      <c r="BQ907">
        <v>0</v>
      </c>
      <c r="BR907">
        <v>0</v>
      </c>
      <c r="BS907">
        <v>1</v>
      </c>
      <c r="BT907" s="1" t="s">
        <v>128</v>
      </c>
      <c r="BU907" s="1" t="s">
        <v>128</v>
      </c>
      <c r="BV907" s="1" t="s">
        <v>238</v>
      </c>
      <c r="BW907">
        <v>3</v>
      </c>
      <c r="BX907">
        <v>1.4</v>
      </c>
      <c r="BY907" s="1" t="s">
        <v>129</v>
      </c>
      <c r="BZ907" s="1" t="s">
        <v>130</v>
      </c>
      <c r="CA907">
        <v>0.18</v>
      </c>
      <c r="CB907">
        <v>0.18</v>
      </c>
      <c r="CC907">
        <v>0.28999999999999998</v>
      </c>
      <c r="CD907">
        <v>0.28999999999999998</v>
      </c>
      <c r="CE907">
        <v>0.18</v>
      </c>
      <c r="CF907">
        <v>0.18</v>
      </c>
      <c r="CG907" s="1" t="s">
        <v>160</v>
      </c>
      <c r="CH907" s="1" t="s">
        <v>990</v>
      </c>
      <c r="CI907">
        <v>0</v>
      </c>
      <c r="CJ907" s="1" t="s">
        <v>213</v>
      </c>
      <c r="CK907" s="1" t="s">
        <v>169</v>
      </c>
      <c r="CL907" s="1" t="s">
        <v>257</v>
      </c>
      <c r="CM907" s="1" t="s">
        <v>883</v>
      </c>
      <c r="CN907" s="1" t="s">
        <v>1472</v>
      </c>
      <c r="CO907" s="1" t="s">
        <v>1080</v>
      </c>
      <c r="CP907">
        <v>67.8</v>
      </c>
      <c r="CQ907">
        <v>199</v>
      </c>
      <c r="CR907">
        <v>161.4</v>
      </c>
      <c r="CS907" s="1" t="s">
        <v>7505</v>
      </c>
      <c r="CT907" s="1" t="s">
        <v>7559</v>
      </c>
      <c r="CU907" s="1" t="s">
        <v>7506</v>
      </c>
      <c r="CV907">
        <v>1536.4</v>
      </c>
      <c r="CW907">
        <v>61.6</v>
      </c>
      <c r="CX907">
        <v>64.5</v>
      </c>
      <c r="CY907">
        <v>72.8</v>
      </c>
      <c r="CZ907">
        <v>79</v>
      </c>
      <c r="DA907">
        <v>1</v>
      </c>
      <c r="DB907" t="s">
        <v>4395</v>
      </c>
      <c r="DC907">
        <v>93</v>
      </c>
      <c r="DD907" s="1" t="s">
        <v>7560</v>
      </c>
      <c r="DE907" s="1" t="s">
        <v>7561</v>
      </c>
      <c r="DF907" t="str">
        <f>_xlfn.XLOOKUP(Table1[[#This Row],[Player ID]],Table2[feed_id],Table2[trade_status])</f>
        <v>free_agent</v>
      </c>
      <c r="DG907">
        <f>_xlfn.NUMBERVALUE(Table1[[#This Row],[predicted]])</f>
        <v>60.527908670164301</v>
      </c>
    </row>
    <row r="908" spans="1:111" hidden="1" x14ac:dyDescent="0.25">
      <c r="A908">
        <v>132812</v>
      </c>
      <c r="B908">
        <v>9243</v>
      </c>
      <c r="C908" t="s">
        <v>7798</v>
      </c>
      <c r="D908" t="s">
        <v>3116</v>
      </c>
      <c r="E908">
        <v>2025</v>
      </c>
      <c r="F908">
        <v>298174</v>
      </c>
      <c r="G908" t="s">
        <v>4983</v>
      </c>
      <c r="H908" t="s">
        <v>6715</v>
      </c>
      <c r="I908" t="s">
        <v>317</v>
      </c>
      <c r="J908">
        <v>21</v>
      </c>
      <c r="K908">
        <v>84</v>
      </c>
      <c r="L908">
        <v>125</v>
      </c>
      <c r="M908">
        <v>95</v>
      </c>
      <c r="N908">
        <v>80</v>
      </c>
      <c r="O908">
        <v>99</v>
      </c>
      <c r="P908">
        <v>4</v>
      </c>
      <c r="Q908">
        <v>13</v>
      </c>
      <c r="R908">
        <v>3</v>
      </c>
      <c r="S908">
        <v>2</v>
      </c>
      <c r="T908">
        <v>33</v>
      </c>
      <c r="U908">
        <v>2</v>
      </c>
      <c r="V908">
        <v>2</v>
      </c>
      <c r="W908">
        <v>0</v>
      </c>
      <c r="X908">
        <v>0</v>
      </c>
      <c r="Y908" t="s">
        <v>113</v>
      </c>
      <c r="Z908" t="s">
        <v>602</v>
      </c>
      <c r="AA908" t="s">
        <v>3889</v>
      </c>
      <c r="AH908" t="s">
        <v>274</v>
      </c>
      <c r="AI908">
        <v>25</v>
      </c>
      <c r="AJ908">
        <v>0</v>
      </c>
      <c r="AK908">
        <v>0</v>
      </c>
      <c r="AL908">
        <v>0</v>
      </c>
      <c r="AM908">
        <v>0.22</v>
      </c>
      <c r="AN908">
        <v>0.31</v>
      </c>
      <c r="AO908">
        <v>1.1000000000000001</v>
      </c>
      <c r="AS908">
        <v>8</v>
      </c>
      <c r="AT908">
        <v>5</v>
      </c>
      <c r="AU908">
        <v>3</v>
      </c>
      <c r="AV908">
        <v>100</v>
      </c>
      <c r="AW908">
        <v>82</v>
      </c>
      <c r="AX908">
        <v>21</v>
      </c>
      <c r="AY908">
        <v>0</v>
      </c>
      <c r="AZ908" t="b">
        <v>0</v>
      </c>
      <c r="BA908">
        <v>1728</v>
      </c>
      <c r="BB908">
        <v>1559</v>
      </c>
      <c r="BC908">
        <v>6</v>
      </c>
      <c r="BD908" t="s">
        <v>7800</v>
      </c>
      <c r="BE908" s="1" t="s">
        <v>3594</v>
      </c>
      <c r="BF908">
        <v>1</v>
      </c>
      <c r="BG908">
        <v>71</v>
      </c>
      <c r="BH908">
        <v>1</v>
      </c>
      <c r="BI908" s="1" t="s">
        <v>545</v>
      </c>
      <c r="BJ908" s="1" t="s">
        <v>1066</v>
      </c>
      <c r="BK908" s="1" t="s">
        <v>294</v>
      </c>
      <c r="BL908">
        <v>9</v>
      </c>
      <c r="BM908" s="1" t="s">
        <v>169</v>
      </c>
      <c r="BN908" s="1" t="s">
        <v>138</v>
      </c>
      <c r="BO908" s="1" t="s">
        <v>126</v>
      </c>
      <c r="BP908">
        <v>4.2</v>
      </c>
      <c r="BQ908" s="1" t="s">
        <v>5884</v>
      </c>
      <c r="BR908" s="1" t="s">
        <v>7837</v>
      </c>
      <c r="BS908" s="1" t="s">
        <v>126</v>
      </c>
      <c r="BT908">
        <v>1.4</v>
      </c>
      <c r="BU908" s="1" t="s">
        <v>161</v>
      </c>
      <c r="BV908" s="1" t="s">
        <v>161</v>
      </c>
      <c r="BW908">
        <v>0</v>
      </c>
      <c r="BX908" s="1" t="s">
        <v>184</v>
      </c>
      <c r="BY908" s="1" t="s">
        <v>128</v>
      </c>
      <c r="BZ908">
        <v>0.4</v>
      </c>
      <c r="CA908">
        <v>0.22</v>
      </c>
      <c r="CB908">
        <v>0.22</v>
      </c>
      <c r="CC908">
        <v>0.31</v>
      </c>
      <c r="CD908">
        <v>0.31</v>
      </c>
      <c r="CE908">
        <v>1.1000000000000001</v>
      </c>
      <c r="CF908">
        <v>1.1000000000000001</v>
      </c>
      <c r="CG908" s="1" t="s">
        <v>157</v>
      </c>
      <c r="CH908" s="1" t="s">
        <v>2030</v>
      </c>
      <c r="CI908" s="1" t="s">
        <v>160</v>
      </c>
      <c r="CJ908">
        <v>5</v>
      </c>
      <c r="CK908" s="1" t="s">
        <v>211</v>
      </c>
      <c r="CL908" s="1" t="s">
        <v>212</v>
      </c>
      <c r="CM908">
        <v>73</v>
      </c>
      <c r="CN908" s="1" t="s">
        <v>3552</v>
      </c>
      <c r="CO908" s="1" t="s">
        <v>516</v>
      </c>
      <c r="CP908" s="1" t="s">
        <v>969</v>
      </c>
      <c r="CQ908" s="1" t="s">
        <v>4815</v>
      </c>
      <c r="CR908" s="1" t="s">
        <v>6124</v>
      </c>
      <c r="CS908" s="1" t="s">
        <v>4221</v>
      </c>
      <c r="CT908">
        <v>1488.6</v>
      </c>
      <c r="CU908" s="1" t="s">
        <v>5939</v>
      </c>
      <c r="CV908" s="1" t="s">
        <v>7838</v>
      </c>
      <c r="CW908">
        <v>109.25</v>
      </c>
      <c r="CX908">
        <v>101.6</v>
      </c>
      <c r="CY908">
        <v>103.2</v>
      </c>
      <c r="CZ908" s="1" t="s">
        <v>3283</v>
      </c>
      <c r="DA908">
        <v>1</v>
      </c>
      <c r="DB908" t="s">
        <v>602</v>
      </c>
      <c r="DC908">
        <v>125</v>
      </c>
      <c r="DD908" s="1" t="s">
        <v>7839</v>
      </c>
      <c r="DE908" s="1" t="s">
        <v>7840</v>
      </c>
      <c r="DF908" t="e">
        <f>_xlfn.XLOOKUP(Table1[[#This Row],[Player ID]],Table2[feed_id],Table2[trade_status])</f>
        <v>#N/A</v>
      </c>
      <c r="DG908">
        <f>_xlfn.NUMBERVALUE(Table1[[#This Row],[predicted]])</f>
        <v>110.94246512904201</v>
      </c>
    </row>
    <row r="909" spans="1:111" x14ac:dyDescent="0.25">
      <c r="A909">
        <v>132727</v>
      </c>
      <c r="B909">
        <v>9241</v>
      </c>
      <c r="C909" t="s">
        <v>7418</v>
      </c>
      <c r="D909" t="s">
        <v>3116</v>
      </c>
      <c r="E909">
        <v>2025</v>
      </c>
      <c r="F909">
        <v>1002404</v>
      </c>
      <c r="G909" t="s">
        <v>2456</v>
      </c>
      <c r="H909" t="s">
        <v>7470</v>
      </c>
      <c r="I909" t="s">
        <v>712</v>
      </c>
      <c r="J909">
        <v>19</v>
      </c>
      <c r="K909">
        <v>64</v>
      </c>
      <c r="L909">
        <v>58</v>
      </c>
      <c r="M909">
        <v>79</v>
      </c>
      <c r="N909">
        <v>55</v>
      </c>
      <c r="O909">
        <v>64</v>
      </c>
      <c r="P909">
        <v>7</v>
      </c>
      <c r="Q909">
        <v>1</v>
      </c>
      <c r="R909">
        <v>6</v>
      </c>
      <c r="S909">
        <v>1</v>
      </c>
      <c r="T909">
        <v>0</v>
      </c>
      <c r="U909">
        <v>0</v>
      </c>
      <c r="V909">
        <v>0</v>
      </c>
      <c r="W909">
        <v>3</v>
      </c>
      <c r="X909">
        <v>1</v>
      </c>
      <c r="Y909" t="s">
        <v>113</v>
      </c>
      <c r="Z909" t="s">
        <v>6496</v>
      </c>
      <c r="AA909" t="s">
        <v>7471</v>
      </c>
      <c r="AB909" t="s">
        <v>656</v>
      </c>
      <c r="AC909" t="s">
        <v>7472</v>
      </c>
      <c r="AH909" t="s">
        <v>155</v>
      </c>
      <c r="AI909">
        <v>33</v>
      </c>
      <c r="AJ909">
        <v>0</v>
      </c>
      <c r="AK909">
        <v>0</v>
      </c>
      <c r="AL909">
        <v>0</v>
      </c>
      <c r="AM909">
        <v>0.31</v>
      </c>
      <c r="AN909">
        <v>0.37</v>
      </c>
      <c r="AO909">
        <v>0.5</v>
      </c>
      <c r="AS909">
        <v>1</v>
      </c>
      <c r="AT909">
        <v>0</v>
      </c>
      <c r="AU909">
        <v>0</v>
      </c>
      <c r="AV909">
        <v>75</v>
      </c>
      <c r="AW909">
        <v>85</v>
      </c>
      <c r="AX909">
        <v>118</v>
      </c>
      <c r="AY909">
        <v>0</v>
      </c>
      <c r="AZ909" t="b">
        <v>0</v>
      </c>
      <c r="BA909">
        <v>1780</v>
      </c>
      <c r="BB909">
        <v>1518</v>
      </c>
      <c r="BC909">
        <v>6</v>
      </c>
      <c r="BD909" t="s">
        <v>7420</v>
      </c>
      <c r="BE909" s="1" t="s">
        <v>3594</v>
      </c>
      <c r="BF909">
        <v>0</v>
      </c>
      <c r="BG909">
        <v>71</v>
      </c>
      <c r="BH909">
        <v>0</v>
      </c>
      <c r="BI909" s="1" t="s">
        <v>124</v>
      </c>
      <c r="BJ909">
        <v>7.4</v>
      </c>
      <c r="BK909">
        <v>2</v>
      </c>
      <c r="BL909" s="1" t="s">
        <v>990</v>
      </c>
      <c r="BM909" s="1" t="s">
        <v>211</v>
      </c>
      <c r="BN909">
        <v>5.4</v>
      </c>
      <c r="BO909" s="1" t="s">
        <v>159</v>
      </c>
      <c r="BP909" s="1" t="s">
        <v>257</v>
      </c>
      <c r="BQ909" s="1" t="s">
        <v>129</v>
      </c>
      <c r="BR909" s="1" t="s">
        <v>184</v>
      </c>
      <c r="BS909" s="1" t="s">
        <v>128</v>
      </c>
      <c r="BT909" s="1" t="s">
        <v>399</v>
      </c>
      <c r="BU909">
        <v>0</v>
      </c>
      <c r="BV909" s="1" t="s">
        <v>130</v>
      </c>
      <c r="BW909" s="1" t="s">
        <v>161</v>
      </c>
      <c r="BX909">
        <v>1.8</v>
      </c>
      <c r="BY909">
        <v>1</v>
      </c>
      <c r="BZ909">
        <v>0.8</v>
      </c>
      <c r="CA909">
        <v>0.31</v>
      </c>
      <c r="CB909">
        <v>0.31</v>
      </c>
      <c r="CC909">
        <v>0.37</v>
      </c>
      <c r="CD909">
        <v>0.37</v>
      </c>
      <c r="CE909">
        <v>0.5</v>
      </c>
      <c r="CF909">
        <v>0.5</v>
      </c>
      <c r="CG909" s="1" t="s">
        <v>138</v>
      </c>
      <c r="CH909" s="1" t="s">
        <v>205</v>
      </c>
      <c r="CI909">
        <v>0</v>
      </c>
      <c r="CJ909">
        <v>6.6666666666666596E-2</v>
      </c>
      <c r="CK909">
        <v>1</v>
      </c>
      <c r="CL909" s="1" t="s">
        <v>214</v>
      </c>
      <c r="CM909">
        <v>60</v>
      </c>
      <c r="CN909" s="1" t="s">
        <v>1163</v>
      </c>
      <c r="CO909" s="1" t="s">
        <v>142</v>
      </c>
      <c r="CP909" s="1" t="s">
        <v>305</v>
      </c>
      <c r="CQ909" s="1" t="s">
        <v>3200</v>
      </c>
      <c r="CR909">
        <v>193.6</v>
      </c>
      <c r="CS909" s="1" t="s">
        <v>664</v>
      </c>
      <c r="CT909">
        <v>1687.2</v>
      </c>
      <c r="CU909" s="1" t="s">
        <v>3948</v>
      </c>
      <c r="CV909" s="1" t="s">
        <v>7473</v>
      </c>
      <c r="CW909">
        <v>72.25</v>
      </c>
      <c r="CX909">
        <v>65.7</v>
      </c>
      <c r="CY909">
        <v>63.2</v>
      </c>
      <c r="CZ909" s="1" t="s">
        <v>971</v>
      </c>
      <c r="DA909">
        <v>1</v>
      </c>
      <c r="DB909" t="s">
        <v>6496</v>
      </c>
      <c r="DC909">
        <v>58</v>
      </c>
      <c r="DD909" s="1" t="s">
        <v>7474</v>
      </c>
      <c r="DE909">
        <v>-2.4424357300829702</v>
      </c>
      <c r="DF909" t="str">
        <f>_xlfn.XLOOKUP(Table1[[#This Row],[Player ID]],Table2[feed_id],Table2[trade_status])</f>
        <v>free_agent</v>
      </c>
      <c r="DG909">
        <f>_xlfn.NUMBERVALUE(Table1[[#This Row],[predicted]])</f>
        <v>60.442435730082899</v>
      </c>
    </row>
    <row r="910" spans="1:111" x14ac:dyDescent="0.25">
      <c r="A910">
        <v>132539</v>
      </c>
      <c r="B910">
        <v>9237</v>
      </c>
      <c r="C910" t="s">
        <v>6650</v>
      </c>
      <c r="D910" t="s">
        <v>3116</v>
      </c>
      <c r="E910">
        <v>2025</v>
      </c>
      <c r="F910">
        <v>1013974</v>
      </c>
      <c r="G910" t="s">
        <v>2555</v>
      </c>
      <c r="H910" t="s">
        <v>6678</v>
      </c>
      <c r="I910" t="s">
        <v>510</v>
      </c>
      <c r="J910">
        <v>14</v>
      </c>
      <c r="K910">
        <v>87</v>
      </c>
      <c r="L910">
        <v>112</v>
      </c>
      <c r="M910">
        <v>111</v>
      </c>
      <c r="N910">
        <v>74</v>
      </c>
      <c r="O910">
        <v>99</v>
      </c>
      <c r="P910">
        <v>15</v>
      </c>
      <c r="Q910">
        <v>9</v>
      </c>
      <c r="R910">
        <v>9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 t="s">
        <v>113</v>
      </c>
      <c r="Z910" t="s">
        <v>179</v>
      </c>
      <c r="AA910" t="s">
        <v>6679</v>
      </c>
      <c r="AH910" t="s">
        <v>181</v>
      </c>
      <c r="AI910">
        <v>48</v>
      </c>
      <c r="AJ910">
        <v>0</v>
      </c>
      <c r="AK910">
        <v>0</v>
      </c>
      <c r="AL910">
        <v>0</v>
      </c>
      <c r="AM910">
        <v>0.18</v>
      </c>
      <c r="AN910">
        <v>0.2</v>
      </c>
      <c r="AO910">
        <v>0.24</v>
      </c>
      <c r="AS910">
        <v>9</v>
      </c>
      <c r="AT910">
        <v>1</v>
      </c>
      <c r="AU910">
        <v>5</v>
      </c>
      <c r="AV910">
        <v>79</v>
      </c>
      <c r="AW910">
        <v>91</v>
      </c>
      <c r="AX910">
        <v>499</v>
      </c>
      <c r="AY910">
        <v>0</v>
      </c>
      <c r="AZ910" t="b">
        <v>0</v>
      </c>
      <c r="BA910">
        <v>1632</v>
      </c>
      <c r="BB910">
        <v>1646</v>
      </c>
      <c r="BC910">
        <v>6</v>
      </c>
      <c r="BD910" t="s">
        <v>6656</v>
      </c>
      <c r="BE910" s="1" t="s">
        <v>3594</v>
      </c>
      <c r="BF910">
        <v>1</v>
      </c>
      <c r="BG910">
        <v>71</v>
      </c>
      <c r="BH910">
        <v>1</v>
      </c>
      <c r="BI910" s="1" t="s">
        <v>545</v>
      </c>
      <c r="BJ910" s="1" t="s">
        <v>4169</v>
      </c>
      <c r="BK910">
        <v>4</v>
      </c>
      <c r="BL910" s="1" t="s">
        <v>125</v>
      </c>
      <c r="BM910">
        <v>4</v>
      </c>
      <c r="BN910" s="1" t="s">
        <v>160</v>
      </c>
      <c r="BO910">
        <v>1</v>
      </c>
      <c r="BP910" s="1" t="s">
        <v>130</v>
      </c>
      <c r="BQ910">
        <v>0</v>
      </c>
      <c r="BR910">
        <v>0</v>
      </c>
      <c r="BS910">
        <v>0</v>
      </c>
      <c r="BT910" s="1" t="s">
        <v>128</v>
      </c>
      <c r="BU910" s="1" t="s">
        <v>126</v>
      </c>
      <c r="BV910" s="1" t="s">
        <v>161</v>
      </c>
      <c r="BW910">
        <v>0</v>
      </c>
      <c r="BX910">
        <v>0</v>
      </c>
      <c r="BY910">
        <v>0</v>
      </c>
      <c r="BZ910">
        <v>0</v>
      </c>
      <c r="CA910">
        <v>0.18</v>
      </c>
      <c r="CB910">
        <v>0.18</v>
      </c>
      <c r="CC910">
        <v>0.2</v>
      </c>
      <c r="CD910">
        <v>0.2</v>
      </c>
      <c r="CE910">
        <v>0.24</v>
      </c>
      <c r="CF910">
        <v>0.24</v>
      </c>
      <c r="CG910">
        <v>4</v>
      </c>
      <c r="CH910" s="1" t="s">
        <v>499</v>
      </c>
      <c r="CI910" s="1" t="s">
        <v>128</v>
      </c>
      <c r="CJ910">
        <v>0.4</v>
      </c>
      <c r="CK910" s="1" t="s">
        <v>138</v>
      </c>
      <c r="CL910" s="1" t="s">
        <v>321</v>
      </c>
      <c r="CM910">
        <v>89</v>
      </c>
      <c r="CN910">
        <v>82.6</v>
      </c>
      <c r="CO910" s="1" t="s">
        <v>630</v>
      </c>
      <c r="CP910" s="1" t="s">
        <v>217</v>
      </c>
      <c r="CQ910">
        <v>234</v>
      </c>
      <c r="CR910" s="1" t="s">
        <v>6680</v>
      </c>
      <c r="CS910" s="1" t="s">
        <v>4695</v>
      </c>
      <c r="CT910" s="1" t="s">
        <v>6091</v>
      </c>
      <c r="CU910">
        <v>1598</v>
      </c>
      <c r="CV910" s="1" t="s">
        <v>3479</v>
      </c>
      <c r="CW910">
        <v>74.5</v>
      </c>
      <c r="CX910">
        <v>70</v>
      </c>
      <c r="CY910">
        <v>68.8</v>
      </c>
      <c r="CZ910">
        <v>63</v>
      </c>
      <c r="DA910">
        <v>1</v>
      </c>
      <c r="DB910" t="s">
        <v>179</v>
      </c>
      <c r="DC910">
        <v>112</v>
      </c>
      <c r="DD910" s="1" t="s">
        <v>6681</v>
      </c>
      <c r="DE910" s="1" t="s">
        <v>6682</v>
      </c>
      <c r="DF910" t="str">
        <f>_xlfn.XLOOKUP(Table1[[#This Row],[Player ID]],Table2[feed_id],Table2[trade_status])</f>
        <v>free_agent</v>
      </c>
      <c r="DG910">
        <f>_xlfn.NUMBERVALUE(Table1[[#This Row],[predicted]])</f>
        <v>60.300199995524999</v>
      </c>
    </row>
    <row r="911" spans="1:111" x14ac:dyDescent="0.25">
      <c r="A911">
        <v>132615</v>
      </c>
      <c r="B911">
        <v>9238</v>
      </c>
      <c r="C911" t="s">
        <v>6865</v>
      </c>
      <c r="D911" t="s">
        <v>3116</v>
      </c>
      <c r="E911">
        <v>2025</v>
      </c>
      <c r="F911">
        <v>1013133</v>
      </c>
      <c r="G911" t="s">
        <v>7009</v>
      </c>
      <c r="H911" t="s">
        <v>5431</v>
      </c>
      <c r="I911" t="s">
        <v>338</v>
      </c>
      <c r="J911">
        <v>15</v>
      </c>
      <c r="K911">
        <v>64</v>
      </c>
      <c r="L911">
        <v>65</v>
      </c>
      <c r="M911">
        <v>48</v>
      </c>
      <c r="N911">
        <v>54</v>
      </c>
      <c r="O911">
        <v>70</v>
      </c>
      <c r="P911">
        <v>8</v>
      </c>
      <c r="Q911">
        <v>7</v>
      </c>
      <c r="R911">
        <v>4</v>
      </c>
      <c r="S911">
        <v>2</v>
      </c>
      <c r="T911">
        <v>0</v>
      </c>
      <c r="U911">
        <v>2</v>
      </c>
      <c r="V911">
        <v>1</v>
      </c>
      <c r="W911">
        <v>1</v>
      </c>
      <c r="X911">
        <v>1</v>
      </c>
      <c r="Y911" t="s">
        <v>113</v>
      </c>
      <c r="Z911" t="s">
        <v>525</v>
      </c>
      <c r="AA911" t="s">
        <v>7010</v>
      </c>
      <c r="AH911" t="s">
        <v>181</v>
      </c>
      <c r="AI911">
        <v>16</v>
      </c>
      <c r="AJ911">
        <v>0</v>
      </c>
      <c r="AK911">
        <v>0</v>
      </c>
      <c r="AL911">
        <v>0</v>
      </c>
      <c r="AM911">
        <v>1.55</v>
      </c>
      <c r="AN911">
        <v>1.1200000000000001</v>
      </c>
      <c r="AO911">
        <v>1.01</v>
      </c>
      <c r="AS911">
        <v>6</v>
      </c>
      <c r="AT911">
        <v>1</v>
      </c>
      <c r="AU911">
        <v>5</v>
      </c>
      <c r="AV911">
        <v>66</v>
      </c>
      <c r="AW911">
        <v>81</v>
      </c>
      <c r="AX911">
        <v>306</v>
      </c>
      <c r="AY911">
        <v>0</v>
      </c>
      <c r="AZ911" t="b">
        <v>0</v>
      </c>
      <c r="BA911">
        <v>1741</v>
      </c>
      <c r="BB911">
        <v>1546</v>
      </c>
      <c r="BC911">
        <v>6</v>
      </c>
      <c r="BD911" t="s">
        <v>6968</v>
      </c>
      <c r="BE911" s="1" t="s">
        <v>3594</v>
      </c>
      <c r="BF911">
        <v>0</v>
      </c>
      <c r="BG911">
        <v>71</v>
      </c>
      <c r="BH911">
        <v>0</v>
      </c>
      <c r="BI911" s="1" t="s">
        <v>977</v>
      </c>
      <c r="BJ911">
        <v>7.8</v>
      </c>
      <c r="BK911" s="1" t="s">
        <v>124</v>
      </c>
      <c r="BL911">
        <v>4</v>
      </c>
      <c r="BM911">
        <v>4</v>
      </c>
      <c r="BN911" s="1" t="s">
        <v>766</v>
      </c>
      <c r="BO911" s="1" t="s">
        <v>159</v>
      </c>
      <c r="BP911">
        <v>3.4</v>
      </c>
      <c r="BQ911">
        <v>0</v>
      </c>
      <c r="BR911">
        <v>0</v>
      </c>
      <c r="BS911" s="1" t="s">
        <v>128</v>
      </c>
      <c r="BT911" s="1" t="s">
        <v>128</v>
      </c>
      <c r="BU911">
        <v>1</v>
      </c>
      <c r="BV911" s="1" t="s">
        <v>129</v>
      </c>
      <c r="BW911" s="1" t="s">
        <v>128</v>
      </c>
      <c r="BX911" s="1" t="s">
        <v>238</v>
      </c>
      <c r="BY911">
        <v>1</v>
      </c>
      <c r="BZ911">
        <v>0.4</v>
      </c>
      <c r="CA911">
        <v>1.55</v>
      </c>
      <c r="CB911">
        <v>1.55</v>
      </c>
      <c r="CC911">
        <v>1.1200000000000001</v>
      </c>
      <c r="CD911">
        <v>1.1200000000000001</v>
      </c>
      <c r="CE911">
        <v>1.01</v>
      </c>
      <c r="CF911">
        <v>1.01</v>
      </c>
      <c r="CG911">
        <v>4</v>
      </c>
      <c r="CH911">
        <v>3.8</v>
      </c>
      <c r="CI911" s="1" t="s">
        <v>128</v>
      </c>
      <c r="CJ911" s="1" t="s">
        <v>128</v>
      </c>
      <c r="CK911" s="1" t="s">
        <v>125</v>
      </c>
      <c r="CL911">
        <v>1.8</v>
      </c>
      <c r="CM911">
        <v>65</v>
      </c>
      <c r="CN911">
        <v>72.400000000000006</v>
      </c>
      <c r="CO911" s="1" t="s">
        <v>968</v>
      </c>
      <c r="CP911">
        <v>72.2</v>
      </c>
      <c r="CQ911">
        <v>307</v>
      </c>
      <c r="CR911" s="1" t="s">
        <v>4162</v>
      </c>
      <c r="CS911" s="1" t="s">
        <v>6970</v>
      </c>
      <c r="CT911">
        <v>1645.8</v>
      </c>
      <c r="CU911">
        <v>1683</v>
      </c>
      <c r="CV911">
        <v>1636</v>
      </c>
      <c r="CW911">
        <v>55.65</v>
      </c>
      <c r="CX911">
        <v>59.4</v>
      </c>
      <c r="CY911">
        <v>66.2</v>
      </c>
      <c r="CZ911" s="1" t="s">
        <v>772</v>
      </c>
      <c r="DA911">
        <v>1</v>
      </c>
      <c r="DB911" t="s">
        <v>525</v>
      </c>
      <c r="DC911">
        <v>65</v>
      </c>
      <c r="DD911">
        <v>60.022810466383199</v>
      </c>
      <c r="DE911" s="1" t="s">
        <v>7011</v>
      </c>
      <c r="DF911" t="str">
        <f>_xlfn.XLOOKUP(Table1[[#This Row],[Player ID]],Table2[feed_id],Table2[trade_status])</f>
        <v>free_agent</v>
      </c>
      <c r="DG911">
        <f>_xlfn.NUMBERVALUE(Table1[[#This Row],[predicted]])</f>
        <v>60.022810466383199</v>
      </c>
    </row>
    <row r="912" spans="1:111" x14ac:dyDescent="0.25">
      <c r="A912">
        <v>132667</v>
      </c>
      <c r="B912">
        <v>9239</v>
      </c>
      <c r="C912" t="s">
        <v>7040</v>
      </c>
      <c r="D912" t="s">
        <v>3116</v>
      </c>
      <c r="E912">
        <v>2025</v>
      </c>
      <c r="F912">
        <v>295446</v>
      </c>
      <c r="G912" t="s">
        <v>958</v>
      </c>
      <c r="H912" t="s">
        <v>7216</v>
      </c>
      <c r="I912" t="s">
        <v>524</v>
      </c>
      <c r="J912">
        <v>3</v>
      </c>
      <c r="K912">
        <v>37</v>
      </c>
      <c r="L912">
        <v>50</v>
      </c>
      <c r="M912">
        <v>25</v>
      </c>
      <c r="N912">
        <v>31</v>
      </c>
      <c r="O912">
        <v>42</v>
      </c>
      <c r="P912">
        <v>6</v>
      </c>
      <c r="Q912">
        <v>3</v>
      </c>
      <c r="R912">
        <v>4</v>
      </c>
      <c r="S912">
        <v>1</v>
      </c>
      <c r="T912">
        <v>0</v>
      </c>
      <c r="U912">
        <v>0</v>
      </c>
      <c r="V912">
        <v>1</v>
      </c>
      <c r="W912">
        <v>0</v>
      </c>
      <c r="X912">
        <v>0</v>
      </c>
      <c r="Y912" t="s">
        <v>113</v>
      </c>
      <c r="Z912" t="s">
        <v>179</v>
      </c>
      <c r="AA912" t="s">
        <v>7217</v>
      </c>
      <c r="AH912" t="s">
        <v>181</v>
      </c>
      <c r="AI912">
        <v>25</v>
      </c>
      <c r="AJ912">
        <v>0</v>
      </c>
      <c r="AK912">
        <v>0</v>
      </c>
      <c r="AL912">
        <v>0</v>
      </c>
      <c r="AM912">
        <v>0.27</v>
      </c>
      <c r="AN912">
        <v>7.0000000000000007E-2</v>
      </c>
      <c r="AO912">
        <v>0.21</v>
      </c>
      <c r="AS912">
        <v>3</v>
      </c>
      <c r="AT912">
        <v>0</v>
      </c>
      <c r="AU912">
        <v>2</v>
      </c>
      <c r="AV912">
        <v>88</v>
      </c>
      <c r="AW912">
        <v>95</v>
      </c>
      <c r="AX912">
        <v>6</v>
      </c>
      <c r="AY912">
        <v>1</v>
      </c>
      <c r="AZ912" t="b">
        <v>0</v>
      </c>
      <c r="BA912">
        <v>1592</v>
      </c>
      <c r="BB912">
        <v>1678</v>
      </c>
      <c r="BC912">
        <v>6</v>
      </c>
      <c r="BD912" t="s">
        <v>7138</v>
      </c>
      <c r="BE912" s="1" t="s">
        <v>3594</v>
      </c>
      <c r="BF912">
        <v>0</v>
      </c>
      <c r="BG912">
        <v>71</v>
      </c>
      <c r="BH912">
        <v>0</v>
      </c>
      <c r="BI912">
        <v>6</v>
      </c>
      <c r="BJ912">
        <v>6.8</v>
      </c>
      <c r="BK912" s="1" t="s">
        <v>125</v>
      </c>
      <c r="BL912" s="1" t="s">
        <v>781</v>
      </c>
      <c r="BM912">
        <v>4</v>
      </c>
      <c r="BN912" s="1" t="s">
        <v>963</v>
      </c>
      <c r="BO912">
        <v>1</v>
      </c>
      <c r="BP912" s="1" t="s">
        <v>206</v>
      </c>
      <c r="BQ912">
        <v>0</v>
      </c>
      <c r="BR912">
        <v>0</v>
      </c>
      <c r="BS912">
        <v>1</v>
      </c>
      <c r="BT912">
        <v>0.8</v>
      </c>
      <c r="BU912" s="1" t="s">
        <v>128</v>
      </c>
      <c r="BV912">
        <v>0.4</v>
      </c>
      <c r="BW912">
        <v>0</v>
      </c>
      <c r="BX912">
        <v>0</v>
      </c>
      <c r="BY912">
        <v>0</v>
      </c>
      <c r="BZ912">
        <v>0</v>
      </c>
      <c r="CA912">
        <v>0.27</v>
      </c>
      <c r="CB912">
        <v>0.27</v>
      </c>
      <c r="CC912">
        <v>7.0000000000000007E-2</v>
      </c>
      <c r="CD912">
        <v>7.0000000000000007E-2</v>
      </c>
      <c r="CE912">
        <v>0.21</v>
      </c>
      <c r="CF912">
        <v>0.21</v>
      </c>
      <c r="CG912">
        <v>5</v>
      </c>
      <c r="CH912" s="1" t="s">
        <v>260</v>
      </c>
      <c r="CI912">
        <v>0</v>
      </c>
      <c r="CJ912" s="1" t="s">
        <v>129</v>
      </c>
      <c r="CK912" s="1" t="s">
        <v>161</v>
      </c>
      <c r="CL912" s="1" t="s">
        <v>298</v>
      </c>
      <c r="CM912" s="1" t="s">
        <v>1665</v>
      </c>
      <c r="CN912" s="1" t="s">
        <v>1123</v>
      </c>
      <c r="CO912" s="1" t="s">
        <v>6727</v>
      </c>
      <c r="CP912" s="1" t="s">
        <v>7218</v>
      </c>
      <c r="CQ912">
        <v>96</v>
      </c>
      <c r="CR912" s="1" t="s">
        <v>4686</v>
      </c>
      <c r="CS912" s="1" t="s">
        <v>806</v>
      </c>
      <c r="CT912">
        <v>1616</v>
      </c>
      <c r="CU912">
        <v>1593</v>
      </c>
      <c r="CV912" s="1" t="s">
        <v>7146</v>
      </c>
      <c r="CW912">
        <v>75.650000000000006</v>
      </c>
      <c r="CX912">
        <v>68</v>
      </c>
      <c r="CY912">
        <v>62</v>
      </c>
      <c r="CZ912" s="1" t="s">
        <v>1176</v>
      </c>
      <c r="DA912">
        <v>1</v>
      </c>
      <c r="DB912" t="s">
        <v>179</v>
      </c>
      <c r="DC912">
        <v>50</v>
      </c>
      <c r="DD912" s="1" t="s">
        <v>7219</v>
      </c>
      <c r="DE912">
        <v>-9.5881961962147901</v>
      </c>
      <c r="DF912" t="str">
        <f>_xlfn.XLOOKUP(Table1[[#This Row],[Player ID]],Table2[feed_id],Table2[trade_status])</f>
        <v>free_agent</v>
      </c>
      <c r="DG912">
        <f>_xlfn.NUMBERVALUE(Table1[[#This Row],[predicted]])</f>
        <v>59.588196196214703</v>
      </c>
    </row>
    <row r="913" spans="1:111" x14ac:dyDescent="0.25">
      <c r="A913">
        <v>132575</v>
      </c>
      <c r="B913">
        <v>9237</v>
      </c>
      <c r="C913" t="s">
        <v>6650</v>
      </c>
      <c r="D913" t="s">
        <v>3116</v>
      </c>
      <c r="E913">
        <v>2025</v>
      </c>
      <c r="F913">
        <v>1012860</v>
      </c>
      <c r="G913" t="s">
        <v>3871</v>
      </c>
      <c r="H913" t="s">
        <v>1249</v>
      </c>
      <c r="I913" t="s">
        <v>1061</v>
      </c>
      <c r="J913">
        <v>9</v>
      </c>
      <c r="K913">
        <v>45</v>
      </c>
      <c r="L913">
        <v>69</v>
      </c>
      <c r="M913">
        <v>34</v>
      </c>
      <c r="N913">
        <v>37</v>
      </c>
      <c r="O913">
        <v>48</v>
      </c>
      <c r="P913">
        <v>6</v>
      </c>
      <c r="Q913">
        <v>3</v>
      </c>
      <c r="R913">
        <v>3</v>
      </c>
      <c r="S913">
        <v>2</v>
      </c>
      <c r="T913">
        <v>0</v>
      </c>
      <c r="U913">
        <v>1</v>
      </c>
      <c r="V913">
        <v>1</v>
      </c>
      <c r="W913">
        <v>1</v>
      </c>
      <c r="X913">
        <v>0</v>
      </c>
      <c r="Y913" t="s">
        <v>113</v>
      </c>
      <c r="Z913" t="s">
        <v>656</v>
      </c>
      <c r="AA913" t="s">
        <v>6845</v>
      </c>
      <c r="AH913" t="s">
        <v>155</v>
      </c>
      <c r="AI913">
        <v>36</v>
      </c>
      <c r="AJ913">
        <v>0</v>
      </c>
      <c r="AK913">
        <v>0</v>
      </c>
      <c r="AL913">
        <v>0</v>
      </c>
      <c r="AM913">
        <v>0.31</v>
      </c>
      <c r="AN913">
        <v>0.24</v>
      </c>
      <c r="AO913">
        <v>0.31</v>
      </c>
      <c r="AS913">
        <v>8</v>
      </c>
      <c r="AT913">
        <v>0</v>
      </c>
      <c r="AU913">
        <v>4</v>
      </c>
      <c r="AV913">
        <v>55</v>
      </c>
      <c r="AW913">
        <v>81</v>
      </c>
      <c r="AX913">
        <v>140</v>
      </c>
      <c r="AY913">
        <v>0</v>
      </c>
      <c r="AZ913" t="b">
        <v>0</v>
      </c>
      <c r="BA913">
        <v>1646</v>
      </c>
      <c r="BB913">
        <v>1632</v>
      </c>
      <c r="BC913">
        <v>6</v>
      </c>
      <c r="BD913" t="s">
        <v>6772</v>
      </c>
      <c r="BE913" s="1" t="s">
        <v>3594</v>
      </c>
      <c r="BF913">
        <v>0</v>
      </c>
      <c r="BG913">
        <v>71</v>
      </c>
      <c r="BH913">
        <v>0</v>
      </c>
      <c r="BI913" s="1" t="s">
        <v>124</v>
      </c>
      <c r="BJ913">
        <v>6</v>
      </c>
      <c r="BK913" s="1" t="s">
        <v>138</v>
      </c>
      <c r="BL913" s="1" t="s">
        <v>640</v>
      </c>
      <c r="BM913" s="1" t="s">
        <v>138</v>
      </c>
      <c r="BN913" s="1" t="s">
        <v>528</v>
      </c>
      <c r="BO913">
        <v>2</v>
      </c>
      <c r="BP913" s="1" t="s">
        <v>327</v>
      </c>
      <c r="BQ913">
        <v>0</v>
      </c>
      <c r="BR913">
        <v>0</v>
      </c>
      <c r="BS913" s="1" t="s">
        <v>128</v>
      </c>
      <c r="BT913">
        <v>0.6</v>
      </c>
      <c r="BU913" s="1" t="s">
        <v>129</v>
      </c>
      <c r="BV913">
        <v>0.4</v>
      </c>
      <c r="BW913" s="1" t="s">
        <v>129</v>
      </c>
      <c r="BX913" s="1" t="s">
        <v>257</v>
      </c>
      <c r="BY913">
        <v>1</v>
      </c>
      <c r="BZ913" s="1" t="s">
        <v>162</v>
      </c>
      <c r="CA913">
        <v>0.31</v>
      </c>
      <c r="CB913">
        <v>0.31</v>
      </c>
      <c r="CC913">
        <v>0.24</v>
      </c>
      <c r="CD913">
        <v>0.24</v>
      </c>
      <c r="CE913">
        <v>0.31</v>
      </c>
      <c r="CF913">
        <v>0.31</v>
      </c>
      <c r="CG913">
        <v>6</v>
      </c>
      <c r="CH913" s="1" t="s">
        <v>229</v>
      </c>
      <c r="CI913" s="1" t="s">
        <v>129</v>
      </c>
      <c r="CJ913">
        <v>0.2</v>
      </c>
      <c r="CK913">
        <v>3</v>
      </c>
      <c r="CL913">
        <v>2.2000000000000002</v>
      </c>
      <c r="CM913">
        <v>44</v>
      </c>
      <c r="CN913">
        <v>58.6</v>
      </c>
      <c r="CO913" s="1" t="s">
        <v>364</v>
      </c>
      <c r="CP913" s="1" t="s">
        <v>1177</v>
      </c>
      <c r="CQ913" s="1" t="s">
        <v>5128</v>
      </c>
      <c r="CR913">
        <v>160.80000000000001</v>
      </c>
      <c r="CS913" s="1" t="s">
        <v>4075</v>
      </c>
      <c r="CT913" s="1" t="s">
        <v>2864</v>
      </c>
      <c r="CU913" s="1" t="s">
        <v>4024</v>
      </c>
      <c r="CV913" s="1" t="s">
        <v>2397</v>
      </c>
      <c r="CW913">
        <v>54.8</v>
      </c>
      <c r="CX913">
        <v>62.4</v>
      </c>
      <c r="CY913">
        <v>57.6</v>
      </c>
      <c r="CZ913" s="1" t="s">
        <v>2742</v>
      </c>
      <c r="DA913">
        <v>1</v>
      </c>
      <c r="DB913" t="s">
        <v>656</v>
      </c>
      <c r="DC913">
        <v>69</v>
      </c>
      <c r="DD913" s="1" t="s">
        <v>6846</v>
      </c>
      <c r="DE913" s="1" t="s">
        <v>6847</v>
      </c>
      <c r="DF913" t="str">
        <f>_xlfn.XLOOKUP(Table1[[#This Row],[Player ID]],Table2[feed_id],Table2[trade_status])</f>
        <v>free_agent</v>
      </c>
      <c r="DG913">
        <f>_xlfn.NUMBERVALUE(Table1[[#This Row],[predicted]])</f>
        <v>59.563634409998997</v>
      </c>
    </row>
    <row r="914" spans="1:111" x14ac:dyDescent="0.25">
      <c r="A914">
        <v>132808</v>
      </c>
      <c r="B914">
        <v>9243</v>
      </c>
      <c r="C914" t="s">
        <v>7798</v>
      </c>
      <c r="D914" t="s">
        <v>3116</v>
      </c>
      <c r="E914">
        <v>2025</v>
      </c>
      <c r="F914">
        <v>295203</v>
      </c>
      <c r="G914" t="s">
        <v>508</v>
      </c>
      <c r="H914" t="s">
        <v>7821</v>
      </c>
      <c r="I914" t="s">
        <v>317</v>
      </c>
      <c r="J914">
        <v>19</v>
      </c>
      <c r="K914">
        <v>95</v>
      </c>
      <c r="L914">
        <v>96</v>
      </c>
      <c r="M914">
        <v>125</v>
      </c>
      <c r="N914">
        <v>76</v>
      </c>
      <c r="O914">
        <v>96</v>
      </c>
      <c r="P914">
        <v>15</v>
      </c>
      <c r="Q914">
        <v>4</v>
      </c>
      <c r="R914">
        <v>11</v>
      </c>
      <c r="S914">
        <v>2</v>
      </c>
      <c r="T914">
        <v>0</v>
      </c>
      <c r="U914">
        <v>1</v>
      </c>
      <c r="V914">
        <v>0</v>
      </c>
      <c r="W914">
        <v>0</v>
      </c>
      <c r="X914">
        <v>0</v>
      </c>
      <c r="Y914" t="s">
        <v>113</v>
      </c>
      <c r="Z914" t="s">
        <v>179</v>
      </c>
      <c r="AA914" t="s">
        <v>7822</v>
      </c>
      <c r="AE914">
        <v>0</v>
      </c>
      <c r="AH914" t="s">
        <v>181</v>
      </c>
      <c r="AI914">
        <v>35</v>
      </c>
      <c r="AJ914">
        <v>15</v>
      </c>
      <c r="AK914">
        <v>47.93</v>
      </c>
      <c r="AL914">
        <v>0</v>
      </c>
      <c r="AM914">
        <v>0</v>
      </c>
      <c r="AN914">
        <v>0.05</v>
      </c>
      <c r="AO914">
        <v>0.1</v>
      </c>
      <c r="AS914">
        <v>3</v>
      </c>
      <c r="AT914">
        <v>0</v>
      </c>
      <c r="AU914">
        <v>3</v>
      </c>
      <c r="AV914">
        <v>94</v>
      </c>
      <c r="AW914">
        <v>93</v>
      </c>
      <c r="AX914">
        <v>174</v>
      </c>
      <c r="AY914">
        <v>0</v>
      </c>
      <c r="AZ914" t="b">
        <v>0</v>
      </c>
      <c r="BA914">
        <v>1728</v>
      </c>
      <c r="BB914">
        <v>1559</v>
      </c>
      <c r="BC914">
        <v>6</v>
      </c>
      <c r="BD914" t="s">
        <v>7800</v>
      </c>
      <c r="BE914" s="1" t="s">
        <v>3594</v>
      </c>
      <c r="BF914">
        <v>0</v>
      </c>
      <c r="BG914">
        <v>71</v>
      </c>
      <c r="BH914">
        <v>1</v>
      </c>
      <c r="BI914">
        <v>14</v>
      </c>
      <c r="BJ914" s="1" t="s">
        <v>1366</v>
      </c>
      <c r="BK914" s="1" t="s">
        <v>160</v>
      </c>
      <c r="BL914" s="1" t="s">
        <v>229</v>
      </c>
      <c r="BM914" s="1" t="s">
        <v>137</v>
      </c>
      <c r="BN914">
        <v>7.2</v>
      </c>
      <c r="BO914">
        <v>1</v>
      </c>
      <c r="BP914" s="1" t="s">
        <v>126</v>
      </c>
      <c r="BQ914">
        <v>0</v>
      </c>
      <c r="BR914">
        <v>0</v>
      </c>
      <c r="BS914" s="1" t="s">
        <v>128</v>
      </c>
      <c r="BT914" s="1" t="s">
        <v>238</v>
      </c>
      <c r="BU914" s="1" t="s">
        <v>128</v>
      </c>
      <c r="BV914" s="1" t="s">
        <v>130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0.05</v>
      </c>
      <c r="CD914">
        <v>0.05</v>
      </c>
      <c r="CE914">
        <v>0.1</v>
      </c>
      <c r="CF914">
        <v>0.1</v>
      </c>
      <c r="CG914">
        <v>5</v>
      </c>
      <c r="CH914" s="1" t="s">
        <v>189</v>
      </c>
      <c r="CI914" s="1" t="s">
        <v>128</v>
      </c>
      <c r="CJ914" s="1" t="s">
        <v>184</v>
      </c>
      <c r="CK914" s="1" t="s">
        <v>169</v>
      </c>
      <c r="CL914" s="1" t="s">
        <v>214</v>
      </c>
      <c r="CM914">
        <v>85</v>
      </c>
      <c r="CN914" s="1" t="s">
        <v>1433</v>
      </c>
      <c r="CO914" s="1" t="s">
        <v>630</v>
      </c>
      <c r="CP914" s="1" t="s">
        <v>7823</v>
      </c>
      <c r="CQ914" s="1" t="s">
        <v>6675</v>
      </c>
      <c r="CR914" s="1" t="s">
        <v>7824</v>
      </c>
      <c r="CS914" s="1" t="s">
        <v>4221</v>
      </c>
      <c r="CT914" s="1" t="s">
        <v>7803</v>
      </c>
      <c r="CU914" s="1" t="s">
        <v>5939</v>
      </c>
      <c r="CV914">
        <v>1790.2</v>
      </c>
      <c r="CW914">
        <v>64.650000000000006</v>
      </c>
      <c r="CX914">
        <v>73.900000000000006</v>
      </c>
      <c r="CY914">
        <v>66</v>
      </c>
      <c r="CZ914" s="1" t="s">
        <v>364</v>
      </c>
      <c r="DA914">
        <v>1</v>
      </c>
      <c r="DB914" t="s">
        <v>179</v>
      </c>
      <c r="DC914">
        <v>96</v>
      </c>
      <c r="DD914" s="1" t="s">
        <v>7825</v>
      </c>
      <c r="DE914" s="1" t="s">
        <v>7826</v>
      </c>
      <c r="DF914" t="str">
        <f>_xlfn.XLOOKUP(Table1[[#This Row],[Player ID]],Table2[feed_id],Table2[trade_status])</f>
        <v>free_agent</v>
      </c>
      <c r="DG914">
        <f>_xlfn.NUMBERVALUE(Table1[[#This Row],[predicted]])</f>
        <v>59.511660034747898</v>
      </c>
    </row>
    <row r="915" spans="1:111" x14ac:dyDescent="0.25">
      <c r="A915">
        <v>132846</v>
      </c>
      <c r="B915">
        <v>9243</v>
      </c>
      <c r="C915" t="s">
        <v>7798</v>
      </c>
      <c r="D915" t="s">
        <v>3116</v>
      </c>
      <c r="E915">
        <v>2025</v>
      </c>
      <c r="F915">
        <v>998180</v>
      </c>
      <c r="G915" t="s">
        <v>6558</v>
      </c>
      <c r="H915" t="s">
        <v>7972</v>
      </c>
      <c r="I915" t="s">
        <v>178</v>
      </c>
      <c r="J915">
        <v>3</v>
      </c>
      <c r="K915">
        <v>45</v>
      </c>
      <c r="L915">
        <v>45</v>
      </c>
      <c r="M915">
        <v>27</v>
      </c>
      <c r="N915">
        <v>38</v>
      </c>
      <c r="O915">
        <v>51</v>
      </c>
      <c r="P915">
        <v>7</v>
      </c>
      <c r="Q915">
        <v>7</v>
      </c>
      <c r="R915">
        <v>3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 t="s">
        <v>113</v>
      </c>
      <c r="Z915" t="s">
        <v>525</v>
      </c>
      <c r="AA915" t="s">
        <v>7973</v>
      </c>
      <c r="AE915">
        <v>0</v>
      </c>
      <c r="AH915" t="s">
        <v>155</v>
      </c>
      <c r="AI915">
        <v>41</v>
      </c>
      <c r="AJ915">
        <v>20</v>
      </c>
      <c r="AK915">
        <v>64.150000000000006</v>
      </c>
      <c r="AL915">
        <v>0</v>
      </c>
      <c r="AM915">
        <v>0</v>
      </c>
      <c r="AN915">
        <v>0.08</v>
      </c>
      <c r="AO915">
        <v>7.0000000000000007E-2</v>
      </c>
      <c r="AS915">
        <v>4</v>
      </c>
      <c r="AT915">
        <v>1</v>
      </c>
      <c r="AU915">
        <v>2</v>
      </c>
      <c r="AV915">
        <v>78</v>
      </c>
      <c r="AW915">
        <v>80</v>
      </c>
      <c r="AX915">
        <v>307</v>
      </c>
      <c r="AY915">
        <v>0</v>
      </c>
      <c r="AZ915" t="b">
        <v>0</v>
      </c>
      <c r="BA915">
        <v>1559</v>
      </c>
      <c r="BB915">
        <v>1728</v>
      </c>
      <c r="BC915">
        <v>6</v>
      </c>
      <c r="BD915" t="s">
        <v>7901</v>
      </c>
      <c r="BE915" s="1" t="s">
        <v>3594</v>
      </c>
      <c r="BF915">
        <v>0</v>
      </c>
      <c r="BG915">
        <v>71</v>
      </c>
      <c r="BH915">
        <v>0</v>
      </c>
      <c r="BI915" s="1" t="s">
        <v>253</v>
      </c>
      <c r="BJ915" s="1" t="s">
        <v>168</v>
      </c>
      <c r="BK915" s="1" t="s">
        <v>183</v>
      </c>
      <c r="BL915" s="1" t="s">
        <v>964</v>
      </c>
      <c r="BM915">
        <v>2</v>
      </c>
      <c r="BN915" s="1" t="s">
        <v>170</v>
      </c>
      <c r="BO915" s="1" t="s">
        <v>161</v>
      </c>
      <c r="BP915" s="1" t="s">
        <v>375</v>
      </c>
      <c r="BQ915">
        <v>0</v>
      </c>
      <c r="BR915">
        <v>0</v>
      </c>
      <c r="BS915" s="1" t="s">
        <v>128</v>
      </c>
      <c r="BT915">
        <v>0.6</v>
      </c>
      <c r="BU915" s="1" t="s">
        <v>129</v>
      </c>
      <c r="BV915" s="1" t="s">
        <v>129</v>
      </c>
      <c r="BW915" s="1" t="s">
        <v>129</v>
      </c>
      <c r="BX915">
        <v>0.6</v>
      </c>
      <c r="BY915">
        <v>0</v>
      </c>
      <c r="BZ915">
        <v>0.4</v>
      </c>
      <c r="CA915">
        <v>0</v>
      </c>
      <c r="CB915">
        <v>0</v>
      </c>
      <c r="CC915">
        <v>0.08</v>
      </c>
      <c r="CD915">
        <v>0.08</v>
      </c>
      <c r="CE915">
        <v>7.0000000000000007E-2</v>
      </c>
      <c r="CF915">
        <v>7.0000000000000007E-2</v>
      </c>
      <c r="CG915" s="1" t="s">
        <v>397</v>
      </c>
      <c r="CH915" s="1" t="s">
        <v>211</v>
      </c>
      <c r="CI915" s="1" t="s">
        <v>161</v>
      </c>
      <c r="CJ915">
        <v>0.6</v>
      </c>
      <c r="CK915">
        <v>2</v>
      </c>
      <c r="CL915" s="1" t="s">
        <v>170</v>
      </c>
      <c r="CM915" s="1" t="s">
        <v>241</v>
      </c>
      <c r="CN915">
        <v>66.599999999999994</v>
      </c>
      <c r="CO915" s="1" t="s">
        <v>516</v>
      </c>
      <c r="CP915" s="1" t="s">
        <v>3003</v>
      </c>
      <c r="CQ915">
        <v>275</v>
      </c>
      <c r="CR915">
        <v>210.2</v>
      </c>
      <c r="CS915" s="1" t="s">
        <v>7903</v>
      </c>
      <c r="CT915">
        <v>1661.4</v>
      </c>
      <c r="CU915" s="1" t="s">
        <v>6535</v>
      </c>
      <c r="CV915">
        <v>1622.6</v>
      </c>
      <c r="CW915">
        <v>55.75</v>
      </c>
      <c r="CX915">
        <v>56.3</v>
      </c>
      <c r="CY915">
        <v>59.4</v>
      </c>
      <c r="CZ915" s="1" t="s">
        <v>2147</v>
      </c>
      <c r="DA915">
        <v>1</v>
      </c>
      <c r="DB915" t="s">
        <v>525</v>
      </c>
      <c r="DC915">
        <v>45</v>
      </c>
      <c r="DD915" s="1" t="s">
        <v>7974</v>
      </c>
      <c r="DE915">
        <v>-14.380233136169</v>
      </c>
      <c r="DF915" t="str">
        <f>_xlfn.XLOOKUP(Table1[[#This Row],[Player ID]],Table2[feed_id],Table2[trade_status])</f>
        <v>free_agent</v>
      </c>
      <c r="DG915">
        <f>_xlfn.NUMBERVALUE(Table1[[#This Row],[predicted]])</f>
        <v>59.380233136168997</v>
      </c>
    </row>
    <row r="916" spans="1:111" x14ac:dyDescent="0.25">
      <c r="A916">
        <v>132840</v>
      </c>
      <c r="B916">
        <v>9243</v>
      </c>
      <c r="C916" t="s">
        <v>7798</v>
      </c>
      <c r="D916" t="s">
        <v>3116</v>
      </c>
      <c r="E916">
        <v>2025</v>
      </c>
      <c r="F916">
        <v>997033</v>
      </c>
      <c r="G916" t="s">
        <v>7952</v>
      </c>
      <c r="H916" t="s">
        <v>5686</v>
      </c>
      <c r="I916" t="s">
        <v>178</v>
      </c>
      <c r="J916">
        <v>13</v>
      </c>
      <c r="K916">
        <v>70</v>
      </c>
      <c r="L916">
        <v>88</v>
      </c>
      <c r="M916">
        <v>48</v>
      </c>
      <c r="N916">
        <v>60</v>
      </c>
      <c r="O916">
        <v>78</v>
      </c>
      <c r="P916">
        <v>10</v>
      </c>
      <c r="Q916">
        <v>8</v>
      </c>
      <c r="R916">
        <v>8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t="s">
        <v>113</v>
      </c>
      <c r="Z916" t="s">
        <v>179</v>
      </c>
      <c r="AA916" t="s">
        <v>7953</v>
      </c>
      <c r="AE916">
        <v>0</v>
      </c>
      <c r="AH916" t="s">
        <v>181</v>
      </c>
      <c r="AI916">
        <v>36</v>
      </c>
      <c r="AJ916">
        <v>15</v>
      </c>
      <c r="AK916">
        <v>60.13</v>
      </c>
      <c r="AL916">
        <v>0</v>
      </c>
      <c r="AM916">
        <v>0</v>
      </c>
      <c r="AN916">
        <v>7.0000000000000007E-2</v>
      </c>
      <c r="AO916">
        <v>0.19</v>
      </c>
      <c r="AS916">
        <v>8</v>
      </c>
      <c r="AT916">
        <v>0</v>
      </c>
      <c r="AU916">
        <v>2</v>
      </c>
      <c r="AV916">
        <v>88</v>
      </c>
      <c r="AW916">
        <v>78</v>
      </c>
      <c r="AX916">
        <v>206</v>
      </c>
      <c r="AY916">
        <v>0</v>
      </c>
      <c r="AZ916" t="b">
        <v>0</v>
      </c>
      <c r="BA916">
        <v>1559</v>
      </c>
      <c r="BB916">
        <v>1728</v>
      </c>
      <c r="BC916">
        <v>6</v>
      </c>
      <c r="BD916" t="s">
        <v>7901</v>
      </c>
      <c r="BE916" s="1" t="s">
        <v>3594</v>
      </c>
      <c r="BF916">
        <v>0</v>
      </c>
      <c r="BG916">
        <v>71</v>
      </c>
      <c r="BH916">
        <v>1</v>
      </c>
      <c r="BI916" s="1" t="s">
        <v>545</v>
      </c>
      <c r="BJ916">
        <v>7.6</v>
      </c>
      <c r="BK916">
        <v>5</v>
      </c>
      <c r="BL916" s="1" t="s">
        <v>256</v>
      </c>
      <c r="BM916">
        <v>6</v>
      </c>
      <c r="BN916">
        <v>5.6</v>
      </c>
      <c r="BO916" s="1" t="s">
        <v>128</v>
      </c>
      <c r="BP916" s="1" t="s">
        <v>257</v>
      </c>
      <c r="BQ916">
        <v>0</v>
      </c>
      <c r="BR916">
        <v>0</v>
      </c>
      <c r="BS916">
        <v>0</v>
      </c>
      <c r="BT916" s="1" t="s">
        <v>231</v>
      </c>
      <c r="BU916" s="1" t="s">
        <v>128</v>
      </c>
      <c r="BV916">
        <v>0.6</v>
      </c>
      <c r="BW916">
        <v>0</v>
      </c>
      <c r="BX916" s="1" t="s">
        <v>213</v>
      </c>
      <c r="BY916">
        <v>0</v>
      </c>
      <c r="BZ916">
        <v>0</v>
      </c>
      <c r="CA916">
        <v>0</v>
      </c>
      <c r="CB916">
        <v>0</v>
      </c>
      <c r="CC916">
        <v>7.0000000000000007E-2</v>
      </c>
      <c r="CD916">
        <v>7.4666666666666603E-2</v>
      </c>
      <c r="CE916">
        <v>0.19</v>
      </c>
      <c r="CF916">
        <v>0.20200000000000001</v>
      </c>
      <c r="CG916">
        <v>6</v>
      </c>
      <c r="CH916" s="1" t="s">
        <v>499</v>
      </c>
      <c r="CI916">
        <v>0</v>
      </c>
      <c r="CJ916" s="1" t="s">
        <v>184</v>
      </c>
      <c r="CK916">
        <v>2</v>
      </c>
      <c r="CL916">
        <v>1.8</v>
      </c>
      <c r="CM916">
        <v>86</v>
      </c>
      <c r="CN916" s="1" t="s">
        <v>1301</v>
      </c>
      <c r="CO916" s="1" t="s">
        <v>516</v>
      </c>
      <c r="CP916" s="1" t="s">
        <v>1951</v>
      </c>
      <c r="CQ916" s="1" t="s">
        <v>4030</v>
      </c>
      <c r="CR916" s="1" t="s">
        <v>7954</v>
      </c>
      <c r="CS916" s="1" t="s">
        <v>7903</v>
      </c>
      <c r="CT916">
        <v>1688</v>
      </c>
      <c r="CU916" s="1" t="s">
        <v>6535</v>
      </c>
      <c r="CV916" s="1" t="s">
        <v>2440</v>
      </c>
      <c r="CW916">
        <v>70.400000000000006</v>
      </c>
      <c r="CX916">
        <v>67.3</v>
      </c>
      <c r="CY916">
        <v>61.8</v>
      </c>
      <c r="CZ916" s="1" t="s">
        <v>593</v>
      </c>
      <c r="DA916">
        <v>1</v>
      </c>
      <c r="DB916" t="s">
        <v>179</v>
      </c>
      <c r="DC916">
        <v>88</v>
      </c>
      <c r="DD916" s="1" t="s">
        <v>7955</v>
      </c>
      <c r="DE916" s="1" t="s">
        <v>7956</v>
      </c>
      <c r="DF916" t="str">
        <f>_xlfn.XLOOKUP(Table1[[#This Row],[Player ID]],Table2[feed_id],Table2[trade_status])</f>
        <v>free_agent</v>
      </c>
      <c r="DG916">
        <f>_xlfn.NUMBERVALUE(Table1[[#This Row],[predicted]])</f>
        <v>59.321999159124097</v>
      </c>
    </row>
    <row r="917" spans="1:111" x14ac:dyDescent="0.25">
      <c r="A917">
        <v>132690</v>
      </c>
      <c r="B917">
        <v>9240</v>
      </c>
      <c r="C917" t="s">
        <v>7230</v>
      </c>
      <c r="D917" t="s">
        <v>3116</v>
      </c>
      <c r="E917">
        <v>2025</v>
      </c>
      <c r="F917">
        <v>1002228</v>
      </c>
      <c r="G917" t="s">
        <v>4008</v>
      </c>
      <c r="H917" t="s">
        <v>6710</v>
      </c>
      <c r="I917" t="s">
        <v>249</v>
      </c>
      <c r="J917">
        <v>15</v>
      </c>
      <c r="K917">
        <v>60</v>
      </c>
      <c r="L917">
        <v>60</v>
      </c>
      <c r="M917">
        <v>77</v>
      </c>
      <c r="N917">
        <v>48</v>
      </c>
      <c r="O917">
        <v>64</v>
      </c>
      <c r="P917">
        <v>6</v>
      </c>
      <c r="Q917">
        <v>6</v>
      </c>
      <c r="R917">
        <v>3</v>
      </c>
      <c r="S917">
        <v>4</v>
      </c>
      <c r="T917">
        <v>0</v>
      </c>
      <c r="U917">
        <v>1</v>
      </c>
      <c r="V917">
        <v>1</v>
      </c>
      <c r="W917">
        <v>1</v>
      </c>
      <c r="X917">
        <v>1</v>
      </c>
      <c r="Y917" t="s">
        <v>113</v>
      </c>
      <c r="Z917" t="s">
        <v>525</v>
      </c>
      <c r="AA917" t="s">
        <v>7326</v>
      </c>
      <c r="AE917">
        <v>0</v>
      </c>
      <c r="AI917">
        <v>8</v>
      </c>
      <c r="AJ917">
        <v>15</v>
      </c>
      <c r="AK917">
        <v>57.73</v>
      </c>
      <c r="AL917">
        <v>0</v>
      </c>
      <c r="AM917">
        <v>0</v>
      </c>
      <c r="AN917">
        <v>0.04</v>
      </c>
      <c r="AO917">
        <v>0.08</v>
      </c>
      <c r="AS917">
        <v>6</v>
      </c>
      <c r="AT917">
        <v>0</v>
      </c>
      <c r="AU917">
        <v>1</v>
      </c>
      <c r="AV917">
        <v>66</v>
      </c>
      <c r="AW917">
        <v>83</v>
      </c>
      <c r="AX917">
        <v>147</v>
      </c>
      <c r="AY917">
        <v>0</v>
      </c>
      <c r="AZ917" t="b">
        <v>0</v>
      </c>
      <c r="BA917">
        <v>1285</v>
      </c>
      <c r="BB917">
        <v>1976</v>
      </c>
      <c r="BC917">
        <v>6</v>
      </c>
      <c r="BD917" t="s">
        <v>7234</v>
      </c>
      <c r="BE917" s="1" t="s">
        <v>3594</v>
      </c>
      <c r="BF917">
        <v>0</v>
      </c>
      <c r="BG917">
        <v>71</v>
      </c>
      <c r="BH917">
        <v>0</v>
      </c>
      <c r="BI917" s="1" t="s">
        <v>124</v>
      </c>
      <c r="BJ917">
        <v>5.4</v>
      </c>
      <c r="BK917" s="1" t="s">
        <v>124</v>
      </c>
      <c r="BL917" s="1" t="s">
        <v>416</v>
      </c>
      <c r="BM917" s="1" t="s">
        <v>126</v>
      </c>
      <c r="BN917">
        <v>1.4</v>
      </c>
      <c r="BO917" s="1" t="s">
        <v>449</v>
      </c>
      <c r="BP917">
        <v>3.2</v>
      </c>
      <c r="BQ917">
        <v>0</v>
      </c>
      <c r="BR917">
        <v>0</v>
      </c>
      <c r="BS917" s="1" t="s">
        <v>128</v>
      </c>
      <c r="BT917" s="1" t="s">
        <v>238</v>
      </c>
      <c r="BU917" s="1" t="s">
        <v>129</v>
      </c>
      <c r="BV917">
        <v>0.4</v>
      </c>
      <c r="BW917" s="1" t="s">
        <v>129</v>
      </c>
      <c r="BX917">
        <v>0.6</v>
      </c>
      <c r="BY917" s="1" t="s">
        <v>128</v>
      </c>
      <c r="BZ917" s="1" t="s">
        <v>129</v>
      </c>
      <c r="CA917">
        <v>0</v>
      </c>
      <c r="CB917">
        <v>0</v>
      </c>
      <c r="CC917">
        <v>0.04</v>
      </c>
      <c r="CD917">
        <v>0.04</v>
      </c>
      <c r="CE917">
        <v>0.08</v>
      </c>
      <c r="CF917">
        <v>0.08</v>
      </c>
      <c r="CG917" s="1" t="s">
        <v>449</v>
      </c>
      <c r="CH917" s="1" t="s">
        <v>229</v>
      </c>
      <c r="CI917" s="1" t="s">
        <v>128</v>
      </c>
      <c r="CJ917" s="1" t="s">
        <v>130</v>
      </c>
      <c r="CK917" s="1" t="s">
        <v>126</v>
      </c>
      <c r="CL917">
        <v>1.2</v>
      </c>
      <c r="CM917">
        <v>58</v>
      </c>
      <c r="CN917" s="1" t="s">
        <v>1289</v>
      </c>
      <c r="CO917" s="1" t="s">
        <v>241</v>
      </c>
      <c r="CP917" s="1" t="s">
        <v>3439</v>
      </c>
      <c r="CQ917" s="1" t="s">
        <v>3938</v>
      </c>
      <c r="CR917" s="1" t="s">
        <v>7327</v>
      </c>
      <c r="CS917" s="1" t="s">
        <v>7238</v>
      </c>
      <c r="CT917" s="1" t="s">
        <v>7046</v>
      </c>
      <c r="CU917" s="1" t="s">
        <v>7239</v>
      </c>
      <c r="CV917" s="1" t="s">
        <v>2639</v>
      </c>
      <c r="CW917">
        <v>59.9</v>
      </c>
      <c r="CX917">
        <v>56.6</v>
      </c>
      <c r="CY917">
        <v>55.8</v>
      </c>
      <c r="CZ917" s="1" t="s">
        <v>1459</v>
      </c>
      <c r="DA917">
        <v>1</v>
      </c>
      <c r="DB917" t="s">
        <v>525</v>
      </c>
      <c r="DC917">
        <v>60</v>
      </c>
      <c r="DD917" s="1" t="s">
        <v>7328</v>
      </c>
      <c r="DE917" s="1" t="s">
        <v>7329</v>
      </c>
      <c r="DF917" t="str">
        <f>_xlfn.XLOOKUP(Table1[[#This Row],[Player ID]],Table2[feed_id],Table2[trade_status])</f>
        <v>free_agent</v>
      </c>
      <c r="DG917">
        <f>_xlfn.NUMBERVALUE(Table1[[#This Row],[predicted]])</f>
        <v>59.304470953097798</v>
      </c>
    </row>
    <row r="918" spans="1:111" x14ac:dyDescent="0.25">
      <c r="A918">
        <v>132642</v>
      </c>
      <c r="B918">
        <v>9239</v>
      </c>
      <c r="C918" t="s">
        <v>7040</v>
      </c>
      <c r="D918" t="s">
        <v>3116</v>
      </c>
      <c r="E918">
        <v>2025</v>
      </c>
      <c r="F918">
        <v>294508</v>
      </c>
      <c r="G918" t="s">
        <v>7115</v>
      </c>
      <c r="H918" t="s">
        <v>7116</v>
      </c>
      <c r="I918" t="s">
        <v>813</v>
      </c>
      <c r="J918">
        <v>3</v>
      </c>
      <c r="K918">
        <v>43</v>
      </c>
      <c r="L918">
        <v>59</v>
      </c>
      <c r="M918">
        <v>57</v>
      </c>
      <c r="N918">
        <v>35</v>
      </c>
      <c r="O918">
        <v>51</v>
      </c>
      <c r="P918">
        <v>10</v>
      </c>
      <c r="Q918">
        <v>4</v>
      </c>
      <c r="R918">
        <v>2</v>
      </c>
      <c r="S918">
        <v>1</v>
      </c>
      <c r="T918">
        <v>0</v>
      </c>
      <c r="U918">
        <v>1</v>
      </c>
      <c r="V918">
        <v>2</v>
      </c>
      <c r="W918">
        <v>0</v>
      </c>
      <c r="X918">
        <v>0</v>
      </c>
      <c r="Y918" t="s">
        <v>113</v>
      </c>
      <c r="Z918" t="s">
        <v>179</v>
      </c>
      <c r="AA918" t="s">
        <v>7117</v>
      </c>
      <c r="AE918">
        <v>0</v>
      </c>
      <c r="AH918" t="s">
        <v>181</v>
      </c>
      <c r="AI918">
        <v>4</v>
      </c>
      <c r="AJ918">
        <v>16</v>
      </c>
      <c r="AK918">
        <v>43.56</v>
      </c>
      <c r="AL918">
        <v>0</v>
      </c>
      <c r="AM918">
        <v>0</v>
      </c>
      <c r="AN918">
        <v>0.06</v>
      </c>
      <c r="AO918">
        <v>0.06</v>
      </c>
      <c r="AS918">
        <v>5</v>
      </c>
      <c r="AT918">
        <v>0</v>
      </c>
      <c r="AU918">
        <v>2</v>
      </c>
      <c r="AV918">
        <v>78</v>
      </c>
      <c r="AW918">
        <v>93</v>
      </c>
      <c r="AX918">
        <v>302</v>
      </c>
      <c r="AY918">
        <v>0</v>
      </c>
      <c r="AZ918" t="b">
        <v>0</v>
      </c>
      <c r="BA918">
        <v>1678</v>
      </c>
      <c r="BB918">
        <v>1592</v>
      </c>
      <c r="BC918">
        <v>6</v>
      </c>
      <c r="BD918" t="s">
        <v>7044</v>
      </c>
      <c r="BE918" s="1" t="s">
        <v>3594</v>
      </c>
      <c r="BF918">
        <v>0</v>
      </c>
      <c r="BG918">
        <v>71</v>
      </c>
      <c r="BH918">
        <v>0</v>
      </c>
      <c r="BI918" s="1" t="s">
        <v>356</v>
      </c>
      <c r="BJ918">
        <v>9.8000000000000007</v>
      </c>
      <c r="BK918">
        <v>4</v>
      </c>
      <c r="BL918" s="1" t="s">
        <v>587</v>
      </c>
      <c r="BM918" s="1" t="s">
        <v>125</v>
      </c>
      <c r="BN918">
        <v>5</v>
      </c>
      <c r="BO918" s="1" t="s">
        <v>161</v>
      </c>
      <c r="BP918">
        <v>1.4</v>
      </c>
      <c r="BQ918">
        <v>0</v>
      </c>
      <c r="BR918">
        <v>0</v>
      </c>
      <c r="BS918" s="1" t="s">
        <v>128</v>
      </c>
      <c r="BT918">
        <v>0.6</v>
      </c>
      <c r="BU918" s="1" t="s">
        <v>126</v>
      </c>
      <c r="BV918">
        <v>0.8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0.06</v>
      </c>
      <c r="CD918">
        <v>0.06</v>
      </c>
      <c r="CE918">
        <v>0.06</v>
      </c>
      <c r="CF918">
        <v>0.06</v>
      </c>
      <c r="CG918" s="1" t="s">
        <v>125</v>
      </c>
      <c r="CH918" s="1" t="s">
        <v>125</v>
      </c>
      <c r="CI918">
        <v>0</v>
      </c>
      <c r="CJ918" s="1" t="s">
        <v>184</v>
      </c>
      <c r="CK918" s="1" t="s">
        <v>161</v>
      </c>
      <c r="CL918">
        <v>1.6</v>
      </c>
      <c r="CM918">
        <v>86</v>
      </c>
      <c r="CN918">
        <v>85.2</v>
      </c>
      <c r="CO918" s="1" t="s">
        <v>630</v>
      </c>
      <c r="CP918">
        <v>93.6</v>
      </c>
      <c r="CQ918">
        <v>237</v>
      </c>
      <c r="CR918" s="1" t="s">
        <v>7118</v>
      </c>
      <c r="CS918" s="1" t="s">
        <v>2903</v>
      </c>
      <c r="CT918">
        <v>1623.8</v>
      </c>
      <c r="CU918">
        <v>1674</v>
      </c>
      <c r="CV918" s="1" t="s">
        <v>7046</v>
      </c>
      <c r="CW918">
        <v>67.8</v>
      </c>
      <c r="CX918">
        <v>69.900000000000006</v>
      </c>
      <c r="CY918">
        <v>75.2</v>
      </c>
      <c r="CZ918">
        <v>72</v>
      </c>
      <c r="DA918">
        <v>1</v>
      </c>
      <c r="DB918" t="s">
        <v>179</v>
      </c>
      <c r="DC918">
        <v>59</v>
      </c>
      <c r="DD918" s="1" t="s">
        <v>7119</v>
      </c>
      <c r="DE918">
        <v>-9.7592863071085306E-2</v>
      </c>
      <c r="DF918" t="str">
        <f>_xlfn.XLOOKUP(Table1[[#This Row],[Player ID]],Table2[feed_id],Table2[trade_status])</f>
        <v>free_agent</v>
      </c>
      <c r="DG918">
        <f>_xlfn.NUMBERVALUE(Table1[[#This Row],[predicted]])</f>
        <v>59.097592863071</v>
      </c>
    </row>
    <row r="919" spans="1:111" hidden="1" x14ac:dyDescent="0.25">
      <c r="A919">
        <v>132828</v>
      </c>
      <c r="B919">
        <v>9243</v>
      </c>
      <c r="C919" t="s">
        <v>7798</v>
      </c>
      <c r="D919" t="s">
        <v>3116</v>
      </c>
      <c r="E919">
        <v>2025</v>
      </c>
      <c r="F919">
        <v>1002232</v>
      </c>
      <c r="G919" t="s">
        <v>247</v>
      </c>
      <c r="H919" t="s">
        <v>5029</v>
      </c>
      <c r="I919" t="s">
        <v>178</v>
      </c>
      <c r="J919">
        <v>50</v>
      </c>
      <c r="K919">
        <v>123</v>
      </c>
      <c r="L919">
        <v>155</v>
      </c>
      <c r="M919">
        <v>109</v>
      </c>
      <c r="N919">
        <v>91</v>
      </c>
      <c r="O919">
        <v>129</v>
      </c>
      <c r="P919">
        <v>12</v>
      </c>
      <c r="Q919">
        <v>19</v>
      </c>
      <c r="R919">
        <v>2</v>
      </c>
      <c r="S919">
        <v>10</v>
      </c>
      <c r="T919">
        <v>0</v>
      </c>
      <c r="U919">
        <v>3</v>
      </c>
      <c r="V919">
        <v>0</v>
      </c>
      <c r="W919">
        <v>0</v>
      </c>
      <c r="X919">
        <v>0</v>
      </c>
      <c r="Y919" t="s">
        <v>113</v>
      </c>
      <c r="Z919" t="s">
        <v>3425</v>
      </c>
      <c r="AA919" t="s">
        <v>7900</v>
      </c>
      <c r="AB919" t="s">
        <v>877</v>
      </c>
      <c r="AC919" t="s">
        <v>7050</v>
      </c>
      <c r="AE919">
        <v>0</v>
      </c>
      <c r="AH919" t="s">
        <v>118</v>
      </c>
      <c r="AI919">
        <v>8</v>
      </c>
      <c r="AJ919">
        <v>17</v>
      </c>
      <c r="AK919">
        <v>66.760000000000005</v>
      </c>
      <c r="AL919">
        <v>0</v>
      </c>
      <c r="AM919">
        <v>0</v>
      </c>
      <c r="AN919">
        <v>9.6300000000000008</v>
      </c>
      <c r="AO919">
        <v>12.05</v>
      </c>
      <c r="AS919">
        <v>14</v>
      </c>
      <c r="AT919">
        <v>6</v>
      </c>
      <c r="AU919">
        <v>3</v>
      </c>
      <c r="AV919">
        <v>83</v>
      </c>
      <c r="AW919">
        <v>80</v>
      </c>
      <c r="AX919">
        <v>517</v>
      </c>
      <c r="AY919">
        <v>0</v>
      </c>
      <c r="AZ919" t="b">
        <v>0</v>
      </c>
      <c r="BA919">
        <v>1559</v>
      </c>
      <c r="BB919">
        <v>1728</v>
      </c>
      <c r="BC919">
        <v>6</v>
      </c>
      <c r="BD919" t="s">
        <v>7901</v>
      </c>
      <c r="BE919" s="1" t="s">
        <v>3594</v>
      </c>
      <c r="BF919">
        <v>1</v>
      </c>
      <c r="BG919">
        <v>71</v>
      </c>
      <c r="BH919">
        <v>1</v>
      </c>
      <c r="BI919" s="1" t="s">
        <v>122</v>
      </c>
      <c r="BJ919">
        <v>12.8</v>
      </c>
      <c r="BK919">
        <v>16</v>
      </c>
      <c r="BL919" s="1" t="s">
        <v>296</v>
      </c>
      <c r="BM919" s="1" t="s">
        <v>161</v>
      </c>
      <c r="BN919" s="1" t="s">
        <v>125</v>
      </c>
      <c r="BO919" s="1" t="s">
        <v>137</v>
      </c>
      <c r="BP919" s="1" t="s">
        <v>964</v>
      </c>
      <c r="BQ919">
        <v>0</v>
      </c>
      <c r="BR919">
        <v>0</v>
      </c>
      <c r="BS919">
        <v>2</v>
      </c>
      <c r="BT919" s="1" t="s">
        <v>161</v>
      </c>
      <c r="BU919">
        <v>0</v>
      </c>
      <c r="BV919">
        <v>1.4</v>
      </c>
      <c r="BW919" s="1" t="s">
        <v>129</v>
      </c>
      <c r="BX919">
        <v>0.4</v>
      </c>
      <c r="BY919" s="1" t="s">
        <v>128</v>
      </c>
      <c r="BZ919" s="1" t="s">
        <v>231</v>
      </c>
      <c r="CA919">
        <v>0</v>
      </c>
      <c r="CB919">
        <v>0</v>
      </c>
      <c r="CC919">
        <v>9.6300000000000008</v>
      </c>
      <c r="CD919">
        <v>9.6300000000000008</v>
      </c>
      <c r="CE919">
        <v>12.05</v>
      </c>
      <c r="CF919">
        <v>12.05</v>
      </c>
      <c r="CG919">
        <v>12</v>
      </c>
      <c r="CH919" s="1" t="s">
        <v>4169</v>
      </c>
      <c r="CI919" s="1" t="s">
        <v>449</v>
      </c>
      <c r="CJ919" s="1" t="s">
        <v>449</v>
      </c>
      <c r="CK919" s="1" t="s">
        <v>138</v>
      </c>
      <c r="CL919" s="1" t="s">
        <v>230</v>
      </c>
      <c r="CM919" s="1" t="s">
        <v>754</v>
      </c>
      <c r="CN919" s="1" t="s">
        <v>261</v>
      </c>
      <c r="CO919" s="1" t="s">
        <v>364</v>
      </c>
      <c r="CP919" s="1" t="s">
        <v>720</v>
      </c>
      <c r="CQ919" s="1" t="s">
        <v>7902</v>
      </c>
      <c r="CR919">
        <v>421.6</v>
      </c>
      <c r="CS919" s="1" t="s">
        <v>7903</v>
      </c>
      <c r="CT919" s="1" t="s">
        <v>853</v>
      </c>
      <c r="CU919" s="1" t="s">
        <v>6535</v>
      </c>
      <c r="CV919">
        <v>1604.2</v>
      </c>
      <c r="CW919">
        <v>115.2</v>
      </c>
      <c r="CX919">
        <v>125.3</v>
      </c>
      <c r="CY919">
        <v>125.6</v>
      </c>
      <c r="CZ919" s="1" t="s">
        <v>7586</v>
      </c>
      <c r="DA919">
        <v>1</v>
      </c>
      <c r="DB919" t="s">
        <v>3425</v>
      </c>
      <c r="DC919">
        <v>155</v>
      </c>
      <c r="DD919" s="1" t="s">
        <v>7904</v>
      </c>
      <c r="DE919" s="1" t="s">
        <v>7905</v>
      </c>
      <c r="DF919" t="e">
        <f>_xlfn.XLOOKUP(Table1[[#This Row],[Player ID]],Table2[feed_id],Table2[trade_status])</f>
        <v>#N/A</v>
      </c>
      <c r="DG919">
        <f>_xlfn.NUMBERVALUE(Table1[[#This Row],[predicted]])</f>
        <v>102.826829143117</v>
      </c>
    </row>
    <row r="920" spans="1:111" hidden="1" x14ac:dyDescent="0.25">
      <c r="A920">
        <v>132829</v>
      </c>
      <c r="B920">
        <v>9243</v>
      </c>
      <c r="C920" t="s">
        <v>7798</v>
      </c>
      <c r="D920" t="s">
        <v>3116</v>
      </c>
      <c r="E920">
        <v>2025</v>
      </c>
      <c r="F920">
        <v>1012819</v>
      </c>
      <c r="G920" t="s">
        <v>1318</v>
      </c>
      <c r="H920" t="s">
        <v>7906</v>
      </c>
      <c r="I920" t="s">
        <v>178</v>
      </c>
      <c r="J920">
        <v>34</v>
      </c>
      <c r="K920">
        <v>107</v>
      </c>
      <c r="L920">
        <v>130</v>
      </c>
      <c r="M920">
        <v>91</v>
      </c>
      <c r="N920">
        <v>91</v>
      </c>
      <c r="O920">
        <v>104</v>
      </c>
      <c r="P920">
        <v>10</v>
      </c>
      <c r="Q920">
        <v>1</v>
      </c>
      <c r="R920">
        <v>8</v>
      </c>
      <c r="S920">
        <v>3</v>
      </c>
      <c r="T920">
        <v>1</v>
      </c>
      <c r="U920">
        <v>1</v>
      </c>
      <c r="V920">
        <v>0</v>
      </c>
      <c r="W920">
        <v>6</v>
      </c>
      <c r="X920">
        <v>1</v>
      </c>
      <c r="Y920" t="s">
        <v>113</v>
      </c>
      <c r="Z920" t="s">
        <v>6775</v>
      </c>
      <c r="AA920" t="s">
        <v>7907</v>
      </c>
      <c r="AB920" t="s">
        <v>656</v>
      </c>
      <c r="AC920" t="s">
        <v>7908</v>
      </c>
      <c r="AH920" t="s">
        <v>155</v>
      </c>
      <c r="AI920">
        <v>35</v>
      </c>
      <c r="AJ920">
        <v>0</v>
      </c>
      <c r="AK920">
        <v>0</v>
      </c>
      <c r="AL920">
        <v>0</v>
      </c>
      <c r="AM920">
        <v>0.31</v>
      </c>
      <c r="AN920">
        <v>0.06</v>
      </c>
      <c r="AO920">
        <v>0.08</v>
      </c>
      <c r="AS920">
        <v>2</v>
      </c>
      <c r="AT920">
        <v>0</v>
      </c>
      <c r="AU920">
        <v>1</v>
      </c>
      <c r="AV920">
        <v>81</v>
      </c>
      <c r="AW920">
        <v>88</v>
      </c>
      <c r="AX920">
        <v>278</v>
      </c>
      <c r="AY920">
        <v>1</v>
      </c>
      <c r="AZ920" t="b">
        <v>0</v>
      </c>
      <c r="BA920">
        <v>1559</v>
      </c>
      <c r="BB920">
        <v>1728</v>
      </c>
      <c r="BC920">
        <v>6</v>
      </c>
      <c r="BD920" t="s">
        <v>7901</v>
      </c>
      <c r="BE920" s="1" t="s">
        <v>3594</v>
      </c>
      <c r="BF920">
        <v>1</v>
      </c>
      <c r="BG920">
        <v>71</v>
      </c>
      <c r="BH920">
        <v>1</v>
      </c>
      <c r="BI920" s="1" t="s">
        <v>294</v>
      </c>
      <c r="BJ920">
        <v>8.4</v>
      </c>
      <c r="BK920" s="1" t="s">
        <v>125</v>
      </c>
      <c r="BL920">
        <v>4.2</v>
      </c>
      <c r="BM920">
        <v>7</v>
      </c>
      <c r="BN920" s="1" t="s">
        <v>343</v>
      </c>
      <c r="BO920" s="1" t="s">
        <v>159</v>
      </c>
      <c r="BP920" s="1" t="s">
        <v>275</v>
      </c>
      <c r="BQ920" s="1" t="s">
        <v>161</v>
      </c>
      <c r="BR920" s="1" t="s">
        <v>126</v>
      </c>
      <c r="BS920" s="1" t="s">
        <v>126</v>
      </c>
      <c r="BT920">
        <v>0.8</v>
      </c>
      <c r="BU920">
        <v>1</v>
      </c>
      <c r="BV920" s="1" t="s">
        <v>399</v>
      </c>
      <c r="BW920">
        <v>4</v>
      </c>
      <c r="BX920">
        <v>2.8</v>
      </c>
      <c r="BY920">
        <v>1</v>
      </c>
      <c r="BZ920" s="1" t="s">
        <v>298</v>
      </c>
      <c r="CA920">
        <v>0.31</v>
      </c>
      <c r="CB920">
        <v>0.31</v>
      </c>
      <c r="CC920">
        <v>0.06</v>
      </c>
      <c r="CD920">
        <v>0.06</v>
      </c>
      <c r="CE920">
        <v>0.08</v>
      </c>
      <c r="CF920">
        <v>0.08</v>
      </c>
      <c r="CG920">
        <v>4</v>
      </c>
      <c r="CH920">
        <v>5</v>
      </c>
      <c r="CI920">
        <v>0</v>
      </c>
      <c r="CJ920" s="1" t="s">
        <v>213</v>
      </c>
      <c r="CK920">
        <v>2</v>
      </c>
      <c r="CL920">
        <v>2</v>
      </c>
      <c r="CM920" s="1" t="s">
        <v>1258</v>
      </c>
      <c r="CN920">
        <v>72.599999999999994</v>
      </c>
      <c r="CO920" s="1" t="s">
        <v>1665</v>
      </c>
      <c r="CP920">
        <v>89.6</v>
      </c>
      <c r="CQ920" s="1" t="s">
        <v>7909</v>
      </c>
      <c r="CR920">
        <v>260</v>
      </c>
      <c r="CS920" s="1" t="s">
        <v>7903</v>
      </c>
      <c r="CT920" s="1" t="s">
        <v>331</v>
      </c>
      <c r="CU920" s="1" t="s">
        <v>6535</v>
      </c>
      <c r="CV920">
        <v>1594.4</v>
      </c>
      <c r="CW920">
        <v>89.35</v>
      </c>
      <c r="CX920">
        <v>98.4</v>
      </c>
      <c r="CY920">
        <v>99.6</v>
      </c>
      <c r="CZ920" s="1" t="s">
        <v>5261</v>
      </c>
      <c r="DA920">
        <v>1</v>
      </c>
      <c r="DB920" t="s">
        <v>6775</v>
      </c>
      <c r="DC920">
        <v>130</v>
      </c>
      <c r="DD920" s="1" t="s">
        <v>7910</v>
      </c>
      <c r="DE920" s="1" t="s">
        <v>7911</v>
      </c>
      <c r="DF920" t="e">
        <f>_xlfn.XLOOKUP(Table1[[#This Row],[Player ID]],Table2[feed_id],Table2[trade_status])</f>
        <v>#N/A</v>
      </c>
      <c r="DG920">
        <f>_xlfn.NUMBERVALUE(Table1[[#This Row],[predicted]])</f>
        <v>82.702228060706204</v>
      </c>
    </row>
    <row r="921" spans="1:111" x14ac:dyDescent="0.25">
      <c r="A921">
        <v>132883</v>
      </c>
      <c r="B921">
        <v>9244</v>
      </c>
      <c r="C921" t="s">
        <v>7983</v>
      </c>
      <c r="D921" t="s">
        <v>3116</v>
      </c>
      <c r="E921">
        <v>2025</v>
      </c>
      <c r="F921">
        <v>1009708</v>
      </c>
      <c r="G921" t="s">
        <v>1127</v>
      </c>
      <c r="H921" t="s">
        <v>2049</v>
      </c>
      <c r="I921" t="s">
        <v>1089</v>
      </c>
      <c r="J921">
        <v>9</v>
      </c>
      <c r="K921">
        <v>66</v>
      </c>
      <c r="L921">
        <v>86</v>
      </c>
      <c r="M921">
        <v>58</v>
      </c>
      <c r="N921">
        <v>53</v>
      </c>
      <c r="O921">
        <v>69</v>
      </c>
      <c r="P921">
        <v>7</v>
      </c>
      <c r="Q921">
        <v>6</v>
      </c>
      <c r="R921">
        <v>7</v>
      </c>
      <c r="S921">
        <v>3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113</v>
      </c>
      <c r="Z921" t="s">
        <v>179</v>
      </c>
      <c r="AA921" t="s">
        <v>8139</v>
      </c>
      <c r="AE921">
        <v>0</v>
      </c>
      <c r="AH921" t="s">
        <v>181</v>
      </c>
      <c r="AI921">
        <v>44</v>
      </c>
      <c r="AJ921">
        <v>0</v>
      </c>
      <c r="AK921">
        <v>0</v>
      </c>
      <c r="AL921">
        <v>0</v>
      </c>
      <c r="AM921">
        <v>0</v>
      </c>
      <c r="AN921">
        <v>0.1</v>
      </c>
      <c r="AO921">
        <v>0.19</v>
      </c>
      <c r="AS921">
        <v>2</v>
      </c>
      <c r="AT921">
        <v>0</v>
      </c>
      <c r="AU921">
        <v>0</v>
      </c>
      <c r="AV921">
        <v>100</v>
      </c>
      <c r="AW921">
        <v>82</v>
      </c>
      <c r="AX921">
        <v>80</v>
      </c>
      <c r="AY921">
        <v>0</v>
      </c>
      <c r="AZ921" t="b">
        <v>0</v>
      </c>
      <c r="BA921">
        <v>1473</v>
      </c>
      <c r="BB921">
        <v>1816</v>
      </c>
      <c r="BC921">
        <v>6</v>
      </c>
      <c r="BD921" t="s">
        <v>8080</v>
      </c>
      <c r="BE921" s="1" t="s">
        <v>3594</v>
      </c>
      <c r="BF921">
        <v>0</v>
      </c>
      <c r="BG921">
        <v>71</v>
      </c>
      <c r="BH921">
        <v>1</v>
      </c>
      <c r="BI921" s="1" t="s">
        <v>253</v>
      </c>
      <c r="BJ921" s="1" t="s">
        <v>498</v>
      </c>
      <c r="BK921" s="1" t="s">
        <v>211</v>
      </c>
      <c r="BL921" s="1" t="s">
        <v>229</v>
      </c>
      <c r="BM921" s="1" t="s">
        <v>204</v>
      </c>
      <c r="BN921" s="1" t="s">
        <v>374</v>
      </c>
      <c r="BO921">
        <v>2</v>
      </c>
      <c r="BP921" s="1" t="s">
        <v>214</v>
      </c>
      <c r="BQ921">
        <v>0</v>
      </c>
      <c r="BR921">
        <v>0</v>
      </c>
      <c r="BS921" s="1" t="s">
        <v>128</v>
      </c>
      <c r="BT921" s="1" t="s">
        <v>128</v>
      </c>
      <c r="BU921" s="1" t="s">
        <v>128</v>
      </c>
      <c r="BV921" s="1" t="s">
        <v>128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0.1</v>
      </c>
      <c r="CD921">
        <v>0.1</v>
      </c>
      <c r="CE921">
        <v>0.19</v>
      </c>
      <c r="CF921">
        <v>0.19</v>
      </c>
      <c r="CG921">
        <v>4</v>
      </c>
      <c r="CH921">
        <v>5.4</v>
      </c>
      <c r="CI921" s="1" t="s">
        <v>129</v>
      </c>
      <c r="CJ921" s="1" t="s">
        <v>184</v>
      </c>
      <c r="CK921" s="1" t="s">
        <v>161</v>
      </c>
      <c r="CL921">
        <v>1.6</v>
      </c>
      <c r="CM921" s="1" t="s">
        <v>437</v>
      </c>
      <c r="CN921">
        <v>83.8</v>
      </c>
      <c r="CO921" s="1" t="s">
        <v>306</v>
      </c>
      <c r="CP921" s="1" t="s">
        <v>8140</v>
      </c>
      <c r="CQ921">
        <v>121</v>
      </c>
      <c r="CR921" s="1" t="s">
        <v>4760</v>
      </c>
      <c r="CS921" s="1" t="s">
        <v>8082</v>
      </c>
      <c r="CT921">
        <v>1750.8</v>
      </c>
      <c r="CU921" s="1" t="s">
        <v>8083</v>
      </c>
      <c r="CV921" s="1" t="s">
        <v>8104</v>
      </c>
      <c r="CW921">
        <v>73.3</v>
      </c>
      <c r="CX921">
        <v>66.8</v>
      </c>
      <c r="CY921">
        <v>68.2</v>
      </c>
      <c r="CZ921">
        <v>69</v>
      </c>
      <c r="DA921">
        <v>1</v>
      </c>
      <c r="DB921" t="s">
        <v>179</v>
      </c>
      <c r="DC921">
        <v>86</v>
      </c>
      <c r="DD921" s="1" t="s">
        <v>8141</v>
      </c>
      <c r="DE921" s="1" t="s">
        <v>8142</v>
      </c>
      <c r="DF921" t="str">
        <f>_xlfn.XLOOKUP(Table1[[#This Row],[Player ID]],Table2[feed_id],Table2[trade_status])</f>
        <v>free_agent</v>
      </c>
      <c r="DG921">
        <f>_xlfn.NUMBERVALUE(Table1[[#This Row],[predicted]])</f>
        <v>59.076092509033401</v>
      </c>
    </row>
    <row r="922" spans="1:111" hidden="1" x14ac:dyDescent="0.25">
      <c r="A922">
        <v>132831</v>
      </c>
      <c r="B922">
        <v>9243</v>
      </c>
      <c r="C922" t="s">
        <v>7798</v>
      </c>
      <c r="D922" t="s">
        <v>3116</v>
      </c>
      <c r="E922">
        <v>2025</v>
      </c>
      <c r="F922">
        <v>1009420</v>
      </c>
      <c r="G922" t="s">
        <v>4451</v>
      </c>
      <c r="H922" t="s">
        <v>7917</v>
      </c>
      <c r="I922" t="s">
        <v>178</v>
      </c>
      <c r="J922">
        <v>20</v>
      </c>
      <c r="K922">
        <v>101</v>
      </c>
      <c r="L922">
        <v>103</v>
      </c>
      <c r="M922">
        <v>62</v>
      </c>
      <c r="N922">
        <v>80</v>
      </c>
      <c r="O922">
        <v>111</v>
      </c>
      <c r="P922">
        <v>17</v>
      </c>
      <c r="Q922">
        <v>12</v>
      </c>
      <c r="R922">
        <v>4</v>
      </c>
      <c r="S922">
        <v>4</v>
      </c>
      <c r="T922">
        <v>0</v>
      </c>
      <c r="U922">
        <v>4</v>
      </c>
      <c r="V922">
        <v>2</v>
      </c>
      <c r="W922">
        <v>0</v>
      </c>
      <c r="X922">
        <v>0</v>
      </c>
      <c r="Y922" t="s">
        <v>113</v>
      </c>
      <c r="Z922" t="s">
        <v>339</v>
      </c>
      <c r="AA922" t="s">
        <v>7918</v>
      </c>
      <c r="AB922" t="s">
        <v>877</v>
      </c>
      <c r="AC922" t="s">
        <v>6420</v>
      </c>
      <c r="AH922" t="s">
        <v>118</v>
      </c>
      <c r="AI922">
        <v>3</v>
      </c>
      <c r="AJ922">
        <v>0</v>
      </c>
      <c r="AK922">
        <v>0</v>
      </c>
      <c r="AL922">
        <v>0</v>
      </c>
      <c r="AM922">
        <v>10.27</v>
      </c>
      <c r="AN922">
        <v>9.92</v>
      </c>
      <c r="AO922">
        <v>5.58</v>
      </c>
      <c r="AS922">
        <v>13</v>
      </c>
      <c r="AT922">
        <v>6</v>
      </c>
      <c r="AU922">
        <v>4</v>
      </c>
      <c r="AV922">
        <v>58</v>
      </c>
      <c r="AW922">
        <v>79</v>
      </c>
      <c r="AX922">
        <v>461</v>
      </c>
      <c r="AY922">
        <v>0</v>
      </c>
      <c r="AZ922" t="b">
        <v>0</v>
      </c>
      <c r="BA922">
        <v>1559</v>
      </c>
      <c r="BB922">
        <v>1728</v>
      </c>
      <c r="BC922">
        <v>6</v>
      </c>
      <c r="BD922" t="s">
        <v>7901</v>
      </c>
      <c r="BE922" s="1" t="s">
        <v>3594</v>
      </c>
      <c r="BF922">
        <v>1</v>
      </c>
      <c r="BG922">
        <v>71</v>
      </c>
      <c r="BH922">
        <v>1</v>
      </c>
      <c r="BI922" s="1" t="s">
        <v>3068</v>
      </c>
      <c r="BJ922" s="1" t="s">
        <v>5955</v>
      </c>
      <c r="BK922" s="1" t="s">
        <v>296</v>
      </c>
      <c r="BL922" s="1" t="s">
        <v>1831</v>
      </c>
      <c r="BM922">
        <v>2</v>
      </c>
      <c r="BN922" s="1" t="s">
        <v>275</v>
      </c>
      <c r="BO922">
        <v>4</v>
      </c>
      <c r="BP922" s="1" t="s">
        <v>436</v>
      </c>
      <c r="BQ922">
        <v>0</v>
      </c>
      <c r="BR922">
        <v>0</v>
      </c>
      <c r="BS922" s="1" t="s">
        <v>169</v>
      </c>
      <c r="BT922" s="1" t="s">
        <v>304</v>
      </c>
      <c r="BU922" s="1" t="s">
        <v>128</v>
      </c>
      <c r="BV922" s="1" t="s">
        <v>231</v>
      </c>
      <c r="BW922">
        <v>0</v>
      </c>
      <c r="BX922" s="1" t="s">
        <v>130</v>
      </c>
      <c r="BY922">
        <v>0</v>
      </c>
      <c r="BZ922">
        <v>0.4</v>
      </c>
      <c r="CA922">
        <v>10.27</v>
      </c>
      <c r="CB922">
        <v>10.27</v>
      </c>
      <c r="CC922">
        <v>9.92</v>
      </c>
      <c r="CD922">
        <v>9.92</v>
      </c>
      <c r="CE922">
        <v>5.58</v>
      </c>
      <c r="CF922">
        <v>5.58</v>
      </c>
      <c r="CG922">
        <v>18</v>
      </c>
      <c r="CH922">
        <v>13.6</v>
      </c>
      <c r="CI922" s="1" t="s">
        <v>1008</v>
      </c>
      <c r="CJ922">
        <v>8</v>
      </c>
      <c r="CK922" s="1" t="s">
        <v>124</v>
      </c>
      <c r="CL922" s="1" t="s">
        <v>528</v>
      </c>
      <c r="CM922" s="1" t="s">
        <v>418</v>
      </c>
      <c r="CN922" s="1" t="s">
        <v>3322</v>
      </c>
      <c r="CO922">
        <v>81</v>
      </c>
      <c r="CP922">
        <v>82.8</v>
      </c>
      <c r="CQ922">
        <v>505</v>
      </c>
      <c r="CR922" s="1" t="s">
        <v>5871</v>
      </c>
      <c r="CS922" s="1" t="s">
        <v>7903</v>
      </c>
      <c r="CT922" s="1" t="s">
        <v>853</v>
      </c>
      <c r="CU922" s="1" t="s">
        <v>6535</v>
      </c>
      <c r="CV922">
        <v>1604.2</v>
      </c>
      <c r="CW922">
        <v>108.9</v>
      </c>
      <c r="CX922">
        <v>109.2</v>
      </c>
      <c r="CY922">
        <v>110.2</v>
      </c>
      <c r="CZ922" s="1" t="s">
        <v>7919</v>
      </c>
      <c r="DA922">
        <v>1</v>
      </c>
      <c r="DB922" t="s">
        <v>339</v>
      </c>
      <c r="DC922">
        <v>103</v>
      </c>
      <c r="DD922" s="1" t="s">
        <v>7920</v>
      </c>
      <c r="DE922">
        <v>-4.8571967952979298</v>
      </c>
      <c r="DF922" t="e">
        <f>_xlfn.XLOOKUP(Table1[[#This Row],[Player ID]],Table2[feed_id],Table2[trade_status])</f>
        <v>#N/A</v>
      </c>
      <c r="DG922">
        <f>_xlfn.NUMBERVALUE(Table1[[#This Row],[predicted]])</f>
        <v>107.857196795297</v>
      </c>
    </row>
    <row r="923" spans="1:111" hidden="1" x14ac:dyDescent="0.25">
      <c r="A923">
        <v>132832</v>
      </c>
      <c r="B923">
        <v>9243</v>
      </c>
      <c r="C923" t="s">
        <v>7798</v>
      </c>
      <c r="D923" t="s">
        <v>3116</v>
      </c>
      <c r="E923">
        <v>2025</v>
      </c>
      <c r="F923">
        <v>1009256</v>
      </c>
      <c r="G923" t="s">
        <v>2868</v>
      </c>
      <c r="H923" t="s">
        <v>3007</v>
      </c>
      <c r="I923" t="s">
        <v>178</v>
      </c>
      <c r="J923">
        <v>20</v>
      </c>
      <c r="K923">
        <v>90</v>
      </c>
      <c r="L923">
        <v>79</v>
      </c>
      <c r="M923">
        <v>64</v>
      </c>
      <c r="N923">
        <v>67</v>
      </c>
      <c r="O923">
        <v>90</v>
      </c>
      <c r="P923">
        <v>13</v>
      </c>
      <c r="Q923">
        <v>5</v>
      </c>
      <c r="R923">
        <v>3</v>
      </c>
      <c r="S923">
        <v>5</v>
      </c>
      <c r="T923">
        <v>0</v>
      </c>
      <c r="U923">
        <v>0</v>
      </c>
      <c r="V923">
        <v>0</v>
      </c>
      <c r="W923">
        <v>2</v>
      </c>
      <c r="X923">
        <v>0</v>
      </c>
      <c r="Y923" t="s">
        <v>113</v>
      </c>
      <c r="Z923" t="s">
        <v>7921</v>
      </c>
      <c r="AA923" t="s">
        <v>7922</v>
      </c>
      <c r="AB923" t="s">
        <v>5826</v>
      </c>
      <c r="AC923" t="s">
        <v>6667</v>
      </c>
      <c r="AH923" t="s">
        <v>181</v>
      </c>
      <c r="AI923">
        <v>26</v>
      </c>
      <c r="AJ923">
        <v>0</v>
      </c>
      <c r="AK923">
        <v>0</v>
      </c>
      <c r="AL923">
        <v>0</v>
      </c>
      <c r="AM923">
        <v>39.42</v>
      </c>
      <c r="AN923">
        <v>37.619999999999997</v>
      </c>
      <c r="AO923">
        <v>34.33</v>
      </c>
      <c r="AS923">
        <v>8</v>
      </c>
      <c r="AT923">
        <v>2</v>
      </c>
      <c r="AU923">
        <v>2</v>
      </c>
      <c r="AV923">
        <v>55</v>
      </c>
      <c r="AW923">
        <v>69</v>
      </c>
      <c r="AX923">
        <v>397</v>
      </c>
      <c r="AY923">
        <v>1</v>
      </c>
      <c r="AZ923" t="b">
        <v>0</v>
      </c>
      <c r="BA923">
        <v>1559</v>
      </c>
      <c r="BB923">
        <v>1728</v>
      </c>
      <c r="BC923">
        <v>6</v>
      </c>
      <c r="BD923" t="s">
        <v>7901</v>
      </c>
      <c r="BE923" s="1" t="s">
        <v>3594</v>
      </c>
      <c r="BF923">
        <v>0</v>
      </c>
      <c r="BG923">
        <v>71</v>
      </c>
      <c r="BH923">
        <v>1</v>
      </c>
      <c r="BI923">
        <v>13</v>
      </c>
      <c r="BJ923" s="1" t="s">
        <v>4001</v>
      </c>
      <c r="BK923" s="1" t="s">
        <v>124</v>
      </c>
      <c r="BL923" s="1" t="s">
        <v>1587</v>
      </c>
      <c r="BM923" s="1" t="s">
        <v>159</v>
      </c>
      <c r="BN923">
        <v>2.2000000000000002</v>
      </c>
      <c r="BO923">
        <v>4</v>
      </c>
      <c r="BP923" s="1" t="s">
        <v>752</v>
      </c>
      <c r="BQ923">
        <v>0</v>
      </c>
      <c r="BR923">
        <v>0</v>
      </c>
      <c r="BS923">
        <v>1</v>
      </c>
      <c r="BT923" s="1" t="s">
        <v>128</v>
      </c>
      <c r="BU923">
        <v>1</v>
      </c>
      <c r="BV923">
        <v>1</v>
      </c>
      <c r="BW923" s="1" t="s">
        <v>128</v>
      </c>
      <c r="BX923">
        <v>0.8</v>
      </c>
      <c r="BY923" s="1" t="s">
        <v>128</v>
      </c>
      <c r="BZ923" s="1" t="s">
        <v>128</v>
      </c>
      <c r="CA923">
        <v>39.42</v>
      </c>
      <c r="CB923">
        <v>39.42</v>
      </c>
      <c r="CC923">
        <v>37.619999999999997</v>
      </c>
      <c r="CD923">
        <v>37.619999999999997</v>
      </c>
      <c r="CE923">
        <v>34.33</v>
      </c>
      <c r="CF923">
        <v>34.33</v>
      </c>
      <c r="CG923">
        <v>9</v>
      </c>
      <c r="CH923" s="1" t="s">
        <v>1761</v>
      </c>
      <c r="CI923">
        <v>4</v>
      </c>
      <c r="CJ923" s="1" t="s">
        <v>205</v>
      </c>
      <c r="CK923" s="1" t="s">
        <v>169</v>
      </c>
      <c r="CL923" s="1" t="s">
        <v>431</v>
      </c>
      <c r="CM923" s="1" t="s">
        <v>1979</v>
      </c>
      <c r="CN923" s="1" t="s">
        <v>3111</v>
      </c>
      <c r="CO923" s="1" t="s">
        <v>1615</v>
      </c>
      <c r="CP923">
        <v>73.2</v>
      </c>
      <c r="CQ923">
        <v>403</v>
      </c>
      <c r="CR923">
        <v>441.8</v>
      </c>
      <c r="CS923">
        <v>1614</v>
      </c>
      <c r="CT923" s="1" t="s">
        <v>1824</v>
      </c>
      <c r="CU923" s="1" t="s">
        <v>1030</v>
      </c>
      <c r="CV923" s="1" t="s">
        <v>486</v>
      </c>
      <c r="CW923">
        <v>101.35</v>
      </c>
      <c r="CX923">
        <v>100.6</v>
      </c>
      <c r="CY923">
        <v>96.6</v>
      </c>
      <c r="CZ923" s="1" t="s">
        <v>437</v>
      </c>
      <c r="DA923">
        <v>1</v>
      </c>
      <c r="DB923" t="s">
        <v>7921</v>
      </c>
      <c r="DC923">
        <v>79</v>
      </c>
      <c r="DD923" s="1" t="s">
        <v>7923</v>
      </c>
      <c r="DE923">
        <v>-14.7503304420201</v>
      </c>
      <c r="DF923" t="e">
        <f>_xlfn.XLOOKUP(Table1[[#This Row],[Player ID]],Table2[feed_id],Table2[trade_status])</f>
        <v>#N/A</v>
      </c>
      <c r="DG923">
        <f>_xlfn.NUMBERVALUE(Table1[[#This Row],[predicted]])</f>
        <v>93.7503304420201</v>
      </c>
    </row>
    <row r="924" spans="1:111" hidden="1" x14ac:dyDescent="0.25">
      <c r="A924">
        <v>132833</v>
      </c>
      <c r="B924">
        <v>9243</v>
      </c>
      <c r="C924" t="s">
        <v>7798</v>
      </c>
      <c r="D924" t="s">
        <v>3116</v>
      </c>
      <c r="E924">
        <v>2025</v>
      </c>
      <c r="F924">
        <v>1006152</v>
      </c>
      <c r="G924" t="s">
        <v>2755</v>
      </c>
      <c r="H924" t="s">
        <v>6320</v>
      </c>
      <c r="I924" t="s">
        <v>178</v>
      </c>
      <c r="J924">
        <v>10</v>
      </c>
      <c r="K924">
        <v>89</v>
      </c>
      <c r="L924">
        <v>104</v>
      </c>
      <c r="M924">
        <v>58</v>
      </c>
      <c r="N924">
        <v>69</v>
      </c>
      <c r="O924">
        <v>94</v>
      </c>
      <c r="P924">
        <v>14</v>
      </c>
      <c r="Q924">
        <v>9</v>
      </c>
      <c r="R924">
        <v>5</v>
      </c>
      <c r="S924">
        <v>3</v>
      </c>
      <c r="T924">
        <v>0</v>
      </c>
      <c r="U924">
        <v>1</v>
      </c>
      <c r="V924">
        <v>0</v>
      </c>
      <c r="W924">
        <v>0</v>
      </c>
      <c r="X924">
        <v>1</v>
      </c>
      <c r="Y924" t="s">
        <v>113</v>
      </c>
      <c r="Z924" t="s">
        <v>226</v>
      </c>
      <c r="AA924" t="s">
        <v>7196</v>
      </c>
      <c r="AH924" t="s">
        <v>181</v>
      </c>
      <c r="AI924">
        <v>6</v>
      </c>
      <c r="AJ924">
        <v>0</v>
      </c>
      <c r="AK924">
        <v>0</v>
      </c>
      <c r="AL924">
        <v>0</v>
      </c>
      <c r="AM924">
        <v>0.27</v>
      </c>
      <c r="AN924">
        <v>0.23</v>
      </c>
      <c r="AO924">
        <v>2.1</v>
      </c>
      <c r="AS924">
        <v>8</v>
      </c>
      <c r="AT924">
        <v>4</v>
      </c>
      <c r="AU924">
        <v>3</v>
      </c>
      <c r="AV924">
        <v>82</v>
      </c>
      <c r="AW924">
        <v>89</v>
      </c>
      <c r="AX924">
        <v>374</v>
      </c>
      <c r="AY924">
        <v>0</v>
      </c>
      <c r="AZ924" t="b">
        <v>0</v>
      </c>
      <c r="BA924">
        <v>1559</v>
      </c>
      <c r="BB924">
        <v>1728</v>
      </c>
      <c r="BC924">
        <v>6</v>
      </c>
      <c r="BD924" t="s">
        <v>7901</v>
      </c>
      <c r="BE924" s="1" t="s">
        <v>3594</v>
      </c>
      <c r="BF924">
        <v>1</v>
      </c>
      <c r="BG924">
        <v>71</v>
      </c>
      <c r="BH924">
        <v>1</v>
      </c>
      <c r="BI924" s="1" t="s">
        <v>5109</v>
      </c>
      <c r="BJ924" s="1" t="s">
        <v>5110</v>
      </c>
      <c r="BK924" s="1" t="s">
        <v>204</v>
      </c>
      <c r="BL924" s="1" t="s">
        <v>545</v>
      </c>
      <c r="BM924" s="1" t="s">
        <v>449</v>
      </c>
      <c r="BN924" s="1" t="s">
        <v>124</v>
      </c>
      <c r="BO924" s="1" t="s">
        <v>138</v>
      </c>
      <c r="BP924" s="1" t="s">
        <v>321</v>
      </c>
      <c r="BQ924">
        <v>0</v>
      </c>
      <c r="BR924">
        <v>0</v>
      </c>
      <c r="BS924" s="1" t="s">
        <v>128</v>
      </c>
      <c r="BT924" s="1" t="s">
        <v>399</v>
      </c>
      <c r="BU924">
        <v>1</v>
      </c>
      <c r="BV924">
        <v>0.8</v>
      </c>
      <c r="BW924" s="1" t="s">
        <v>129</v>
      </c>
      <c r="BX924">
        <v>0.2</v>
      </c>
      <c r="BY924" s="1" t="s">
        <v>129</v>
      </c>
      <c r="BZ924">
        <v>6.6666666666666596E-2</v>
      </c>
      <c r="CA924">
        <v>0.27</v>
      </c>
      <c r="CB924">
        <v>0.27</v>
      </c>
      <c r="CC924">
        <v>0.23</v>
      </c>
      <c r="CD924">
        <v>0.23</v>
      </c>
      <c r="CE924">
        <v>2.1</v>
      </c>
      <c r="CF924">
        <v>2.1</v>
      </c>
      <c r="CG924">
        <v>6</v>
      </c>
      <c r="CH924">
        <v>6.2</v>
      </c>
      <c r="CI924" s="1" t="s">
        <v>126</v>
      </c>
      <c r="CJ924" s="1" t="s">
        <v>327</v>
      </c>
      <c r="CK924" s="1" t="s">
        <v>138</v>
      </c>
      <c r="CL924" s="1" t="s">
        <v>170</v>
      </c>
      <c r="CM924" s="1" t="s">
        <v>1258</v>
      </c>
      <c r="CN924">
        <v>80.8</v>
      </c>
      <c r="CO924" s="1" t="s">
        <v>941</v>
      </c>
      <c r="CP924" s="1" t="s">
        <v>306</v>
      </c>
      <c r="CQ924" s="1" t="s">
        <v>7924</v>
      </c>
      <c r="CR924" s="1" t="s">
        <v>7925</v>
      </c>
      <c r="CS924" s="1" t="s">
        <v>7903</v>
      </c>
      <c r="CT924" s="1" t="s">
        <v>853</v>
      </c>
      <c r="CU924" s="1" t="s">
        <v>6535</v>
      </c>
      <c r="CV924">
        <v>1604.2</v>
      </c>
      <c r="CW924">
        <v>106.35</v>
      </c>
      <c r="CX924">
        <v>103.6</v>
      </c>
      <c r="CY924">
        <v>107.6</v>
      </c>
      <c r="CZ924">
        <v>103</v>
      </c>
      <c r="DA924">
        <v>1</v>
      </c>
      <c r="DB924" t="s">
        <v>226</v>
      </c>
      <c r="DC924">
        <v>104</v>
      </c>
      <c r="DD924" s="1" t="s">
        <v>7926</v>
      </c>
      <c r="DE924">
        <v>-15.2866547132157</v>
      </c>
      <c r="DF924" t="e">
        <f>_xlfn.XLOOKUP(Table1[[#This Row],[Player ID]],Table2[feed_id],Table2[trade_status])</f>
        <v>#N/A</v>
      </c>
      <c r="DG924">
        <f>_xlfn.NUMBERVALUE(Table1[[#This Row],[predicted]])</f>
        <v>119.286654713215</v>
      </c>
    </row>
    <row r="925" spans="1:111" hidden="1" x14ac:dyDescent="0.25">
      <c r="A925">
        <v>132835</v>
      </c>
      <c r="B925">
        <v>9243</v>
      </c>
      <c r="C925" t="s">
        <v>7798</v>
      </c>
      <c r="D925" t="s">
        <v>3116</v>
      </c>
      <c r="E925">
        <v>2025</v>
      </c>
      <c r="F925">
        <v>993993</v>
      </c>
      <c r="G925" t="s">
        <v>7927</v>
      </c>
      <c r="H925" t="s">
        <v>7928</v>
      </c>
      <c r="I925" t="s">
        <v>178</v>
      </c>
      <c r="J925">
        <v>19</v>
      </c>
      <c r="K925">
        <v>83</v>
      </c>
      <c r="L925">
        <v>89</v>
      </c>
      <c r="M925">
        <v>52</v>
      </c>
      <c r="N925">
        <v>72</v>
      </c>
      <c r="O925">
        <v>93</v>
      </c>
      <c r="P925">
        <v>13</v>
      </c>
      <c r="Q925">
        <v>6</v>
      </c>
      <c r="R925">
        <v>6</v>
      </c>
      <c r="S925">
        <v>1</v>
      </c>
      <c r="T925">
        <v>0</v>
      </c>
      <c r="U925">
        <v>1</v>
      </c>
      <c r="V925">
        <v>2</v>
      </c>
      <c r="W925">
        <v>2</v>
      </c>
      <c r="X925">
        <v>3</v>
      </c>
      <c r="Y925" t="s">
        <v>113</v>
      </c>
      <c r="Z925" t="s">
        <v>1757</v>
      </c>
      <c r="AA925" t="s">
        <v>7929</v>
      </c>
      <c r="AB925" t="s">
        <v>5826</v>
      </c>
      <c r="AC925" t="s">
        <v>5219</v>
      </c>
      <c r="AE925">
        <v>0</v>
      </c>
      <c r="AH925" t="s">
        <v>118</v>
      </c>
      <c r="AI925">
        <v>15</v>
      </c>
      <c r="AJ925">
        <v>3</v>
      </c>
      <c r="AK925">
        <v>30.67</v>
      </c>
      <c r="AL925">
        <v>0</v>
      </c>
      <c r="AM925">
        <v>0</v>
      </c>
      <c r="AN925">
        <v>7.66</v>
      </c>
      <c r="AO925">
        <v>3.61</v>
      </c>
      <c r="AS925">
        <v>8</v>
      </c>
      <c r="AT925">
        <v>1</v>
      </c>
      <c r="AU925">
        <v>4</v>
      </c>
      <c r="AV925">
        <v>68</v>
      </c>
      <c r="AW925">
        <v>84</v>
      </c>
      <c r="AX925">
        <v>488</v>
      </c>
      <c r="AY925">
        <v>0</v>
      </c>
      <c r="AZ925" t="b">
        <v>1</v>
      </c>
      <c r="BA925">
        <v>1559</v>
      </c>
      <c r="BB925">
        <v>1728</v>
      </c>
      <c r="BC925">
        <v>6</v>
      </c>
      <c r="BD925" t="s">
        <v>7901</v>
      </c>
      <c r="BE925" s="1" t="s">
        <v>3594</v>
      </c>
      <c r="BF925">
        <v>0</v>
      </c>
      <c r="BG925">
        <v>71</v>
      </c>
      <c r="BH925">
        <v>1</v>
      </c>
      <c r="BI925">
        <v>10</v>
      </c>
      <c r="BJ925" s="1" t="s">
        <v>295</v>
      </c>
      <c r="BK925">
        <v>8</v>
      </c>
      <c r="BL925" s="1" t="s">
        <v>168</v>
      </c>
      <c r="BM925" s="1" t="s">
        <v>211</v>
      </c>
      <c r="BN925" s="1" t="s">
        <v>169</v>
      </c>
      <c r="BO925" s="1" t="s">
        <v>161</v>
      </c>
      <c r="BP925">
        <v>2.4</v>
      </c>
      <c r="BQ925">
        <v>0</v>
      </c>
      <c r="BR925">
        <v>0</v>
      </c>
      <c r="BS925">
        <v>1</v>
      </c>
      <c r="BT925" s="1" t="s">
        <v>130</v>
      </c>
      <c r="BU925" s="1" t="s">
        <v>161</v>
      </c>
      <c r="BV925" s="1" t="s">
        <v>206</v>
      </c>
      <c r="BW925" s="1" t="s">
        <v>126</v>
      </c>
      <c r="BX925" s="1" t="s">
        <v>257</v>
      </c>
      <c r="BY925">
        <v>2</v>
      </c>
      <c r="BZ925" s="1" t="s">
        <v>327</v>
      </c>
      <c r="CA925">
        <v>0</v>
      </c>
      <c r="CB925">
        <v>0</v>
      </c>
      <c r="CC925">
        <v>7.66</v>
      </c>
      <c r="CD925">
        <v>7.66</v>
      </c>
      <c r="CE925">
        <v>3.61</v>
      </c>
      <c r="CF925">
        <v>3.61</v>
      </c>
      <c r="CG925">
        <v>7</v>
      </c>
      <c r="CH925" s="1" t="s">
        <v>343</v>
      </c>
      <c r="CI925" s="1" t="s">
        <v>126</v>
      </c>
      <c r="CJ925" s="1" t="s">
        <v>322</v>
      </c>
      <c r="CK925" s="1" t="s">
        <v>160</v>
      </c>
      <c r="CL925" s="1" t="s">
        <v>256</v>
      </c>
      <c r="CM925">
        <v>66</v>
      </c>
      <c r="CN925">
        <v>63.2</v>
      </c>
      <c r="CO925" s="1" t="s">
        <v>1258</v>
      </c>
      <c r="CP925" s="1" t="s">
        <v>6946</v>
      </c>
      <c r="CQ925">
        <v>415</v>
      </c>
      <c r="CR925" s="1" t="s">
        <v>7930</v>
      </c>
      <c r="CS925" s="1" t="s">
        <v>7903</v>
      </c>
      <c r="CT925" s="1" t="s">
        <v>685</v>
      </c>
      <c r="CU925" s="1" t="s">
        <v>6535</v>
      </c>
      <c r="CV925" s="1" t="s">
        <v>7931</v>
      </c>
      <c r="CW925">
        <v>71.349999999999994</v>
      </c>
      <c r="CX925">
        <v>71.400000000000006</v>
      </c>
      <c r="CY925">
        <v>75.2</v>
      </c>
      <c r="CZ925">
        <v>90</v>
      </c>
      <c r="DA925">
        <v>1</v>
      </c>
      <c r="DB925" t="s">
        <v>1757</v>
      </c>
      <c r="DC925">
        <v>89</v>
      </c>
      <c r="DD925" s="1" t="s">
        <v>7932</v>
      </c>
      <c r="DE925" s="1" t="s">
        <v>7933</v>
      </c>
      <c r="DF925" t="e">
        <f>_xlfn.XLOOKUP(Table1[[#This Row],[Player ID]],Table2[feed_id],Table2[trade_status])</f>
        <v>#N/A</v>
      </c>
      <c r="DG925">
        <f>_xlfn.NUMBERVALUE(Table1[[#This Row],[predicted]])</f>
        <v>76.226046216756998</v>
      </c>
    </row>
    <row r="926" spans="1:111" x14ac:dyDescent="0.25">
      <c r="A926">
        <v>132751</v>
      </c>
      <c r="B926">
        <v>9241</v>
      </c>
      <c r="C926" t="s">
        <v>7418</v>
      </c>
      <c r="D926" t="s">
        <v>3116</v>
      </c>
      <c r="E926">
        <v>2025</v>
      </c>
      <c r="F926">
        <v>990609</v>
      </c>
      <c r="G926" t="s">
        <v>5306</v>
      </c>
      <c r="H926" t="s">
        <v>271</v>
      </c>
      <c r="I926" t="s">
        <v>201</v>
      </c>
      <c r="J926">
        <v>15</v>
      </c>
      <c r="K926">
        <v>65</v>
      </c>
      <c r="L926">
        <v>54</v>
      </c>
      <c r="M926">
        <v>65</v>
      </c>
      <c r="N926">
        <v>45</v>
      </c>
      <c r="O926">
        <v>60</v>
      </c>
      <c r="P926">
        <v>6</v>
      </c>
      <c r="Q926">
        <v>2</v>
      </c>
      <c r="R926">
        <v>4</v>
      </c>
      <c r="S926">
        <v>7</v>
      </c>
      <c r="T926">
        <v>0</v>
      </c>
      <c r="U926">
        <v>0</v>
      </c>
      <c r="V926">
        <v>0</v>
      </c>
      <c r="W926">
        <v>0</v>
      </c>
      <c r="X926">
        <v>3</v>
      </c>
      <c r="Y926" t="s">
        <v>113</v>
      </c>
      <c r="Z926" t="s">
        <v>861</v>
      </c>
      <c r="AA926" t="s">
        <v>7562</v>
      </c>
      <c r="AE926">
        <v>0</v>
      </c>
      <c r="AH926" t="s">
        <v>155</v>
      </c>
      <c r="AI926">
        <v>23</v>
      </c>
      <c r="AJ926">
        <v>11</v>
      </c>
      <c r="AK926">
        <v>65.09</v>
      </c>
      <c r="AL926">
        <v>0</v>
      </c>
      <c r="AM926">
        <v>0</v>
      </c>
      <c r="AN926">
        <v>0.75</v>
      </c>
      <c r="AO926">
        <v>1.45</v>
      </c>
      <c r="AS926">
        <v>1</v>
      </c>
      <c r="AT926">
        <v>0</v>
      </c>
      <c r="AU926">
        <v>1</v>
      </c>
      <c r="AV926">
        <v>50</v>
      </c>
      <c r="AW926">
        <v>78</v>
      </c>
      <c r="AX926">
        <v>75</v>
      </c>
      <c r="AY926">
        <v>0</v>
      </c>
      <c r="AZ926" t="b">
        <v>0</v>
      </c>
      <c r="BA926">
        <v>1518</v>
      </c>
      <c r="BB926">
        <v>1780</v>
      </c>
      <c r="BC926">
        <v>6</v>
      </c>
      <c r="BD926" t="s">
        <v>7502</v>
      </c>
      <c r="BE926" s="1" t="s">
        <v>3594</v>
      </c>
      <c r="BF926">
        <v>0</v>
      </c>
      <c r="BG926">
        <v>71</v>
      </c>
      <c r="BH926">
        <v>0</v>
      </c>
      <c r="BI926">
        <v>8</v>
      </c>
      <c r="BJ926" s="1" t="s">
        <v>1239</v>
      </c>
      <c r="BK926" s="1" t="s">
        <v>126</v>
      </c>
      <c r="BL926">
        <v>1.8</v>
      </c>
      <c r="BM926" s="1" t="s">
        <v>160</v>
      </c>
      <c r="BN926" s="1" t="s">
        <v>587</v>
      </c>
      <c r="BO926" s="1" t="s">
        <v>138</v>
      </c>
      <c r="BP926">
        <v>2</v>
      </c>
      <c r="BQ926">
        <v>0</v>
      </c>
      <c r="BR926">
        <v>0</v>
      </c>
      <c r="BS926" s="1" t="s">
        <v>126</v>
      </c>
      <c r="BT926" s="1" t="s">
        <v>130</v>
      </c>
      <c r="BU926" s="1" t="s">
        <v>129</v>
      </c>
      <c r="BV926" s="1" t="s">
        <v>238</v>
      </c>
      <c r="BW926" s="1" t="s">
        <v>126</v>
      </c>
      <c r="BX926" s="1" t="s">
        <v>304</v>
      </c>
      <c r="BY926">
        <v>2</v>
      </c>
      <c r="BZ926">
        <v>1</v>
      </c>
      <c r="CA926">
        <v>0</v>
      </c>
      <c r="CB926">
        <v>0</v>
      </c>
      <c r="CC926">
        <v>0.75</v>
      </c>
      <c r="CD926">
        <v>0.75</v>
      </c>
      <c r="CE926">
        <v>1.45</v>
      </c>
      <c r="CF926">
        <v>1.45</v>
      </c>
      <c r="CG926">
        <v>3</v>
      </c>
      <c r="CH926" s="1" t="s">
        <v>528</v>
      </c>
      <c r="CI926">
        <v>0</v>
      </c>
      <c r="CJ926" s="1" t="s">
        <v>129</v>
      </c>
      <c r="CK926" s="1" t="s">
        <v>159</v>
      </c>
      <c r="CL926">
        <v>2.2000000000000002</v>
      </c>
      <c r="CM926" s="1" t="s">
        <v>1316</v>
      </c>
      <c r="CN926" s="1" t="s">
        <v>7563</v>
      </c>
      <c r="CO926" s="1" t="s">
        <v>1110</v>
      </c>
      <c r="CP926" s="1" t="s">
        <v>4490</v>
      </c>
      <c r="CQ926" s="1" t="s">
        <v>7564</v>
      </c>
      <c r="CR926" s="1" t="s">
        <v>5717</v>
      </c>
      <c r="CS926" s="1" t="s">
        <v>7565</v>
      </c>
      <c r="CT926">
        <v>1724.2</v>
      </c>
      <c r="CU926">
        <v>1444</v>
      </c>
      <c r="CV926" s="1" t="s">
        <v>7566</v>
      </c>
      <c r="CW926">
        <v>57.4</v>
      </c>
      <c r="CX926">
        <v>60.8</v>
      </c>
      <c r="CY926">
        <v>58.2</v>
      </c>
      <c r="CZ926">
        <v>56</v>
      </c>
      <c r="DA926">
        <v>1</v>
      </c>
      <c r="DB926" t="s">
        <v>861</v>
      </c>
      <c r="DC926">
        <v>54</v>
      </c>
      <c r="DD926" s="1" t="s">
        <v>7567</v>
      </c>
      <c r="DE926">
        <v>-4.9978382479624903</v>
      </c>
      <c r="DF926" t="str">
        <f>_xlfn.XLOOKUP(Table1[[#This Row],[Player ID]],Table2[feed_id],Table2[trade_status])</f>
        <v>free_agent</v>
      </c>
      <c r="DG926">
        <f>_xlfn.NUMBERVALUE(Table1[[#This Row],[predicted]])</f>
        <v>58.997838247962399</v>
      </c>
    </row>
    <row r="927" spans="1:111" x14ac:dyDescent="0.25">
      <c r="A927">
        <v>132619</v>
      </c>
      <c r="B927">
        <v>9238</v>
      </c>
      <c r="C927" t="s">
        <v>6865</v>
      </c>
      <c r="D927" t="s">
        <v>3116</v>
      </c>
      <c r="E927">
        <v>2025</v>
      </c>
      <c r="F927">
        <v>997100</v>
      </c>
      <c r="G927" t="s">
        <v>2115</v>
      </c>
      <c r="H927" t="s">
        <v>7020</v>
      </c>
      <c r="I927" t="s">
        <v>338</v>
      </c>
      <c r="J927">
        <v>10</v>
      </c>
      <c r="K927">
        <v>55</v>
      </c>
      <c r="L927">
        <v>58</v>
      </c>
      <c r="M927">
        <v>40</v>
      </c>
      <c r="N927">
        <v>44</v>
      </c>
      <c r="O927">
        <v>59</v>
      </c>
      <c r="P927">
        <v>7</v>
      </c>
      <c r="Q927">
        <v>6</v>
      </c>
      <c r="R927">
        <v>2</v>
      </c>
      <c r="S927">
        <v>2</v>
      </c>
      <c r="T927">
        <v>0</v>
      </c>
      <c r="U927">
        <v>0</v>
      </c>
      <c r="V927">
        <v>0</v>
      </c>
      <c r="W927">
        <v>1</v>
      </c>
      <c r="X927">
        <v>2</v>
      </c>
      <c r="Y927" t="s">
        <v>113</v>
      </c>
      <c r="Z927" t="s">
        <v>525</v>
      </c>
      <c r="AA927" t="s">
        <v>7021</v>
      </c>
      <c r="AH927" t="s">
        <v>155</v>
      </c>
      <c r="AI927">
        <v>9</v>
      </c>
      <c r="AJ927">
        <v>0</v>
      </c>
      <c r="AK927">
        <v>0</v>
      </c>
      <c r="AL927">
        <v>0</v>
      </c>
      <c r="AM927">
        <v>0.04</v>
      </c>
      <c r="AN927">
        <v>0.1</v>
      </c>
      <c r="AO927">
        <v>0.11</v>
      </c>
      <c r="AS927">
        <v>4</v>
      </c>
      <c r="AT927">
        <v>1</v>
      </c>
      <c r="AU927">
        <v>0</v>
      </c>
      <c r="AV927">
        <v>69</v>
      </c>
      <c r="AW927">
        <v>82</v>
      </c>
      <c r="AX927">
        <v>213</v>
      </c>
      <c r="AY927">
        <v>0</v>
      </c>
      <c r="AZ927" t="b">
        <v>0</v>
      </c>
      <c r="BA927">
        <v>1741</v>
      </c>
      <c r="BB927">
        <v>1546</v>
      </c>
      <c r="BC927">
        <v>6</v>
      </c>
      <c r="BD927" t="s">
        <v>6968</v>
      </c>
      <c r="BE927" s="1" t="s">
        <v>3594</v>
      </c>
      <c r="BF927">
        <v>0</v>
      </c>
      <c r="BG927">
        <v>71</v>
      </c>
      <c r="BH927">
        <v>0</v>
      </c>
      <c r="BI927">
        <v>8</v>
      </c>
      <c r="BJ927">
        <v>7.4</v>
      </c>
      <c r="BK927" s="1" t="s">
        <v>125</v>
      </c>
      <c r="BL927">
        <v>3.8</v>
      </c>
      <c r="BM927" s="1" t="s">
        <v>125</v>
      </c>
      <c r="BN927" s="1" t="s">
        <v>189</v>
      </c>
      <c r="BO927" s="1" t="s">
        <v>159</v>
      </c>
      <c r="BP927">
        <v>2</v>
      </c>
      <c r="BQ927">
        <v>0</v>
      </c>
      <c r="BR927">
        <v>0</v>
      </c>
      <c r="BS927" s="1" t="s">
        <v>129</v>
      </c>
      <c r="BT927" s="1" t="s">
        <v>162</v>
      </c>
      <c r="BU927" s="1" t="s">
        <v>129</v>
      </c>
      <c r="BV927" s="1" t="s">
        <v>231</v>
      </c>
      <c r="BW927">
        <v>2</v>
      </c>
      <c r="BX927">
        <v>1.4</v>
      </c>
      <c r="BY927" s="1" t="s">
        <v>161</v>
      </c>
      <c r="BZ927">
        <v>0.8</v>
      </c>
      <c r="CA927">
        <v>0.04</v>
      </c>
      <c r="CB927">
        <v>0.04</v>
      </c>
      <c r="CC927">
        <v>0.1</v>
      </c>
      <c r="CD927">
        <v>0.1</v>
      </c>
      <c r="CE927">
        <v>0.11</v>
      </c>
      <c r="CF927">
        <v>0.11</v>
      </c>
      <c r="CG927">
        <v>3</v>
      </c>
      <c r="CH927" s="1" t="s">
        <v>990</v>
      </c>
      <c r="CI927" s="1" t="s">
        <v>129</v>
      </c>
      <c r="CJ927" s="1" t="s">
        <v>184</v>
      </c>
      <c r="CK927">
        <v>1</v>
      </c>
      <c r="CL927" s="1" t="s">
        <v>327</v>
      </c>
      <c r="CM927" s="1" t="s">
        <v>418</v>
      </c>
      <c r="CN927" s="1" t="s">
        <v>1838</v>
      </c>
      <c r="CO927" s="1" t="s">
        <v>142</v>
      </c>
      <c r="CP927">
        <v>82</v>
      </c>
      <c r="CQ927">
        <v>233</v>
      </c>
      <c r="CR927" s="1" t="s">
        <v>7022</v>
      </c>
      <c r="CS927" s="1" t="s">
        <v>6970</v>
      </c>
      <c r="CT927" s="1" t="s">
        <v>4868</v>
      </c>
      <c r="CU927">
        <v>1683</v>
      </c>
      <c r="CV927" s="1" t="s">
        <v>5588</v>
      </c>
      <c r="CW927">
        <v>59.85</v>
      </c>
      <c r="CX927">
        <v>60.1</v>
      </c>
      <c r="CY927">
        <v>63.4</v>
      </c>
      <c r="CZ927" s="1" t="s">
        <v>572</v>
      </c>
      <c r="DA927">
        <v>1</v>
      </c>
      <c r="DB927" t="s">
        <v>525</v>
      </c>
      <c r="DC927">
        <v>58</v>
      </c>
      <c r="DD927" s="1" t="s">
        <v>7023</v>
      </c>
      <c r="DE927">
        <v>-0.99719261496785805</v>
      </c>
      <c r="DF927" t="str">
        <f>_xlfn.XLOOKUP(Table1[[#This Row],[Player ID]],Table2[feed_id],Table2[trade_status])</f>
        <v>free_agent</v>
      </c>
      <c r="DG927">
        <f>_xlfn.NUMBERVALUE(Table1[[#This Row],[predicted]])</f>
        <v>58.997192614967801</v>
      </c>
    </row>
    <row r="928" spans="1:111" x14ac:dyDescent="0.25">
      <c r="A928">
        <v>132871</v>
      </c>
      <c r="B928">
        <v>9244</v>
      </c>
      <c r="C928" t="s">
        <v>7983</v>
      </c>
      <c r="D928" t="s">
        <v>3116</v>
      </c>
      <c r="E928">
        <v>2025</v>
      </c>
      <c r="F928">
        <v>290757</v>
      </c>
      <c r="G928" t="s">
        <v>1059</v>
      </c>
      <c r="H928" t="s">
        <v>8075</v>
      </c>
      <c r="I928" t="s">
        <v>152</v>
      </c>
      <c r="J928">
        <v>2</v>
      </c>
      <c r="K928">
        <v>17</v>
      </c>
      <c r="L928">
        <v>18</v>
      </c>
      <c r="M928">
        <v>22</v>
      </c>
      <c r="N928">
        <v>18</v>
      </c>
      <c r="O928">
        <v>27</v>
      </c>
      <c r="P928">
        <v>3</v>
      </c>
      <c r="Q928">
        <v>4</v>
      </c>
      <c r="R928">
        <v>2</v>
      </c>
      <c r="S928">
        <v>0</v>
      </c>
      <c r="T928">
        <v>0</v>
      </c>
      <c r="U928">
        <v>0</v>
      </c>
      <c r="V928">
        <v>2</v>
      </c>
      <c r="W928">
        <v>0</v>
      </c>
      <c r="X928">
        <v>0</v>
      </c>
      <c r="Y928" t="s">
        <v>113</v>
      </c>
      <c r="Z928" t="s">
        <v>8076</v>
      </c>
      <c r="AA928" t="s">
        <v>8077</v>
      </c>
      <c r="AH928" t="s">
        <v>181</v>
      </c>
      <c r="AI928">
        <v>29</v>
      </c>
      <c r="AJ928">
        <v>0</v>
      </c>
      <c r="AK928">
        <v>0</v>
      </c>
      <c r="AL928">
        <v>0</v>
      </c>
      <c r="AM928">
        <v>0.04</v>
      </c>
      <c r="AN928">
        <v>0.06</v>
      </c>
      <c r="AO928">
        <v>0.05</v>
      </c>
      <c r="AS928">
        <v>3</v>
      </c>
      <c r="AT928">
        <v>0</v>
      </c>
      <c r="AU928">
        <v>2</v>
      </c>
      <c r="AV928">
        <v>71</v>
      </c>
      <c r="AW928">
        <v>72</v>
      </c>
      <c r="AX928">
        <v>42</v>
      </c>
      <c r="AY928">
        <v>0</v>
      </c>
      <c r="AZ928" t="b">
        <v>0</v>
      </c>
      <c r="BA928">
        <v>1816</v>
      </c>
      <c r="BB928">
        <v>1473</v>
      </c>
      <c r="BC928">
        <v>6</v>
      </c>
      <c r="BD928" t="s">
        <v>7985</v>
      </c>
      <c r="BE928" s="1" t="s">
        <v>3594</v>
      </c>
      <c r="BF928">
        <v>0</v>
      </c>
      <c r="BG928">
        <v>71</v>
      </c>
      <c r="BH928">
        <v>0</v>
      </c>
      <c r="BI928">
        <v>7</v>
      </c>
      <c r="BJ928">
        <v>8.4</v>
      </c>
      <c r="BK928">
        <v>4</v>
      </c>
      <c r="BL928" s="1" t="s">
        <v>587</v>
      </c>
      <c r="BM928" s="1" t="s">
        <v>211</v>
      </c>
      <c r="BN928" s="1" t="s">
        <v>230</v>
      </c>
      <c r="BO928">
        <v>1</v>
      </c>
      <c r="BP928">
        <v>2</v>
      </c>
      <c r="BQ928">
        <v>0</v>
      </c>
      <c r="BR928">
        <v>0</v>
      </c>
      <c r="BS928">
        <v>0</v>
      </c>
      <c r="BT928">
        <v>0.6</v>
      </c>
      <c r="BU928" s="1" t="s">
        <v>126</v>
      </c>
      <c r="BV928" s="1" t="s">
        <v>231</v>
      </c>
      <c r="BW928">
        <v>0</v>
      </c>
      <c r="BX928">
        <v>0</v>
      </c>
      <c r="BY928">
        <v>0</v>
      </c>
      <c r="BZ928">
        <v>0</v>
      </c>
      <c r="CA928">
        <v>0.04</v>
      </c>
      <c r="CB928">
        <v>0.04</v>
      </c>
      <c r="CC928">
        <v>0.06</v>
      </c>
      <c r="CD928">
        <v>0.06</v>
      </c>
      <c r="CE928">
        <v>0.05</v>
      </c>
      <c r="CF928">
        <v>0.05</v>
      </c>
      <c r="CG928">
        <v>4</v>
      </c>
      <c r="CH928" s="1" t="s">
        <v>125</v>
      </c>
      <c r="CI928" s="1" t="s">
        <v>129</v>
      </c>
      <c r="CJ928">
        <v>0.2</v>
      </c>
      <c r="CK928" s="1" t="s">
        <v>161</v>
      </c>
      <c r="CL928" s="1" t="s">
        <v>127</v>
      </c>
      <c r="CM928" s="1" t="s">
        <v>822</v>
      </c>
      <c r="CN928" s="1" t="s">
        <v>755</v>
      </c>
      <c r="CO928" s="1" t="s">
        <v>241</v>
      </c>
      <c r="CP928" s="1" t="s">
        <v>2873</v>
      </c>
      <c r="CQ928">
        <v>179</v>
      </c>
      <c r="CR928">
        <v>189.4</v>
      </c>
      <c r="CS928" s="1" t="s">
        <v>7987</v>
      </c>
      <c r="CT928" s="1" t="s">
        <v>7998</v>
      </c>
      <c r="CU928" s="1" t="s">
        <v>7988</v>
      </c>
      <c r="CV928" s="1" t="s">
        <v>4610</v>
      </c>
      <c r="CW928">
        <v>58.95</v>
      </c>
      <c r="CX928">
        <v>52.3</v>
      </c>
      <c r="CY928">
        <v>50.6</v>
      </c>
      <c r="CZ928" s="1" t="s">
        <v>2953</v>
      </c>
      <c r="DA928">
        <v>1</v>
      </c>
      <c r="DB928" t="s">
        <v>8076</v>
      </c>
      <c r="DC928">
        <v>18</v>
      </c>
      <c r="DD928" s="1" t="s">
        <v>8078</v>
      </c>
      <c r="DE928">
        <v>-40.884737519512498</v>
      </c>
      <c r="DF928" t="str">
        <f>_xlfn.XLOOKUP(Table1[[#This Row],[Player ID]],Table2[feed_id],Table2[trade_status])</f>
        <v>free_agent</v>
      </c>
      <c r="DG928">
        <f>_xlfn.NUMBERVALUE(Table1[[#This Row],[predicted]])</f>
        <v>58.884737519512498</v>
      </c>
    </row>
    <row r="929" spans="1:111" x14ac:dyDescent="0.25">
      <c r="A929">
        <v>132825</v>
      </c>
      <c r="B929">
        <v>9243</v>
      </c>
      <c r="C929" t="s">
        <v>7798</v>
      </c>
      <c r="D929" t="s">
        <v>3116</v>
      </c>
      <c r="E929">
        <v>2025</v>
      </c>
      <c r="F929">
        <v>1023275</v>
      </c>
      <c r="G929" t="s">
        <v>7895</v>
      </c>
      <c r="H929" t="s">
        <v>5431</v>
      </c>
      <c r="I929" t="s">
        <v>317</v>
      </c>
      <c r="J929">
        <v>1</v>
      </c>
      <c r="K929">
        <v>26</v>
      </c>
      <c r="L929">
        <v>26</v>
      </c>
      <c r="M929">
        <v>35</v>
      </c>
      <c r="N929">
        <v>22</v>
      </c>
      <c r="O929">
        <v>34</v>
      </c>
      <c r="P929">
        <v>6</v>
      </c>
      <c r="Q929">
        <v>3</v>
      </c>
      <c r="R929">
        <v>1</v>
      </c>
      <c r="S929">
        <v>1</v>
      </c>
      <c r="T929">
        <v>0</v>
      </c>
      <c r="U929">
        <v>0</v>
      </c>
      <c r="V929">
        <v>2</v>
      </c>
      <c r="W929">
        <v>0</v>
      </c>
      <c r="X929">
        <v>1</v>
      </c>
      <c r="Y929" t="s">
        <v>113</v>
      </c>
      <c r="Z929" t="s">
        <v>861</v>
      </c>
      <c r="AA929" t="s">
        <v>7896</v>
      </c>
      <c r="AH929" t="s">
        <v>155</v>
      </c>
      <c r="AI929">
        <v>44</v>
      </c>
      <c r="AJ929">
        <v>0</v>
      </c>
      <c r="AK929">
        <v>0</v>
      </c>
      <c r="AL929">
        <v>0</v>
      </c>
      <c r="AM929">
        <v>0.09</v>
      </c>
      <c r="AN929">
        <v>0.08</v>
      </c>
      <c r="AO929">
        <v>0.19</v>
      </c>
      <c r="AS929">
        <v>4</v>
      </c>
      <c r="AT929">
        <v>1</v>
      </c>
      <c r="AU929">
        <v>2</v>
      </c>
      <c r="AV929">
        <v>77</v>
      </c>
      <c r="AW929">
        <v>88</v>
      </c>
      <c r="AX929">
        <v>153</v>
      </c>
      <c r="AY929">
        <v>0</v>
      </c>
      <c r="AZ929" t="b">
        <v>0</v>
      </c>
      <c r="BA929">
        <v>1728</v>
      </c>
      <c r="BB929">
        <v>1559</v>
      </c>
      <c r="BC929">
        <v>6</v>
      </c>
      <c r="BD929" t="s">
        <v>7800</v>
      </c>
      <c r="BE929" s="1" t="s">
        <v>3594</v>
      </c>
      <c r="BF929">
        <v>0</v>
      </c>
      <c r="BG929">
        <v>71</v>
      </c>
      <c r="BH929">
        <v>0</v>
      </c>
      <c r="BI929" s="1" t="s">
        <v>397</v>
      </c>
      <c r="BJ929">
        <v>6.6</v>
      </c>
      <c r="BK929" s="1" t="s">
        <v>124</v>
      </c>
      <c r="BL929">
        <v>4.2</v>
      </c>
      <c r="BM929" s="1" t="s">
        <v>161</v>
      </c>
      <c r="BN929" s="1" t="s">
        <v>275</v>
      </c>
      <c r="BO929" s="1" t="s">
        <v>126</v>
      </c>
      <c r="BP929">
        <v>2</v>
      </c>
      <c r="BQ929">
        <v>0</v>
      </c>
      <c r="BR929">
        <v>0</v>
      </c>
      <c r="BS929" s="1" t="s">
        <v>129</v>
      </c>
      <c r="BT929" s="1" t="s">
        <v>238</v>
      </c>
      <c r="BU929">
        <v>1</v>
      </c>
      <c r="BV929" s="1" t="s">
        <v>128</v>
      </c>
      <c r="BW929" s="1" t="s">
        <v>161</v>
      </c>
      <c r="BX929">
        <v>1</v>
      </c>
      <c r="BY929">
        <v>1</v>
      </c>
      <c r="BZ929" s="1" t="s">
        <v>399</v>
      </c>
      <c r="CA929">
        <v>0.09</v>
      </c>
      <c r="CB929">
        <v>0.09</v>
      </c>
      <c r="CC929">
        <v>0.08</v>
      </c>
      <c r="CD929">
        <v>0.08</v>
      </c>
      <c r="CE929">
        <v>0.19</v>
      </c>
      <c r="CF929">
        <v>0.19</v>
      </c>
      <c r="CG929" s="1" t="s">
        <v>160</v>
      </c>
      <c r="CH929">
        <v>4.2</v>
      </c>
      <c r="CI929" s="1" t="s">
        <v>126</v>
      </c>
      <c r="CJ929">
        <v>1</v>
      </c>
      <c r="CK929">
        <v>2</v>
      </c>
      <c r="CL929">
        <v>2</v>
      </c>
      <c r="CM929">
        <v>72</v>
      </c>
      <c r="CN929" s="1" t="s">
        <v>2924</v>
      </c>
      <c r="CO929" s="1" t="s">
        <v>968</v>
      </c>
      <c r="CP929" s="1" t="s">
        <v>364</v>
      </c>
      <c r="CQ929" s="1" t="s">
        <v>7323</v>
      </c>
      <c r="CR929" s="1" t="s">
        <v>7897</v>
      </c>
      <c r="CS929" s="1" t="s">
        <v>4221</v>
      </c>
      <c r="CT929" s="1" t="s">
        <v>7898</v>
      </c>
      <c r="CU929" s="1" t="s">
        <v>5939</v>
      </c>
      <c r="CV929" s="1" t="s">
        <v>5939</v>
      </c>
      <c r="CW929">
        <v>52.65</v>
      </c>
      <c r="CX929">
        <v>56.5</v>
      </c>
      <c r="CY929">
        <v>64.400000000000006</v>
      </c>
      <c r="CZ929">
        <v>55</v>
      </c>
      <c r="DA929">
        <v>1</v>
      </c>
      <c r="DB929" t="s">
        <v>861</v>
      </c>
      <c r="DC929">
        <v>26</v>
      </c>
      <c r="DD929" s="1" t="s">
        <v>7899</v>
      </c>
      <c r="DE929">
        <v>-32.875983891559201</v>
      </c>
      <c r="DF929" t="str">
        <f>_xlfn.XLOOKUP(Table1[[#This Row],[Player ID]],Table2[feed_id],Table2[trade_status])</f>
        <v>free_agent</v>
      </c>
      <c r="DG929">
        <f>_xlfn.NUMBERVALUE(Table1[[#This Row],[predicted]])</f>
        <v>58.875983891559201</v>
      </c>
    </row>
    <row r="930" spans="1:111" x14ac:dyDescent="0.25">
      <c r="A930">
        <v>132838</v>
      </c>
      <c r="B930">
        <v>9243</v>
      </c>
      <c r="C930" t="s">
        <v>7798</v>
      </c>
      <c r="D930" t="s">
        <v>3116</v>
      </c>
      <c r="E930">
        <v>2025</v>
      </c>
      <c r="F930">
        <v>999321</v>
      </c>
      <c r="G930" t="s">
        <v>461</v>
      </c>
      <c r="H930" t="s">
        <v>7943</v>
      </c>
      <c r="I930" t="s">
        <v>178</v>
      </c>
      <c r="J930">
        <v>17</v>
      </c>
      <c r="K930">
        <v>76</v>
      </c>
      <c r="L930">
        <v>70</v>
      </c>
      <c r="M930">
        <v>58</v>
      </c>
      <c r="N930">
        <v>63</v>
      </c>
      <c r="O930">
        <v>78</v>
      </c>
      <c r="P930">
        <v>9</v>
      </c>
      <c r="Q930">
        <v>4</v>
      </c>
      <c r="R930">
        <v>5</v>
      </c>
      <c r="S930">
        <v>2</v>
      </c>
      <c r="T930">
        <v>0</v>
      </c>
      <c r="U930">
        <v>0</v>
      </c>
      <c r="V930">
        <v>0</v>
      </c>
      <c r="W930">
        <v>3</v>
      </c>
      <c r="X930">
        <v>0</v>
      </c>
      <c r="Y930" t="s">
        <v>113</v>
      </c>
      <c r="Z930" t="s">
        <v>525</v>
      </c>
      <c r="AA930" t="s">
        <v>7944</v>
      </c>
      <c r="AH930" t="s">
        <v>155</v>
      </c>
      <c r="AI930">
        <v>32</v>
      </c>
      <c r="AJ930">
        <v>0</v>
      </c>
      <c r="AK930">
        <v>0</v>
      </c>
      <c r="AL930">
        <v>0</v>
      </c>
      <c r="AM930">
        <v>0.35</v>
      </c>
      <c r="AN930">
        <v>0.18</v>
      </c>
      <c r="AO930">
        <v>0.42</v>
      </c>
      <c r="AS930">
        <v>0</v>
      </c>
      <c r="AT930">
        <v>0</v>
      </c>
      <c r="AU930">
        <v>4</v>
      </c>
      <c r="AV930">
        <v>69</v>
      </c>
      <c r="AW930">
        <v>83</v>
      </c>
      <c r="AX930">
        <v>301</v>
      </c>
      <c r="AY930">
        <v>0</v>
      </c>
      <c r="AZ930" t="b">
        <v>0</v>
      </c>
      <c r="BA930">
        <v>1559</v>
      </c>
      <c r="BB930">
        <v>1728</v>
      </c>
      <c r="BC930">
        <v>6</v>
      </c>
      <c r="BD930" t="s">
        <v>7901</v>
      </c>
      <c r="BE930" s="1" t="s">
        <v>3594</v>
      </c>
      <c r="BF930">
        <v>0</v>
      </c>
      <c r="BG930">
        <v>71</v>
      </c>
      <c r="BH930">
        <v>0</v>
      </c>
      <c r="BI930">
        <v>10</v>
      </c>
      <c r="BJ930" s="1" t="s">
        <v>358</v>
      </c>
      <c r="BK930" s="1" t="s">
        <v>138</v>
      </c>
      <c r="BL930">
        <v>3</v>
      </c>
      <c r="BM930" s="1" t="s">
        <v>124</v>
      </c>
      <c r="BN930">
        <v>4.2</v>
      </c>
      <c r="BO930" s="1" t="s">
        <v>161</v>
      </c>
      <c r="BP930">
        <v>1.4</v>
      </c>
      <c r="BQ930">
        <v>0</v>
      </c>
      <c r="BR930">
        <v>0</v>
      </c>
      <c r="BS930">
        <v>0</v>
      </c>
      <c r="BT930">
        <v>0.4</v>
      </c>
      <c r="BU930" s="1" t="s">
        <v>128</v>
      </c>
      <c r="BV930" s="1" t="s">
        <v>184</v>
      </c>
      <c r="BW930" s="1" t="s">
        <v>159</v>
      </c>
      <c r="BX930" s="1" t="s">
        <v>206</v>
      </c>
      <c r="BY930" s="1" t="s">
        <v>129</v>
      </c>
      <c r="BZ930" s="1" t="s">
        <v>399</v>
      </c>
      <c r="CA930">
        <v>0.35</v>
      </c>
      <c r="CB930">
        <v>0.35</v>
      </c>
      <c r="CC930">
        <v>0.18</v>
      </c>
      <c r="CD930">
        <v>0.18</v>
      </c>
      <c r="CE930">
        <v>0.42</v>
      </c>
      <c r="CF930">
        <v>0.42</v>
      </c>
      <c r="CG930">
        <v>2</v>
      </c>
      <c r="CH930">
        <v>3.2</v>
      </c>
      <c r="CI930">
        <v>0</v>
      </c>
      <c r="CJ930" s="1" t="s">
        <v>184</v>
      </c>
      <c r="CK930" s="1" t="s">
        <v>138</v>
      </c>
      <c r="CL930" s="1" t="s">
        <v>566</v>
      </c>
      <c r="CM930" s="1" t="s">
        <v>1242</v>
      </c>
      <c r="CN930" s="1" t="s">
        <v>7075</v>
      </c>
      <c r="CO930" s="1" t="s">
        <v>364</v>
      </c>
      <c r="CP930" s="1" t="s">
        <v>2762</v>
      </c>
      <c r="CQ930" s="1" t="s">
        <v>7945</v>
      </c>
      <c r="CR930">
        <v>233</v>
      </c>
      <c r="CS930" s="1" t="s">
        <v>7903</v>
      </c>
      <c r="CT930" s="1" t="s">
        <v>7946</v>
      </c>
      <c r="CU930" s="1" t="s">
        <v>6535</v>
      </c>
      <c r="CV930">
        <v>1619.2</v>
      </c>
      <c r="CW930">
        <v>55.65</v>
      </c>
      <c r="CX930">
        <v>60.4</v>
      </c>
      <c r="CY930">
        <v>62.2</v>
      </c>
      <c r="CZ930" s="1" t="s">
        <v>822</v>
      </c>
      <c r="DA930">
        <v>1</v>
      </c>
      <c r="DB930" t="s">
        <v>525</v>
      </c>
      <c r="DC930">
        <v>70</v>
      </c>
      <c r="DD930" s="1" t="s">
        <v>7947</v>
      </c>
      <c r="DE930" s="1" t="s">
        <v>7948</v>
      </c>
      <c r="DF930" t="str">
        <f>_xlfn.XLOOKUP(Table1[[#This Row],[Player ID]],Table2[feed_id],Table2[trade_status])</f>
        <v>free_agent</v>
      </c>
      <c r="DG930">
        <f>_xlfn.NUMBERVALUE(Table1[[#This Row],[predicted]])</f>
        <v>58.712130475996297</v>
      </c>
    </row>
    <row r="931" spans="1:111" hidden="1" x14ac:dyDescent="0.25">
      <c r="A931">
        <v>132841</v>
      </c>
      <c r="B931">
        <v>9243</v>
      </c>
      <c r="C931" t="s">
        <v>7798</v>
      </c>
      <c r="D931" t="s">
        <v>3116</v>
      </c>
      <c r="E931">
        <v>2025</v>
      </c>
      <c r="F931">
        <v>294613</v>
      </c>
      <c r="G931" t="s">
        <v>7957</v>
      </c>
      <c r="H931" t="s">
        <v>7958</v>
      </c>
      <c r="I931" t="s">
        <v>178</v>
      </c>
      <c r="J931">
        <v>8</v>
      </c>
      <c r="K931">
        <v>64</v>
      </c>
      <c r="L931">
        <v>90</v>
      </c>
      <c r="M931">
        <v>47</v>
      </c>
      <c r="N931">
        <v>52</v>
      </c>
      <c r="O931">
        <v>75</v>
      </c>
      <c r="P931">
        <v>8</v>
      </c>
      <c r="Q931">
        <v>13</v>
      </c>
      <c r="R931">
        <v>1</v>
      </c>
      <c r="S931">
        <v>3</v>
      </c>
      <c r="T931">
        <v>0</v>
      </c>
      <c r="U931">
        <v>2</v>
      </c>
      <c r="V931">
        <v>1</v>
      </c>
      <c r="W931">
        <v>0</v>
      </c>
      <c r="X931">
        <v>0</v>
      </c>
      <c r="Y931" t="s">
        <v>113</v>
      </c>
      <c r="Z931" t="s">
        <v>877</v>
      </c>
      <c r="AA931" t="s">
        <v>7959</v>
      </c>
      <c r="AE931">
        <v>0</v>
      </c>
      <c r="AH931" t="s">
        <v>118</v>
      </c>
      <c r="AI931">
        <v>2</v>
      </c>
      <c r="AJ931">
        <v>19</v>
      </c>
      <c r="AK931">
        <v>96.79</v>
      </c>
      <c r="AL931">
        <v>0</v>
      </c>
      <c r="AM931">
        <v>0</v>
      </c>
      <c r="AN931">
        <v>0.08</v>
      </c>
      <c r="AO931">
        <v>0.23</v>
      </c>
      <c r="AS931">
        <v>11</v>
      </c>
      <c r="AT931">
        <v>6</v>
      </c>
      <c r="AU931">
        <v>3</v>
      </c>
      <c r="AV931">
        <v>71</v>
      </c>
      <c r="AW931">
        <v>76</v>
      </c>
      <c r="AX931">
        <v>289</v>
      </c>
      <c r="AY931">
        <v>0</v>
      </c>
      <c r="AZ931" t="b">
        <v>0</v>
      </c>
      <c r="BA931">
        <v>1559</v>
      </c>
      <c r="BB931">
        <v>1728</v>
      </c>
      <c r="BC931">
        <v>6</v>
      </c>
      <c r="BD931" t="s">
        <v>7901</v>
      </c>
      <c r="BE931" s="1" t="s">
        <v>3594</v>
      </c>
      <c r="BF931">
        <v>0</v>
      </c>
      <c r="BG931">
        <v>71</v>
      </c>
      <c r="BH931">
        <v>1</v>
      </c>
      <c r="BI931" s="1" t="s">
        <v>183</v>
      </c>
      <c r="BJ931" s="1" t="s">
        <v>295</v>
      </c>
      <c r="BK931">
        <v>15</v>
      </c>
      <c r="BL931">
        <v>9.6</v>
      </c>
      <c r="BM931">
        <v>2</v>
      </c>
      <c r="BN931" s="1" t="s">
        <v>125</v>
      </c>
      <c r="BO931">
        <v>3</v>
      </c>
      <c r="BP931" s="1" t="s">
        <v>237</v>
      </c>
      <c r="BQ931">
        <v>0</v>
      </c>
      <c r="BR931">
        <v>0</v>
      </c>
      <c r="BS931" s="1" t="s">
        <v>126</v>
      </c>
      <c r="BT931" s="1" t="s">
        <v>128</v>
      </c>
      <c r="BU931" s="1" t="s">
        <v>169</v>
      </c>
      <c r="BV931" s="1" t="s">
        <v>162</v>
      </c>
      <c r="BW931">
        <v>0</v>
      </c>
      <c r="BX931" s="1" t="s">
        <v>129</v>
      </c>
      <c r="BY931">
        <v>0</v>
      </c>
      <c r="BZ931" s="1" t="s">
        <v>213</v>
      </c>
      <c r="CA931">
        <v>0</v>
      </c>
      <c r="CB931">
        <v>0</v>
      </c>
      <c r="CC931">
        <v>0.08</v>
      </c>
      <c r="CD931">
        <v>0.08</v>
      </c>
      <c r="CE931">
        <v>0.23</v>
      </c>
      <c r="CF931">
        <v>0.23</v>
      </c>
      <c r="CG931" s="1" t="s">
        <v>157</v>
      </c>
      <c r="CH931" s="1" t="s">
        <v>964</v>
      </c>
      <c r="CI931" s="1" t="s">
        <v>211</v>
      </c>
      <c r="CJ931" s="1" t="s">
        <v>373</v>
      </c>
      <c r="CK931">
        <v>5</v>
      </c>
      <c r="CL931" s="1" t="s">
        <v>170</v>
      </c>
      <c r="CM931">
        <v>74</v>
      </c>
      <c r="CN931" s="1" t="s">
        <v>4884</v>
      </c>
      <c r="CO931">
        <v>80</v>
      </c>
      <c r="CP931" s="1" t="s">
        <v>1889</v>
      </c>
      <c r="CQ931" s="1" t="s">
        <v>7960</v>
      </c>
      <c r="CR931">
        <v>280</v>
      </c>
      <c r="CS931" s="1" t="s">
        <v>4032</v>
      </c>
      <c r="CT931" s="1" t="s">
        <v>3622</v>
      </c>
      <c r="CU931" s="1" t="s">
        <v>1029</v>
      </c>
      <c r="CV931">
        <v>1634.6</v>
      </c>
      <c r="CW931">
        <v>76.150000000000006</v>
      </c>
      <c r="CX931">
        <v>75.2</v>
      </c>
      <c r="CY931">
        <v>80.2</v>
      </c>
      <c r="CZ931">
        <v>81</v>
      </c>
      <c r="DA931">
        <v>1</v>
      </c>
      <c r="DB931" t="s">
        <v>877</v>
      </c>
      <c r="DC931">
        <v>90</v>
      </c>
      <c r="DD931" s="1" t="s">
        <v>7961</v>
      </c>
      <c r="DE931" s="1" t="s">
        <v>7962</v>
      </c>
      <c r="DF931" t="e">
        <f>_xlfn.XLOOKUP(Table1[[#This Row],[Player ID]],Table2[feed_id],Table2[trade_status])</f>
        <v>#N/A</v>
      </c>
      <c r="DG931">
        <f>_xlfn.NUMBERVALUE(Table1[[#This Row],[predicted]])</f>
        <v>63.520353179692698</v>
      </c>
    </row>
    <row r="932" spans="1:111" hidden="1" x14ac:dyDescent="0.25">
      <c r="A932">
        <v>132842</v>
      </c>
      <c r="B932">
        <v>9243</v>
      </c>
      <c r="C932" t="s">
        <v>7798</v>
      </c>
      <c r="D932" t="s">
        <v>3116</v>
      </c>
      <c r="E932">
        <v>2025</v>
      </c>
      <c r="F932">
        <v>998659</v>
      </c>
      <c r="G932" t="s">
        <v>176</v>
      </c>
      <c r="H932" t="s">
        <v>1332</v>
      </c>
      <c r="I932" t="s">
        <v>178</v>
      </c>
      <c r="J932">
        <v>12</v>
      </c>
      <c r="K932">
        <v>60</v>
      </c>
      <c r="L932">
        <v>52</v>
      </c>
      <c r="M932">
        <v>36</v>
      </c>
      <c r="N932">
        <v>50</v>
      </c>
      <c r="O932">
        <v>66</v>
      </c>
      <c r="P932">
        <v>10</v>
      </c>
      <c r="Q932">
        <v>6</v>
      </c>
      <c r="R932">
        <v>6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113</v>
      </c>
      <c r="Z932" t="s">
        <v>114</v>
      </c>
      <c r="AA932" t="s">
        <v>7963</v>
      </c>
      <c r="AB932" t="s">
        <v>116</v>
      </c>
      <c r="AC932" t="s">
        <v>7964</v>
      </c>
      <c r="AE932">
        <v>0</v>
      </c>
      <c r="AH932" t="s">
        <v>181</v>
      </c>
      <c r="AI932">
        <v>13</v>
      </c>
      <c r="AJ932">
        <v>20</v>
      </c>
      <c r="AK932">
        <v>76.900000000000006</v>
      </c>
      <c r="AL932">
        <v>0</v>
      </c>
      <c r="AM932">
        <v>0</v>
      </c>
      <c r="AN932">
        <v>3</v>
      </c>
      <c r="AO932">
        <v>2.5499999999999998</v>
      </c>
      <c r="AS932">
        <v>1</v>
      </c>
      <c r="AT932">
        <v>0</v>
      </c>
      <c r="AU932">
        <v>1</v>
      </c>
      <c r="AV932">
        <v>93</v>
      </c>
      <c r="AW932">
        <v>71</v>
      </c>
      <c r="AX932">
        <v>226</v>
      </c>
      <c r="AY932">
        <v>1</v>
      </c>
      <c r="AZ932" t="b">
        <v>1</v>
      </c>
      <c r="BA932">
        <v>1559</v>
      </c>
      <c r="BB932">
        <v>1728</v>
      </c>
      <c r="BC932">
        <v>6</v>
      </c>
      <c r="BD932" t="s">
        <v>7901</v>
      </c>
      <c r="BE932" s="1" t="s">
        <v>3594</v>
      </c>
      <c r="BF932">
        <v>0</v>
      </c>
      <c r="BG932">
        <v>71</v>
      </c>
      <c r="BH932">
        <v>0</v>
      </c>
      <c r="BI932" s="1" t="s">
        <v>5109</v>
      </c>
      <c r="BJ932">
        <v>17.8</v>
      </c>
      <c r="BK932" s="1" t="s">
        <v>125</v>
      </c>
      <c r="BL932">
        <v>4</v>
      </c>
      <c r="BM932">
        <v>6</v>
      </c>
      <c r="BN932">
        <v>6.8</v>
      </c>
      <c r="BO932" s="1" t="s">
        <v>161</v>
      </c>
      <c r="BP932">
        <v>1.8</v>
      </c>
      <c r="BQ932">
        <v>0</v>
      </c>
      <c r="BR932">
        <v>0</v>
      </c>
      <c r="BS932" s="1" t="s">
        <v>128</v>
      </c>
      <c r="BT932" s="1" t="s">
        <v>129</v>
      </c>
      <c r="BU932">
        <v>0</v>
      </c>
      <c r="BV932">
        <v>0.4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3</v>
      </c>
      <c r="CD932">
        <v>3</v>
      </c>
      <c r="CE932">
        <v>2.5499999999999998</v>
      </c>
      <c r="CF932">
        <v>2.5499999999999998</v>
      </c>
      <c r="CG932">
        <v>3</v>
      </c>
      <c r="CH932" s="1" t="s">
        <v>640</v>
      </c>
      <c r="CI932">
        <v>1</v>
      </c>
      <c r="CJ932" s="1" t="s">
        <v>129</v>
      </c>
      <c r="CK932">
        <v>1</v>
      </c>
      <c r="CL932">
        <v>1.6</v>
      </c>
      <c r="CM932" s="1" t="s">
        <v>306</v>
      </c>
      <c r="CN932">
        <v>85.8</v>
      </c>
      <c r="CO932" s="1" t="s">
        <v>268</v>
      </c>
      <c r="CP932" s="1" t="s">
        <v>7823</v>
      </c>
      <c r="CQ932" s="1" t="s">
        <v>7061</v>
      </c>
      <c r="CR932" s="1" t="s">
        <v>7965</v>
      </c>
      <c r="CS932" s="1" t="s">
        <v>7903</v>
      </c>
      <c r="CT932" s="1" t="s">
        <v>853</v>
      </c>
      <c r="CU932" s="1" t="s">
        <v>6535</v>
      </c>
      <c r="CV932">
        <v>1604.2</v>
      </c>
      <c r="CW932">
        <v>102</v>
      </c>
      <c r="CX932">
        <v>96.7</v>
      </c>
      <c r="CY932">
        <v>85.6</v>
      </c>
      <c r="CZ932">
        <v>89</v>
      </c>
      <c r="DA932">
        <v>1</v>
      </c>
      <c r="DB932" t="s">
        <v>114</v>
      </c>
      <c r="DC932">
        <v>52</v>
      </c>
      <c r="DD932">
        <v>73.672157501400307</v>
      </c>
      <c r="DE932">
        <v>-21.672157501400299</v>
      </c>
      <c r="DF932" t="e">
        <f>_xlfn.XLOOKUP(Table1[[#This Row],[Player ID]],Table2[feed_id],Table2[trade_status])</f>
        <v>#N/A</v>
      </c>
      <c r="DG932">
        <f>_xlfn.NUMBERVALUE(Table1[[#This Row],[predicted]])</f>
        <v>73.672157501400307</v>
      </c>
    </row>
    <row r="933" spans="1:111" hidden="1" x14ac:dyDescent="0.25">
      <c r="A933">
        <v>132843</v>
      </c>
      <c r="B933">
        <v>9243</v>
      </c>
      <c r="C933" t="s">
        <v>7798</v>
      </c>
      <c r="D933" t="s">
        <v>3116</v>
      </c>
      <c r="E933">
        <v>2025</v>
      </c>
      <c r="F933">
        <v>998145</v>
      </c>
      <c r="G933" t="s">
        <v>974</v>
      </c>
      <c r="H933" t="s">
        <v>3105</v>
      </c>
      <c r="I933" t="s">
        <v>178</v>
      </c>
      <c r="J933">
        <v>14</v>
      </c>
      <c r="K933">
        <v>57</v>
      </c>
      <c r="L933">
        <v>76</v>
      </c>
      <c r="M933">
        <v>56</v>
      </c>
      <c r="N933">
        <v>48</v>
      </c>
      <c r="O933">
        <v>61</v>
      </c>
      <c r="P933">
        <v>3</v>
      </c>
      <c r="Q933">
        <v>6</v>
      </c>
      <c r="R933">
        <v>0</v>
      </c>
      <c r="S933">
        <v>4</v>
      </c>
      <c r="T933">
        <v>22</v>
      </c>
      <c r="U933">
        <v>1</v>
      </c>
      <c r="V933">
        <v>1</v>
      </c>
      <c r="W933">
        <v>0</v>
      </c>
      <c r="X933">
        <v>0</v>
      </c>
      <c r="Y933" t="s">
        <v>113</v>
      </c>
      <c r="Z933" t="s">
        <v>602</v>
      </c>
      <c r="AA933" t="s">
        <v>7966</v>
      </c>
      <c r="AE933">
        <v>0</v>
      </c>
      <c r="AH933" t="s">
        <v>274</v>
      </c>
      <c r="AI933">
        <v>4</v>
      </c>
      <c r="AJ933">
        <v>6</v>
      </c>
      <c r="AK933">
        <v>73.67</v>
      </c>
      <c r="AL933">
        <v>0</v>
      </c>
      <c r="AM933">
        <v>0</v>
      </c>
      <c r="AN933">
        <v>0.74</v>
      </c>
      <c r="AO933">
        <v>1.63</v>
      </c>
      <c r="AS933">
        <v>7</v>
      </c>
      <c r="AT933">
        <v>2</v>
      </c>
      <c r="AU933">
        <v>4</v>
      </c>
      <c r="AV933">
        <v>55</v>
      </c>
      <c r="AW933">
        <v>63</v>
      </c>
      <c r="AX933">
        <v>147</v>
      </c>
      <c r="AY933">
        <v>1</v>
      </c>
      <c r="AZ933" t="b">
        <v>0</v>
      </c>
      <c r="BA933">
        <v>1559</v>
      </c>
      <c r="BB933">
        <v>1728</v>
      </c>
      <c r="BC933">
        <v>6</v>
      </c>
      <c r="BD933" t="s">
        <v>7901</v>
      </c>
      <c r="BE933" s="1" t="s">
        <v>3594</v>
      </c>
      <c r="BF933">
        <v>0</v>
      </c>
      <c r="BG933">
        <v>71</v>
      </c>
      <c r="BH933">
        <v>1</v>
      </c>
      <c r="BI933">
        <v>3</v>
      </c>
      <c r="BJ933" s="1" t="s">
        <v>781</v>
      </c>
      <c r="BK933">
        <v>8</v>
      </c>
      <c r="BL933">
        <v>7.2</v>
      </c>
      <c r="BM933" s="1" t="s">
        <v>126</v>
      </c>
      <c r="BN933" s="1" t="s">
        <v>161</v>
      </c>
      <c r="BO933" s="1" t="s">
        <v>159</v>
      </c>
      <c r="BP933">
        <v>3.4</v>
      </c>
      <c r="BQ933" s="1" t="s">
        <v>2654</v>
      </c>
      <c r="BR933" s="1" t="s">
        <v>7967</v>
      </c>
      <c r="BS933" s="1" t="s">
        <v>128</v>
      </c>
      <c r="BT933">
        <v>1.4</v>
      </c>
      <c r="BU933" s="1" t="s">
        <v>126</v>
      </c>
      <c r="BV933">
        <v>1.4</v>
      </c>
      <c r="BW933">
        <v>0</v>
      </c>
      <c r="BX933">
        <v>0.4</v>
      </c>
      <c r="BY933" s="1" t="s">
        <v>129</v>
      </c>
      <c r="BZ933" s="1" t="s">
        <v>213</v>
      </c>
      <c r="CA933">
        <v>0</v>
      </c>
      <c r="CB933">
        <v>0</v>
      </c>
      <c r="CC933">
        <v>0.74</v>
      </c>
      <c r="CD933" s="1" t="s">
        <v>7968</v>
      </c>
      <c r="CE933">
        <v>1.63</v>
      </c>
      <c r="CF933" s="1" t="s">
        <v>7969</v>
      </c>
      <c r="CG933" s="1" t="s">
        <v>137</v>
      </c>
      <c r="CH933" s="1" t="s">
        <v>158</v>
      </c>
      <c r="CI933">
        <v>3</v>
      </c>
      <c r="CJ933" s="1" t="s">
        <v>436</v>
      </c>
      <c r="CK933" s="1" t="s">
        <v>125</v>
      </c>
      <c r="CL933" s="1" t="s">
        <v>169</v>
      </c>
      <c r="CM933">
        <v>68</v>
      </c>
      <c r="CN933" s="1" t="s">
        <v>2500</v>
      </c>
      <c r="CO933" s="1" t="s">
        <v>683</v>
      </c>
      <c r="CP933" s="1" t="s">
        <v>2863</v>
      </c>
      <c r="CQ933" s="1" t="s">
        <v>4316</v>
      </c>
      <c r="CR933" s="1" t="s">
        <v>3835</v>
      </c>
      <c r="CS933" s="1" t="s">
        <v>3794</v>
      </c>
      <c r="CT933" s="1" t="s">
        <v>7970</v>
      </c>
      <c r="CU933" s="1" t="s">
        <v>194</v>
      </c>
      <c r="CV933" s="1" t="s">
        <v>7754</v>
      </c>
      <c r="CW933">
        <v>98.95</v>
      </c>
      <c r="CX933">
        <v>96.7</v>
      </c>
      <c r="CY933">
        <v>87</v>
      </c>
      <c r="CZ933" s="1" t="s">
        <v>4375</v>
      </c>
      <c r="DA933">
        <v>1</v>
      </c>
      <c r="DB933" t="s">
        <v>602</v>
      </c>
      <c r="DC933">
        <v>76</v>
      </c>
      <c r="DD933" s="1" t="s">
        <v>7971</v>
      </c>
      <c r="DE933">
        <v>-22.4870879930629</v>
      </c>
      <c r="DF933" t="e">
        <f>_xlfn.XLOOKUP(Table1[[#This Row],[Player ID]],Table2[feed_id],Table2[trade_status])</f>
        <v>#N/A</v>
      </c>
      <c r="DG933">
        <f>_xlfn.NUMBERVALUE(Table1[[#This Row],[predicted]])</f>
        <v>98.4870879930629</v>
      </c>
    </row>
    <row r="934" spans="1:111" x14ac:dyDescent="0.25">
      <c r="A934">
        <v>132816</v>
      </c>
      <c r="B934">
        <v>9243</v>
      </c>
      <c r="C934" t="s">
        <v>7798</v>
      </c>
      <c r="D934" t="s">
        <v>3116</v>
      </c>
      <c r="E934">
        <v>2025</v>
      </c>
      <c r="F934">
        <v>1011985</v>
      </c>
      <c r="G934" t="s">
        <v>7855</v>
      </c>
      <c r="H934" t="s">
        <v>7856</v>
      </c>
      <c r="I934" t="s">
        <v>317</v>
      </c>
      <c r="J934">
        <v>13</v>
      </c>
      <c r="K934">
        <v>66</v>
      </c>
      <c r="L934">
        <v>72</v>
      </c>
      <c r="M934">
        <v>85</v>
      </c>
      <c r="N934">
        <v>55</v>
      </c>
      <c r="O934">
        <v>72</v>
      </c>
      <c r="P934">
        <v>9</v>
      </c>
      <c r="Q934">
        <v>7</v>
      </c>
      <c r="R934">
        <v>6</v>
      </c>
      <c r="S934">
        <v>2</v>
      </c>
      <c r="T934">
        <v>0</v>
      </c>
      <c r="U934">
        <v>2</v>
      </c>
      <c r="V934">
        <v>1</v>
      </c>
      <c r="W934">
        <v>0</v>
      </c>
      <c r="X934">
        <v>0</v>
      </c>
      <c r="Y934" t="s">
        <v>113</v>
      </c>
      <c r="Z934" t="s">
        <v>525</v>
      </c>
      <c r="AA934" t="s">
        <v>7857</v>
      </c>
      <c r="AH934" t="s">
        <v>181</v>
      </c>
      <c r="AI934">
        <v>13</v>
      </c>
      <c r="AJ934">
        <v>0</v>
      </c>
      <c r="AK934">
        <v>0</v>
      </c>
      <c r="AL934">
        <v>0</v>
      </c>
      <c r="AM934">
        <v>0.13</v>
      </c>
      <c r="AN934">
        <v>0.44</v>
      </c>
      <c r="AO934">
        <v>0.43</v>
      </c>
      <c r="AS934">
        <v>5</v>
      </c>
      <c r="AT934">
        <v>1</v>
      </c>
      <c r="AU934">
        <v>4</v>
      </c>
      <c r="AV934">
        <v>68</v>
      </c>
      <c r="AW934">
        <v>82</v>
      </c>
      <c r="AX934">
        <v>338</v>
      </c>
      <c r="AY934">
        <v>0</v>
      </c>
      <c r="AZ934" t="b">
        <v>0</v>
      </c>
      <c r="BA934">
        <v>1728</v>
      </c>
      <c r="BB934">
        <v>1559</v>
      </c>
      <c r="BC934">
        <v>6</v>
      </c>
      <c r="BD934" t="s">
        <v>7800</v>
      </c>
      <c r="BE934" s="1" t="s">
        <v>3594</v>
      </c>
      <c r="BF934">
        <v>0</v>
      </c>
      <c r="BG934">
        <v>71</v>
      </c>
      <c r="BH934">
        <v>1</v>
      </c>
      <c r="BI934" s="1" t="s">
        <v>294</v>
      </c>
      <c r="BJ934" s="1" t="s">
        <v>358</v>
      </c>
      <c r="BK934" s="1" t="s">
        <v>124</v>
      </c>
      <c r="BL934" s="1" t="s">
        <v>374</v>
      </c>
      <c r="BM934">
        <v>5</v>
      </c>
      <c r="BN934" s="1" t="s">
        <v>321</v>
      </c>
      <c r="BO934" s="1" t="s">
        <v>126</v>
      </c>
      <c r="BP934" s="1" t="s">
        <v>327</v>
      </c>
      <c r="BQ934">
        <v>0</v>
      </c>
      <c r="BR934">
        <v>0</v>
      </c>
      <c r="BS934">
        <v>1</v>
      </c>
      <c r="BT934" s="1" t="s">
        <v>231</v>
      </c>
      <c r="BU934" s="1" t="s">
        <v>129</v>
      </c>
      <c r="BV934" s="1" t="s">
        <v>130</v>
      </c>
      <c r="BW934" s="1" t="s">
        <v>129</v>
      </c>
      <c r="BX934" s="1" t="s">
        <v>129</v>
      </c>
      <c r="BY934">
        <v>0</v>
      </c>
      <c r="BZ934" s="1" t="s">
        <v>213</v>
      </c>
      <c r="CA934">
        <v>0.13</v>
      </c>
      <c r="CB934">
        <v>0.13</v>
      </c>
      <c r="CC934">
        <v>0.44</v>
      </c>
      <c r="CD934">
        <v>0.44</v>
      </c>
      <c r="CE934">
        <v>0.43</v>
      </c>
      <c r="CF934">
        <v>0.43</v>
      </c>
      <c r="CG934" s="1" t="s">
        <v>211</v>
      </c>
      <c r="CH934">
        <v>3.2</v>
      </c>
      <c r="CI934" s="1" t="s">
        <v>126</v>
      </c>
      <c r="CJ934" s="1" t="s">
        <v>130</v>
      </c>
      <c r="CK934">
        <v>3</v>
      </c>
      <c r="CL934" s="1" t="s">
        <v>528</v>
      </c>
      <c r="CM934" s="1" t="s">
        <v>1406</v>
      </c>
      <c r="CN934" s="1" t="s">
        <v>1288</v>
      </c>
      <c r="CO934">
        <v>86</v>
      </c>
      <c r="CP934">
        <v>88.4</v>
      </c>
      <c r="CQ934">
        <v>289</v>
      </c>
      <c r="CR934">
        <v>292.60000000000002</v>
      </c>
      <c r="CS934" s="1" t="s">
        <v>5608</v>
      </c>
      <c r="CT934" s="1" t="s">
        <v>2801</v>
      </c>
      <c r="CU934" s="1" t="s">
        <v>6611</v>
      </c>
      <c r="CV934" s="1" t="s">
        <v>6781</v>
      </c>
      <c r="CW934">
        <v>52.6</v>
      </c>
      <c r="CX934">
        <v>51.1</v>
      </c>
      <c r="CY934">
        <v>51.6</v>
      </c>
      <c r="CZ934" s="1" t="s">
        <v>2490</v>
      </c>
      <c r="DA934">
        <v>1</v>
      </c>
      <c r="DB934" t="s">
        <v>525</v>
      </c>
      <c r="DC934">
        <v>72</v>
      </c>
      <c r="DD934" s="1" t="s">
        <v>7858</v>
      </c>
      <c r="DE934" s="1" t="s">
        <v>7859</v>
      </c>
      <c r="DF934" t="str">
        <f>_xlfn.XLOOKUP(Table1[[#This Row],[Player ID]],Table2[feed_id],Table2[trade_status])</f>
        <v>free_agent</v>
      </c>
      <c r="DG934">
        <f>_xlfn.NUMBERVALUE(Table1[[#This Row],[predicted]])</f>
        <v>58.704475935770802</v>
      </c>
    </row>
    <row r="935" spans="1:111" x14ac:dyDescent="0.25">
      <c r="A935">
        <v>132641</v>
      </c>
      <c r="B935">
        <v>9239</v>
      </c>
      <c r="C935" t="s">
        <v>7040</v>
      </c>
      <c r="D935" t="s">
        <v>3116</v>
      </c>
      <c r="E935">
        <v>2025</v>
      </c>
      <c r="F935">
        <v>296355</v>
      </c>
      <c r="G935" t="s">
        <v>176</v>
      </c>
      <c r="H935" t="s">
        <v>5142</v>
      </c>
      <c r="I935" t="s">
        <v>813</v>
      </c>
      <c r="J935">
        <v>4</v>
      </c>
      <c r="K935">
        <v>45</v>
      </c>
      <c r="L935">
        <v>46</v>
      </c>
      <c r="M935">
        <v>59</v>
      </c>
      <c r="N935">
        <v>35</v>
      </c>
      <c r="O935">
        <v>51</v>
      </c>
      <c r="P935">
        <v>6</v>
      </c>
      <c r="Q935">
        <v>6</v>
      </c>
      <c r="R935">
        <v>2</v>
      </c>
      <c r="S935">
        <v>3</v>
      </c>
      <c r="T935">
        <v>0</v>
      </c>
      <c r="U935">
        <v>0</v>
      </c>
      <c r="V935">
        <v>1</v>
      </c>
      <c r="W935">
        <v>0</v>
      </c>
      <c r="X935">
        <v>0</v>
      </c>
      <c r="Y935" t="s">
        <v>113</v>
      </c>
      <c r="Z935" t="s">
        <v>179</v>
      </c>
      <c r="AA935" t="s">
        <v>7113</v>
      </c>
      <c r="AE935">
        <v>0</v>
      </c>
      <c r="AH935" t="s">
        <v>181</v>
      </c>
      <c r="AI935">
        <v>11</v>
      </c>
      <c r="AJ935">
        <v>21</v>
      </c>
      <c r="AK935">
        <v>71.239999999999995</v>
      </c>
      <c r="AL935">
        <v>0</v>
      </c>
      <c r="AM935">
        <v>0</v>
      </c>
      <c r="AN935">
        <v>0.11</v>
      </c>
      <c r="AO935">
        <v>0.16</v>
      </c>
      <c r="AS935">
        <v>1</v>
      </c>
      <c r="AT935">
        <v>0</v>
      </c>
      <c r="AU935">
        <v>1</v>
      </c>
      <c r="AV935">
        <v>83</v>
      </c>
      <c r="AW935">
        <v>79</v>
      </c>
      <c r="AX935">
        <v>299</v>
      </c>
      <c r="AY935">
        <v>0</v>
      </c>
      <c r="AZ935" t="b">
        <v>0</v>
      </c>
      <c r="BA935">
        <v>1678</v>
      </c>
      <c r="BB935">
        <v>1592</v>
      </c>
      <c r="BC935">
        <v>6</v>
      </c>
      <c r="BD935" t="s">
        <v>7044</v>
      </c>
      <c r="BE935" s="1" t="s">
        <v>3594</v>
      </c>
      <c r="BF935">
        <v>0</v>
      </c>
      <c r="BG935">
        <v>71</v>
      </c>
      <c r="BH935">
        <v>0</v>
      </c>
      <c r="BI935">
        <v>8</v>
      </c>
      <c r="BJ935" s="1" t="s">
        <v>977</v>
      </c>
      <c r="BK935">
        <v>7</v>
      </c>
      <c r="BL935" s="1" t="s">
        <v>963</v>
      </c>
      <c r="BM935" s="1" t="s">
        <v>211</v>
      </c>
      <c r="BN935" s="1" t="s">
        <v>499</v>
      </c>
      <c r="BO935" s="1" t="s">
        <v>169</v>
      </c>
      <c r="BP935" s="1" t="s">
        <v>566</v>
      </c>
      <c r="BQ935">
        <v>0</v>
      </c>
      <c r="BR935">
        <v>0</v>
      </c>
      <c r="BS935">
        <v>1</v>
      </c>
      <c r="BT935" s="1" t="s">
        <v>238</v>
      </c>
      <c r="BU935" s="1" t="s">
        <v>129</v>
      </c>
      <c r="BV935" s="1" t="s">
        <v>231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0.11</v>
      </c>
      <c r="CD935">
        <v>0.11</v>
      </c>
      <c r="CE935">
        <v>0.16</v>
      </c>
      <c r="CF935">
        <v>0.16</v>
      </c>
      <c r="CG935">
        <v>4</v>
      </c>
      <c r="CH935">
        <v>4</v>
      </c>
      <c r="CI935">
        <v>0</v>
      </c>
      <c r="CJ935">
        <v>0.2</v>
      </c>
      <c r="CK935" s="1" t="s">
        <v>129</v>
      </c>
      <c r="CL935">
        <v>1.4</v>
      </c>
      <c r="CM935" s="1" t="s">
        <v>3487</v>
      </c>
      <c r="CN935">
        <v>86.8</v>
      </c>
      <c r="CO935">
        <v>83</v>
      </c>
      <c r="CP935" s="1" t="s">
        <v>1740</v>
      </c>
      <c r="CQ935" s="1" t="s">
        <v>4462</v>
      </c>
      <c r="CR935">
        <v>284.60000000000002</v>
      </c>
      <c r="CS935" s="1" t="s">
        <v>2903</v>
      </c>
      <c r="CT935">
        <v>1623.8</v>
      </c>
      <c r="CU935">
        <v>1674</v>
      </c>
      <c r="CV935" s="1" t="s">
        <v>7046</v>
      </c>
      <c r="CW935">
        <v>70.150000000000006</v>
      </c>
      <c r="CX935">
        <v>71.2</v>
      </c>
      <c r="CY935">
        <v>74.8</v>
      </c>
      <c r="CZ935" s="1" t="s">
        <v>754</v>
      </c>
      <c r="DA935">
        <v>1</v>
      </c>
      <c r="DB935" t="s">
        <v>179</v>
      </c>
      <c r="DC935">
        <v>46</v>
      </c>
      <c r="DD935" s="1" t="s">
        <v>7114</v>
      </c>
      <c r="DE935">
        <v>-12.6842274030155</v>
      </c>
      <c r="DF935" t="str">
        <f>_xlfn.XLOOKUP(Table1[[#This Row],[Player ID]],Table2[feed_id],Table2[trade_status])</f>
        <v>free_agent</v>
      </c>
      <c r="DG935">
        <f>_xlfn.NUMBERVALUE(Table1[[#This Row],[predicted]])</f>
        <v>58.684227403015498</v>
      </c>
    </row>
    <row r="936" spans="1:111" x14ac:dyDescent="0.25">
      <c r="A936">
        <v>132803</v>
      </c>
      <c r="B936">
        <v>9242</v>
      </c>
      <c r="C936" t="s">
        <v>7597</v>
      </c>
      <c r="D936" t="s">
        <v>3116</v>
      </c>
      <c r="E936">
        <v>2025</v>
      </c>
      <c r="F936">
        <v>1009386</v>
      </c>
      <c r="G936" t="s">
        <v>7790</v>
      </c>
      <c r="H936" t="s">
        <v>7791</v>
      </c>
      <c r="I936" t="s">
        <v>619</v>
      </c>
      <c r="J936">
        <v>4</v>
      </c>
      <c r="K936">
        <v>45</v>
      </c>
      <c r="L936">
        <v>54</v>
      </c>
      <c r="M936">
        <v>27</v>
      </c>
      <c r="N936">
        <v>37</v>
      </c>
      <c r="O936">
        <v>51</v>
      </c>
      <c r="P936">
        <v>8</v>
      </c>
      <c r="Q936">
        <v>4</v>
      </c>
      <c r="R936">
        <v>4</v>
      </c>
      <c r="S936">
        <v>1</v>
      </c>
      <c r="T936">
        <v>0</v>
      </c>
      <c r="U936">
        <v>0</v>
      </c>
      <c r="V936">
        <v>1</v>
      </c>
      <c r="W936">
        <v>0</v>
      </c>
      <c r="X936">
        <v>0</v>
      </c>
      <c r="Y936" t="s">
        <v>113</v>
      </c>
      <c r="Z936" t="s">
        <v>7792</v>
      </c>
      <c r="AA936" t="s">
        <v>5918</v>
      </c>
      <c r="AB936" t="s">
        <v>226</v>
      </c>
      <c r="AC936" t="s">
        <v>1482</v>
      </c>
      <c r="AH936" t="s">
        <v>118</v>
      </c>
      <c r="AI936">
        <v>25</v>
      </c>
      <c r="AJ936">
        <v>0</v>
      </c>
      <c r="AK936">
        <v>0</v>
      </c>
      <c r="AL936">
        <v>0</v>
      </c>
      <c r="AM936">
        <v>0.09</v>
      </c>
      <c r="AN936">
        <v>0.26</v>
      </c>
      <c r="AO936">
        <v>0.03</v>
      </c>
      <c r="AS936">
        <v>4</v>
      </c>
      <c r="AT936">
        <v>0</v>
      </c>
      <c r="AU936">
        <v>3</v>
      </c>
      <c r="AV936">
        <v>83</v>
      </c>
      <c r="AW936">
        <v>77</v>
      </c>
      <c r="AX936">
        <v>230</v>
      </c>
      <c r="AY936">
        <v>0</v>
      </c>
      <c r="AZ936" t="b">
        <v>0</v>
      </c>
      <c r="BA936">
        <v>1522</v>
      </c>
      <c r="BB936">
        <v>1764</v>
      </c>
      <c r="BC936">
        <v>6</v>
      </c>
      <c r="BD936" t="s">
        <v>7708</v>
      </c>
      <c r="BE936" s="1" t="s">
        <v>3594</v>
      </c>
      <c r="BF936">
        <v>0</v>
      </c>
      <c r="BG936">
        <v>71</v>
      </c>
      <c r="BH936">
        <v>0</v>
      </c>
      <c r="BI936">
        <v>12</v>
      </c>
      <c r="BJ936" s="1" t="s">
        <v>294</v>
      </c>
      <c r="BK936">
        <v>4</v>
      </c>
      <c r="BL936" s="1" t="s">
        <v>322</v>
      </c>
      <c r="BM936" s="1" t="s">
        <v>211</v>
      </c>
      <c r="BN936">
        <v>4.4000000000000004</v>
      </c>
      <c r="BO936">
        <v>1</v>
      </c>
      <c r="BP936" s="1" t="s">
        <v>375</v>
      </c>
      <c r="BQ936">
        <v>0</v>
      </c>
      <c r="BR936">
        <v>0</v>
      </c>
      <c r="BS936" s="1" t="s">
        <v>129</v>
      </c>
      <c r="BT936">
        <v>0.6</v>
      </c>
      <c r="BU936" s="1" t="s">
        <v>128</v>
      </c>
      <c r="BV936" s="1" t="s">
        <v>129</v>
      </c>
      <c r="BW936">
        <v>0</v>
      </c>
      <c r="BX936">
        <v>6.6666666666666596E-2</v>
      </c>
      <c r="BY936">
        <v>0</v>
      </c>
      <c r="BZ936">
        <v>6.6666666666666596E-2</v>
      </c>
      <c r="CA936">
        <v>0.09</v>
      </c>
      <c r="CB936" s="1" t="s">
        <v>2634</v>
      </c>
      <c r="CC936">
        <v>0.26</v>
      </c>
      <c r="CD936" s="1" t="s">
        <v>4608</v>
      </c>
      <c r="CE936">
        <v>0.03</v>
      </c>
      <c r="CF936" s="1" t="s">
        <v>4702</v>
      </c>
      <c r="CG936" s="1" t="s">
        <v>160</v>
      </c>
      <c r="CH936" s="1" t="s">
        <v>431</v>
      </c>
      <c r="CI936">
        <v>0</v>
      </c>
      <c r="CJ936" s="1" t="s">
        <v>231</v>
      </c>
      <c r="CK936">
        <v>4</v>
      </c>
      <c r="CL936" s="1" t="s">
        <v>375</v>
      </c>
      <c r="CM936" s="1" t="s">
        <v>593</v>
      </c>
      <c r="CN936" s="1" t="s">
        <v>1838</v>
      </c>
      <c r="CO936" s="1" t="s">
        <v>364</v>
      </c>
      <c r="CP936" s="1" t="s">
        <v>2147</v>
      </c>
      <c r="CQ936" s="1" t="s">
        <v>7793</v>
      </c>
      <c r="CR936" s="1" t="s">
        <v>7794</v>
      </c>
      <c r="CS936" s="1" t="s">
        <v>144</v>
      </c>
      <c r="CT936">
        <v>1636.8</v>
      </c>
      <c r="CU936" s="1" t="s">
        <v>4416</v>
      </c>
      <c r="CV936">
        <v>1643.8</v>
      </c>
      <c r="CW936">
        <v>52.9</v>
      </c>
      <c r="CX936">
        <v>50.1</v>
      </c>
      <c r="CY936">
        <v>51.6</v>
      </c>
      <c r="CZ936">
        <v>63</v>
      </c>
      <c r="DA936">
        <v>1</v>
      </c>
      <c r="DB936" t="s">
        <v>7792</v>
      </c>
      <c r="DC936">
        <v>54</v>
      </c>
      <c r="DD936" s="1" t="s">
        <v>7795</v>
      </c>
      <c r="DE936">
        <v>-4.6533006855864301</v>
      </c>
      <c r="DF936" t="str">
        <f>_xlfn.XLOOKUP(Table1[[#This Row],[Player ID]],Table2[feed_id],Table2[trade_status])</f>
        <v>free_agent</v>
      </c>
      <c r="DG936">
        <f>_xlfn.NUMBERVALUE(Table1[[#This Row],[predicted]])</f>
        <v>58.653300685586402</v>
      </c>
    </row>
    <row r="937" spans="1:111" hidden="1" x14ac:dyDescent="0.25">
      <c r="A937">
        <v>132850</v>
      </c>
      <c r="B937">
        <v>9244</v>
      </c>
      <c r="C937" t="s">
        <v>7983</v>
      </c>
      <c r="D937" t="s">
        <v>3116</v>
      </c>
      <c r="E937">
        <v>2025</v>
      </c>
      <c r="F937">
        <v>994389</v>
      </c>
      <c r="G937" t="s">
        <v>1127</v>
      </c>
      <c r="H937" t="s">
        <v>691</v>
      </c>
      <c r="I937" t="s">
        <v>152</v>
      </c>
      <c r="J937">
        <v>25</v>
      </c>
      <c r="K937">
        <v>106</v>
      </c>
      <c r="L937">
        <v>108</v>
      </c>
      <c r="M937">
        <v>137</v>
      </c>
      <c r="N937">
        <v>78</v>
      </c>
      <c r="O937">
        <v>108</v>
      </c>
      <c r="P937">
        <v>18</v>
      </c>
      <c r="Q937">
        <v>8</v>
      </c>
      <c r="R937">
        <v>3</v>
      </c>
      <c r="S937">
        <v>5</v>
      </c>
      <c r="T937">
        <v>0</v>
      </c>
      <c r="U937">
        <v>1</v>
      </c>
      <c r="V937">
        <v>0</v>
      </c>
      <c r="W937">
        <v>1</v>
      </c>
      <c r="X937">
        <v>0</v>
      </c>
      <c r="Y937" t="s">
        <v>113</v>
      </c>
      <c r="Z937" t="s">
        <v>339</v>
      </c>
      <c r="AA937" t="s">
        <v>860</v>
      </c>
      <c r="AB937" t="s">
        <v>987</v>
      </c>
      <c r="AC937" t="s">
        <v>7984</v>
      </c>
      <c r="AH937" t="s">
        <v>181</v>
      </c>
      <c r="AI937">
        <v>35</v>
      </c>
      <c r="AJ937">
        <v>0</v>
      </c>
      <c r="AK937">
        <v>0</v>
      </c>
      <c r="AL937">
        <v>0</v>
      </c>
      <c r="AM937">
        <v>22.1</v>
      </c>
      <c r="AN937">
        <v>14.73</v>
      </c>
      <c r="AO937">
        <v>21.89</v>
      </c>
      <c r="AS937">
        <v>8</v>
      </c>
      <c r="AT937">
        <v>4</v>
      </c>
      <c r="AU937">
        <v>3</v>
      </c>
      <c r="AV937">
        <v>76</v>
      </c>
      <c r="AW937">
        <v>88</v>
      </c>
      <c r="AX937">
        <v>542</v>
      </c>
      <c r="AY937">
        <v>0</v>
      </c>
      <c r="AZ937" t="b">
        <v>0</v>
      </c>
      <c r="BA937">
        <v>1816</v>
      </c>
      <c r="BB937">
        <v>1473</v>
      </c>
      <c r="BC937">
        <v>6</v>
      </c>
      <c r="BD937" t="s">
        <v>7985</v>
      </c>
      <c r="BE937" s="1" t="s">
        <v>3594</v>
      </c>
      <c r="BF937">
        <v>1</v>
      </c>
      <c r="BG937">
        <v>71</v>
      </c>
      <c r="BH937">
        <v>1</v>
      </c>
      <c r="BI937" s="1" t="s">
        <v>2287</v>
      </c>
      <c r="BJ937" s="1" t="s">
        <v>6136</v>
      </c>
      <c r="BK937">
        <v>8</v>
      </c>
      <c r="BL937" s="1" t="s">
        <v>158</v>
      </c>
      <c r="BM937" s="1" t="s">
        <v>211</v>
      </c>
      <c r="BN937" s="1" t="s">
        <v>898</v>
      </c>
      <c r="BO937" s="1" t="s">
        <v>169</v>
      </c>
      <c r="BP937" s="1" t="s">
        <v>431</v>
      </c>
      <c r="BQ937">
        <v>0</v>
      </c>
      <c r="BR937">
        <v>0</v>
      </c>
      <c r="BS937" s="1" t="s">
        <v>128</v>
      </c>
      <c r="BT937" s="1" t="s">
        <v>130</v>
      </c>
      <c r="BU937">
        <v>0</v>
      </c>
      <c r="BV937">
        <v>6.6666666666666596E-2</v>
      </c>
      <c r="BW937" s="1" t="s">
        <v>128</v>
      </c>
      <c r="BX937" s="1" t="s">
        <v>184</v>
      </c>
      <c r="BY937" s="1" t="s">
        <v>129</v>
      </c>
      <c r="BZ937">
        <v>6.6666666666666596E-2</v>
      </c>
      <c r="CA937">
        <v>22.1</v>
      </c>
      <c r="CB937">
        <v>22.1</v>
      </c>
      <c r="CC937">
        <v>14.73</v>
      </c>
      <c r="CD937">
        <v>14.73</v>
      </c>
      <c r="CE937">
        <v>21.89</v>
      </c>
      <c r="CF937">
        <v>21.89</v>
      </c>
      <c r="CG937" s="1" t="s">
        <v>204</v>
      </c>
      <c r="CH937" s="1" t="s">
        <v>358</v>
      </c>
      <c r="CI937" s="1" t="s">
        <v>169</v>
      </c>
      <c r="CJ937">
        <v>2.6</v>
      </c>
      <c r="CK937" s="1" t="s">
        <v>169</v>
      </c>
      <c r="CL937" s="1" t="s">
        <v>170</v>
      </c>
      <c r="CM937" s="1" t="s">
        <v>350</v>
      </c>
      <c r="CN937" s="1" t="s">
        <v>517</v>
      </c>
      <c r="CO937" s="1" t="s">
        <v>1491</v>
      </c>
      <c r="CP937" s="1" t="s">
        <v>7986</v>
      </c>
      <c r="CQ937">
        <v>590</v>
      </c>
      <c r="CR937">
        <v>461.2</v>
      </c>
      <c r="CS937" s="1" t="s">
        <v>7987</v>
      </c>
      <c r="CT937">
        <v>1663.4</v>
      </c>
      <c r="CU937" s="1" t="s">
        <v>7988</v>
      </c>
      <c r="CV937" s="1" t="s">
        <v>7989</v>
      </c>
      <c r="CW937">
        <v>117.3</v>
      </c>
      <c r="CX937">
        <v>118.9</v>
      </c>
      <c r="CY937">
        <v>125.6</v>
      </c>
      <c r="CZ937" s="1" t="s">
        <v>7990</v>
      </c>
      <c r="DA937">
        <v>1</v>
      </c>
      <c r="DB937" t="s">
        <v>339</v>
      </c>
      <c r="DC937">
        <v>108</v>
      </c>
      <c r="DD937" s="1" t="s">
        <v>7991</v>
      </c>
      <c r="DE937">
        <v>-1.4946770385650401</v>
      </c>
      <c r="DF937" t="e">
        <f>_xlfn.XLOOKUP(Table1[[#This Row],[Player ID]],Table2[feed_id],Table2[trade_status])</f>
        <v>#N/A</v>
      </c>
      <c r="DG937">
        <f>_xlfn.NUMBERVALUE(Table1[[#This Row],[predicted]])</f>
        <v>109.494677038565</v>
      </c>
    </row>
    <row r="938" spans="1:111" hidden="1" x14ac:dyDescent="0.25">
      <c r="A938">
        <v>132851</v>
      </c>
      <c r="B938">
        <v>9244</v>
      </c>
      <c r="C938" t="s">
        <v>7983</v>
      </c>
      <c r="D938" t="s">
        <v>3116</v>
      </c>
      <c r="E938">
        <v>2025</v>
      </c>
      <c r="F938">
        <v>1015507</v>
      </c>
      <c r="G938" t="s">
        <v>7992</v>
      </c>
      <c r="H938" t="s">
        <v>7993</v>
      </c>
      <c r="I938" t="s">
        <v>152</v>
      </c>
      <c r="J938">
        <v>21</v>
      </c>
      <c r="K938">
        <v>102</v>
      </c>
      <c r="L938">
        <v>133</v>
      </c>
      <c r="M938">
        <v>127</v>
      </c>
      <c r="N938">
        <v>79</v>
      </c>
      <c r="O938">
        <v>106</v>
      </c>
      <c r="P938">
        <v>17</v>
      </c>
      <c r="Q938">
        <v>7</v>
      </c>
      <c r="R938">
        <v>2</v>
      </c>
      <c r="S938">
        <v>3</v>
      </c>
      <c r="T938">
        <v>0</v>
      </c>
      <c r="U938">
        <v>0</v>
      </c>
      <c r="V938">
        <v>0</v>
      </c>
      <c r="W938">
        <v>3</v>
      </c>
      <c r="X938">
        <v>1</v>
      </c>
      <c r="Y938" t="s">
        <v>113</v>
      </c>
      <c r="Z938" t="s">
        <v>339</v>
      </c>
      <c r="AA938" t="s">
        <v>7994</v>
      </c>
      <c r="AB938" t="s">
        <v>987</v>
      </c>
      <c r="AC938" t="s">
        <v>7995</v>
      </c>
      <c r="AH938" t="s">
        <v>181</v>
      </c>
      <c r="AI938">
        <v>7</v>
      </c>
      <c r="AJ938">
        <v>0</v>
      </c>
      <c r="AK938">
        <v>0</v>
      </c>
      <c r="AL938">
        <v>0</v>
      </c>
      <c r="AM938">
        <v>10.36</v>
      </c>
      <c r="AN938">
        <v>5.14</v>
      </c>
      <c r="AO938">
        <v>11.9</v>
      </c>
      <c r="AS938">
        <v>6</v>
      </c>
      <c r="AT938">
        <v>2</v>
      </c>
      <c r="AU938">
        <v>3</v>
      </c>
      <c r="AV938">
        <v>70</v>
      </c>
      <c r="AW938">
        <v>79</v>
      </c>
      <c r="AX938">
        <v>673</v>
      </c>
      <c r="AY938">
        <v>0</v>
      </c>
      <c r="AZ938" t="b">
        <v>0</v>
      </c>
      <c r="BA938">
        <v>1816</v>
      </c>
      <c r="BB938">
        <v>1473</v>
      </c>
      <c r="BC938">
        <v>6</v>
      </c>
      <c r="BD938" t="s">
        <v>7985</v>
      </c>
      <c r="BE938" s="1" t="s">
        <v>3594</v>
      </c>
      <c r="BF938">
        <v>1</v>
      </c>
      <c r="BG938">
        <v>71</v>
      </c>
      <c r="BH938">
        <v>1</v>
      </c>
      <c r="BI938" s="1" t="s">
        <v>4882</v>
      </c>
      <c r="BJ938">
        <v>19.8</v>
      </c>
      <c r="BK938" s="1" t="s">
        <v>204</v>
      </c>
      <c r="BL938">
        <v>6.2</v>
      </c>
      <c r="BM938">
        <v>4</v>
      </c>
      <c r="BN938" s="1" t="s">
        <v>898</v>
      </c>
      <c r="BO938" s="1" t="s">
        <v>169</v>
      </c>
      <c r="BP938" s="1" t="s">
        <v>275</v>
      </c>
      <c r="BQ938">
        <v>0</v>
      </c>
      <c r="BR938">
        <v>0</v>
      </c>
      <c r="BS938">
        <v>1</v>
      </c>
      <c r="BT938" s="1" t="s">
        <v>130</v>
      </c>
      <c r="BU938" s="1" t="s">
        <v>128</v>
      </c>
      <c r="BV938" s="1" t="s">
        <v>231</v>
      </c>
      <c r="BW938" s="1" t="s">
        <v>126</v>
      </c>
      <c r="BX938">
        <v>0.4</v>
      </c>
      <c r="BY938" s="1" t="s">
        <v>128</v>
      </c>
      <c r="BZ938" s="1" t="s">
        <v>231</v>
      </c>
      <c r="CA938">
        <v>10.36</v>
      </c>
      <c r="CB938">
        <v>10.36</v>
      </c>
      <c r="CC938">
        <v>5.14</v>
      </c>
      <c r="CD938">
        <v>5.14</v>
      </c>
      <c r="CE938">
        <v>11.9</v>
      </c>
      <c r="CF938">
        <v>11.9</v>
      </c>
      <c r="CG938" s="1" t="s">
        <v>397</v>
      </c>
      <c r="CH938">
        <v>6</v>
      </c>
      <c r="CI938" s="1" t="s">
        <v>126</v>
      </c>
      <c r="CJ938" s="1" t="s">
        <v>162</v>
      </c>
      <c r="CK938">
        <v>5</v>
      </c>
      <c r="CL938" s="1" t="s">
        <v>256</v>
      </c>
      <c r="CM938" s="1" t="s">
        <v>1053</v>
      </c>
      <c r="CN938" s="1" t="s">
        <v>263</v>
      </c>
      <c r="CO938" s="1" t="s">
        <v>406</v>
      </c>
      <c r="CP938">
        <v>83</v>
      </c>
      <c r="CQ938" s="1" t="s">
        <v>7996</v>
      </c>
      <c r="CR938" s="1" t="s">
        <v>7997</v>
      </c>
      <c r="CS938" s="1" t="s">
        <v>7987</v>
      </c>
      <c r="CT938" s="1" t="s">
        <v>7998</v>
      </c>
      <c r="CU938" s="1" t="s">
        <v>7988</v>
      </c>
      <c r="CV938" s="1" t="s">
        <v>4610</v>
      </c>
      <c r="CW938">
        <v>106.25</v>
      </c>
      <c r="CX938">
        <v>109.1</v>
      </c>
      <c r="CY938">
        <v>115</v>
      </c>
      <c r="CZ938">
        <v>122</v>
      </c>
      <c r="DA938">
        <v>1</v>
      </c>
      <c r="DB938" t="s">
        <v>339</v>
      </c>
      <c r="DC938">
        <v>133</v>
      </c>
      <c r="DD938" s="1" t="s">
        <v>7999</v>
      </c>
      <c r="DE938" s="1" t="s">
        <v>8000</v>
      </c>
      <c r="DF938" t="e">
        <f>_xlfn.XLOOKUP(Table1[[#This Row],[Player ID]],Table2[feed_id],Table2[trade_status])</f>
        <v>#N/A</v>
      </c>
      <c r="DG938">
        <f>_xlfn.NUMBERVALUE(Table1[[#This Row],[predicted]])</f>
        <v>100.230797075729</v>
      </c>
    </row>
    <row r="939" spans="1:111" hidden="1" x14ac:dyDescent="0.25">
      <c r="A939">
        <v>132852</v>
      </c>
      <c r="B939">
        <v>9244</v>
      </c>
      <c r="C939" t="s">
        <v>7983</v>
      </c>
      <c r="D939" t="s">
        <v>3116</v>
      </c>
      <c r="E939">
        <v>2025</v>
      </c>
      <c r="F939">
        <v>1023270</v>
      </c>
      <c r="G939" t="s">
        <v>4384</v>
      </c>
      <c r="H939" t="s">
        <v>8001</v>
      </c>
      <c r="I939" t="s">
        <v>152</v>
      </c>
      <c r="J939">
        <v>20</v>
      </c>
      <c r="K939">
        <v>94</v>
      </c>
      <c r="L939">
        <v>103</v>
      </c>
      <c r="M939">
        <v>118</v>
      </c>
      <c r="N939">
        <v>75</v>
      </c>
      <c r="O939">
        <v>102</v>
      </c>
      <c r="P939">
        <v>11</v>
      </c>
      <c r="Q939">
        <v>14</v>
      </c>
      <c r="R939">
        <v>5</v>
      </c>
      <c r="S939">
        <v>4</v>
      </c>
      <c r="T939">
        <v>0</v>
      </c>
      <c r="U939">
        <v>2</v>
      </c>
      <c r="V939">
        <v>0</v>
      </c>
      <c r="W939">
        <v>0</v>
      </c>
      <c r="X939">
        <v>0</v>
      </c>
      <c r="Y939" t="s">
        <v>113</v>
      </c>
      <c r="Z939" t="s">
        <v>987</v>
      </c>
      <c r="AA939" t="s">
        <v>8002</v>
      </c>
      <c r="AH939" t="s">
        <v>118</v>
      </c>
      <c r="AI939">
        <v>2</v>
      </c>
      <c r="AJ939">
        <v>0</v>
      </c>
      <c r="AK939">
        <v>0</v>
      </c>
      <c r="AL939">
        <v>0</v>
      </c>
      <c r="AM939">
        <v>12.8</v>
      </c>
      <c r="AN939">
        <v>5.86</v>
      </c>
      <c r="AO939">
        <v>7.62</v>
      </c>
      <c r="AS939">
        <v>8</v>
      </c>
      <c r="AT939">
        <v>3</v>
      </c>
      <c r="AU939">
        <v>2</v>
      </c>
      <c r="AV939">
        <v>76</v>
      </c>
      <c r="AW939">
        <v>83</v>
      </c>
      <c r="AX939">
        <v>291</v>
      </c>
      <c r="AY939">
        <v>0</v>
      </c>
      <c r="AZ939" t="b">
        <v>0</v>
      </c>
      <c r="BA939">
        <v>1816</v>
      </c>
      <c r="BB939">
        <v>1473</v>
      </c>
      <c r="BC939">
        <v>6</v>
      </c>
      <c r="BD939" t="s">
        <v>7985</v>
      </c>
      <c r="BE939" s="1" t="s">
        <v>3594</v>
      </c>
      <c r="BF939">
        <v>1</v>
      </c>
      <c r="BG939">
        <v>71</v>
      </c>
      <c r="BH939">
        <v>1</v>
      </c>
      <c r="BI939" s="1" t="s">
        <v>294</v>
      </c>
      <c r="BJ939">
        <v>8.8000000000000007</v>
      </c>
      <c r="BK939" s="1" t="s">
        <v>356</v>
      </c>
      <c r="BL939" s="1" t="s">
        <v>295</v>
      </c>
      <c r="BM939" s="1" t="s">
        <v>159</v>
      </c>
      <c r="BN939" s="1" t="s">
        <v>322</v>
      </c>
      <c r="BO939" s="1" t="s">
        <v>125</v>
      </c>
      <c r="BP939" s="1" t="s">
        <v>229</v>
      </c>
      <c r="BQ939">
        <v>0</v>
      </c>
      <c r="BR939">
        <v>0</v>
      </c>
      <c r="BS939" s="1" t="s">
        <v>161</v>
      </c>
      <c r="BT939" s="1" t="s">
        <v>126</v>
      </c>
      <c r="BU939" s="1" t="s">
        <v>159</v>
      </c>
      <c r="BV939" s="1" t="s">
        <v>126</v>
      </c>
      <c r="BW939">
        <v>0</v>
      </c>
      <c r="BX939" s="1" t="s">
        <v>213</v>
      </c>
      <c r="BY939" s="1" t="s">
        <v>129</v>
      </c>
      <c r="BZ939">
        <v>0.2</v>
      </c>
      <c r="CA939">
        <v>12.8</v>
      </c>
      <c r="CB939">
        <v>12.8</v>
      </c>
      <c r="CC939">
        <v>5.86</v>
      </c>
      <c r="CD939">
        <v>5.86</v>
      </c>
      <c r="CE939">
        <v>7.62</v>
      </c>
      <c r="CF939">
        <v>7.62</v>
      </c>
      <c r="CG939" s="1" t="s">
        <v>1008</v>
      </c>
      <c r="CH939" s="1" t="s">
        <v>396</v>
      </c>
      <c r="CI939" s="1" t="s">
        <v>211</v>
      </c>
      <c r="CJ939" s="1" t="s">
        <v>321</v>
      </c>
      <c r="CK939" s="1" t="s">
        <v>449</v>
      </c>
      <c r="CL939" s="1" t="s">
        <v>587</v>
      </c>
      <c r="CM939" s="1" t="s">
        <v>333</v>
      </c>
      <c r="CN939">
        <v>66.400000000000006</v>
      </c>
      <c r="CO939">
        <v>79</v>
      </c>
      <c r="CP939" s="1" t="s">
        <v>755</v>
      </c>
      <c r="CQ939">
        <v>200</v>
      </c>
      <c r="CR939">
        <v>219.6</v>
      </c>
      <c r="CS939" s="1" t="s">
        <v>7987</v>
      </c>
      <c r="CT939" s="1" t="s">
        <v>8003</v>
      </c>
      <c r="CU939" s="1" t="s">
        <v>7988</v>
      </c>
      <c r="CV939" s="1" t="s">
        <v>7182</v>
      </c>
      <c r="CW939">
        <v>73.05</v>
      </c>
      <c r="CX939">
        <v>69.7</v>
      </c>
      <c r="CY939">
        <v>77.8</v>
      </c>
      <c r="CZ939" s="1" t="s">
        <v>141</v>
      </c>
      <c r="DA939">
        <v>1</v>
      </c>
      <c r="DB939" t="s">
        <v>987</v>
      </c>
      <c r="DC939">
        <v>103</v>
      </c>
      <c r="DD939" s="1" t="s">
        <v>8004</v>
      </c>
      <c r="DE939" s="1" t="s">
        <v>8005</v>
      </c>
      <c r="DF939" t="e">
        <f>_xlfn.XLOOKUP(Table1[[#This Row],[Player ID]],Table2[feed_id],Table2[trade_status])</f>
        <v>#N/A</v>
      </c>
      <c r="DG939">
        <f>_xlfn.NUMBERVALUE(Table1[[#This Row],[predicted]])</f>
        <v>92.211026028671995</v>
      </c>
    </row>
    <row r="940" spans="1:111" x14ac:dyDescent="0.25">
      <c r="A940">
        <v>132818</v>
      </c>
      <c r="B940">
        <v>9243</v>
      </c>
      <c r="C940" t="s">
        <v>7798</v>
      </c>
      <c r="D940" t="s">
        <v>3116</v>
      </c>
      <c r="E940">
        <v>2025</v>
      </c>
      <c r="F940">
        <v>1006133</v>
      </c>
      <c r="G940" t="s">
        <v>1127</v>
      </c>
      <c r="H940" t="s">
        <v>5393</v>
      </c>
      <c r="I940" t="s">
        <v>317</v>
      </c>
      <c r="J940">
        <v>9</v>
      </c>
      <c r="K940">
        <v>62</v>
      </c>
      <c r="L940">
        <v>59</v>
      </c>
      <c r="M940">
        <v>81</v>
      </c>
      <c r="N940">
        <v>50</v>
      </c>
      <c r="O940">
        <v>64</v>
      </c>
      <c r="P940">
        <v>8</v>
      </c>
      <c r="Q940">
        <v>4</v>
      </c>
      <c r="R940">
        <v>7</v>
      </c>
      <c r="S940">
        <v>2</v>
      </c>
      <c r="T940">
        <v>0</v>
      </c>
      <c r="U940">
        <v>0</v>
      </c>
      <c r="V940">
        <v>0</v>
      </c>
      <c r="W940">
        <v>0</v>
      </c>
      <c r="X940">
        <v>1</v>
      </c>
      <c r="Y940" t="s">
        <v>113</v>
      </c>
      <c r="Z940" t="s">
        <v>877</v>
      </c>
      <c r="AA940" t="s">
        <v>7360</v>
      </c>
      <c r="AH940" t="s">
        <v>118</v>
      </c>
      <c r="AI940">
        <v>5</v>
      </c>
      <c r="AJ940">
        <v>0</v>
      </c>
      <c r="AK940">
        <v>0</v>
      </c>
      <c r="AL940">
        <v>0</v>
      </c>
      <c r="AM940">
        <v>0.04</v>
      </c>
      <c r="AN940">
        <v>7.0000000000000007E-2</v>
      </c>
      <c r="AO940">
        <v>0.09</v>
      </c>
      <c r="AS940">
        <v>2</v>
      </c>
      <c r="AT940">
        <v>2</v>
      </c>
      <c r="AU940">
        <v>1</v>
      </c>
      <c r="AV940">
        <v>83</v>
      </c>
      <c r="AW940">
        <v>73</v>
      </c>
      <c r="AX940">
        <v>330</v>
      </c>
      <c r="AY940">
        <v>0</v>
      </c>
      <c r="AZ940" t="b">
        <v>0</v>
      </c>
      <c r="BA940">
        <v>1728</v>
      </c>
      <c r="BB940">
        <v>1559</v>
      </c>
      <c r="BC940">
        <v>6</v>
      </c>
      <c r="BD940" t="s">
        <v>7800</v>
      </c>
      <c r="BE940" s="1" t="s">
        <v>3594</v>
      </c>
      <c r="BF940">
        <v>0</v>
      </c>
      <c r="BG940">
        <v>71</v>
      </c>
      <c r="BH940">
        <v>0</v>
      </c>
      <c r="BI940" s="1" t="s">
        <v>294</v>
      </c>
      <c r="BJ940" s="1" t="s">
        <v>295</v>
      </c>
      <c r="BK940" s="1" t="s">
        <v>253</v>
      </c>
      <c r="BL940" s="1" t="s">
        <v>1106</v>
      </c>
      <c r="BM940" s="1" t="s">
        <v>183</v>
      </c>
      <c r="BN940" s="1" t="s">
        <v>436</v>
      </c>
      <c r="BO940">
        <v>3</v>
      </c>
      <c r="BP940">
        <v>2.4</v>
      </c>
      <c r="BQ940">
        <v>0</v>
      </c>
      <c r="BR940">
        <v>0</v>
      </c>
      <c r="BS940" s="1" t="s">
        <v>129</v>
      </c>
      <c r="BT940">
        <v>0.4</v>
      </c>
      <c r="BU940">
        <v>1</v>
      </c>
      <c r="BV940" s="1" t="s">
        <v>129</v>
      </c>
      <c r="BW940">
        <v>0</v>
      </c>
      <c r="BX940">
        <v>0.2</v>
      </c>
      <c r="BY940" s="1" t="s">
        <v>128</v>
      </c>
      <c r="BZ940">
        <v>0.2</v>
      </c>
      <c r="CA940">
        <v>0.04</v>
      </c>
      <c r="CB940">
        <v>6.4000000000000001E-2</v>
      </c>
      <c r="CC940">
        <v>7.0000000000000007E-2</v>
      </c>
      <c r="CD940">
        <v>7.5999999999999998E-2</v>
      </c>
      <c r="CE940">
        <v>0.09</v>
      </c>
      <c r="CF940">
        <v>9.1999999999999998E-2</v>
      </c>
      <c r="CG940" s="1" t="s">
        <v>160</v>
      </c>
      <c r="CH940">
        <v>7</v>
      </c>
      <c r="CI940" s="1" t="s">
        <v>161</v>
      </c>
      <c r="CJ940" s="1" t="s">
        <v>373</v>
      </c>
      <c r="CK940" s="1" t="s">
        <v>138</v>
      </c>
      <c r="CL940" s="1" t="s">
        <v>214</v>
      </c>
      <c r="CM940">
        <v>75</v>
      </c>
      <c r="CN940">
        <v>71.599999999999994</v>
      </c>
      <c r="CO940" s="1" t="s">
        <v>994</v>
      </c>
      <c r="CP940" s="1" t="s">
        <v>1204</v>
      </c>
      <c r="CQ940" s="1" t="s">
        <v>7865</v>
      </c>
      <c r="CR940">
        <v>343.2</v>
      </c>
      <c r="CS940" s="1" t="s">
        <v>4221</v>
      </c>
      <c r="CT940" s="1" t="s">
        <v>7866</v>
      </c>
      <c r="CU940" s="1" t="s">
        <v>5939</v>
      </c>
      <c r="CV940" s="1" t="s">
        <v>6406</v>
      </c>
      <c r="CW940">
        <v>73.7</v>
      </c>
      <c r="CX940">
        <v>72.400000000000006</v>
      </c>
      <c r="CY940">
        <v>71.8</v>
      </c>
      <c r="CZ940" s="1" t="s">
        <v>609</v>
      </c>
      <c r="DA940">
        <v>1</v>
      </c>
      <c r="DB940" t="s">
        <v>877</v>
      </c>
      <c r="DC940">
        <v>59</v>
      </c>
      <c r="DD940" s="1" t="s">
        <v>7867</v>
      </c>
      <c r="DE940" s="1" t="s">
        <v>7868</v>
      </c>
      <c r="DF940" t="str">
        <f>_xlfn.XLOOKUP(Table1[[#This Row],[Player ID]],Table2[feed_id],Table2[trade_status])</f>
        <v>free_agent</v>
      </c>
      <c r="DG940">
        <f>_xlfn.NUMBERVALUE(Table1[[#This Row],[predicted]])</f>
        <v>58.605979107234099</v>
      </c>
    </row>
    <row r="941" spans="1:111" hidden="1" x14ac:dyDescent="0.25">
      <c r="A941">
        <v>132855</v>
      </c>
      <c r="B941">
        <v>9244</v>
      </c>
      <c r="C941" t="s">
        <v>7983</v>
      </c>
      <c r="D941" t="s">
        <v>3116</v>
      </c>
      <c r="E941">
        <v>2025</v>
      </c>
      <c r="F941">
        <v>1018018</v>
      </c>
      <c r="G941" t="s">
        <v>8011</v>
      </c>
      <c r="H941" t="s">
        <v>8012</v>
      </c>
      <c r="I941" t="s">
        <v>152</v>
      </c>
      <c r="J941">
        <v>17</v>
      </c>
      <c r="K941">
        <v>81</v>
      </c>
      <c r="L941">
        <v>92</v>
      </c>
      <c r="M941">
        <v>100</v>
      </c>
      <c r="N941">
        <v>67</v>
      </c>
      <c r="O941">
        <v>79</v>
      </c>
      <c r="P941">
        <v>10</v>
      </c>
      <c r="Q941">
        <v>3</v>
      </c>
      <c r="R941">
        <v>5</v>
      </c>
      <c r="S941">
        <v>2</v>
      </c>
      <c r="T941">
        <v>0</v>
      </c>
      <c r="U941">
        <v>3</v>
      </c>
      <c r="V941">
        <v>0</v>
      </c>
      <c r="W941">
        <v>3</v>
      </c>
      <c r="X941">
        <v>1</v>
      </c>
      <c r="Y941" t="s">
        <v>113</v>
      </c>
      <c r="Z941" t="s">
        <v>656</v>
      </c>
      <c r="AA941" t="s">
        <v>8013</v>
      </c>
      <c r="AH941" t="s">
        <v>181</v>
      </c>
      <c r="AI941">
        <v>43</v>
      </c>
      <c r="AJ941">
        <v>0</v>
      </c>
      <c r="AK941">
        <v>0</v>
      </c>
      <c r="AL941">
        <v>0</v>
      </c>
      <c r="AM941">
        <v>0.09</v>
      </c>
      <c r="AN941">
        <v>7.0000000000000007E-2</v>
      </c>
      <c r="AO941">
        <v>0.09</v>
      </c>
      <c r="AS941">
        <v>5</v>
      </c>
      <c r="AT941">
        <v>0</v>
      </c>
      <c r="AU941">
        <v>1</v>
      </c>
      <c r="AV941">
        <v>69</v>
      </c>
      <c r="AW941">
        <v>95</v>
      </c>
      <c r="AX941">
        <v>195</v>
      </c>
      <c r="AY941">
        <v>0</v>
      </c>
      <c r="AZ941" t="b">
        <v>0</v>
      </c>
      <c r="BA941">
        <v>1816</v>
      </c>
      <c r="BB941">
        <v>1473</v>
      </c>
      <c r="BC941">
        <v>6</v>
      </c>
      <c r="BD941" t="s">
        <v>7985</v>
      </c>
      <c r="BE941" s="1" t="s">
        <v>3594</v>
      </c>
      <c r="BF941">
        <v>0</v>
      </c>
      <c r="BG941">
        <v>71</v>
      </c>
      <c r="BH941">
        <v>1</v>
      </c>
      <c r="BI941">
        <v>9</v>
      </c>
      <c r="BJ941" s="1" t="s">
        <v>624</v>
      </c>
      <c r="BK941" s="1" t="s">
        <v>138</v>
      </c>
      <c r="BL941" s="1" t="s">
        <v>431</v>
      </c>
      <c r="BM941" s="1" t="s">
        <v>160</v>
      </c>
      <c r="BN941" s="1" t="s">
        <v>230</v>
      </c>
      <c r="BO941" s="1" t="s">
        <v>159</v>
      </c>
      <c r="BP941" s="1" t="s">
        <v>159</v>
      </c>
      <c r="BQ941" s="1" t="s">
        <v>129</v>
      </c>
      <c r="BR941">
        <v>0.4</v>
      </c>
      <c r="BS941">
        <v>2</v>
      </c>
      <c r="BT941">
        <v>0.8</v>
      </c>
      <c r="BU941" s="1" t="s">
        <v>129</v>
      </c>
      <c r="BV941" s="1" t="s">
        <v>238</v>
      </c>
      <c r="BW941">
        <v>2</v>
      </c>
      <c r="BX941">
        <v>1.4</v>
      </c>
      <c r="BY941">
        <v>1</v>
      </c>
      <c r="BZ941">
        <v>0.6</v>
      </c>
      <c r="CA941">
        <v>0.09</v>
      </c>
      <c r="CB941">
        <v>0.09</v>
      </c>
      <c r="CC941">
        <v>7.0000000000000007E-2</v>
      </c>
      <c r="CD941">
        <v>7.0000000000000007E-2</v>
      </c>
      <c r="CE941">
        <v>0.09</v>
      </c>
      <c r="CF941">
        <v>0.09</v>
      </c>
      <c r="CG941">
        <v>6</v>
      </c>
      <c r="CH941">
        <v>5.2</v>
      </c>
      <c r="CI941" s="1" t="s">
        <v>129</v>
      </c>
      <c r="CJ941">
        <v>0.2</v>
      </c>
      <c r="CK941" s="1" t="s">
        <v>161</v>
      </c>
      <c r="CL941" s="1" t="s">
        <v>566</v>
      </c>
      <c r="CM941">
        <v>75</v>
      </c>
      <c r="CN941" s="1" t="s">
        <v>6299</v>
      </c>
      <c r="CO941">
        <v>88</v>
      </c>
      <c r="CP941">
        <v>75.2</v>
      </c>
      <c r="CQ941">
        <v>211</v>
      </c>
      <c r="CR941">
        <v>172.6</v>
      </c>
      <c r="CS941" s="1" t="s">
        <v>7987</v>
      </c>
      <c r="CT941">
        <v>1646.8</v>
      </c>
      <c r="CU941" s="1" t="s">
        <v>7988</v>
      </c>
      <c r="CV941">
        <v>1632</v>
      </c>
      <c r="CW941">
        <v>66.5</v>
      </c>
      <c r="CX941">
        <v>80</v>
      </c>
      <c r="CY941">
        <v>81.2</v>
      </c>
      <c r="CZ941" s="1" t="s">
        <v>1273</v>
      </c>
      <c r="DA941">
        <v>1</v>
      </c>
      <c r="DB941" t="s">
        <v>656</v>
      </c>
      <c r="DC941">
        <v>92</v>
      </c>
      <c r="DD941" s="1" t="s">
        <v>8014</v>
      </c>
      <c r="DE941" s="1" t="s">
        <v>8015</v>
      </c>
      <c r="DF941" t="e">
        <f>_xlfn.XLOOKUP(Table1[[#This Row],[Player ID]],Table2[feed_id],Table2[trade_status])</f>
        <v>#N/A</v>
      </c>
      <c r="DG941">
        <f>_xlfn.NUMBERVALUE(Table1[[#This Row],[predicted]])</f>
        <v>68.186853225569195</v>
      </c>
    </row>
    <row r="942" spans="1:111" hidden="1" x14ac:dyDescent="0.25">
      <c r="A942">
        <v>132856</v>
      </c>
      <c r="B942">
        <v>9244</v>
      </c>
      <c r="C942" t="s">
        <v>7983</v>
      </c>
      <c r="D942" t="s">
        <v>3116</v>
      </c>
      <c r="E942">
        <v>2025</v>
      </c>
      <c r="F942">
        <v>296205</v>
      </c>
      <c r="G942" t="s">
        <v>1127</v>
      </c>
      <c r="H942" t="s">
        <v>6874</v>
      </c>
      <c r="I942" t="s">
        <v>152</v>
      </c>
      <c r="J942">
        <v>14</v>
      </c>
      <c r="K942">
        <v>80</v>
      </c>
      <c r="L942">
        <v>80</v>
      </c>
      <c r="M942">
        <v>102</v>
      </c>
      <c r="N942">
        <v>61</v>
      </c>
      <c r="O942">
        <v>85</v>
      </c>
      <c r="P942">
        <v>9</v>
      </c>
      <c r="Q942">
        <v>11</v>
      </c>
      <c r="R942">
        <v>3</v>
      </c>
      <c r="S942">
        <v>5</v>
      </c>
      <c r="T942">
        <v>0</v>
      </c>
      <c r="U942">
        <v>1</v>
      </c>
      <c r="V942">
        <v>0</v>
      </c>
      <c r="W942">
        <v>0</v>
      </c>
      <c r="X942">
        <v>1</v>
      </c>
      <c r="Y942" t="s">
        <v>113</v>
      </c>
      <c r="Z942" t="s">
        <v>877</v>
      </c>
      <c r="AA942" t="s">
        <v>8016</v>
      </c>
      <c r="AH942" t="s">
        <v>118</v>
      </c>
      <c r="AI942">
        <v>9</v>
      </c>
      <c r="AJ942">
        <v>0</v>
      </c>
      <c r="AK942">
        <v>0</v>
      </c>
      <c r="AL942">
        <v>0</v>
      </c>
      <c r="AM942">
        <v>18.02</v>
      </c>
      <c r="AN942">
        <v>11.54</v>
      </c>
      <c r="AO942">
        <v>14.91</v>
      </c>
      <c r="AS942">
        <v>9</v>
      </c>
      <c r="AT942">
        <v>7</v>
      </c>
      <c r="AU942">
        <v>1</v>
      </c>
      <c r="AV942">
        <v>60</v>
      </c>
      <c r="AW942">
        <v>73</v>
      </c>
      <c r="AX942">
        <v>383</v>
      </c>
      <c r="AY942">
        <v>0</v>
      </c>
      <c r="AZ942" t="b">
        <v>0</v>
      </c>
      <c r="BA942">
        <v>1816</v>
      </c>
      <c r="BB942">
        <v>1473</v>
      </c>
      <c r="BC942">
        <v>6</v>
      </c>
      <c r="BD942" t="s">
        <v>7985</v>
      </c>
      <c r="BE942" s="1" t="s">
        <v>3594</v>
      </c>
      <c r="BF942">
        <v>0</v>
      </c>
      <c r="BG942">
        <v>71</v>
      </c>
      <c r="BH942">
        <v>1</v>
      </c>
      <c r="BI942" s="1" t="s">
        <v>545</v>
      </c>
      <c r="BJ942" s="1" t="s">
        <v>356</v>
      </c>
      <c r="BK942">
        <v>12</v>
      </c>
      <c r="BL942" s="1" t="s">
        <v>157</v>
      </c>
      <c r="BM942" s="1" t="s">
        <v>138</v>
      </c>
      <c r="BN942">
        <v>5.6</v>
      </c>
      <c r="BO942">
        <v>8</v>
      </c>
      <c r="BP942" s="1" t="s">
        <v>729</v>
      </c>
      <c r="BQ942">
        <v>0</v>
      </c>
      <c r="BR942">
        <v>0</v>
      </c>
      <c r="BS942">
        <v>1</v>
      </c>
      <c r="BT942" s="1" t="s">
        <v>257</v>
      </c>
      <c r="BU942" s="1" t="s">
        <v>128</v>
      </c>
      <c r="BV942" s="1" t="s">
        <v>127</v>
      </c>
      <c r="BW942">
        <v>0</v>
      </c>
      <c r="BX942">
        <v>0.4</v>
      </c>
      <c r="BY942" s="1" t="s">
        <v>129</v>
      </c>
      <c r="BZ942" s="1" t="s">
        <v>184</v>
      </c>
      <c r="CA942">
        <v>18.02</v>
      </c>
      <c r="CB942">
        <v>18.02</v>
      </c>
      <c r="CC942">
        <v>11.54</v>
      </c>
      <c r="CD942">
        <v>11.54</v>
      </c>
      <c r="CE942">
        <v>14.91</v>
      </c>
      <c r="CF942">
        <v>14.91</v>
      </c>
      <c r="CG942" s="1" t="s">
        <v>294</v>
      </c>
      <c r="CH942">
        <v>10</v>
      </c>
      <c r="CI942" s="1" t="s">
        <v>124</v>
      </c>
      <c r="CJ942">
        <v>4.5999999999999996</v>
      </c>
      <c r="CK942" s="1" t="s">
        <v>126</v>
      </c>
      <c r="CL942" s="1" t="s">
        <v>373</v>
      </c>
      <c r="CM942">
        <v>70</v>
      </c>
      <c r="CN942" s="1" t="s">
        <v>1928</v>
      </c>
      <c r="CO942" s="1" t="s">
        <v>610</v>
      </c>
      <c r="CP942">
        <v>83.6</v>
      </c>
      <c r="CQ942" s="1" t="s">
        <v>8017</v>
      </c>
      <c r="CR942">
        <v>305.2</v>
      </c>
      <c r="CS942">
        <v>1558</v>
      </c>
      <c r="CT942" s="1" t="s">
        <v>4319</v>
      </c>
      <c r="CU942" s="1" t="s">
        <v>3836</v>
      </c>
      <c r="CV942" s="1" t="s">
        <v>8018</v>
      </c>
      <c r="CW942">
        <v>101.5</v>
      </c>
      <c r="CX942">
        <v>104.3</v>
      </c>
      <c r="CY942">
        <v>98.2</v>
      </c>
      <c r="CZ942" s="1" t="s">
        <v>552</v>
      </c>
      <c r="DA942">
        <v>1</v>
      </c>
      <c r="DB942" t="s">
        <v>877</v>
      </c>
      <c r="DC942">
        <v>80</v>
      </c>
      <c r="DD942" s="1" t="s">
        <v>8019</v>
      </c>
      <c r="DE942" s="1" t="s">
        <v>8020</v>
      </c>
      <c r="DF942" t="e">
        <f>_xlfn.XLOOKUP(Table1[[#This Row],[Player ID]],Table2[feed_id],Table2[trade_status])</f>
        <v>#N/A</v>
      </c>
      <c r="DG942">
        <f>_xlfn.NUMBERVALUE(Table1[[#This Row],[predicted]])</f>
        <v>78.673462077898407</v>
      </c>
    </row>
    <row r="943" spans="1:111" hidden="1" x14ac:dyDescent="0.25">
      <c r="A943">
        <v>132857</v>
      </c>
      <c r="B943">
        <v>9244</v>
      </c>
      <c r="C943" t="s">
        <v>7983</v>
      </c>
      <c r="D943" t="s">
        <v>3116</v>
      </c>
      <c r="E943">
        <v>2025</v>
      </c>
      <c r="F943">
        <v>295340</v>
      </c>
      <c r="G943" t="s">
        <v>6295</v>
      </c>
      <c r="H943" t="s">
        <v>272</v>
      </c>
      <c r="I943" t="s">
        <v>152</v>
      </c>
      <c r="J943">
        <v>24</v>
      </c>
      <c r="K943">
        <v>75</v>
      </c>
      <c r="L943">
        <v>91</v>
      </c>
      <c r="M943">
        <v>97</v>
      </c>
      <c r="N943">
        <v>67</v>
      </c>
      <c r="O943">
        <v>85</v>
      </c>
      <c r="P943">
        <v>12</v>
      </c>
      <c r="Q943">
        <v>4</v>
      </c>
      <c r="R943">
        <v>10</v>
      </c>
      <c r="S943">
        <v>0</v>
      </c>
      <c r="T943">
        <v>0</v>
      </c>
      <c r="U943">
        <v>0</v>
      </c>
      <c r="V943">
        <v>2</v>
      </c>
      <c r="W943">
        <v>1</v>
      </c>
      <c r="X943">
        <v>1</v>
      </c>
      <c r="Y943" t="s">
        <v>113</v>
      </c>
      <c r="Z943" t="s">
        <v>6584</v>
      </c>
      <c r="AA943" t="s">
        <v>8021</v>
      </c>
      <c r="AE943">
        <v>0</v>
      </c>
      <c r="AH943" t="s">
        <v>118</v>
      </c>
      <c r="AI943">
        <v>32</v>
      </c>
      <c r="AJ943">
        <v>12</v>
      </c>
      <c r="AK943">
        <v>67.83</v>
      </c>
      <c r="AL943">
        <v>0</v>
      </c>
      <c r="AM943">
        <v>0</v>
      </c>
      <c r="AN943">
        <v>0.17</v>
      </c>
      <c r="AO943">
        <v>0.18</v>
      </c>
      <c r="AS943">
        <v>4</v>
      </c>
      <c r="AT943">
        <v>0</v>
      </c>
      <c r="AU943">
        <v>4</v>
      </c>
      <c r="AV943">
        <v>62</v>
      </c>
      <c r="AW943">
        <v>88</v>
      </c>
      <c r="AX943">
        <v>377</v>
      </c>
      <c r="AY943">
        <v>0</v>
      </c>
      <c r="AZ943" t="b">
        <v>0</v>
      </c>
      <c r="BA943">
        <v>1816</v>
      </c>
      <c r="BB943">
        <v>1473</v>
      </c>
      <c r="BC943">
        <v>6</v>
      </c>
      <c r="BD943" t="s">
        <v>7985</v>
      </c>
      <c r="BE943" s="1" t="s">
        <v>3594</v>
      </c>
      <c r="BF943">
        <v>0</v>
      </c>
      <c r="BG943">
        <v>71</v>
      </c>
      <c r="BH943">
        <v>1</v>
      </c>
      <c r="BI943" s="1" t="s">
        <v>157</v>
      </c>
      <c r="BJ943" s="1" t="s">
        <v>276</v>
      </c>
      <c r="BK943" s="1" t="s">
        <v>211</v>
      </c>
      <c r="BL943">
        <v>6</v>
      </c>
      <c r="BM943" s="1" t="s">
        <v>204</v>
      </c>
      <c r="BN943" s="1" t="s">
        <v>183</v>
      </c>
      <c r="BO943" s="1" t="s">
        <v>126</v>
      </c>
      <c r="BP943">
        <v>1.8</v>
      </c>
      <c r="BQ943">
        <v>0</v>
      </c>
      <c r="BR943">
        <v>0</v>
      </c>
      <c r="BS943">
        <v>0</v>
      </c>
      <c r="BT943" s="1" t="s">
        <v>129</v>
      </c>
      <c r="BU943" s="1" t="s">
        <v>126</v>
      </c>
      <c r="BV943">
        <v>1</v>
      </c>
      <c r="BW943" s="1" t="s">
        <v>161</v>
      </c>
      <c r="BX943" s="1" t="s">
        <v>126</v>
      </c>
      <c r="BY943">
        <v>1</v>
      </c>
      <c r="BZ943" s="1" t="s">
        <v>399</v>
      </c>
      <c r="CA943">
        <v>0</v>
      </c>
      <c r="CB943">
        <v>0</v>
      </c>
      <c r="CC943">
        <v>0.17</v>
      </c>
      <c r="CD943">
        <v>0.17</v>
      </c>
      <c r="CE943">
        <v>0.18</v>
      </c>
      <c r="CF943">
        <v>0.18</v>
      </c>
      <c r="CG943" s="1" t="s">
        <v>125</v>
      </c>
      <c r="CH943" s="1" t="s">
        <v>752</v>
      </c>
      <c r="CI943" s="1" t="s">
        <v>129</v>
      </c>
      <c r="CJ943" s="1" t="s">
        <v>238</v>
      </c>
      <c r="CK943" s="1" t="s">
        <v>169</v>
      </c>
      <c r="CL943" s="1" t="s">
        <v>125</v>
      </c>
      <c r="CM943" s="1" t="s">
        <v>1838</v>
      </c>
      <c r="CN943" s="1" t="s">
        <v>2924</v>
      </c>
      <c r="CO943">
        <v>87</v>
      </c>
      <c r="CP943" s="1" t="s">
        <v>8022</v>
      </c>
      <c r="CQ943">
        <v>344</v>
      </c>
      <c r="CR943" s="1" t="s">
        <v>8023</v>
      </c>
      <c r="CS943" s="1" t="s">
        <v>7987</v>
      </c>
      <c r="CT943">
        <v>1663.4</v>
      </c>
      <c r="CU943" s="1" t="s">
        <v>7988</v>
      </c>
      <c r="CV943" s="1" t="s">
        <v>7989</v>
      </c>
      <c r="CW943">
        <v>84.2</v>
      </c>
      <c r="CX943">
        <v>77.2</v>
      </c>
      <c r="CY943">
        <v>86.6</v>
      </c>
      <c r="CZ943">
        <v>88</v>
      </c>
      <c r="DA943">
        <v>1</v>
      </c>
      <c r="DB943" t="s">
        <v>6584</v>
      </c>
      <c r="DC943">
        <v>91</v>
      </c>
      <c r="DD943" s="1" t="s">
        <v>8024</v>
      </c>
      <c r="DE943" s="1" t="s">
        <v>8025</v>
      </c>
      <c r="DF943" t="e">
        <f>_xlfn.XLOOKUP(Table1[[#This Row],[Player ID]],Table2[feed_id],Table2[trade_status])</f>
        <v>#N/A</v>
      </c>
      <c r="DG943">
        <f>_xlfn.NUMBERVALUE(Table1[[#This Row],[predicted]])</f>
        <v>85.175112091864705</v>
      </c>
    </row>
    <row r="944" spans="1:111" hidden="1" x14ac:dyDescent="0.25">
      <c r="A944">
        <v>132858</v>
      </c>
      <c r="B944">
        <v>9244</v>
      </c>
      <c r="C944" t="s">
        <v>7983</v>
      </c>
      <c r="D944" t="s">
        <v>3116</v>
      </c>
      <c r="E944">
        <v>2025</v>
      </c>
      <c r="F944">
        <v>992468</v>
      </c>
      <c r="G944" t="s">
        <v>8026</v>
      </c>
      <c r="H944" t="s">
        <v>6085</v>
      </c>
      <c r="I944" t="s">
        <v>152</v>
      </c>
      <c r="J944">
        <v>15</v>
      </c>
      <c r="K944">
        <v>70</v>
      </c>
      <c r="L944">
        <v>52</v>
      </c>
      <c r="M944">
        <v>86</v>
      </c>
      <c r="N944">
        <v>58</v>
      </c>
      <c r="O944">
        <v>73</v>
      </c>
      <c r="P944">
        <v>6</v>
      </c>
      <c r="Q944">
        <v>6</v>
      </c>
      <c r="R944">
        <v>2</v>
      </c>
      <c r="S944">
        <v>4</v>
      </c>
      <c r="T944">
        <v>19</v>
      </c>
      <c r="U944">
        <v>2</v>
      </c>
      <c r="V944">
        <v>1</v>
      </c>
      <c r="W944">
        <v>0</v>
      </c>
      <c r="X944">
        <v>0</v>
      </c>
      <c r="Y944" t="s">
        <v>113</v>
      </c>
      <c r="Z944" t="s">
        <v>602</v>
      </c>
      <c r="AA944" t="s">
        <v>3889</v>
      </c>
      <c r="AH944" t="s">
        <v>274</v>
      </c>
      <c r="AI944">
        <v>19</v>
      </c>
      <c r="AJ944">
        <v>0</v>
      </c>
      <c r="AK944">
        <v>0</v>
      </c>
      <c r="AL944">
        <v>0</v>
      </c>
      <c r="AM944">
        <v>9.26</v>
      </c>
      <c r="AN944">
        <v>6.77</v>
      </c>
      <c r="AO944">
        <v>7.64</v>
      </c>
      <c r="AS944">
        <v>5</v>
      </c>
      <c r="AT944">
        <v>3</v>
      </c>
      <c r="AU944">
        <v>2</v>
      </c>
      <c r="AV944">
        <v>66</v>
      </c>
      <c r="AW944">
        <v>78</v>
      </c>
      <c r="AX944">
        <v>182</v>
      </c>
      <c r="AY944">
        <v>0</v>
      </c>
      <c r="AZ944" t="b">
        <v>0</v>
      </c>
      <c r="BA944">
        <v>1816</v>
      </c>
      <c r="BB944">
        <v>1473</v>
      </c>
      <c r="BC944">
        <v>6</v>
      </c>
      <c r="BD944" t="s">
        <v>7985</v>
      </c>
      <c r="BE944" s="1" t="s">
        <v>3594</v>
      </c>
      <c r="BF944">
        <v>0</v>
      </c>
      <c r="BG944">
        <v>71</v>
      </c>
      <c r="BH944">
        <v>0</v>
      </c>
      <c r="BI944" s="1" t="s">
        <v>137</v>
      </c>
      <c r="BJ944">
        <v>13.8</v>
      </c>
      <c r="BK944" s="1" t="s">
        <v>183</v>
      </c>
      <c r="BL944" s="1" t="s">
        <v>397</v>
      </c>
      <c r="BM944" s="1" t="s">
        <v>124</v>
      </c>
      <c r="BN944" s="1" t="s">
        <v>964</v>
      </c>
      <c r="BO944" s="1" t="s">
        <v>125</v>
      </c>
      <c r="BP944" s="1" t="s">
        <v>256</v>
      </c>
      <c r="BQ944" s="1" t="s">
        <v>4882</v>
      </c>
      <c r="BR944">
        <v>23.4</v>
      </c>
      <c r="BS944">
        <v>1</v>
      </c>
      <c r="BT944">
        <v>1.6</v>
      </c>
      <c r="BU944">
        <v>2</v>
      </c>
      <c r="BV944" s="1" t="s">
        <v>275</v>
      </c>
      <c r="BW944" s="1" t="s">
        <v>129</v>
      </c>
      <c r="BX944" s="1" t="s">
        <v>162</v>
      </c>
      <c r="BY944">
        <v>0</v>
      </c>
      <c r="BZ944" s="1" t="s">
        <v>231</v>
      </c>
      <c r="CA944">
        <v>9.26</v>
      </c>
      <c r="CB944">
        <v>9.26</v>
      </c>
      <c r="CC944">
        <v>6.77</v>
      </c>
      <c r="CD944">
        <v>6.77</v>
      </c>
      <c r="CE944">
        <v>7.64</v>
      </c>
      <c r="CF944">
        <v>7.64</v>
      </c>
      <c r="CG944" s="1" t="s">
        <v>449</v>
      </c>
      <c r="CH944" s="1" t="s">
        <v>303</v>
      </c>
      <c r="CI944">
        <v>3</v>
      </c>
      <c r="CJ944" s="1" t="s">
        <v>160</v>
      </c>
      <c r="CK944">
        <v>3</v>
      </c>
      <c r="CL944">
        <v>4.2</v>
      </c>
      <c r="CM944">
        <v>67</v>
      </c>
      <c r="CN944" s="1" t="s">
        <v>8027</v>
      </c>
      <c r="CO944" s="1" t="s">
        <v>142</v>
      </c>
      <c r="CP944" s="1" t="s">
        <v>3603</v>
      </c>
      <c r="CQ944" s="1" t="s">
        <v>8028</v>
      </c>
      <c r="CR944" s="1" t="s">
        <v>8029</v>
      </c>
      <c r="CS944" s="1" t="s">
        <v>7987</v>
      </c>
      <c r="CT944">
        <v>1663.4</v>
      </c>
      <c r="CU944" s="1" t="s">
        <v>7988</v>
      </c>
      <c r="CV944" s="1" t="s">
        <v>7989</v>
      </c>
      <c r="CW944">
        <v>110.45</v>
      </c>
      <c r="CX944">
        <v>108.6</v>
      </c>
      <c r="CY944">
        <v>86.6</v>
      </c>
      <c r="CZ944" s="1" t="s">
        <v>683</v>
      </c>
      <c r="DA944">
        <v>1</v>
      </c>
      <c r="DB944" t="s">
        <v>602</v>
      </c>
      <c r="DC944">
        <v>52</v>
      </c>
      <c r="DD944" s="1" t="s">
        <v>8030</v>
      </c>
      <c r="DE944">
        <v>-56.522112018373903</v>
      </c>
      <c r="DF944" t="e">
        <f>_xlfn.XLOOKUP(Table1[[#This Row],[Player ID]],Table2[feed_id],Table2[trade_status])</f>
        <v>#N/A</v>
      </c>
      <c r="DG944">
        <f>_xlfn.NUMBERVALUE(Table1[[#This Row],[predicted]])</f>
        <v>108.52211201837299</v>
      </c>
    </row>
    <row r="945" spans="1:111" x14ac:dyDescent="0.25">
      <c r="A945">
        <v>132839</v>
      </c>
      <c r="B945">
        <v>9243</v>
      </c>
      <c r="C945" t="s">
        <v>7798</v>
      </c>
      <c r="D945" t="s">
        <v>3116</v>
      </c>
      <c r="E945">
        <v>2025</v>
      </c>
      <c r="F945">
        <v>298409</v>
      </c>
      <c r="G945" t="s">
        <v>1450</v>
      </c>
      <c r="H945" t="s">
        <v>477</v>
      </c>
      <c r="I945" t="s">
        <v>178</v>
      </c>
      <c r="J945">
        <v>15</v>
      </c>
      <c r="K945">
        <v>73</v>
      </c>
      <c r="L945">
        <v>99</v>
      </c>
      <c r="M945">
        <v>51</v>
      </c>
      <c r="N945">
        <v>60</v>
      </c>
      <c r="O945">
        <v>75</v>
      </c>
      <c r="P945">
        <v>11</v>
      </c>
      <c r="Q945">
        <v>3</v>
      </c>
      <c r="R945">
        <v>7</v>
      </c>
      <c r="S945">
        <v>2</v>
      </c>
      <c r="T945">
        <v>0</v>
      </c>
      <c r="U945">
        <v>2</v>
      </c>
      <c r="V945">
        <v>1</v>
      </c>
      <c r="W945">
        <v>1</v>
      </c>
      <c r="X945">
        <v>0</v>
      </c>
      <c r="Y945" t="s">
        <v>113</v>
      </c>
      <c r="Z945" t="s">
        <v>179</v>
      </c>
      <c r="AA945" t="s">
        <v>7949</v>
      </c>
      <c r="AE945">
        <v>0</v>
      </c>
      <c r="AH945" t="s">
        <v>181</v>
      </c>
      <c r="AI945">
        <v>25</v>
      </c>
      <c r="AJ945">
        <v>20</v>
      </c>
      <c r="AK945">
        <v>40.1</v>
      </c>
      <c r="AL945">
        <v>0</v>
      </c>
      <c r="AM945">
        <v>0</v>
      </c>
      <c r="AN945">
        <v>0.23</v>
      </c>
      <c r="AO945">
        <v>0.53</v>
      </c>
      <c r="AS945">
        <v>6</v>
      </c>
      <c r="AT945">
        <v>0</v>
      </c>
      <c r="AU945">
        <v>1</v>
      </c>
      <c r="AV945">
        <v>85</v>
      </c>
      <c r="AW945">
        <v>91</v>
      </c>
      <c r="AX945">
        <v>208</v>
      </c>
      <c r="AY945">
        <v>0</v>
      </c>
      <c r="AZ945" t="b">
        <v>0</v>
      </c>
      <c r="BA945">
        <v>1559</v>
      </c>
      <c r="BB945">
        <v>1728</v>
      </c>
      <c r="BC945">
        <v>6</v>
      </c>
      <c r="BD945" t="s">
        <v>7901</v>
      </c>
      <c r="BE945" s="1" t="s">
        <v>3594</v>
      </c>
      <c r="BF945">
        <v>1</v>
      </c>
      <c r="BG945">
        <v>71</v>
      </c>
      <c r="BH945">
        <v>1</v>
      </c>
      <c r="BI945" s="1" t="s">
        <v>253</v>
      </c>
      <c r="BJ945">
        <v>6.2</v>
      </c>
      <c r="BK945" s="1" t="s">
        <v>211</v>
      </c>
      <c r="BL945" s="1" t="s">
        <v>781</v>
      </c>
      <c r="BM945" s="1" t="s">
        <v>124</v>
      </c>
      <c r="BN945" s="1" t="s">
        <v>229</v>
      </c>
      <c r="BO945" s="1" t="s">
        <v>161</v>
      </c>
      <c r="BP945" s="1" t="s">
        <v>206</v>
      </c>
      <c r="BQ945">
        <v>0</v>
      </c>
      <c r="BR945">
        <v>0</v>
      </c>
      <c r="BS945" s="1" t="s">
        <v>128</v>
      </c>
      <c r="BT945" s="1" t="s">
        <v>257</v>
      </c>
      <c r="BU945" s="1" t="s">
        <v>126</v>
      </c>
      <c r="BV945">
        <v>0.8</v>
      </c>
      <c r="BW945" s="1" t="s">
        <v>129</v>
      </c>
      <c r="BX945" s="1" t="s">
        <v>213</v>
      </c>
      <c r="BY945">
        <v>0</v>
      </c>
      <c r="BZ945">
        <v>0</v>
      </c>
      <c r="CA945">
        <v>0</v>
      </c>
      <c r="CB945">
        <v>0</v>
      </c>
      <c r="CC945">
        <v>0.23</v>
      </c>
      <c r="CD945">
        <v>0.23</v>
      </c>
      <c r="CE945">
        <v>0.53</v>
      </c>
      <c r="CF945">
        <v>0.53</v>
      </c>
      <c r="CG945" s="1" t="s">
        <v>449</v>
      </c>
      <c r="CH945" s="1" t="s">
        <v>963</v>
      </c>
      <c r="CI945">
        <v>0</v>
      </c>
      <c r="CJ945">
        <v>6.6666666666666596E-2</v>
      </c>
      <c r="CK945">
        <v>2</v>
      </c>
      <c r="CL945">
        <v>1.6</v>
      </c>
      <c r="CM945">
        <v>87</v>
      </c>
      <c r="CN945">
        <v>83.2</v>
      </c>
      <c r="CO945">
        <v>90</v>
      </c>
      <c r="CP945" s="1" t="s">
        <v>1081</v>
      </c>
      <c r="CQ945">
        <v>164</v>
      </c>
      <c r="CR945">
        <v>156.19999999999999</v>
      </c>
      <c r="CS945" s="1" t="s">
        <v>7903</v>
      </c>
      <c r="CT945">
        <v>1686.8</v>
      </c>
      <c r="CU945" s="1" t="s">
        <v>6535</v>
      </c>
      <c r="CV945">
        <v>1599.4</v>
      </c>
      <c r="CW945">
        <v>70.7</v>
      </c>
      <c r="CX945">
        <v>70.8</v>
      </c>
      <c r="CY945">
        <v>77.8</v>
      </c>
      <c r="CZ945" s="1" t="s">
        <v>350</v>
      </c>
      <c r="DA945">
        <v>1</v>
      </c>
      <c r="DB945" t="s">
        <v>179</v>
      </c>
      <c r="DC945">
        <v>99</v>
      </c>
      <c r="DD945" s="1" t="s">
        <v>7950</v>
      </c>
      <c r="DE945" s="1" t="s">
        <v>7951</v>
      </c>
      <c r="DF945" t="str">
        <f>_xlfn.XLOOKUP(Table1[[#This Row],[Player ID]],Table2[feed_id],Table2[trade_status])</f>
        <v>free_agent</v>
      </c>
      <c r="DG945">
        <f>_xlfn.NUMBERVALUE(Table1[[#This Row],[predicted]])</f>
        <v>58.243659363154102</v>
      </c>
    </row>
    <row r="946" spans="1:111" x14ac:dyDescent="0.25">
      <c r="A946">
        <v>132759</v>
      </c>
      <c r="B946">
        <v>9241</v>
      </c>
      <c r="C946" t="s">
        <v>7418</v>
      </c>
      <c r="D946" t="s">
        <v>3116</v>
      </c>
      <c r="E946">
        <v>2025</v>
      </c>
      <c r="F946">
        <v>291548</v>
      </c>
      <c r="G946" t="s">
        <v>1332</v>
      </c>
      <c r="H946" t="s">
        <v>7593</v>
      </c>
      <c r="I946" t="s">
        <v>201</v>
      </c>
      <c r="J946">
        <v>3</v>
      </c>
      <c r="K946">
        <v>45</v>
      </c>
      <c r="L946">
        <v>50</v>
      </c>
      <c r="M946">
        <v>24</v>
      </c>
      <c r="N946">
        <v>37</v>
      </c>
      <c r="O946">
        <v>51</v>
      </c>
      <c r="P946">
        <v>8</v>
      </c>
      <c r="Q946">
        <v>6</v>
      </c>
      <c r="R946">
        <v>3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t="s">
        <v>113</v>
      </c>
      <c r="Z946" t="s">
        <v>179</v>
      </c>
      <c r="AA946" t="s">
        <v>7594</v>
      </c>
      <c r="AE946">
        <v>0</v>
      </c>
      <c r="AH946" t="s">
        <v>181</v>
      </c>
      <c r="AI946">
        <v>35</v>
      </c>
      <c r="AJ946">
        <v>14</v>
      </c>
      <c r="AK946">
        <v>63.93</v>
      </c>
      <c r="AL946">
        <v>0</v>
      </c>
      <c r="AM946">
        <v>0</v>
      </c>
      <c r="AN946">
        <v>0.13</v>
      </c>
      <c r="AO946">
        <v>0.03</v>
      </c>
      <c r="AS946">
        <v>2</v>
      </c>
      <c r="AT946">
        <v>0</v>
      </c>
      <c r="AU946">
        <v>0</v>
      </c>
      <c r="AV946">
        <v>92</v>
      </c>
      <c r="AW946">
        <v>90</v>
      </c>
      <c r="AX946">
        <v>213</v>
      </c>
      <c r="AY946">
        <v>0</v>
      </c>
      <c r="AZ946" t="b">
        <v>0</v>
      </c>
      <c r="BA946">
        <v>1518</v>
      </c>
      <c r="BB946">
        <v>1780</v>
      </c>
      <c r="BC946">
        <v>6</v>
      </c>
      <c r="BD946" t="s">
        <v>7502</v>
      </c>
      <c r="BE946" s="1" t="s">
        <v>3594</v>
      </c>
      <c r="BF946">
        <v>0</v>
      </c>
      <c r="BG946">
        <v>71</v>
      </c>
      <c r="BH946">
        <v>0</v>
      </c>
      <c r="BI946" s="1" t="s">
        <v>137</v>
      </c>
      <c r="BJ946" s="1" t="s">
        <v>879</v>
      </c>
      <c r="BK946" s="1" t="s">
        <v>160</v>
      </c>
      <c r="BL946">
        <v>4</v>
      </c>
      <c r="BM946" s="1" t="s">
        <v>211</v>
      </c>
      <c r="BN946" s="1" t="s">
        <v>124</v>
      </c>
      <c r="BO946" s="1" t="s">
        <v>161</v>
      </c>
      <c r="BP946" s="1" t="s">
        <v>214</v>
      </c>
      <c r="BQ946">
        <v>0</v>
      </c>
      <c r="BR946">
        <v>0</v>
      </c>
      <c r="BS946">
        <v>1</v>
      </c>
      <c r="BT946" s="1" t="s">
        <v>231</v>
      </c>
      <c r="BU946" s="1" t="s">
        <v>129</v>
      </c>
      <c r="BV946" s="1" t="s">
        <v>231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0.13</v>
      </c>
      <c r="CD946">
        <v>0.13</v>
      </c>
      <c r="CE946">
        <v>0.03</v>
      </c>
      <c r="CF946">
        <v>0.03</v>
      </c>
      <c r="CG946">
        <v>4</v>
      </c>
      <c r="CH946">
        <v>4.2</v>
      </c>
      <c r="CI946" s="1" t="s">
        <v>129</v>
      </c>
      <c r="CJ946" s="1" t="s">
        <v>129</v>
      </c>
      <c r="CK946" s="1" t="s">
        <v>159</v>
      </c>
      <c r="CL946">
        <v>1.8</v>
      </c>
      <c r="CM946">
        <v>80</v>
      </c>
      <c r="CN946" s="1" t="s">
        <v>6688</v>
      </c>
      <c r="CO946" s="1" t="s">
        <v>437</v>
      </c>
      <c r="CP946">
        <v>84.6</v>
      </c>
      <c r="CQ946">
        <v>212</v>
      </c>
      <c r="CR946" s="1" t="s">
        <v>7595</v>
      </c>
      <c r="CS946" s="1" t="s">
        <v>7505</v>
      </c>
      <c r="CT946" s="1" t="s">
        <v>2626</v>
      </c>
      <c r="CU946" s="1" t="s">
        <v>7506</v>
      </c>
      <c r="CV946" s="1" t="s">
        <v>3538</v>
      </c>
      <c r="CW946">
        <v>71.099999999999994</v>
      </c>
      <c r="CX946">
        <v>66.3</v>
      </c>
      <c r="CY946">
        <v>68.599999999999994</v>
      </c>
      <c r="CZ946" s="1" t="s">
        <v>558</v>
      </c>
      <c r="DA946">
        <v>1</v>
      </c>
      <c r="DB946" t="s">
        <v>179</v>
      </c>
      <c r="DC946">
        <v>50</v>
      </c>
      <c r="DD946" s="1" t="s">
        <v>7596</v>
      </c>
      <c r="DE946">
        <v>-8.1690807522178499</v>
      </c>
      <c r="DF946" t="str">
        <f>_xlfn.XLOOKUP(Table1[[#This Row],[Player ID]],Table2[feed_id],Table2[trade_status])</f>
        <v>free_agent</v>
      </c>
      <c r="DG946">
        <f>_xlfn.NUMBERVALUE(Table1[[#This Row],[predicted]])</f>
        <v>58.169080752217802</v>
      </c>
    </row>
    <row r="947" spans="1:111" hidden="1" x14ac:dyDescent="0.25">
      <c r="A947">
        <v>132862</v>
      </c>
      <c r="B947">
        <v>9244</v>
      </c>
      <c r="C947" t="s">
        <v>7983</v>
      </c>
      <c r="D947" t="s">
        <v>3116</v>
      </c>
      <c r="E947">
        <v>2025</v>
      </c>
      <c r="F947">
        <v>296422</v>
      </c>
      <c r="G947" t="s">
        <v>3661</v>
      </c>
      <c r="H947" t="s">
        <v>8038</v>
      </c>
      <c r="I947" t="s">
        <v>152</v>
      </c>
      <c r="J947">
        <v>12</v>
      </c>
      <c r="K947">
        <v>62</v>
      </c>
      <c r="L947">
        <v>84</v>
      </c>
      <c r="M947">
        <v>78</v>
      </c>
      <c r="N947">
        <v>54</v>
      </c>
      <c r="O947">
        <v>72</v>
      </c>
      <c r="P947">
        <v>10</v>
      </c>
      <c r="Q947">
        <v>8</v>
      </c>
      <c r="R947">
        <v>6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 t="s">
        <v>113</v>
      </c>
      <c r="Z947" t="s">
        <v>179</v>
      </c>
      <c r="AA947" t="s">
        <v>8039</v>
      </c>
      <c r="AH947" t="s">
        <v>181</v>
      </c>
      <c r="AI947">
        <v>44</v>
      </c>
      <c r="AJ947">
        <v>0</v>
      </c>
      <c r="AK947">
        <v>0</v>
      </c>
      <c r="AL947">
        <v>0</v>
      </c>
      <c r="AM947">
        <v>0.31</v>
      </c>
      <c r="AN947">
        <v>0.31</v>
      </c>
      <c r="AO947">
        <v>0.4</v>
      </c>
      <c r="AS947">
        <v>5</v>
      </c>
      <c r="AT947">
        <v>0</v>
      </c>
      <c r="AU947">
        <v>2</v>
      </c>
      <c r="AV947">
        <v>88</v>
      </c>
      <c r="AW947">
        <v>100</v>
      </c>
      <c r="AX947">
        <v>236</v>
      </c>
      <c r="AY947">
        <v>0</v>
      </c>
      <c r="AZ947" t="b">
        <v>0</v>
      </c>
      <c r="BA947">
        <v>1816</v>
      </c>
      <c r="BB947">
        <v>1473</v>
      </c>
      <c r="BC947">
        <v>6</v>
      </c>
      <c r="BD947" t="s">
        <v>7985</v>
      </c>
      <c r="BE947" s="1" t="s">
        <v>3594</v>
      </c>
      <c r="BF947">
        <v>0</v>
      </c>
      <c r="BG947">
        <v>71</v>
      </c>
      <c r="BH947">
        <v>1</v>
      </c>
      <c r="BI947">
        <v>10</v>
      </c>
      <c r="BJ947">
        <v>13</v>
      </c>
      <c r="BK947">
        <v>6</v>
      </c>
      <c r="BL947" s="1" t="s">
        <v>260</v>
      </c>
      <c r="BM947" s="1" t="s">
        <v>124</v>
      </c>
      <c r="BN947">
        <v>8.4</v>
      </c>
      <c r="BO947" s="1" t="s">
        <v>161</v>
      </c>
      <c r="BP947" s="1" t="s">
        <v>304</v>
      </c>
      <c r="BQ947">
        <v>0</v>
      </c>
      <c r="BR947">
        <v>0</v>
      </c>
      <c r="BS947" s="1" t="s">
        <v>128</v>
      </c>
      <c r="BT947">
        <v>0.4</v>
      </c>
      <c r="BU947" s="1" t="s">
        <v>129</v>
      </c>
      <c r="BV947" s="1" t="s">
        <v>238</v>
      </c>
      <c r="BW947">
        <v>0</v>
      </c>
      <c r="BX947">
        <v>0</v>
      </c>
      <c r="BY947">
        <v>0</v>
      </c>
      <c r="BZ947">
        <v>0</v>
      </c>
      <c r="CA947">
        <v>0.31</v>
      </c>
      <c r="CB947">
        <v>0.31</v>
      </c>
      <c r="CC947">
        <v>0.31</v>
      </c>
      <c r="CD947">
        <v>0.31</v>
      </c>
      <c r="CE947">
        <v>0.4</v>
      </c>
      <c r="CF947">
        <v>0.4</v>
      </c>
      <c r="CG947" s="1" t="s">
        <v>160</v>
      </c>
      <c r="CH947" s="1" t="s">
        <v>205</v>
      </c>
      <c r="CI947" s="1" t="s">
        <v>129</v>
      </c>
      <c r="CJ947" s="1" t="s">
        <v>184</v>
      </c>
      <c r="CK947" s="1" t="s">
        <v>126</v>
      </c>
      <c r="CL947">
        <v>1.8</v>
      </c>
      <c r="CM947" s="1" t="s">
        <v>1273</v>
      </c>
      <c r="CN947">
        <v>84.8</v>
      </c>
      <c r="CO947">
        <v>100</v>
      </c>
      <c r="CP947" s="1" t="s">
        <v>8040</v>
      </c>
      <c r="CQ947" s="1" t="s">
        <v>8041</v>
      </c>
      <c r="CR947" s="1" t="s">
        <v>8042</v>
      </c>
      <c r="CS947" s="1" t="s">
        <v>7987</v>
      </c>
      <c r="CT947">
        <v>1666.4</v>
      </c>
      <c r="CU947" s="1" t="s">
        <v>7988</v>
      </c>
      <c r="CV947" s="1" t="s">
        <v>8043</v>
      </c>
      <c r="CW947">
        <v>94.6</v>
      </c>
      <c r="CX947">
        <v>95.3</v>
      </c>
      <c r="CY947">
        <v>85</v>
      </c>
      <c r="CZ947" s="1" t="s">
        <v>403</v>
      </c>
      <c r="DA947">
        <v>1</v>
      </c>
      <c r="DB947" t="s">
        <v>179</v>
      </c>
      <c r="DC947">
        <v>84</v>
      </c>
      <c r="DD947" s="1" t="s">
        <v>8044</v>
      </c>
      <c r="DE947" s="1" t="s">
        <v>8045</v>
      </c>
      <c r="DF947" t="e">
        <f>_xlfn.XLOOKUP(Table1[[#This Row],[Player ID]],Table2[feed_id],Table2[trade_status])</f>
        <v>#N/A</v>
      </c>
      <c r="DG947">
        <f>_xlfn.NUMBERVALUE(Table1[[#This Row],[predicted]])</f>
        <v>74.394182720089603</v>
      </c>
    </row>
    <row r="948" spans="1:111" hidden="1" x14ac:dyDescent="0.25">
      <c r="A948">
        <v>132863</v>
      </c>
      <c r="B948">
        <v>9244</v>
      </c>
      <c r="C948" t="s">
        <v>7983</v>
      </c>
      <c r="D948" t="s">
        <v>3116</v>
      </c>
      <c r="E948">
        <v>2025</v>
      </c>
      <c r="F948">
        <v>295467</v>
      </c>
      <c r="G948" t="s">
        <v>1127</v>
      </c>
      <c r="H948" t="s">
        <v>8046</v>
      </c>
      <c r="I948" t="s">
        <v>152</v>
      </c>
      <c r="J948">
        <v>12</v>
      </c>
      <c r="K948">
        <v>59</v>
      </c>
      <c r="L948">
        <v>70</v>
      </c>
      <c r="M948">
        <v>74</v>
      </c>
      <c r="N948">
        <v>47</v>
      </c>
      <c r="O948">
        <v>69</v>
      </c>
      <c r="P948">
        <v>4</v>
      </c>
      <c r="Q948">
        <v>13</v>
      </c>
      <c r="R948">
        <v>1</v>
      </c>
      <c r="S948">
        <v>5</v>
      </c>
      <c r="T948">
        <v>0</v>
      </c>
      <c r="U948">
        <v>1</v>
      </c>
      <c r="V948">
        <v>1</v>
      </c>
      <c r="W948">
        <v>0</v>
      </c>
      <c r="X948">
        <v>0</v>
      </c>
      <c r="Y948" t="s">
        <v>113</v>
      </c>
      <c r="Z948" t="s">
        <v>6588</v>
      </c>
      <c r="AA948" t="s">
        <v>8047</v>
      </c>
      <c r="AB948" t="s">
        <v>877</v>
      </c>
      <c r="AC948" t="s">
        <v>3583</v>
      </c>
      <c r="AH948" t="s">
        <v>118</v>
      </c>
      <c r="AI948">
        <v>6</v>
      </c>
      <c r="AJ948">
        <v>0</v>
      </c>
      <c r="AK948">
        <v>0</v>
      </c>
      <c r="AL948">
        <v>0</v>
      </c>
      <c r="AM948">
        <v>51.64</v>
      </c>
      <c r="AN948">
        <v>52.14</v>
      </c>
      <c r="AO948">
        <v>35.68</v>
      </c>
      <c r="AS948">
        <v>12</v>
      </c>
      <c r="AT948">
        <v>6</v>
      </c>
      <c r="AU948">
        <v>5</v>
      </c>
      <c r="AV948">
        <v>64</v>
      </c>
      <c r="AW948">
        <v>81</v>
      </c>
      <c r="AX948">
        <v>129</v>
      </c>
      <c r="AY948">
        <v>1</v>
      </c>
      <c r="AZ948" t="b">
        <v>0</v>
      </c>
      <c r="BA948">
        <v>1816</v>
      </c>
      <c r="BB948">
        <v>1473</v>
      </c>
      <c r="BC948">
        <v>6</v>
      </c>
      <c r="BD948" t="s">
        <v>7985</v>
      </c>
      <c r="BE948" s="1" t="s">
        <v>3594</v>
      </c>
      <c r="BF948">
        <v>0</v>
      </c>
      <c r="BG948">
        <v>71</v>
      </c>
      <c r="BH948">
        <v>0</v>
      </c>
      <c r="BI948" s="1" t="s">
        <v>356</v>
      </c>
      <c r="BJ948" s="1" t="s">
        <v>1106</v>
      </c>
      <c r="BK948">
        <v>14</v>
      </c>
      <c r="BL948" s="1" t="s">
        <v>1829</v>
      </c>
      <c r="BM948" s="1" t="s">
        <v>161</v>
      </c>
      <c r="BN948" s="1" t="s">
        <v>138</v>
      </c>
      <c r="BO948">
        <v>5</v>
      </c>
      <c r="BP948">
        <v>4</v>
      </c>
      <c r="BQ948">
        <v>0</v>
      </c>
      <c r="BR948">
        <v>0</v>
      </c>
      <c r="BS948">
        <v>2</v>
      </c>
      <c r="BT948" s="1" t="s">
        <v>127</v>
      </c>
      <c r="BU948" s="1" t="s">
        <v>126</v>
      </c>
      <c r="BV948" s="1" t="s">
        <v>238</v>
      </c>
      <c r="BW948">
        <v>0</v>
      </c>
      <c r="BX948" s="1" t="s">
        <v>184</v>
      </c>
      <c r="BY948" s="1" t="s">
        <v>129</v>
      </c>
      <c r="BZ948" s="1" t="s">
        <v>213</v>
      </c>
      <c r="CA948">
        <v>51.64</v>
      </c>
      <c r="CB948">
        <v>51.64</v>
      </c>
      <c r="CC948">
        <v>52.14</v>
      </c>
      <c r="CD948">
        <v>52.14</v>
      </c>
      <c r="CE948">
        <v>35.68</v>
      </c>
      <c r="CF948">
        <v>35.68</v>
      </c>
      <c r="CG948">
        <v>15</v>
      </c>
      <c r="CH948" s="1" t="s">
        <v>977</v>
      </c>
      <c r="CI948">
        <v>8</v>
      </c>
      <c r="CJ948" s="1" t="s">
        <v>230</v>
      </c>
      <c r="CK948" s="1" t="s">
        <v>449</v>
      </c>
      <c r="CL948" s="1" t="s">
        <v>170</v>
      </c>
      <c r="CM948">
        <v>64</v>
      </c>
      <c r="CN948">
        <v>70</v>
      </c>
      <c r="CO948" s="1" t="s">
        <v>1273</v>
      </c>
      <c r="CP948">
        <v>76</v>
      </c>
      <c r="CQ948" s="1" t="s">
        <v>6689</v>
      </c>
      <c r="CR948">
        <v>249.6</v>
      </c>
      <c r="CS948" s="1" t="s">
        <v>7987</v>
      </c>
      <c r="CT948">
        <v>1643.8</v>
      </c>
      <c r="CU948" s="1" t="s">
        <v>7988</v>
      </c>
      <c r="CV948" s="1" t="s">
        <v>8048</v>
      </c>
      <c r="CW948">
        <v>85.7</v>
      </c>
      <c r="CX948">
        <v>90.3</v>
      </c>
      <c r="CY948">
        <v>115.8</v>
      </c>
      <c r="CZ948" s="1" t="s">
        <v>3951</v>
      </c>
      <c r="DA948">
        <v>1</v>
      </c>
      <c r="DB948" t="s">
        <v>6588</v>
      </c>
      <c r="DC948">
        <v>70</v>
      </c>
      <c r="DD948" s="1" t="s">
        <v>8049</v>
      </c>
      <c r="DE948">
        <v>-17.3053354072015</v>
      </c>
      <c r="DF948" t="e">
        <f>_xlfn.XLOOKUP(Table1[[#This Row],[Player ID]],Table2[feed_id],Table2[trade_status])</f>
        <v>#N/A</v>
      </c>
      <c r="DG948">
        <f>_xlfn.NUMBERVALUE(Table1[[#This Row],[predicted]])</f>
        <v>87.305335407201497</v>
      </c>
    </row>
    <row r="949" spans="1:111" x14ac:dyDescent="0.25">
      <c r="A949">
        <v>132684</v>
      </c>
      <c r="B949">
        <v>9240</v>
      </c>
      <c r="C949" t="s">
        <v>7230</v>
      </c>
      <c r="D949" t="s">
        <v>3116</v>
      </c>
      <c r="E949">
        <v>2025</v>
      </c>
      <c r="F949">
        <v>1017700</v>
      </c>
      <c r="G949" t="s">
        <v>1184</v>
      </c>
      <c r="H949" t="s">
        <v>4232</v>
      </c>
      <c r="I949" t="s">
        <v>249</v>
      </c>
      <c r="J949">
        <v>9</v>
      </c>
      <c r="K949">
        <v>68</v>
      </c>
      <c r="L949">
        <v>67</v>
      </c>
      <c r="M949">
        <v>89</v>
      </c>
      <c r="N949">
        <v>53</v>
      </c>
      <c r="O949">
        <v>73</v>
      </c>
      <c r="P949">
        <v>11</v>
      </c>
      <c r="Q949">
        <v>6</v>
      </c>
      <c r="R949">
        <v>4</v>
      </c>
      <c r="S949">
        <v>3</v>
      </c>
      <c r="T949">
        <v>0</v>
      </c>
      <c r="U949">
        <v>1</v>
      </c>
      <c r="V949">
        <v>1</v>
      </c>
      <c r="W949">
        <v>0</v>
      </c>
      <c r="X949">
        <v>1</v>
      </c>
      <c r="Y949" t="s">
        <v>113</v>
      </c>
      <c r="Z949" t="s">
        <v>861</v>
      </c>
      <c r="AA949" t="s">
        <v>7305</v>
      </c>
      <c r="AH949" t="s">
        <v>155</v>
      </c>
      <c r="AI949">
        <v>3</v>
      </c>
      <c r="AJ949">
        <v>0</v>
      </c>
      <c r="AK949">
        <v>0</v>
      </c>
      <c r="AL949">
        <v>0</v>
      </c>
      <c r="AM949">
        <v>0.18</v>
      </c>
      <c r="AN949">
        <v>0.17</v>
      </c>
      <c r="AO949">
        <v>0.3</v>
      </c>
      <c r="AS949">
        <v>6</v>
      </c>
      <c r="AT949">
        <v>3</v>
      </c>
      <c r="AU949">
        <v>3</v>
      </c>
      <c r="AV949">
        <v>76</v>
      </c>
      <c r="AW949">
        <v>81</v>
      </c>
      <c r="AX949">
        <v>269</v>
      </c>
      <c r="AY949">
        <v>0</v>
      </c>
      <c r="AZ949" t="b">
        <v>0</v>
      </c>
      <c r="BA949">
        <v>1285</v>
      </c>
      <c r="BB949">
        <v>1976</v>
      </c>
      <c r="BC949">
        <v>6</v>
      </c>
      <c r="BD949" t="s">
        <v>7234</v>
      </c>
      <c r="BE949" s="1" t="s">
        <v>3594</v>
      </c>
      <c r="BF949">
        <v>0</v>
      </c>
      <c r="BG949">
        <v>71</v>
      </c>
      <c r="BH949">
        <v>0</v>
      </c>
      <c r="BI949">
        <v>8</v>
      </c>
      <c r="BJ949" s="1" t="s">
        <v>963</v>
      </c>
      <c r="BK949" s="1" t="s">
        <v>211</v>
      </c>
      <c r="BL949">
        <v>3.6</v>
      </c>
      <c r="BM949">
        <v>2</v>
      </c>
      <c r="BN949" s="1" t="s">
        <v>375</v>
      </c>
      <c r="BO949" s="1" t="s">
        <v>125</v>
      </c>
      <c r="BP949" s="1" t="s">
        <v>255</v>
      </c>
      <c r="BQ949">
        <v>0</v>
      </c>
      <c r="BR949">
        <v>0</v>
      </c>
      <c r="BS949" s="1" t="s">
        <v>161</v>
      </c>
      <c r="BT949" s="1" t="s">
        <v>130</v>
      </c>
      <c r="BU949">
        <v>1</v>
      </c>
      <c r="BV949">
        <v>1</v>
      </c>
      <c r="BW949" s="1" t="s">
        <v>129</v>
      </c>
      <c r="BX949" s="1" t="s">
        <v>128</v>
      </c>
      <c r="BY949">
        <v>1</v>
      </c>
      <c r="BZ949">
        <v>0.8</v>
      </c>
      <c r="CA949">
        <v>0.18</v>
      </c>
      <c r="CB949">
        <v>0.214</v>
      </c>
      <c r="CC949">
        <v>0.17</v>
      </c>
      <c r="CD949" s="1" t="s">
        <v>7306</v>
      </c>
      <c r="CE949">
        <v>0.3</v>
      </c>
      <c r="CF949">
        <v>0.39400000000000002</v>
      </c>
      <c r="CG949" s="1" t="s">
        <v>449</v>
      </c>
      <c r="CH949" s="1" t="s">
        <v>587</v>
      </c>
      <c r="CI949" s="1" t="s">
        <v>126</v>
      </c>
      <c r="CJ949">
        <v>0.8</v>
      </c>
      <c r="CK949" s="1" t="s">
        <v>159</v>
      </c>
      <c r="CL949" s="1" t="s">
        <v>159</v>
      </c>
      <c r="CM949" s="1" t="s">
        <v>822</v>
      </c>
      <c r="CN949" s="1" t="s">
        <v>333</v>
      </c>
      <c r="CO949" s="1" t="s">
        <v>516</v>
      </c>
      <c r="CP949" s="1" t="s">
        <v>2326</v>
      </c>
      <c r="CQ949" s="1" t="s">
        <v>5163</v>
      </c>
      <c r="CR949" s="1" t="s">
        <v>7307</v>
      </c>
      <c r="CS949" s="1" t="s">
        <v>7238</v>
      </c>
      <c r="CT949">
        <v>1643.2</v>
      </c>
      <c r="CU949" s="1" t="s">
        <v>7239</v>
      </c>
      <c r="CV949" s="1" t="s">
        <v>7308</v>
      </c>
      <c r="CW949">
        <v>48.15</v>
      </c>
      <c r="CX949">
        <v>46.3</v>
      </c>
      <c r="CY949">
        <v>57.8</v>
      </c>
      <c r="CZ949">
        <v>56</v>
      </c>
      <c r="DA949">
        <v>1</v>
      </c>
      <c r="DB949" t="s">
        <v>861</v>
      </c>
      <c r="DC949">
        <v>67</v>
      </c>
      <c r="DD949" s="1" t="s">
        <v>7309</v>
      </c>
      <c r="DE949" s="1" t="s">
        <v>7310</v>
      </c>
      <c r="DF949" t="str">
        <f>_xlfn.XLOOKUP(Table1[[#This Row],[Player ID]],Table2[feed_id],Table2[trade_status])</f>
        <v>free_agent</v>
      </c>
      <c r="DG949">
        <f>_xlfn.NUMBERVALUE(Table1[[#This Row],[predicted]])</f>
        <v>58.057208757686197</v>
      </c>
    </row>
    <row r="950" spans="1:111" x14ac:dyDescent="0.25">
      <c r="A950">
        <v>132777</v>
      </c>
      <c r="B950">
        <v>9242</v>
      </c>
      <c r="C950" t="s">
        <v>7597</v>
      </c>
      <c r="D950" t="s">
        <v>3116</v>
      </c>
      <c r="E950">
        <v>2025</v>
      </c>
      <c r="F950">
        <v>1002282</v>
      </c>
      <c r="G950" t="s">
        <v>5306</v>
      </c>
      <c r="H950" t="s">
        <v>7679</v>
      </c>
      <c r="I950" t="s">
        <v>291</v>
      </c>
      <c r="J950">
        <v>3</v>
      </c>
      <c r="K950">
        <v>39</v>
      </c>
      <c r="L950">
        <v>46</v>
      </c>
      <c r="M950">
        <v>49</v>
      </c>
      <c r="N950">
        <v>33</v>
      </c>
      <c r="O950">
        <v>45</v>
      </c>
      <c r="P950">
        <v>6</v>
      </c>
      <c r="Q950">
        <v>6</v>
      </c>
      <c r="R950">
        <v>2</v>
      </c>
      <c r="S950">
        <v>1</v>
      </c>
      <c r="T950">
        <v>0</v>
      </c>
      <c r="U950">
        <v>2</v>
      </c>
      <c r="V950">
        <v>1</v>
      </c>
      <c r="W950">
        <v>0</v>
      </c>
      <c r="X950">
        <v>0</v>
      </c>
      <c r="Y950" t="s">
        <v>113</v>
      </c>
      <c r="Z950" t="s">
        <v>861</v>
      </c>
      <c r="AA950" t="s">
        <v>7680</v>
      </c>
      <c r="AE950">
        <v>0</v>
      </c>
      <c r="AH950" t="s">
        <v>155</v>
      </c>
      <c r="AI950">
        <v>9</v>
      </c>
      <c r="AJ950">
        <v>14</v>
      </c>
      <c r="AK950">
        <v>59.93</v>
      </c>
      <c r="AL950">
        <v>0</v>
      </c>
      <c r="AM950">
        <v>0</v>
      </c>
      <c r="AN950">
        <v>0.09</v>
      </c>
      <c r="AO950">
        <v>0.13</v>
      </c>
      <c r="AS950">
        <v>7</v>
      </c>
      <c r="AT950">
        <v>0</v>
      </c>
      <c r="AU950">
        <v>3</v>
      </c>
      <c r="AV950">
        <v>66</v>
      </c>
      <c r="AW950">
        <v>73</v>
      </c>
      <c r="AX950">
        <v>170</v>
      </c>
      <c r="AY950">
        <v>1</v>
      </c>
      <c r="AZ950" t="b">
        <v>0</v>
      </c>
      <c r="BA950">
        <v>1764</v>
      </c>
      <c r="BB950">
        <v>1522</v>
      </c>
      <c r="BC950">
        <v>6</v>
      </c>
      <c r="BD950" t="s">
        <v>7599</v>
      </c>
      <c r="BE950" s="1" t="s">
        <v>3594</v>
      </c>
      <c r="BF950">
        <v>0</v>
      </c>
      <c r="BG950">
        <v>71</v>
      </c>
      <c r="BH950">
        <v>0</v>
      </c>
      <c r="BI950" s="1" t="s">
        <v>124</v>
      </c>
      <c r="BJ950" s="1" t="s">
        <v>168</v>
      </c>
      <c r="BK950">
        <v>6</v>
      </c>
      <c r="BL950" s="1" t="s">
        <v>211</v>
      </c>
      <c r="BM950">
        <v>2</v>
      </c>
      <c r="BN950" s="1" t="s">
        <v>640</v>
      </c>
      <c r="BO950" s="1" t="s">
        <v>161</v>
      </c>
      <c r="BP950">
        <v>2</v>
      </c>
      <c r="BQ950">
        <v>0</v>
      </c>
      <c r="BR950">
        <v>0</v>
      </c>
      <c r="BS950">
        <v>1</v>
      </c>
      <c r="BT950" s="1" t="s">
        <v>130</v>
      </c>
      <c r="BU950" s="1" t="s">
        <v>126</v>
      </c>
      <c r="BV950" s="1" t="s">
        <v>128</v>
      </c>
      <c r="BW950">
        <v>0</v>
      </c>
      <c r="BX950" s="1" t="s">
        <v>130</v>
      </c>
      <c r="BY950" s="1" t="s">
        <v>129</v>
      </c>
      <c r="BZ950">
        <v>0.4</v>
      </c>
      <c r="CA950">
        <v>0.03</v>
      </c>
      <c r="CB950" s="1" t="s">
        <v>7681</v>
      </c>
      <c r="CC950">
        <v>0.09</v>
      </c>
      <c r="CD950">
        <v>0.186</v>
      </c>
      <c r="CE950">
        <v>0.13</v>
      </c>
      <c r="CF950">
        <v>0.114</v>
      </c>
      <c r="CG950" s="1" t="s">
        <v>138</v>
      </c>
      <c r="CH950" s="1" t="s">
        <v>140</v>
      </c>
      <c r="CI950">
        <v>0</v>
      </c>
      <c r="CJ950">
        <v>0</v>
      </c>
      <c r="CK950" s="1" t="s">
        <v>169</v>
      </c>
      <c r="CL950" s="1" t="s">
        <v>566</v>
      </c>
      <c r="CM950">
        <v>74</v>
      </c>
      <c r="CN950" s="1" t="s">
        <v>701</v>
      </c>
      <c r="CO950" s="1" t="s">
        <v>754</v>
      </c>
      <c r="CP950" s="1" t="s">
        <v>572</v>
      </c>
      <c r="CQ950" s="1" t="s">
        <v>7682</v>
      </c>
      <c r="CR950" s="1" t="s">
        <v>7683</v>
      </c>
      <c r="CS950" s="1" t="s">
        <v>7684</v>
      </c>
      <c r="CT950" s="1" t="s">
        <v>7685</v>
      </c>
      <c r="CU950" s="1" t="s">
        <v>2636</v>
      </c>
      <c r="CV950">
        <v>1628</v>
      </c>
      <c r="CW950">
        <v>50</v>
      </c>
      <c r="CX950">
        <v>47.1</v>
      </c>
      <c r="CY950">
        <v>44.2</v>
      </c>
      <c r="CZ950" s="1" t="s">
        <v>2127</v>
      </c>
      <c r="DA950">
        <v>1</v>
      </c>
      <c r="DB950" t="s">
        <v>861</v>
      </c>
      <c r="DC950">
        <v>46</v>
      </c>
      <c r="DD950" s="1" t="s">
        <v>7686</v>
      </c>
      <c r="DE950">
        <v>-11.538115333295901</v>
      </c>
      <c r="DF950" t="str">
        <f>_xlfn.XLOOKUP(Table1[[#This Row],[Player ID]],Table2[feed_id],Table2[trade_status])</f>
        <v>free_agent</v>
      </c>
      <c r="DG950">
        <f>_xlfn.NUMBERVALUE(Table1[[#This Row],[predicted]])</f>
        <v>57.538115333295899</v>
      </c>
    </row>
    <row r="951" spans="1:111" x14ac:dyDescent="0.25">
      <c r="A951">
        <v>132804</v>
      </c>
      <c r="B951">
        <v>9242</v>
      </c>
      <c r="C951" t="s">
        <v>7597</v>
      </c>
      <c r="D951" t="s">
        <v>3116</v>
      </c>
      <c r="E951">
        <v>2025</v>
      </c>
      <c r="F951">
        <v>1011755</v>
      </c>
      <c r="G951" t="s">
        <v>7674</v>
      </c>
      <c r="H951" t="s">
        <v>890</v>
      </c>
      <c r="I951" t="s">
        <v>619</v>
      </c>
      <c r="J951">
        <v>9</v>
      </c>
      <c r="K951">
        <v>41</v>
      </c>
      <c r="L951">
        <v>47</v>
      </c>
      <c r="M951">
        <v>37</v>
      </c>
      <c r="N951">
        <v>35</v>
      </c>
      <c r="O951">
        <v>47</v>
      </c>
      <c r="P951">
        <v>4</v>
      </c>
      <c r="Q951">
        <v>3</v>
      </c>
      <c r="R951">
        <v>2</v>
      </c>
      <c r="S951">
        <v>3</v>
      </c>
      <c r="T951">
        <v>4</v>
      </c>
      <c r="U951">
        <v>0</v>
      </c>
      <c r="V951">
        <v>2</v>
      </c>
      <c r="W951">
        <v>1</v>
      </c>
      <c r="X951">
        <v>1</v>
      </c>
      <c r="Y951" t="s">
        <v>113</v>
      </c>
      <c r="Z951" t="s">
        <v>656</v>
      </c>
      <c r="AA951" t="s">
        <v>7796</v>
      </c>
      <c r="AH951" t="s">
        <v>155</v>
      </c>
      <c r="AI951">
        <v>23</v>
      </c>
      <c r="AJ951">
        <v>0</v>
      </c>
      <c r="AK951">
        <v>0</v>
      </c>
      <c r="AL951">
        <v>0</v>
      </c>
      <c r="AM951">
        <v>0.22</v>
      </c>
      <c r="AN951">
        <v>0.47</v>
      </c>
      <c r="AO951">
        <v>0.41</v>
      </c>
      <c r="AS951">
        <v>4</v>
      </c>
      <c r="AT951">
        <v>0</v>
      </c>
      <c r="AU951">
        <v>4</v>
      </c>
      <c r="AV951">
        <v>71</v>
      </c>
      <c r="AW951">
        <v>89</v>
      </c>
      <c r="AX951">
        <v>112</v>
      </c>
      <c r="AY951">
        <v>0</v>
      </c>
      <c r="AZ951" t="b">
        <v>0</v>
      </c>
      <c r="BA951">
        <v>1522</v>
      </c>
      <c r="BB951">
        <v>1764</v>
      </c>
      <c r="BC951">
        <v>6</v>
      </c>
      <c r="BD951" t="s">
        <v>7708</v>
      </c>
      <c r="BE951" s="1" t="s">
        <v>3594</v>
      </c>
      <c r="BF951">
        <v>0</v>
      </c>
      <c r="BG951">
        <v>71</v>
      </c>
      <c r="BH951">
        <v>0</v>
      </c>
      <c r="BI951" s="1" t="s">
        <v>449</v>
      </c>
      <c r="BJ951" s="1" t="s">
        <v>253</v>
      </c>
      <c r="BK951" s="1" t="s">
        <v>211</v>
      </c>
      <c r="BL951" s="1" t="s">
        <v>565</v>
      </c>
      <c r="BM951">
        <v>3</v>
      </c>
      <c r="BN951" s="1" t="s">
        <v>499</v>
      </c>
      <c r="BO951" s="1" t="s">
        <v>125</v>
      </c>
      <c r="BP951" s="1" t="s">
        <v>566</v>
      </c>
      <c r="BQ951" s="1" t="s">
        <v>126</v>
      </c>
      <c r="BR951" s="1" t="s">
        <v>184</v>
      </c>
      <c r="BS951" s="1" t="s">
        <v>128</v>
      </c>
      <c r="BT951">
        <v>0.6</v>
      </c>
      <c r="BU951" s="1" t="s">
        <v>126</v>
      </c>
      <c r="BV951" s="1" t="s">
        <v>231</v>
      </c>
      <c r="BW951" s="1" t="s">
        <v>129</v>
      </c>
      <c r="BX951" s="1" t="s">
        <v>128</v>
      </c>
      <c r="BY951" s="1" t="s">
        <v>128</v>
      </c>
      <c r="BZ951">
        <v>0.4</v>
      </c>
      <c r="CA951">
        <v>0.22</v>
      </c>
      <c r="CB951">
        <v>0.22</v>
      </c>
      <c r="CC951">
        <v>0.47</v>
      </c>
      <c r="CD951">
        <v>0.47</v>
      </c>
      <c r="CE951">
        <v>0.41</v>
      </c>
      <c r="CF951">
        <v>0.41</v>
      </c>
      <c r="CG951" s="1" t="s">
        <v>125</v>
      </c>
      <c r="CH951" s="1" t="s">
        <v>436</v>
      </c>
      <c r="CI951">
        <v>0</v>
      </c>
      <c r="CJ951">
        <v>0.6</v>
      </c>
      <c r="CK951" s="1" t="s">
        <v>159</v>
      </c>
      <c r="CL951">
        <v>2.2000000000000002</v>
      </c>
      <c r="CM951">
        <v>71</v>
      </c>
      <c r="CN951" s="1" t="s">
        <v>1713</v>
      </c>
      <c r="CO951">
        <v>83</v>
      </c>
      <c r="CP951" s="1" t="s">
        <v>755</v>
      </c>
      <c r="CQ951" s="1" t="s">
        <v>6283</v>
      </c>
      <c r="CR951">
        <v>170.2</v>
      </c>
      <c r="CS951" s="1" t="s">
        <v>144</v>
      </c>
      <c r="CT951">
        <v>1651.2</v>
      </c>
      <c r="CU951" s="1" t="s">
        <v>4416</v>
      </c>
      <c r="CV951" s="1" t="s">
        <v>7711</v>
      </c>
      <c r="CW951">
        <v>53.85</v>
      </c>
      <c r="CX951">
        <v>56.9</v>
      </c>
      <c r="CY951">
        <v>49.8</v>
      </c>
      <c r="CZ951" s="1" t="s">
        <v>1357</v>
      </c>
      <c r="DA951">
        <v>1</v>
      </c>
      <c r="DB951" t="s">
        <v>656</v>
      </c>
      <c r="DC951">
        <v>47</v>
      </c>
      <c r="DD951" s="1" t="s">
        <v>7797</v>
      </c>
      <c r="DE951">
        <v>-10.340929851746401</v>
      </c>
      <c r="DF951" t="str">
        <f>_xlfn.XLOOKUP(Table1[[#This Row],[Player ID]],Table2[feed_id],Table2[trade_status])</f>
        <v>free_agent</v>
      </c>
      <c r="DG951">
        <f>_xlfn.NUMBERVALUE(Table1[[#This Row],[predicted]])</f>
        <v>57.340929851746402</v>
      </c>
    </row>
    <row r="952" spans="1:111" x14ac:dyDescent="0.25">
      <c r="A952">
        <v>132888</v>
      </c>
      <c r="B952">
        <v>9244</v>
      </c>
      <c r="C952" t="s">
        <v>7983</v>
      </c>
      <c r="D952" t="s">
        <v>3116</v>
      </c>
      <c r="E952">
        <v>2025</v>
      </c>
      <c r="F952">
        <v>1027925</v>
      </c>
      <c r="G952" t="s">
        <v>1020</v>
      </c>
      <c r="H952" t="s">
        <v>2222</v>
      </c>
      <c r="I952" t="s">
        <v>1089</v>
      </c>
      <c r="J952">
        <v>10</v>
      </c>
      <c r="K952">
        <v>56</v>
      </c>
      <c r="L952">
        <v>82</v>
      </c>
      <c r="M952">
        <v>46</v>
      </c>
      <c r="N952">
        <v>44</v>
      </c>
      <c r="O952">
        <v>60</v>
      </c>
      <c r="P952">
        <v>6</v>
      </c>
      <c r="Q952">
        <v>7</v>
      </c>
      <c r="R952">
        <v>2</v>
      </c>
      <c r="S952">
        <v>3</v>
      </c>
      <c r="T952">
        <v>0</v>
      </c>
      <c r="U952">
        <v>0</v>
      </c>
      <c r="V952">
        <v>0</v>
      </c>
      <c r="W952">
        <v>1</v>
      </c>
      <c r="X952">
        <v>0</v>
      </c>
      <c r="Y952" t="s">
        <v>113</v>
      </c>
      <c r="Z952" t="s">
        <v>861</v>
      </c>
      <c r="AA952" t="s">
        <v>8155</v>
      </c>
      <c r="AH952" t="s">
        <v>118</v>
      </c>
      <c r="AI952">
        <v>1</v>
      </c>
      <c r="AJ952">
        <v>0</v>
      </c>
      <c r="AK952">
        <v>0</v>
      </c>
      <c r="AL952">
        <v>0</v>
      </c>
      <c r="AM952">
        <v>0.53</v>
      </c>
      <c r="AN952">
        <v>0.43</v>
      </c>
      <c r="AO952">
        <v>0.37</v>
      </c>
      <c r="AS952">
        <v>3</v>
      </c>
      <c r="AT952">
        <v>1</v>
      </c>
      <c r="AU952">
        <v>0</v>
      </c>
      <c r="AV952">
        <v>84</v>
      </c>
      <c r="AW952">
        <v>80</v>
      </c>
      <c r="AX952">
        <v>166</v>
      </c>
      <c r="AY952">
        <v>0</v>
      </c>
      <c r="AZ952" t="b">
        <v>0</v>
      </c>
      <c r="BA952">
        <v>1473</v>
      </c>
      <c r="BB952">
        <v>1816</v>
      </c>
      <c r="BC952">
        <v>6</v>
      </c>
      <c r="BD952" t="s">
        <v>8080</v>
      </c>
      <c r="BE952" s="1" t="s">
        <v>3594</v>
      </c>
      <c r="BF952">
        <v>0</v>
      </c>
      <c r="BG952">
        <v>71</v>
      </c>
      <c r="BH952">
        <v>1</v>
      </c>
      <c r="BI952" s="1" t="s">
        <v>169</v>
      </c>
      <c r="BJ952">
        <v>4.8</v>
      </c>
      <c r="BK952" s="1" t="s">
        <v>211</v>
      </c>
      <c r="BL952" s="1" t="s">
        <v>343</v>
      </c>
      <c r="BM952" s="1" t="s">
        <v>126</v>
      </c>
      <c r="BN952" s="1" t="s">
        <v>375</v>
      </c>
      <c r="BO952">
        <v>2</v>
      </c>
      <c r="BP952">
        <v>2.6</v>
      </c>
      <c r="BQ952">
        <v>0</v>
      </c>
      <c r="BR952">
        <v>0</v>
      </c>
      <c r="BS952">
        <v>0</v>
      </c>
      <c r="BT952">
        <v>0.2</v>
      </c>
      <c r="BU952">
        <v>0</v>
      </c>
      <c r="BV952" s="1" t="s">
        <v>184</v>
      </c>
      <c r="BW952" s="1" t="s">
        <v>129</v>
      </c>
      <c r="BX952">
        <v>0.4</v>
      </c>
      <c r="BY952">
        <v>0</v>
      </c>
      <c r="BZ952" s="1" t="s">
        <v>213</v>
      </c>
      <c r="CA952">
        <v>0.53</v>
      </c>
      <c r="CB952">
        <v>0.53</v>
      </c>
      <c r="CC952">
        <v>0.43</v>
      </c>
      <c r="CD952">
        <v>0.43</v>
      </c>
      <c r="CE952">
        <v>0.37</v>
      </c>
      <c r="CF952">
        <v>0.37</v>
      </c>
      <c r="CG952">
        <v>2</v>
      </c>
      <c r="CH952" s="1" t="s">
        <v>160</v>
      </c>
      <c r="CI952" s="1" t="s">
        <v>129</v>
      </c>
      <c r="CJ952" s="1" t="s">
        <v>130</v>
      </c>
      <c r="CK952" s="1" t="s">
        <v>129</v>
      </c>
      <c r="CL952">
        <v>1.4</v>
      </c>
      <c r="CM952" s="1" t="s">
        <v>239</v>
      </c>
      <c r="CN952">
        <v>75.2</v>
      </c>
      <c r="CO952" s="1" t="s">
        <v>681</v>
      </c>
      <c r="CP952">
        <v>69</v>
      </c>
      <c r="CQ952" s="1" t="s">
        <v>1258</v>
      </c>
      <c r="CR952" s="1" t="s">
        <v>5331</v>
      </c>
      <c r="CS952">
        <v>1698</v>
      </c>
      <c r="CT952" s="1" t="s">
        <v>1404</v>
      </c>
      <c r="CU952">
        <v>1591</v>
      </c>
      <c r="CV952">
        <v>1580.2</v>
      </c>
      <c r="CW952">
        <v>56.9</v>
      </c>
      <c r="CX952">
        <v>52.1</v>
      </c>
      <c r="CY952">
        <v>39.200000000000003</v>
      </c>
      <c r="CZ952">
        <v>40</v>
      </c>
      <c r="DA952">
        <v>1</v>
      </c>
      <c r="DB952" t="s">
        <v>861</v>
      </c>
      <c r="DC952">
        <v>82</v>
      </c>
      <c r="DD952" s="1" t="s">
        <v>8156</v>
      </c>
      <c r="DE952" s="1" t="s">
        <v>8157</v>
      </c>
      <c r="DF952" t="str">
        <f>_xlfn.XLOOKUP(Table1[[#This Row],[Player ID]],Table2[feed_id],Table2[trade_status])</f>
        <v>free_agent</v>
      </c>
      <c r="DG952">
        <f>_xlfn.NUMBERVALUE(Table1[[#This Row],[predicted]])</f>
        <v>57.125501278770898</v>
      </c>
    </row>
    <row r="953" spans="1:111" x14ac:dyDescent="0.25">
      <c r="A953">
        <v>132752</v>
      </c>
      <c r="B953">
        <v>9241</v>
      </c>
      <c r="C953" t="s">
        <v>7418</v>
      </c>
      <c r="D953" t="s">
        <v>3116</v>
      </c>
      <c r="E953">
        <v>2025</v>
      </c>
      <c r="F953">
        <v>1002347</v>
      </c>
      <c r="G953" t="s">
        <v>1127</v>
      </c>
      <c r="H953" t="s">
        <v>7568</v>
      </c>
      <c r="I953" t="s">
        <v>201</v>
      </c>
      <c r="J953">
        <v>9</v>
      </c>
      <c r="K953">
        <v>64</v>
      </c>
      <c r="L953">
        <v>86</v>
      </c>
      <c r="M953">
        <v>46</v>
      </c>
      <c r="N953">
        <v>51</v>
      </c>
      <c r="O953">
        <v>69</v>
      </c>
      <c r="P953">
        <v>9</v>
      </c>
      <c r="Q953">
        <v>7</v>
      </c>
      <c r="R953">
        <v>5</v>
      </c>
      <c r="S953">
        <v>2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113</v>
      </c>
      <c r="Z953" t="s">
        <v>179</v>
      </c>
      <c r="AA953" t="s">
        <v>7569</v>
      </c>
      <c r="AE953">
        <v>0</v>
      </c>
      <c r="AH953" t="s">
        <v>181</v>
      </c>
      <c r="AI953">
        <v>40</v>
      </c>
      <c r="AJ953">
        <v>0</v>
      </c>
      <c r="AK953">
        <v>0</v>
      </c>
      <c r="AL953">
        <v>0</v>
      </c>
      <c r="AM953">
        <v>0</v>
      </c>
      <c r="AN953">
        <v>0.21</v>
      </c>
      <c r="AO953">
        <v>0.19</v>
      </c>
      <c r="AS953">
        <v>5</v>
      </c>
      <c r="AT953">
        <v>0</v>
      </c>
      <c r="AU953">
        <v>2</v>
      </c>
      <c r="AV953">
        <v>75</v>
      </c>
      <c r="AW953">
        <v>94</v>
      </c>
      <c r="AX953">
        <v>227</v>
      </c>
      <c r="AY953">
        <v>0</v>
      </c>
      <c r="AZ953" t="b">
        <v>0</v>
      </c>
      <c r="BA953">
        <v>1518</v>
      </c>
      <c r="BB953">
        <v>1780</v>
      </c>
      <c r="BC953">
        <v>6</v>
      </c>
      <c r="BD953" t="s">
        <v>7502</v>
      </c>
      <c r="BE953" s="1" t="s">
        <v>3594</v>
      </c>
      <c r="BF953">
        <v>0</v>
      </c>
      <c r="BG953">
        <v>71</v>
      </c>
      <c r="BH953">
        <v>1</v>
      </c>
      <c r="BI953" s="1" t="s">
        <v>977</v>
      </c>
      <c r="BJ953">
        <v>8.8000000000000007</v>
      </c>
      <c r="BK953" s="1" t="s">
        <v>211</v>
      </c>
      <c r="BL953" s="1" t="s">
        <v>255</v>
      </c>
      <c r="BM953" s="1" t="s">
        <v>397</v>
      </c>
      <c r="BN953" s="1" t="s">
        <v>964</v>
      </c>
      <c r="BO953" s="1" t="s">
        <v>161</v>
      </c>
      <c r="BP953" s="1" t="s">
        <v>126</v>
      </c>
      <c r="BQ953">
        <v>0</v>
      </c>
      <c r="BR953">
        <v>0</v>
      </c>
      <c r="BS953">
        <v>1</v>
      </c>
      <c r="BT953" s="1" t="s">
        <v>238</v>
      </c>
      <c r="BU953">
        <v>0</v>
      </c>
      <c r="BV953" s="1" t="s">
        <v>184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0.21</v>
      </c>
      <c r="CD953">
        <v>0.21</v>
      </c>
      <c r="CE953">
        <v>0.19</v>
      </c>
      <c r="CF953">
        <v>0.19</v>
      </c>
      <c r="CG953" s="1" t="s">
        <v>160</v>
      </c>
      <c r="CH953">
        <v>3.8</v>
      </c>
      <c r="CI953" s="1" t="s">
        <v>129</v>
      </c>
      <c r="CJ953">
        <v>0.2</v>
      </c>
      <c r="CK953">
        <v>2</v>
      </c>
      <c r="CL953" s="1" t="s">
        <v>126</v>
      </c>
      <c r="CM953" s="1" t="s">
        <v>403</v>
      </c>
      <c r="CN953">
        <v>82</v>
      </c>
      <c r="CO953" s="1" t="s">
        <v>1028</v>
      </c>
      <c r="CP953">
        <v>88.8</v>
      </c>
      <c r="CQ953" s="1" t="s">
        <v>7570</v>
      </c>
      <c r="CR953" s="1" t="s">
        <v>7571</v>
      </c>
      <c r="CS953" s="1" t="s">
        <v>7505</v>
      </c>
      <c r="CT953" s="1" t="s">
        <v>7572</v>
      </c>
      <c r="CU953" s="1" t="s">
        <v>7506</v>
      </c>
      <c r="CV953">
        <v>1513</v>
      </c>
      <c r="CW953">
        <v>66.2</v>
      </c>
      <c r="CX953">
        <v>62</v>
      </c>
      <c r="CY953">
        <v>71.2</v>
      </c>
      <c r="CZ953" s="1" t="s">
        <v>142</v>
      </c>
      <c r="DA953">
        <v>1</v>
      </c>
      <c r="DB953" t="s">
        <v>179</v>
      </c>
      <c r="DC953">
        <v>86</v>
      </c>
      <c r="DD953" s="1" t="s">
        <v>7573</v>
      </c>
      <c r="DE953" s="1" t="s">
        <v>7574</v>
      </c>
      <c r="DF953" t="str">
        <f>_xlfn.XLOOKUP(Table1[[#This Row],[Player ID]],Table2[feed_id],Table2[trade_status])</f>
        <v>free_agent</v>
      </c>
      <c r="DG953">
        <f>_xlfn.NUMBERVALUE(Table1[[#This Row],[predicted]])</f>
        <v>56.630213447198102</v>
      </c>
    </row>
    <row r="954" spans="1:111" x14ac:dyDescent="0.25">
      <c r="A954">
        <v>132884</v>
      </c>
      <c r="B954">
        <v>9244</v>
      </c>
      <c r="C954" t="s">
        <v>7983</v>
      </c>
      <c r="D954" t="s">
        <v>3116</v>
      </c>
      <c r="E954">
        <v>2025</v>
      </c>
      <c r="F954">
        <v>1019038</v>
      </c>
      <c r="G954" t="s">
        <v>2456</v>
      </c>
      <c r="H954" t="s">
        <v>8143</v>
      </c>
      <c r="I954" t="s">
        <v>1089</v>
      </c>
      <c r="J954">
        <v>15</v>
      </c>
      <c r="K954">
        <v>65</v>
      </c>
      <c r="L954">
        <v>60</v>
      </c>
      <c r="M954">
        <v>52</v>
      </c>
      <c r="N954">
        <v>55</v>
      </c>
      <c r="O954">
        <v>67</v>
      </c>
      <c r="P954">
        <v>8</v>
      </c>
      <c r="Q954">
        <v>1</v>
      </c>
      <c r="R954">
        <v>7</v>
      </c>
      <c r="S954">
        <v>2</v>
      </c>
      <c r="T954">
        <v>0</v>
      </c>
      <c r="U954">
        <v>0</v>
      </c>
      <c r="V954">
        <v>1</v>
      </c>
      <c r="W954">
        <v>2</v>
      </c>
      <c r="X954">
        <v>1</v>
      </c>
      <c r="Y954" t="s">
        <v>113</v>
      </c>
      <c r="Z954" t="s">
        <v>5152</v>
      </c>
      <c r="AA954" t="s">
        <v>8144</v>
      </c>
      <c r="AH954" t="s">
        <v>155</v>
      </c>
      <c r="AI954">
        <v>5</v>
      </c>
      <c r="AJ954">
        <v>0</v>
      </c>
      <c r="AK954">
        <v>0</v>
      </c>
      <c r="AL954">
        <v>0</v>
      </c>
      <c r="AM954">
        <v>8.3699999999999992</v>
      </c>
      <c r="AN954">
        <v>17.100000000000001</v>
      </c>
      <c r="AO954">
        <v>8.9499999999999993</v>
      </c>
      <c r="AS954">
        <v>3</v>
      </c>
      <c r="AT954">
        <v>0</v>
      </c>
      <c r="AU954">
        <v>2</v>
      </c>
      <c r="AV954">
        <v>55</v>
      </c>
      <c r="AW954">
        <v>59</v>
      </c>
      <c r="AX954">
        <v>196</v>
      </c>
      <c r="AY954">
        <v>0</v>
      </c>
      <c r="AZ954" t="b">
        <v>0</v>
      </c>
      <c r="BA954">
        <v>1473</v>
      </c>
      <c r="BB954">
        <v>1816</v>
      </c>
      <c r="BC954">
        <v>6</v>
      </c>
      <c r="BD954" t="s">
        <v>8080</v>
      </c>
      <c r="BE954" s="1" t="s">
        <v>3594</v>
      </c>
      <c r="BF954">
        <v>0</v>
      </c>
      <c r="BG954">
        <v>71</v>
      </c>
      <c r="BH954">
        <v>0</v>
      </c>
      <c r="BI954">
        <v>6</v>
      </c>
      <c r="BJ954" s="1" t="s">
        <v>416</v>
      </c>
      <c r="BK954">
        <v>2</v>
      </c>
      <c r="BL954">
        <v>2.6</v>
      </c>
      <c r="BM954" s="1" t="s">
        <v>211</v>
      </c>
      <c r="BN954" s="1" t="s">
        <v>431</v>
      </c>
      <c r="BO954">
        <v>2</v>
      </c>
      <c r="BP954" s="1" t="s">
        <v>169</v>
      </c>
      <c r="BQ954">
        <v>0</v>
      </c>
      <c r="BR954" s="1" t="s">
        <v>184</v>
      </c>
      <c r="BS954" s="1" t="s">
        <v>128</v>
      </c>
      <c r="BT954">
        <v>0.8</v>
      </c>
      <c r="BU954" s="1" t="s">
        <v>129</v>
      </c>
      <c r="BV954" s="1" t="s">
        <v>162</v>
      </c>
      <c r="BW954" s="1" t="s">
        <v>126</v>
      </c>
      <c r="BX954" s="1" t="s">
        <v>257</v>
      </c>
      <c r="BY954" s="1" t="s">
        <v>161</v>
      </c>
      <c r="BZ954" s="1" t="s">
        <v>130</v>
      </c>
      <c r="CA954">
        <v>8.3699999999999992</v>
      </c>
      <c r="CB954">
        <v>8.3699999999999992</v>
      </c>
      <c r="CC954">
        <v>17.100000000000001</v>
      </c>
      <c r="CD954">
        <v>17.100000000000001</v>
      </c>
      <c r="CE954">
        <v>8.9499999999999993</v>
      </c>
      <c r="CF954">
        <v>8.9499999999999993</v>
      </c>
      <c r="CG954" s="1" t="s">
        <v>138</v>
      </c>
      <c r="CH954" s="1" t="s">
        <v>640</v>
      </c>
      <c r="CI954">
        <v>0</v>
      </c>
      <c r="CJ954">
        <v>0</v>
      </c>
      <c r="CK954" s="1" t="s">
        <v>161</v>
      </c>
      <c r="CL954" s="1" t="s">
        <v>375</v>
      </c>
      <c r="CM954" s="1" t="s">
        <v>4315</v>
      </c>
      <c r="CN954" s="1" t="s">
        <v>2229</v>
      </c>
      <c r="CO954">
        <v>67</v>
      </c>
      <c r="CP954" s="1" t="s">
        <v>788</v>
      </c>
      <c r="CQ954" s="1" t="s">
        <v>5997</v>
      </c>
      <c r="CR954" s="1" t="s">
        <v>8145</v>
      </c>
      <c r="CS954" s="1" t="s">
        <v>8082</v>
      </c>
      <c r="CT954">
        <v>1750.8</v>
      </c>
      <c r="CU954" s="1" t="s">
        <v>8083</v>
      </c>
      <c r="CV954" s="1" t="s">
        <v>8104</v>
      </c>
      <c r="CW954">
        <v>43.8</v>
      </c>
      <c r="CX954">
        <v>55.4</v>
      </c>
      <c r="CY954">
        <v>49.2</v>
      </c>
      <c r="CZ954" s="1" t="s">
        <v>1316</v>
      </c>
      <c r="DA954">
        <v>1</v>
      </c>
      <c r="DB954" t="s">
        <v>5152</v>
      </c>
      <c r="DC954">
        <v>60</v>
      </c>
      <c r="DD954" s="1" t="s">
        <v>8146</v>
      </c>
      <c r="DE954" s="1" t="s">
        <v>8147</v>
      </c>
      <c r="DF954" t="str">
        <f>_xlfn.XLOOKUP(Table1[[#This Row],[Player ID]],Table2[feed_id],Table2[trade_status])</f>
        <v>free_agent</v>
      </c>
      <c r="DG954">
        <f>_xlfn.NUMBERVALUE(Table1[[#This Row],[predicted]])</f>
        <v>55.864805518696897</v>
      </c>
    </row>
    <row r="955" spans="1:111" hidden="1" x14ac:dyDescent="0.25">
      <c r="A955">
        <v>132873</v>
      </c>
      <c r="B955">
        <v>9244</v>
      </c>
      <c r="C955" t="s">
        <v>7983</v>
      </c>
      <c r="D955" t="s">
        <v>3116</v>
      </c>
      <c r="E955">
        <v>2025</v>
      </c>
      <c r="F955">
        <v>1009253</v>
      </c>
      <c r="G955" t="s">
        <v>4008</v>
      </c>
      <c r="H955" t="s">
        <v>5315</v>
      </c>
      <c r="I955" t="s">
        <v>1089</v>
      </c>
      <c r="J955">
        <v>20</v>
      </c>
      <c r="K955">
        <v>113</v>
      </c>
      <c r="L955">
        <v>137</v>
      </c>
      <c r="M955">
        <v>67</v>
      </c>
      <c r="N955">
        <v>94</v>
      </c>
      <c r="O955">
        <v>129</v>
      </c>
      <c r="P955">
        <v>19</v>
      </c>
      <c r="Q955">
        <v>14</v>
      </c>
      <c r="R955">
        <v>9</v>
      </c>
      <c r="S955">
        <v>1</v>
      </c>
      <c r="T955">
        <v>0</v>
      </c>
      <c r="U955">
        <v>0</v>
      </c>
      <c r="V955">
        <v>1</v>
      </c>
      <c r="W955">
        <v>0</v>
      </c>
      <c r="X955">
        <v>0</v>
      </c>
      <c r="Y955" t="s">
        <v>113</v>
      </c>
      <c r="Z955" t="s">
        <v>339</v>
      </c>
      <c r="AA955" t="s">
        <v>5918</v>
      </c>
      <c r="AB955" t="s">
        <v>226</v>
      </c>
      <c r="AC955" t="s">
        <v>8079</v>
      </c>
      <c r="AI955">
        <v>7</v>
      </c>
      <c r="AJ955">
        <v>0</v>
      </c>
      <c r="AK955">
        <v>0</v>
      </c>
      <c r="AL955">
        <v>0</v>
      </c>
      <c r="AM955">
        <v>0.66</v>
      </c>
      <c r="AN955">
        <v>0.5</v>
      </c>
      <c r="AO955">
        <v>0.59</v>
      </c>
      <c r="AS955">
        <v>4</v>
      </c>
      <c r="AT955">
        <v>1</v>
      </c>
      <c r="AU955">
        <v>2</v>
      </c>
      <c r="AV955">
        <v>93</v>
      </c>
      <c r="AW955">
        <v>83</v>
      </c>
      <c r="AX955">
        <v>563</v>
      </c>
      <c r="AY955">
        <v>0</v>
      </c>
      <c r="AZ955" t="b">
        <v>0</v>
      </c>
      <c r="BA955">
        <v>1473</v>
      </c>
      <c r="BB955">
        <v>1816</v>
      </c>
      <c r="BC955">
        <v>6</v>
      </c>
      <c r="BD955" t="s">
        <v>8080</v>
      </c>
      <c r="BE955" s="1" t="s">
        <v>3594</v>
      </c>
      <c r="BF955">
        <v>1</v>
      </c>
      <c r="BG955">
        <v>71</v>
      </c>
      <c r="BH955">
        <v>1</v>
      </c>
      <c r="BI955">
        <v>17</v>
      </c>
      <c r="BJ955" s="1" t="s">
        <v>6661</v>
      </c>
      <c r="BK955">
        <v>14</v>
      </c>
      <c r="BL955">
        <v>9</v>
      </c>
      <c r="BM955" s="1" t="s">
        <v>183</v>
      </c>
      <c r="BN955" s="1" t="s">
        <v>124</v>
      </c>
      <c r="BO955" s="1" t="s">
        <v>128</v>
      </c>
      <c r="BP955" s="1" t="s">
        <v>214</v>
      </c>
      <c r="BQ955">
        <v>0</v>
      </c>
      <c r="BR955">
        <v>0</v>
      </c>
      <c r="BS955">
        <v>0</v>
      </c>
      <c r="BT955" s="1" t="s">
        <v>184</v>
      </c>
      <c r="BU955" s="1" t="s">
        <v>128</v>
      </c>
      <c r="BV955" s="1" t="s">
        <v>231</v>
      </c>
      <c r="BW955">
        <v>0</v>
      </c>
      <c r="BX955">
        <v>6.6666666666666596E-2</v>
      </c>
      <c r="BY955">
        <v>0</v>
      </c>
      <c r="BZ955">
        <v>0</v>
      </c>
      <c r="CA955">
        <v>0.66</v>
      </c>
      <c r="CB955">
        <v>0.66</v>
      </c>
      <c r="CC955">
        <v>0.5</v>
      </c>
      <c r="CD955">
        <v>0.5</v>
      </c>
      <c r="CE955">
        <v>0.59</v>
      </c>
      <c r="CF955">
        <v>0.59</v>
      </c>
      <c r="CG955" s="1" t="s">
        <v>160</v>
      </c>
      <c r="CH955" s="1" t="s">
        <v>781</v>
      </c>
      <c r="CI955">
        <v>1</v>
      </c>
      <c r="CJ955">
        <v>1</v>
      </c>
      <c r="CK955" s="1" t="s">
        <v>159</v>
      </c>
      <c r="CL955">
        <v>2.2000000000000002</v>
      </c>
      <c r="CM955" s="1" t="s">
        <v>306</v>
      </c>
      <c r="CN955" s="1" t="s">
        <v>2249</v>
      </c>
      <c r="CO955" s="1" t="s">
        <v>268</v>
      </c>
      <c r="CP955" s="1" t="s">
        <v>1258</v>
      </c>
      <c r="CQ955" s="1" t="s">
        <v>8081</v>
      </c>
      <c r="CR955">
        <v>403</v>
      </c>
      <c r="CS955" s="1" t="s">
        <v>8082</v>
      </c>
      <c r="CT955">
        <v>1737.2</v>
      </c>
      <c r="CU955" s="1" t="s">
        <v>8083</v>
      </c>
      <c r="CV955" s="1" t="s">
        <v>8084</v>
      </c>
      <c r="CW955">
        <v>92.8</v>
      </c>
      <c r="CX955">
        <v>99.6</v>
      </c>
      <c r="CY955">
        <v>112.8</v>
      </c>
      <c r="CZ955" s="1" t="s">
        <v>6263</v>
      </c>
      <c r="DA955">
        <v>1</v>
      </c>
      <c r="DB955" t="s">
        <v>339</v>
      </c>
      <c r="DC955">
        <v>137</v>
      </c>
      <c r="DD955">
        <v>94.845154810004104</v>
      </c>
      <c r="DE955" s="1" t="s">
        <v>8085</v>
      </c>
      <c r="DF955" t="e">
        <f>_xlfn.XLOOKUP(Table1[[#This Row],[Player ID]],Table2[feed_id],Table2[trade_status])</f>
        <v>#N/A</v>
      </c>
      <c r="DG955">
        <f>_xlfn.NUMBERVALUE(Table1[[#This Row],[predicted]])</f>
        <v>94.845154810004104</v>
      </c>
    </row>
    <row r="956" spans="1:111" hidden="1" x14ac:dyDescent="0.25">
      <c r="A956">
        <v>132874</v>
      </c>
      <c r="B956">
        <v>9244</v>
      </c>
      <c r="C956" t="s">
        <v>7983</v>
      </c>
      <c r="D956" t="s">
        <v>3116</v>
      </c>
      <c r="E956">
        <v>2025</v>
      </c>
      <c r="F956">
        <v>1009528</v>
      </c>
      <c r="G956" t="s">
        <v>776</v>
      </c>
      <c r="H956" t="s">
        <v>2073</v>
      </c>
      <c r="I956" t="s">
        <v>1089</v>
      </c>
      <c r="J956">
        <v>26</v>
      </c>
      <c r="K956">
        <v>108</v>
      </c>
      <c r="L956">
        <v>113</v>
      </c>
      <c r="M956">
        <v>80</v>
      </c>
      <c r="N956">
        <v>85</v>
      </c>
      <c r="O956">
        <v>118</v>
      </c>
      <c r="P956">
        <v>15</v>
      </c>
      <c r="Q956">
        <v>13</v>
      </c>
      <c r="R956">
        <v>5</v>
      </c>
      <c r="S956">
        <v>6</v>
      </c>
      <c r="T956">
        <v>1</v>
      </c>
      <c r="U956">
        <v>3</v>
      </c>
      <c r="V956">
        <v>2</v>
      </c>
      <c r="W956">
        <v>0</v>
      </c>
      <c r="X956">
        <v>0</v>
      </c>
      <c r="Y956" t="s">
        <v>113</v>
      </c>
      <c r="Z956" t="s">
        <v>250</v>
      </c>
      <c r="AA956" t="s">
        <v>8086</v>
      </c>
      <c r="AB956" t="s">
        <v>877</v>
      </c>
      <c r="AC956" t="s">
        <v>4993</v>
      </c>
      <c r="AH956" t="s">
        <v>118</v>
      </c>
      <c r="AI956">
        <v>12</v>
      </c>
      <c r="AJ956">
        <v>0</v>
      </c>
      <c r="AK956">
        <v>0</v>
      </c>
      <c r="AL956">
        <v>0</v>
      </c>
      <c r="AM956">
        <v>17.54</v>
      </c>
      <c r="AN956">
        <v>23.3</v>
      </c>
      <c r="AO956">
        <v>21.03</v>
      </c>
      <c r="AS956">
        <v>16</v>
      </c>
      <c r="AT956">
        <v>9</v>
      </c>
      <c r="AU956">
        <v>4</v>
      </c>
      <c r="AV956">
        <v>67</v>
      </c>
      <c r="AW956">
        <v>76</v>
      </c>
      <c r="AX956">
        <v>375</v>
      </c>
      <c r="AY956">
        <v>0</v>
      </c>
      <c r="AZ956" t="b">
        <v>0</v>
      </c>
      <c r="BA956">
        <v>1473</v>
      </c>
      <c r="BB956">
        <v>1816</v>
      </c>
      <c r="BC956">
        <v>6</v>
      </c>
      <c r="BD956" t="s">
        <v>8080</v>
      </c>
      <c r="BE956" s="1" t="s">
        <v>3594</v>
      </c>
      <c r="BF956">
        <v>1</v>
      </c>
      <c r="BG956">
        <v>71</v>
      </c>
      <c r="BH956">
        <v>1</v>
      </c>
      <c r="BI956">
        <v>13</v>
      </c>
      <c r="BJ956">
        <v>14.2</v>
      </c>
      <c r="BK956">
        <v>19</v>
      </c>
      <c r="BL956">
        <v>19.2</v>
      </c>
      <c r="BM956" s="1" t="s">
        <v>125</v>
      </c>
      <c r="BN956">
        <v>2.8</v>
      </c>
      <c r="BO956" s="1" t="s">
        <v>125</v>
      </c>
      <c r="BP956" s="1" t="s">
        <v>125</v>
      </c>
      <c r="BQ956" s="1" t="s">
        <v>129</v>
      </c>
      <c r="BR956">
        <v>6.6666666666666596E-2</v>
      </c>
      <c r="BS956" s="1" t="s">
        <v>126</v>
      </c>
      <c r="BT956">
        <v>0.6</v>
      </c>
      <c r="BU956" s="1" t="s">
        <v>128</v>
      </c>
      <c r="BV956" s="1" t="s">
        <v>162</v>
      </c>
      <c r="BW956" s="1" t="s">
        <v>128</v>
      </c>
      <c r="BX956" s="1" t="s">
        <v>238</v>
      </c>
      <c r="BY956" s="1" t="s">
        <v>129</v>
      </c>
      <c r="BZ956" s="1" t="s">
        <v>213</v>
      </c>
      <c r="CA956">
        <v>17.54</v>
      </c>
      <c r="CB956">
        <v>17.54</v>
      </c>
      <c r="CC956">
        <v>23.3</v>
      </c>
      <c r="CD956">
        <v>23.3</v>
      </c>
      <c r="CE956">
        <v>21.03</v>
      </c>
      <c r="CF956">
        <v>21.03</v>
      </c>
      <c r="CG956" s="1" t="s">
        <v>622</v>
      </c>
      <c r="CH956" s="1" t="s">
        <v>1685</v>
      </c>
      <c r="CI956">
        <v>7</v>
      </c>
      <c r="CJ956" s="1" t="s">
        <v>253</v>
      </c>
      <c r="CK956" s="1" t="s">
        <v>449</v>
      </c>
      <c r="CL956">
        <v>5.6</v>
      </c>
      <c r="CM956" s="1" t="s">
        <v>883</v>
      </c>
      <c r="CN956" s="1" t="s">
        <v>1888</v>
      </c>
      <c r="CO956" s="1" t="s">
        <v>1110</v>
      </c>
      <c r="CP956" s="1" t="s">
        <v>2600</v>
      </c>
      <c r="CQ956" s="1" t="s">
        <v>8087</v>
      </c>
      <c r="CR956">
        <v>444.2</v>
      </c>
      <c r="CS956" s="1" t="s">
        <v>8082</v>
      </c>
      <c r="CT956" s="1" t="s">
        <v>8088</v>
      </c>
      <c r="CU956" s="1" t="s">
        <v>8083</v>
      </c>
      <c r="CV956" s="1" t="s">
        <v>5782</v>
      </c>
      <c r="CW956">
        <v>106.55</v>
      </c>
      <c r="CX956">
        <v>112.1</v>
      </c>
      <c r="CY956">
        <v>109.4</v>
      </c>
      <c r="CZ956">
        <v>110</v>
      </c>
      <c r="DA956">
        <v>1</v>
      </c>
      <c r="DB956" t="s">
        <v>250</v>
      </c>
      <c r="DC956">
        <v>113</v>
      </c>
      <c r="DD956" s="1" t="s">
        <v>8089</v>
      </c>
      <c r="DE956" s="1" t="s">
        <v>8090</v>
      </c>
      <c r="DF956" t="e">
        <f>_xlfn.XLOOKUP(Table1[[#This Row],[Player ID]],Table2[feed_id],Table2[trade_status])</f>
        <v>#N/A</v>
      </c>
      <c r="DG956">
        <f>_xlfn.NUMBERVALUE(Table1[[#This Row],[predicted]])</f>
        <v>96.799298752101905</v>
      </c>
    </row>
    <row r="957" spans="1:111" x14ac:dyDescent="0.25">
      <c r="A957">
        <v>132815</v>
      </c>
      <c r="B957">
        <v>9243</v>
      </c>
      <c r="C957" t="s">
        <v>7798</v>
      </c>
      <c r="D957" t="s">
        <v>3116</v>
      </c>
      <c r="E957">
        <v>2025</v>
      </c>
      <c r="F957">
        <v>1009226</v>
      </c>
      <c r="G957" t="s">
        <v>7847</v>
      </c>
      <c r="H957" t="s">
        <v>5835</v>
      </c>
      <c r="I957" t="s">
        <v>317</v>
      </c>
      <c r="J957">
        <v>10</v>
      </c>
      <c r="K957">
        <v>66</v>
      </c>
      <c r="L957">
        <v>67</v>
      </c>
      <c r="M957">
        <v>79</v>
      </c>
      <c r="N957">
        <v>57</v>
      </c>
      <c r="O957">
        <v>78</v>
      </c>
      <c r="P957">
        <v>5</v>
      </c>
      <c r="Q957">
        <v>15</v>
      </c>
      <c r="R957">
        <v>4</v>
      </c>
      <c r="S957">
        <v>2</v>
      </c>
      <c r="T957">
        <v>0</v>
      </c>
      <c r="U957">
        <v>1</v>
      </c>
      <c r="V957">
        <v>0</v>
      </c>
      <c r="W957">
        <v>0</v>
      </c>
      <c r="X957">
        <v>0</v>
      </c>
      <c r="Y957" t="s">
        <v>113</v>
      </c>
      <c r="Z957" t="s">
        <v>877</v>
      </c>
      <c r="AA957" t="s">
        <v>7848</v>
      </c>
      <c r="AH957" t="s">
        <v>118</v>
      </c>
      <c r="AI957">
        <v>27</v>
      </c>
      <c r="AJ957">
        <v>0</v>
      </c>
      <c r="AK957">
        <v>0</v>
      </c>
      <c r="AL957">
        <v>0</v>
      </c>
      <c r="AM957">
        <v>0.22</v>
      </c>
      <c r="AN957">
        <v>0.82</v>
      </c>
      <c r="AO957">
        <v>0.57999999999999996</v>
      </c>
      <c r="AS957">
        <v>11</v>
      </c>
      <c r="AT957">
        <v>5</v>
      </c>
      <c r="AU957">
        <v>3</v>
      </c>
      <c r="AV957">
        <v>65</v>
      </c>
      <c r="AW957">
        <v>71</v>
      </c>
      <c r="AX957">
        <v>78</v>
      </c>
      <c r="AY957">
        <v>1</v>
      </c>
      <c r="AZ957" t="b">
        <v>0</v>
      </c>
      <c r="BA957">
        <v>1728</v>
      </c>
      <c r="BB957">
        <v>1559</v>
      </c>
      <c r="BC957">
        <v>6</v>
      </c>
      <c r="BD957" t="s">
        <v>7800</v>
      </c>
      <c r="BE957" s="1" t="s">
        <v>3594</v>
      </c>
      <c r="BF957">
        <v>0</v>
      </c>
      <c r="BG957">
        <v>71</v>
      </c>
      <c r="BH957">
        <v>0</v>
      </c>
      <c r="BI957" s="1" t="s">
        <v>204</v>
      </c>
      <c r="BJ957" s="1" t="s">
        <v>429</v>
      </c>
      <c r="BK957" s="1" t="s">
        <v>122</v>
      </c>
      <c r="BL957">
        <v>11.6</v>
      </c>
      <c r="BM957">
        <v>4</v>
      </c>
      <c r="BN957" s="1" t="s">
        <v>255</v>
      </c>
      <c r="BO957" s="1" t="s">
        <v>169</v>
      </c>
      <c r="BP957" s="1" t="s">
        <v>322</v>
      </c>
      <c r="BQ957">
        <v>0</v>
      </c>
      <c r="BR957">
        <v>0</v>
      </c>
      <c r="BS957" s="1" t="s">
        <v>126</v>
      </c>
      <c r="BT957" s="1" t="s">
        <v>298</v>
      </c>
      <c r="BU957" s="1" t="s">
        <v>129</v>
      </c>
      <c r="BV957">
        <v>0.4</v>
      </c>
      <c r="BW957">
        <v>0</v>
      </c>
      <c r="BX957">
        <v>0</v>
      </c>
      <c r="BY957" s="1" t="s">
        <v>129</v>
      </c>
      <c r="BZ957" s="1" t="s">
        <v>213</v>
      </c>
      <c r="CA957">
        <v>0.22</v>
      </c>
      <c r="CB957">
        <v>0.22</v>
      </c>
      <c r="CC957">
        <v>0.82</v>
      </c>
      <c r="CD957">
        <v>0.82</v>
      </c>
      <c r="CE957">
        <v>0.57999999999999996</v>
      </c>
      <c r="CF957">
        <v>0.57999999999999996</v>
      </c>
      <c r="CG957" s="1" t="s">
        <v>253</v>
      </c>
      <c r="CH957">
        <v>8.4</v>
      </c>
      <c r="CI957" s="1" t="s">
        <v>211</v>
      </c>
      <c r="CJ957" s="1" t="s">
        <v>990</v>
      </c>
      <c r="CK957" s="1" t="s">
        <v>125</v>
      </c>
      <c r="CL957" s="1" t="s">
        <v>169</v>
      </c>
      <c r="CM957">
        <v>67</v>
      </c>
      <c r="CN957" s="1" t="s">
        <v>1053</v>
      </c>
      <c r="CO957">
        <v>71</v>
      </c>
      <c r="CP957" s="1" t="s">
        <v>3430</v>
      </c>
      <c r="CQ957" s="1" t="s">
        <v>7849</v>
      </c>
      <c r="CR957" s="1" t="s">
        <v>7850</v>
      </c>
      <c r="CS957" s="1" t="s">
        <v>4221</v>
      </c>
      <c r="CT957" s="1" t="s">
        <v>7851</v>
      </c>
      <c r="CU957" s="1" t="s">
        <v>5939</v>
      </c>
      <c r="CV957" s="1" t="s">
        <v>7852</v>
      </c>
      <c r="CW957">
        <v>65.05</v>
      </c>
      <c r="CX957">
        <v>62.6</v>
      </c>
      <c r="CY957">
        <v>75.400000000000006</v>
      </c>
      <c r="CZ957">
        <v>69</v>
      </c>
      <c r="DA957">
        <v>1</v>
      </c>
      <c r="DB957" t="s">
        <v>877</v>
      </c>
      <c r="DC957">
        <v>67</v>
      </c>
      <c r="DD957" s="1" t="s">
        <v>7853</v>
      </c>
      <c r="DE957" s="1" t="s">
        <v>7854</v>
      </c>
      <c r="DF957" t="str">
        <f>_xlfn.XLOOKUP(Table1[[#This Row],[Player ID]],Table2[feed_id],Table2[trade_status])</f>
        <v>free_agent</v>
      </c>
      <c r="DG957">
        <f>_xlfn.NUMBERVALUE(Table1[[#This Row],[predicted]])</f>
        <v>55.681665782784101</v>
      </c>
    </row>
    <row r="958" spans="1:111" hidden="1" x14ac:dyDescent="0.25">
      <c r="A958">
        <v>132876</v>
      </c>
      <c r="B958">
        <v>9244</v>
      </c>
      <c r="C958" t="s">
        <v>7983</v>
      </c>
      <c r="D958" t="s">
        <v>3116</v>
      </c>
      <c r="E958">
        <v>2025</v>
      </c>
      <c r="F958">
        <v>295344</v>
      </c>
      <c r="G958" t="s">
        <v>4983</v>
      </c>
      <c r="H958" t="s">
        <v>8099</v>
      </c>
      <c r="I958" t="s">
        <v>1089</v>
      </c>
      <c r="J958">
        <v>31</v>
      </c>
      <c r="K958">
        <v>103</v>
      </c>
      <c r="L958">
        <v>127</v>
      </c>
      <c r="M958">
        <v>68</v>
      </c>
      <c r="N958">
        <v>86</v>
      </c>
      <c r="O958">
        <v>106</v>
      </c>
      <c r="P958">
        <v>15</v>
      </c>
      <c r="Q958">
        <v>2</v>
      </c>
      <c r="R958">
        <v>6</v>
      </c>
      <c r="S958">
        <v>2</v>
      </c>
      <c r="T958">
        <v>0</v>
      </c>
      <c r="U958">
        <v>0</v>
      </c>
      <c r="V958">
        <v>1</v>
      </c>
      <c r="W958">
        <v>5</v>
      </c>
      <c r="X958">
        <v>1</v>
      </c>
      <c r="Y958" t="s">
        <v>113</v>
      </c>
      <c r="Z958" t="s">
        <v>6775</v>
      </c>
      <c r="AA958" t="s">
        <v>8100</v>
      </c>
      <c r="AB958" t="s">
        <v>525</v>
      </c>
      <c r="AC958" t="s">
        <v>8101</v>
      </c>
      <c r="AE958">
        <v>0</v>
      </c>
      <c r="AH958" t="s">
        <v>155</v>
      </c>
      <c r="AI958">
        <v>4</v>
      </c>
      <c r="AJ958">
        <v>7</v>
      </c>
      <c r="AK958">
        <v>67.430000000000007</v>
      </c>
      <c r="AL958">
        <v>0</v>
      </c>
      <c r="AM958">
        <v>0</v>
      </c>
      <c r="AN958">
        <v>8.1199999999999992</v>
      </c>
      <c r="AO958">
        <v>9.02</v>
      </c>
      <c r="AS958">
        <v>6</v>
      </c>
      <c r="AT958">
        <v>3</v>
      </c>
      <c r="AU958">
        <v>2</v>
      </c>
      <c r="AV958">
        <v>76</v>
      </c>
      <c r="AW958">
        <v>91</v>
      </c>
      <c r="AX958">
        <v>576</v>
      </c>
      <c r="AY958">
        <v>0</v>
      </c>
      <c r="AZ958" t="b">
        <v>0</v>
      </c>
      <c r="BA958">
        <v>1473</v>
      </c>
      <c r="BB958">
        <v>1816</v>
      </c>
      <c r="BC958">
        <v>6</v>
      </c>
      <c r="BD958" t="s">
        <v>8080</v>
      </c>
      <c r="BE958" s="1" t="s">
        <v>3594</v>
      </c>
      <c r="BF958">
        <v>1</v>
      </c>
      <c r="BG958">
        <v>71</v>
      </c>
      <c r="BH958">
        <v>1</v>
      </c>
      <c r="BI958">
        <v>14</v>
      </c>
      <c r="BJ958" s="1" t="s">
        <v>356</v>
      </c>
      <c r="BK958">
        <v>6</v>
      </c>
      <c r="BL958" s="1" t="s">
        <v>587</v>
      </c>
      <c r="BM958" s="1" t="s">
        <v>124</v>
      </c>
      <c r="BN958">
        <v>4</v>
      </c>
      <c r="BO958">
        <v>3</v>
      </c>
      <c r="BP958" s="1" t="s">
        <v>431</v>
      </c>
      <c r="BQ958">
        <v>0</v>
      </c>
      <c r="BR958">
        <v>0</v>
      </c>
      <c r="BS958" s="1" t="s">
        <v>128</v>
      </c>
      <c r="BT958" s="1" t="s">
        <v>327</v>
      </c>
      <c r="BU958" s="1" t="s">
        <v>128</v>
      </c>
      <c r="BV958">
        <v>1.2</v>
      </c>
      <c r="BW958" s="1" t="s">
        <v>138</v>
      </c>
      <c r="BX958">
        <v>2.4</v>
      </c>
      <c r="BY958" s="1" t="s">
        <v>128</v>
      </c>
      <c r="BZ958">
        <v>1.4</v>
      </c>
      <c r="CA958">
        <v>0</v>
      </c>
      <c r="CB958">
        <v>0</v>
      </c>
      <c r="CC958">
        <v>8.1199999999999992</v>
      </c>
      <c r="CD958">
        <v>8.1199999999999992</v>
      </c>
      <c r="CE958">
        <v>9.02</v>
      </c>
      <c r="CF958">
        <v>9.02</v>
      </c>
      <c r="CG958" s="1" t="s">
        <v>253</v>
      </c>
      <c r="CH958" s="1" t="s">
        <v>964</v>
      </c>
      <c r="CI958" s="1" t="s">
        <v>169</v>
      </c>
      <c r="CJ958">
        <v>2</v>
      </c>
      <c r="CK958" s="1" t="s">
        <v>125</v>
      </c>
      <c r="CL958" s="1" t="s">
        <v>766</v>
      </c>
      <c r="CM958">
        <v>70</v>
      </c>
      <c r="CN958">
        <v>65</v>
      </c>
      <c r="CO958" s="1" t="s">
        <v>310</v>
      </c>
      <c r="CP958" s="1" t="s">
        <v>1054</v>
      </c>
      <c r="CQ958" s="1" t="s">
        <v>8102</v>
      </c>
      <c r="CR958" s="1" t="s">
        <v>8103</v>
      </c>
      <c r="CS958" s="1" t="s">
        <v>8082</v>
      </c>
      <c r="CT958">
        <v>1750.8</v>
      </c>
      <c r="CU958" s="1" t="s">
        <v>8083</v>
      </c>
      <c r="CV958" s="1" t="s">
        <v>8104</v>
      </c>
      <c r="CW958">
        <v>86.4</v>
      </c>
      <c r="CX958">
        <v>83.8</v>
      </c>
      <c r="CY958">
        <v>109.6</v>
      </c>
      <c r="CZ958" s="1" t="s">
        <v>3968</v>
      </c>
      <c r="DA958">
        <v>1</v>
      </c>
      <c r="DB958" t="s">
        <v>6775</v>
      </c>
      <c r="DC958">
        <v>127</v>
      </c>
      <c r="DD958">
        <v>87.596341654998099</v>
      </c>
      <c r="DE958">
        <v>39.403658345001901</v>
      </c>
      <c r="DF958" t="e">
        <f>_xlfn.XLOOKUP(Table1[[#This Row],[Player ID]],Table2[feed_id],Table2[trade_status])</f>
        <v>#N/A</v>
      </c>
      <c r="DG958">
        <f>_xlfn.NUMBERVALUE(Table1[[#This Row],[predicted]])</f>
        <v>87.596341654998099</v>
      </c>
    </row>
    <row r="959" spans="1:111" x14ac:dyDescent="0.25">
      <c r="A959">
        <v>132734</v>
      </c>
      <c r="B959">
        <v>9241</v>
      </c>
      <c r="C959" t="s">
        <v>7418</v>
      </c>
      <c r="D959" t="s">
        <v>3116</v>
      </c>
      <c r="E959">
        <v>2025</v>
      </c>
      <c r="F959">
        <v>281078</v>
      </c>
      <c r="G959" t="s">
        <v>1464</v>
      </c>
      <c r="H959" t="s">
        <v>890</v>
      </c>
      <c r="I959" t="s">
        <v>712</v>
      </c>
      <c r="J959">
        <v>3</v>
      </c>
      <c r="K959">
        <v>37</v>
      </c>
      <c r="L959">
        <v>40</v>
      </c>
      <c r="M959">
        <v>49</v>
      </c>
      <c r="N959">
        <v>30</v>
      </c>
      <c r="O959">
        <v>42</v>
      </c>
      <c r="P959">
        <v>7</v>
      </c>
      <c r="Q959">
        <v>3</v>
      </c>
      <c r="R959">
        <v>3</v>
      </c>
      <c r="S959">
        <v>1</v>
      </c>
      <c r="T959">
        <v>0</v>
      </c>
      <c r="U959">
        <v>0</v>
      </c>
      <c r="V959">
        <v>1</v>
      </c>
      <c r="W959">
        <v>0</v>
      </c>
      <c r="X959">
        <v>0</v>
      </c>
      <c r="Y959" t="s">
        <v>113</v>
      </c>
      <c r="Z959" t="s">
        <v>179</v>
      </c>
      <c r="AA959" t="s">
        <v>7486</v>
      </c>
      <c r="AE959">
        <v>0</v>
      </c>
      <c r="AH959" t="s">
        <v>181</v>
      </c>
      <c r="AI959">
        <v>19</v>
      </c>
      <c r="AJ959">
        <v>17</v>
      </c>
      <c r="AK959">
        <v>52.06</v>
      </c>
      <c r="AL959">
        <v>0</v>
      </c>
      <c r="AM959">
        <v>0</v>
      </c>
      <c r="AN959">
        <v>0.24</v>
      </c>
      <c r="AO959">
        <v>0.55000000000000004</v>
      </c>
      <c r="AS959">
        <v>3</v>
      </c>
      <c r="AT959">
        <v>0</v>
      </c>
      <c r="AU959">
        <v>3</v>
      </c>
      <c r="AV959">
        <v>60</v>
      </c>
      <c r="AW959">
        <v>100</v>
      </c>
      <c r="AX959">
        <v>226</v>
      </c>
      <c r="AY959">
        <v>0</v>
      </c>
      <c r="AZ959" t="b">
        <v>0</v>
      </c>
      <c r="BA959">
        <v>1780</v>
      </c>
      <c r="BB959">
        <v>1518</v>
      </c>
      <c r="BC959">
        <v>6</v>
      </c>
      <c r="BD959" t="s">
        <v>7420</v>
      </c>
      <c r="BE959" s="1" t="s">
        <v>3594</v>
      </c>
      <c r="BF959">
        <v>0</v>
      </c>
      <c r="BG959">
        <v>71</v>
      </c>
      <c r="BH959">
        <v>0</v>
      </c>
      <c r="BI959" s="1" t="s">
        <v>204</v>
      </c>
      <c r="BJ959" s="1" t="s">
        <v>545</v>
      </c>
      <c r="BK959">
        <v>3</v>
      </c>
      <c r="BL959" s="1" t="s">
        <v>322</v>
      </c>
      <c r="BM959" s="1" t="s">
        <v>125</v>
      </c>
      <c r="BN959" s="1" t="s">
        <v>781</v>
      </c>
      <c r="BO959">
        <v>1</v>
      </c>
      <c r="BP959">
        <v>0.6</v>
      </c>
      <c r="BQ959">
        <v>0</v>
      </c>
      <c r="BR959">
        <v>0</v>
      </c>
      <c r="BS959" s="1" t="s">
        <v>129</v>
      </c>
      <c r="BT959" s="1" t="s">
        <v>128</v>
      </c>
      <c r="BU959" s="1" t="s">
        <v>129</v>
      </c>
      <c r="BV959">
        <v>0.6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0.24</v>
      </c>
      <c r="CD959">
        <v>0.24</v>
      </c>
      <c r="CE959">
        <v>0.55000000000000004</v>
      </c>
      <c r="CF959">
        <v>0.55000000000000004</v>
      </c>
      <c r="CG959" s="1" t="s">
        <v>159</v>
      </c>
      <c r="CH959">
        <v>3.6</v>
      </c>
      <c r="CI959">
        <v>0</v>
      </c>
      <c r="CJ959">
        <v>6.6666666666666596E-2</v>
      </c>
      <c r="CK959">
        <v>1</v>
      </c>
      <c r="CL959" s="1" t="s">
        <v>275</v>
      </c>
      <c r="CM959" s="1" t="s">
        <v>268</v>
      </c>
      <c r="CN959" s="1" t="s">
        <v>6897</v>
      </c>
      <c r="CO959">
        <v>91</v>
      </c>
      <c r="CP959">
        <v>93.4</v>
      </c>
      <c r="CQ959">
        <v>188</v>
      </c>
      <c r="CR959" s="1" t="s">
        <v>7487</v>
      </c>
      <c r="CS959" s="1" t="s">
        <v>664</v>
      </c>
      <c r="CT959">
        <v>1659.2</v>
      </c>
      <c r="CU959" s="1" t="s">
        <v>3948</v>
      </c>
      <c r="CV959" s="1" t="s">
        <v>942</v>
      </c>
      <c r="CW959">
        <v>67.95</v>
      </c>
      <c r="CX959">
        <v>58.1</v>
      </c>
      <c r="CY959">
        <v>46.4</v>
      </c>
      <c r="CZ959" s="1" t="s">
        <v>2953</v>
      </c>
      <c r="DA959">
        <v>1</v>
      </c>
      <c r="DB959" t="s">
        <v>179</v>
      </c>
      <c r="DC959">
        <v>40</v>
      </c>
      <c r="DD959" s="1" t="s">
        <v>7488</v>
      </c>
      <c r="DE959">
        <v>-15.5395800482742</v>
      </c>
      <c r="DF959" t="str">
        <f>_xlfn.XLOOKUP(Table1[[#This Row],[Player ID]],Table2[feed_id],Table2[trade_status])</f>
        <v>free_agent</v>
      </c>
      <c r="DG959">
        <f>_xlfn.NUMBERVALUE(Table1[[#This Row],[predicted]])</f>
        <v>55.539580048274203</v>
      </c>
    </row>
    <row r="960" spans="1:111" hidden="1" x14ac:dyDescent="0.25">
      <c r="A960">
        <v>132878</v>
      </c>
      <c r="B960">
        <v>9244</v>
      </c>
      <c r="C960" t="s">
        <v>7983</v>
      </c>
      <c r="D960" t="s">
        <v>3116</v>
      </c>
      <c r="E960">
        <v>2025</v>
      </c>
      <c r="F960">
        <v>296347</v>
      </c>
      <c r="G960" t="s">
        <v>1318</v>
      </c>
      <c r="H960" t="s">
        <v>1786</v>
      </c>
      <c r="I960" t="s">
        <v>1089</v>
      </c>
      <c r="J960">
        <v>19</v>
      </c>
      <c r="K960">
        <v>93</v>
      </c>
      <c r="L960">
        <v>115</v>
      </c>
      <c r="M960">
        <v>63</v>
      </c>
      <c r="N960">
        <v>71</v>
      </c>
      <c r="O960">
        <v>105</v>
      </c>
      <c r="P960">
        <v>14</v>
      </c>
      <c r="Q960">
        <v>14</v>
      </c>
      <c r="R960">
        <v>2</v>
      </c>
      <c r="S960">
        <v>5</v>
      </c>
      <c r="T960">
        <v>0</v>
      </c>
      <c r="U960">
        <v>0</v>
      </c>
      <c r="V960">
        <v>1</v>
      </c>
      <c r="W960">
        <v>0</v>
      </c>
      <c r="X960">
        <v>0</v>
      </c>
      <c r="Y960" t="s">
        <v>113</v>
      </c>
      <c r="Z960" t="s">
        <v>8112</v>
      </c>
      <c r="AA960" t="s">
        <v>8113</v>
      </c>
      <c r="AE960">
        <v>0</v>
      </c>
      <c r="AH960" t="s">
        <v>118</v>
      </c>
      <c r="AI960">
        <v>22</v>
      </c>
      <c r="AJ960">
        <v>14</v>
      </c>
      <c r="AK960">
        <v>111.36</v>
      </c>
      <c r="AL960">
        <v>0</v>
      </c>
      <c r="AM960">
        <v>0</v>
      </c>
      <c r="AN960">
        <v>1.85</v>
      </c>
      <c r="AO960">
        <v>1.1599999999999999</v>
      </c>
      <c r="AS960">
        <v>15</v>
      </c>
      <c r="AT960">
        <v>3</v>
      </c>
      <c r="AU960">
        <v>5</v>
      </c>
      <c r="AV960">
        <v>50</v>
      </c>
      <c r="AW960">
        <v>85</v>
      </c>
      <c r="AX960">
        <v>260</v>
      </c>
      <c r="AY960">
        <v>0</v>
      </c>
      <c r="AZ960" t="b">
        <v>0</v>
      </c>
      <c r="BA960">
        <v>1473</v>
      </c>
      <c r="BB960">
        <v>1816</v>
      </c>
      <c r="BC960">
        <v>6</v>
      </c>
      <c r="BD960" t="s">
        <v>8080</v>
      </c>
      <c r="BE960" s="1" t="s">
        <v>3594</v>
      </c>
      <c r="BF960">
        <v>1</v>
      </c>
      <c r="BG960">
        <v>71</v>
      </c>
      <c r="BH960">
        <v>1</v>
      </c>
      <c r="BI960">
        <v>11</v>
      </c>
      <c r="BJ960" s="1" t="s">
        <v>276</v>
      </c>
      <c r="BK960" s="1" t="s">
        <v>5109</v>
      </c>
      <c r="BL960" s="1" t="s">
        <v>623</v>
      </c>
      <c r="BM960">
        <v>3</v>
      </c>
      <c r="BN960" s="1" t="s">
        <v>138</v>
      </c>
      <c r="BO960">
        <v>5</v>
      </c>
      <c r="BP960">
        <v>4.4000000000000004</v>
      </c>
      <c r="BQ960">
        <v>0</v>
      </c>
      <c r="BR960">
        <v>0</v>
      </c>
      <c r="BS960" s="1" t="s">
        <v>128</v>
      </c>
      <c r="BT960" s="1" t="s">
        <v>129</v>
      </c>
      <c r="BU960" s="1" t="s">
        <v>126</v>
      </c>
      <c r="BV960" s="1" t="s">
        <v>162</v>
      </c>
      <c r="BW960">
        <v>0</v>
      </c>
      <c r="BX960">
        <v>0.4</v>
      </c>
      <c r="BY960">
        <v>0</v>
      </c>
      <c r="BZ960" s="1" t="s">
        <v>184</v>
      </c>
      <c r="CA960">
        <v>0</v>
      </c>
      <c r="CB960">
        <v>0</v>
      </c>
      <c r="CC960">
        <v>1.85</v>
      </c>
      <c r="CD960">
        <v>1.85</v>
      </c>
      <c r="CE960">
        <v>1.1599999999999999</v>
      </c>
      <c r="CF960">
        <v>1.1599999999999999</v>
      </c>
      <c r="CG960" s="1" t="s">
        <v>157</v>
      </c>
      <c r="CH960" s="1" t="s">
        <v>137</v>
      </c>
      <c r="CI960" s="1" t="s">
        <v>138</v>
      </c>
      <c r="CJ960" s="1" t="s">
        <v>640</v>
      </c>
      <c r="CK960">
        <v>4</v>
      </c>
      <c r="CL960">
        <v>3</v>
      </c>
      <c r="CM960" s="1" t="s">
        <v>417</v>
      </c>
      <c r="CN960">
        <v>70.2</v>
      </c>
      <c r="CO960">
        <v>83</v>
      </c>
      <c r="CP960">
        <v>84.2</v>
      </c>
      <c r="CQ960" s="1" t="s">
        <v>8114</v>
      </c>
      <c r="CR960" s="1" t="s">
        <v>8115</v>
      </c>
      <c r="CS960" s="1" t="s">
        <v>8082</v>
      </c>
      <c r="CT960">
        <v>1698.8</v>
      </c>
      <c r="CU960" s="1" t="s">
        <v>8083</v>
      </c>
      <c r="CV960" s="1" t="s">
        <v>6970</v>
      </c>
      <c r="CW960">
        <v>97.75</v>
      </c>
      <c r="CX960">
        <v>93.4</v>
      </c>
      <c r="CY960">
        <v>105.4</v>
      </c>
      <c r="CZ960" s="1" t="s">
        <v>4262</v>
      </c>
      <c r="DA960">
        <v>1</v>
      </c>
      <c r="DB960" t="s">
        <v>8112</v>
      </c>
      <c r="DC960">
        <v>115</v>
      </c>
      <c r="DD960" s="1" t="s">
        <v>8116</v>
      </c>
      <c r="DE960" s="1" t="s">
        <v>8117</v>
      </c>
      <c r="DF960" t="e">
        <f>_xlfn.XLOOKUP(Table1[[#This Row],[Player ID]],Table2[feed_id],Table2[trade_status])</f>
        <v>#N/A</v>
      </c>
      <c r="DG960">
        <f>_xlfn.NUMBERVALUE(Table1[[#This Row],[predicted]])</f>
        <v>99.642934725372896</v>
      </c>
    </row>
    <row r="961" spans="1:111" hidden="1" x14ac:dyDescent="0.25">
      <c r="A961">
        <v>132879</v>
      </c>
      <c r="B961">
        <v>9244</v>
      </c>
      <c r="C961" t="s">
        <v>7983</v>
      </c>
      <c r="D961" t="s">
        <v>3116</v>
      </c>
      <c r="E961">
        <v>2025</v>
      </c>
      <c r="F961">
        <v>1008436</v>
      </c>
      <c r="G961" t="s">
        <v>2920</v>
      </c>
      <c r="H961" t="s">
        <v>8118</v>
      </c>
      <c r="I961" t="s">
        <v>1089</v>
      </c>
      <c r="J961">
        <v>27</v>
      </c>
      <c r="K961">
        <v>87</v>
      </c>
      <c r="L961">
        <v>84</v>
      </c>
      <c r="M961">
        <v>77</v>
      </c>
      <c r="N961">
        <v>76</v>
      </c>
      <c r="O961">
        <v>93</v>
      </c>
      <c r="P961">
        <v>7</v>
      </c>
      <c r="Q961">
        <v>5</v>
      </c>
      <c r="R961">
        <v>3</v>
      </c>
      <c r="S961">
        <v>4</v>
      </c>
      <c r="T961">
        <v>36</v>
      </c>
      <c r="U961">
        <v>1</v>
      </c>
      <c r="V961">
        <v>2</v>
      </c>
      <c r="W961">
        <v>0</v>
      </c>
      <c r="X961">
        <v>0</v>
      </c>
      <c r="Y961" t="s">
        <v>113</v>
      </c>
      <c r="Z961" t="s">
        <v>602</v>
      </c>
      <c r="AA961" t="s">
        <v>8119</v>
      </c>
      <c r="AH961" t="s">
        <v>274</v>
      </c>
      <c r="AI961">
        <v>32</v>
      </c>
      <c r="AJ961">
        <v>0</v>
      </c>
      <c r="AK961">
        <v>0</v>
      </c>
      <c r="AL961">
        <v>0</v>
      </c>
      <c r="AM961">
        <v>0.97</v>
      </c>
      <c r="AN961">
        <v>1.8</v>
      </c>
      <c r="AO961">
        <v>2.06</v>
      </c>
      <c r="AS961">
        <v>10</v>
      </c>
      <c r="AT961">
        <v>4</v>
      </c>
      <c r="AU961">
        <v>5</v>
      </c>
      <c r="AV961">
        <v>75</v>
      </c>
      <c r="AW961">
        <v>77</v>
      </c>
      <c r="AX961">
        <v>216</v>
      </c>
      <c r="AY961">
        <v>0</v>
      </c>
      <c r="AZ961" t="b">
        <v>0</v>
      </c>
      <c r="BA961">
        <v>1473</v>
      </c>
      <c r="BB961">
        <v>1816</v>
      </c>
      <c r="BC961">
        <v>6</v>
      </c>
      <c r="BD961" t="s">
        <v>8080</v>
      </c>
      <c r="BE961" s="1" t="s">
        <v>3594</v>
      </c>
      <c r="BF961">
        <v>0</v>
      </c>
      <c r="BG961">
        <v>71</v>
      </c>
      <c r="BH961">
        <v>1</v>
      </c>
      <c r="BI961">
        <v>6</v>
      </c>
      <c r="BJ961">
        <v>6.2</v>
      </c>
      <c r="BK961">
        <v>8</v>
      </c>
      <c r="BL961" s="1" t="s">
        <v>430</v>
      </c>
      <c r="BM961" s="1" t="s">
        <v>169</v>
      </c>
      <c r="BN961">
        <v>2.4</v>
      </c>
      <c r="BO961" s="1" t="s">
        <v>211</v>
      </c>
      <c r="BP961" s="1" t="s">
        <v>229</v>
      </c>
      <c r="BQ961" s="1" t="s">
        <v>4138</v>
      </c>
      <c r="BR961">
        <v>32.799999999999997</v>
      </c>
      <c r="BS961" s="1" t="s">
        <v>161</v>
      </c>
      <c r="BT961" s="1" t="s">
        <v>298</v>
      </c>
      <c r="BU961" s="1" t="s">
        <v>161</v>
      </c>
      <c r="BV961" s="1" t="s">
        <v>298</v>
      </c>
      <c r="BW961">
        <v>0</v>
      </c>
      <c r="BX961">
        <v>0.2</v>
      </c>
      <c r="BY961">
        <v>0</v>
      </c>
      <c r="BZ961" s="1" t="s">
        <v>129</v>
      </c>
      <c r="CA961">
        <v>0.97</v>
      </c>
      <c r="CB961">
        <v>0.97</v>
      </c>
      <c r="CC961">
        <v>1.8</v>
      </c>
      <c r="CD961">
        <v>1.8</v>
      </c>
      <c r="CE961">
        <v>2.06</v>
      </c>
      <c r="CF961">
        <v>2.06</v>
      </c>
      <c r="CG961" s="1" t="s">
        <v>1008</v>
      </c>
      <c r="CH961" s="1" t="s">
        <v>137</v>
      </c>
      <c r="CI961" s="1" t="s">
        <v>160</v>
      </c>
      <c r="CJ961">
        <v>4.5999999999999996</v>
      </c>
      <c r="CK961">
        <v>4</v>
      </c>
      <c r="CL961">
        <v>3.6</v>
      </c>
      <c r="CM961">
        <v>67</v>
      </c>
      <c r="CN961">
        <v>66</v>
      </c>
      <c r="CO961" s="1" t="s">
        <v>683</v>
      </c>
      <c r="CP961">
        <v>71.599999999999994</v>
      </c>
      <c r="CQ961">
        <v>169</v>
      </c>
      <c r="CR961" s="1" t="s">
        <v>7695</v>
      </c>
      <c r="CS961" s="1" t="s">
        <v>8082</v>
      </c>
      <c r="CT961" s="1" t="s">
        <v>8120</v>
      </c>
      <c r="CU961" s="1" t="s">
        <v>8083</v>
      </c>
      <c r="CV961">
        <v>1538.2</v>
      </c>
      <c r="CW961">
        <v>93.15</v>
      </c>
      <c r="CX961">
        <v>88</v>
      </c>
      <c r="CY961">
        <v>81.2</v>
      </c>
      <c r="CZ961" s="1" t="s">
        <v>3951</v>
      </c>
      <c r="DA961">
        <v>1</v>
      </c>
      <c r="DB961" t="s">
        <v>602</v>
      </c>
      <c r="DC961">
        <v>84</v>
      </c>
      <c r="DD961" s="1" t="s">
        <v>8121</v>
      </c>
      <c r="DE961">
        <v>-13.930136485985701</v>
      </c>
      <c r="DF961" t="e">
        <f>_xlfn.XLOOKUP(Table1[[#This Row],[Player ID]],Table2[feed_id],Table2[trade_status])</f>
        <v>#N/A</v>
      </c>
      <c r="DG961">
        <f>_xlfn.NUMBERVALUE(Table1[[#This Row],[predicted]])</f>
        <v>97.930136485985699</v>
      </c>
    </row>
    <row r="962" spans="1:111" hidden="1" x14ac:dyDescent="0.25">
      <c r="A962">
        <v>132880</v>
      </c>
      <c r="B962">
        <v>9244</v>
      </c>
      <c r="C962" t="s">
        <v>7983</v>
      </c>
      <c r="D962" t="s">
        <v>3116</v>
      </c>
      <c r="E962">
        <v>2025</v>
      </c>
      <c r="F962">
        <v>294305</v>
      </c>
      <c r="G962" t="s">
        <v>4008</v>
      </c>
      <c r="H962" t="s">
        <v>8122</v>
      </c>
      <c r="I962" t="s">
        <v>1089</v>
      </c>
      <c r="J962">
        <v>10</v>
      </c>
      <c r="K962">
        <v>86</v>
      </c>
      <c r="L962">
        <v>86</v>
      </c>
      <c r="M962">
        <v>41</v>
      </c>
      <c r="N962">
        <v>66</v>
      </c>
      <c r="O962">
        <v>93</v>
      </c>
      <c r="P962">
        <v>18</v>
      </c>
      <c r="Q962">
        <v>6</v>
      </c>
      <c r="R962">
        <v>5</v>
      </c>
      <c r="S962">
        <v>2</v>
      </c>
      <c r="T962">
        <v>0</v>
      </c>
      <c r="U962">
        <v>0</v>
      </c>
      <c r="V962">
        <v>1</v>
      </c>
      <c r="W962">
        <v>0</v>
      </c>
      <c r="X962">
        <v>0</v>
      </c>
      <c r="Y962" t="s">
        <v>113</v>
      </c>
      <c r="Z962" t="s">
        <v>226</v>
      </c>
      <c r="AA962" t="s">
        <v>6990</v>
      </c>
      <c r="AE962">
        <v>0</v>
      </c>
      <c r="AH962" t="s">
        <v>118</v>
      </c>
      <c r="AI962">
        <v>6</v>
      </c>
      <c r="AJ962">
        <v>21</v>
      </c>
      <c r="AK962">
        <v>102.43</v>
      </c>
      <c r="AL962">
        <v>0</v>
      </c>
      <c r="AM962">
        <v>0</v>
      </c>
      <c r="AN962">
        <v>2.21</v>
      </c>
      <c r="AO962">
        <v>2.98</v>
      </c>
      <c r="AS962">
        <v>5</v>
      </c>
      <c r="AT962">
        <v>1</v>
      </c>
      <c r="AU962">
        <v>3</v>
      </c>
      <c r="AV962">
        <v>79</v>
      </c>
      <c r="AW962">
        <v>85</v>
      </c>
      <c r="AX962">
        <v>412</v>
      </c>
      <c r="AY962">
        <v>0</v>
      </c>
      <c r="AZ962" t="b">
        <v>0</v>
      </c>
      <c r="BA962">
        <v>1473</v>
      </c>
      <c r="BB962">
        <v>1816</v>
      </c>
      <c r="BC962">
        <v>6</v>
      </c>
      <c r="BD962" t="s">
        <v>8080</v>
      </c>
      <c r="BE962" s="1" t="s">
        <v>3594</v>
      </c>
      <c r="BF962">
        <v>0</v>
      </c>
      <c r="BG962">
        <v>71</v>
      </c>
      <c r="BH962">
        <v>1</v>
      </c>
      <c r="BI962" s="1" t="s">
        <v>2213</v>
      </c>
      <c r="BJ962" s="1" t="s">
        <v>4266</v>
      </c>
      <c r="BK962" s="1" t="s">
        <v>545</v>
      </c>
      <c r="BL962">
        <v>10.8</v>
      </c>
      <c r="BM962" s="1" t="s">
        <v>253</v>
      </c>
      <c r="BN962">
        <v>7.4</v>
      </c>
      <c r="BO962" s="1" t="s">
        <v>169</v>
      </c>
      <c r="BP962" s="1" t="s">
        <v>237</v>
      </c>
      <c r="BQ962">
        <v>0</v>
      </c>
      <c r="BR962">
        <v>0</v>
      </c>
      <c r="BS962" s="1" t="s">
        <v>129</v>
      </c>
      <c r="BT962" s="1" t="s">
        <v>128</v>
      </c>
      <c r="BU962">
        <v>1</v>
      </c>
      <c r="BV962" s="1" t="s">
        <v>126</v>
      </c>
      <c r="BW962">
        <v>0</v>
      </c>
      <c r="BX962">
        <v>0</v>
      </c>
      <c r="BY962" s="1" t="s">
        <v>129</v>
      </c>
      <c r="BZ962">
        <v>6.6666666666666596E-2</v>
      </c>
      <c r="CA962">
        <v>0</v>
      </c>
      <c r="CB962">
        <v>0</v>
      </c>
      <c r="CC962">
        <v>2.21</v>
      </c>
      <c r="CD962">
        <v>2.21</v>
      </c>
      <c r="CE962">
        <v>2.98</v>
      </c>
      <c r="CF962">
        <v>2.98</v>
      </c>
      <c r="CG962" s="1" t="s">
        <v>449</v>
      </c>
      <c r="CH962">
        <v>6</v>
      </c>
      <c r="CI962" s="1" t="s">
        <v>126</v>
      </c>
      <c r="CJ962" s="1" t="s">
        <v>206</v>
      </c>
      <c r="CK962" s="1" t="s">
        <v>125</v>
      </c>
      <c r="CL962">
        <v>3.4</v>
      </c>
      <c r="CM962" s="1" t="s">
        <v>261</v>
      </c>
      <c r="CN962">
        <v>81.400000000000006</v>
      </c>
      <c r="CO962">
        <v>81</v>
      </c>
      <c r="CP962" s="1" t="s">
        <v>573</v>
      </c>
      <c r="CQ962" s="1" t="s">
        <v>8123</v>
      </c>
      <c r="CR962" s="1" t="s">
        <v>8124</v>
      </c>
      <c r="CS962" s="1" t="s">
        <v>8082</v>
      </c>
      <c r="CT962">
        <v>1750.8</v>
      </c>
      <c r="CU962" s="1" t="s">
        <v>8083</v>
      </c>
      <c r="CV962" s="1" t="s">
        <v>8104</v>
      </c>
      <c r="CW962">
        <v>115.1</v>
      </c>
      <c r="CX962">
        <v>112.7</v>
      </c>
      <c r="CY962">
        <v>116.4</v>
      </c>
      <c r="CZ962" s="1" t="s">
        <v>4279</v>
      </c>
      <c r="DA962">
        <v>1</v>
      </c>
      <c r="DB962" t="s">
        <v>226</v>
      </c>
      <c r="DC962">
        <v>86</v>
      </c>
      <c r="DD962" s="1" t="s">
        <v>8125</v>
      </c>
      <c r="DE962">
        <v>-43.607759507611703</v>
      </c>
      <c r="DF962" t="e">
        <f>_xlfn.XLOOKUP(Table1[[#This Row],[Player ID]],Table2[feed_id],Table2[trade_status])</f>
        <v>#N/A</v>
      </c>
      <c r="DG962">
        <f>_xlfn.NUMBERVALUE(Table1[[#This Row],[predicted]])</f>
        <v>129.60775950761101</v>
      </c>
    </row>
    <row r="963" spans="1:111" hidden="1" x14ac:dyDescent="0.25">
      <c r="A963">
        <v>132881</v>
      </c>
      <c r="B963">
        <v>9244</v>
      </c>
      <c r="C963" t="s">
        <v>7983</v>
      </c>
      <c r="D963" t="s">
        <v>3116</v>
      </c>
      <c r="E963">
        <v>2025</v>
      </c>
      <c r="F963">
        <v>1023266</v>
      </c>
      <c r="G963" t="s">
        <v>8126</v>
      </c>
      <c r="H963" t="s">
        <v>8127</v>
      </c>
      <c r="I963" t="s">
        <v>1089</v>
      </c>
      <c r="J963">
        <v>14</v>
      </c>
      <c r="K963">
        <v>79</v>
      </c>
      <c r="L963">
        <v>82</v>
      </c>
      <c r="M963">
        <v>57</v>
      </c>
      <c r="N963">
        <v>64</v>
      </c>
      <c r="O963">
        <v>94</v>
      </c>
      <c r="P963">
        <v>11</v>
      </c>
      <c r="Q963">
        <v>13</v>
      </c>
      <c r="R963">
        <v>3</v>
      </c>
      <c r="S963">
        <v>4</v>
      </c>
      <c r="T963">
        <v>0</v>
      </c>
      <c r="U963">
        <v>0</v>
      </c>
      <c r="V963">
        <v>2</v>
      </c>
      <c r="W963">
        <v>0</v>
      </c>
      <c r="X963">
        <v>1</v>
      </c>
      <c r="Y963" t="s">
        <v>113</v>
      </c>
      <c r="Z963" t="s">
        <v>877</v>
      </c>
      <c r="AA963" t="s">
        <v>8128</v>
      </c>
      <c r="AH963" t="s">
        <v>118</v>
      </c>
      <c r="AI963">
        <v>17</v>
      </c>
      <c r="AJ963">
        <v>0</v>
      </c>
      <c r="AK963">
        <v>0</v>
      </c>
      <c r="AL963">
        <v>0</v>
      </c>
      <c r="AM963">
        <v>1.59</v>
      </c>
      <c r="AN963">
        <v>1.1399999999999999</v>
      </c>
      <c r="AO963">
        <v>1.36</v>
      </c>
      <c r="AS963">
        <v>5</v>
      </c>
      <c r="AT963">
        <v>3</v>
      </c>
      <c r="AU963">
        <v>4</v>
      </c>
      <c r="AV963">
        <v>75</v>
      </c>
      <c r="AW963">
        <v>76</v>
      </c>
      <c r="AX963">
        <v>350</v>
      </c>
      <c r="AY963">
        <v>0</v>
      </c>
      <c r="AZ963" t="b">
        <v>0</v>
      </c>
      <c r="BA963">
        <v>1473</v>
      </c>
      <c r="BB963">
        <v>1816</v>
      </c>
      <c r="BC963">
        <v>6</v>
      </c>
      <c r="BD963" t="s">
        <v>8080</v>
      </c>
      <c r="BE963" s="1" t="s">
        <v>3594</v>
      </c>
      <c r="BF963">
        <v>0</v>
      </c>
      <c r="BG963">
        <v>71</v>
      </c>
      <c r="BH963">
        <v>1</v>
      </c>
      <c r="BI963" s="1" t="s">
        <v>276</v>
      </c>
      <c r="BJ963" s="1" t="s">
        <v>157</v>
      </c>
      <c r="BK963" s="1" t="s">
        <v>276</v>
      </c>
      <c r="BL963" s="1" t="s">
        <v>1817</v>
      </c>
      <c r="BM963" s="1" t="s">
        <v>159</v>
      </c>
      <c r="BN963" s="1" t="s">
        <v>237</v>
      </c>
      <c r="BO963">
        <v>3</v>
      </c>
      <c r="BP963" s="1" t="s">
        <v>169</v>
      </c>
      <c r="BQ963">
        <v>0</v>
      </c>
      <c r="BR963">
        <v>0</v>
      </c>
      <c r="BS963">
        <v>0</v>
      </c>
      <c r="BT963" s="1" t="s">
        <v>231</v>
      </c>
      <c r="BU963" s="1" t="s">
        <v>159</v>
      </c>
      <c r="BV963" s="1" t="s">
        <v>257</v>
      </c>
      <c r="BW963">
        <v>0</v>
      </c>
      <c r="BX963">
        <v>0.2</v>
      </c>
      <c r="BY963" s="1" t="s">
        <v>126</v>
      </c>
      <c r="BZ963" s="1" t="s">
        <v>128</v>
      </c>
      <c r="CA963">
        <v>1.59</v>
      </c>
      <c r="CB963">
        <v>1.59</v>
      </c>
      <c r="CC963">
        <v>1.1399999999999999</v>
      </c>
      <c r="CD963">
        <v>1.1399999999999999</v>
      </c>
      <c r="CE963">
        <v>1.36</v>
      </c>
      <c r="CF963">
        <v>1.36</v>
      </c>
      <c r="CG963" s="1" t="s">
        <v>449</v>
      </c>
      <c r="CH963" s="1" t="s">
        <v>430</v>
      </c>
      <c r="CI963" s="1" t="s">
        <v>138</v>
      </c>
      <c r="CJ963" s="1" t="s">
        <v>766</v>
      </c>
      <c r="CK963" s="1" t="s">
        <v>124</v>
      </c>
      <c r="CL963" s="1" t="s">
        <v>138</v>
      </c>
      <c r="CM963">
        <v>68</v>
      </c>
      <c r="CN963" s="1" t="s">
        <v>3657</v>
      </c>
      <c r="CO963" s="1" t="s">
        <v>305</v>
      </c>
      <c r="CP963" s="1" t="s">
        <v>2386</v>
      </c>
      <c r="CQ963" s="1" t="s">
        <v>8129</v>
      </c>
      <c r="CR963" s="1" t="s">
        <v>8130</v>
      </c>
      <c r="CS963" s="1" t="s">
        <v>8082</v>
      </c>
      <c r="CT963">
        <v>1750.8</v>
      </c>
      <c r="CU963" s="1" t="s">
        <v>8083</v>
      </c>
      <c r="CV963" s="1" t="s">
        <v>8104</v>
      </c>
      <c r="CW963">
        <v>86.25</v>
      </c>
      <c r="CX963">
        <v>86.6</v>
      </c>
      <c r="CY963">
        <v>91.4</v>
      </c>
      <c r="CZ963" s="1" t="s">
        <v>822</v>
      </c>
      <c r="DA963">
        <v>1</v>
      </c>
      <c r="DB963" t="s">
        <v>877</v>
      </c>
      <c r="DC963">
        <v>82</v>
      </c>
      <c r="DD963" s="1" t="s">
        <v>8131</v>
      </c>
      <c r="DE963" s="1" t="s">
        <v>8132</v>
      </c>
      <c r="DF963" t="e">
        <f>_xlfn.XLOOKUP(Table1[[#This Row],[Player ID]],Table2[feed_id],Table2[trade_status])</f>
        <v>#N/A</v>
      </c>
      <c r="DG963">
        <f>_xlfn.NUMBERVALUE(Table1[[#This Row],[predicted]])</f>
        <v>69.744165152038605</v>
      </c>
    </row>
    <row r="964" spans="1:111" hidden="1" x14ac:dyDescent="0.25">
      <c r="A964">
        <v>132882</v>
      </c>
      <c r="B964">
        <v>9244</v>
      </c>
      <c r="C964" t="s">
        <v>7983</v>
      </c>
      <c r="D964" t="s">
        <v>3116</v>
      </c>
      <c r="E964">
        <v>2025</v>
      </c>
      <c r="F964">
        <v>1005247</v>
      </c>
      <c r="G964" t="s">
        <v>958</v>
      </c>
      <c r="H964" t="s">
        <v>1422</v>
      </c>
      <c r="I964" t="s">
        <v>1089</v>
      </c>
      <c r="J964">
        <v>13</v>
      </c>
      <c r="K964">
        <v>77</v>
      </c>
      <c r="L964">
        <v>69</v>
      </c>
      <c r="M964">
        <v>57</v>
      </c>
      <c r="N964">
        <v>65</v>
      </c>
      <c r="O964">
        <v>84</v>
      </c>
      <c r="P964">
        <v>10</v>
      </c>
      <c r="Q964">
        <v>9</v>
      </c>
      <c r="R964">
        <v>8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 t="s">
        <v>113</v>
      </c>
      <c r="Z964" t="s">
        <v>179</v>
      </c>
      <c r="AA964" t="s">
        <v>8133</v>
      </c>
      <c r="AE964">
        <v>0</v>
      </c>
      <c r="AH964" t="s">
        <v>181</v>
      </c>
      <c r="AI964">
        <v>15</v>
      </c>
      <c r="AJ964">
        <v>8</v>
      </c>
      <c r="AK964">
        <v>38.380000000000003</v>
      </c>
      <c r="AL964">
        <v>0</v>
      </c>
      <c r="AM964">
        <v>0</v>
      </c>
      <c r="AN964">
        <v>0.57999999999999996</v>
      </c>
      <c r="AO964">
        <v>0.81</v>
      </c>
      <c r="AS964">
        <v>8</v>
      </c>
      <c r="AT964">
        <v>1</v>
      </c>
      <c r="AU964">
        <v>5</v>
      </c>
      <c r="AV964">
        <v>63</v>
      </c>
      <c r="AW964">
        <v>100</v>
      </c>
      <c r="AX964">
        <v>251</v>
      </c>
      <c r="AY964">
        <v>0</v>
      </c>
      <c r="AZ964" t="b">
        <v>0</v>
      </c>
      <c r="BA964">
        <v>1473</v>
      </c>
      <c r="BB964">
        <v>1816</v>
      </c>
      <c r="BC964">
        <v>6</v>
      </c>
      <c r="BD964" t="s">
        <v>8080</v>
      </c>
      <c r="BE964" s="1" t="s">
        <v>3594</v>
      </c>
      <c r="BF964">
        <v>0</v>
      </c>
      <c r="BG964">
        <v>71</v>
      </c>
      <c r="BH964">
        <v>0</v>
      </c>
      <c r="BI964">
        <v>8</v>
      </c>
      <c r="BJ964">
        <v>6.4</v>
      </c>
      <c r="BK964" s="1" t="s">
        <v>183</v>
      </c>
      <c r="BL964">
        <v>6.8</v>
      </c>
      <c r="BM964" s="1" t="s">
        <v>397</v>
      </c>
      <c r="BN964" s="1" t="s">
        <v>229</v>
      </c>
      <c r="BO964" s="1" t="s">
        <v>128</v>
      </c>
      <c r="BP964" s="1" t="s">
        <v>275</v>
      </c>
      <c r="BQ964">
        <v>0</v>
      </c>
      <c r="BR964">
        <v>0</v>
      </c>
      <c r="BS964" s="1" t="s">
        <v>129</v>
      </c>
      <c r="BT964" s="1" t="s">
        <v>162</v>
      </c>
      <c r="BU964" s="1" t="s">
        <v>126</v>
      </c>
      <c r="BV964" s="1" t="s">
        <v>399</v>
      </c>
      <c r="BW964">
        <v>0</v>
      </c>
      <c r="BX964">
        <v>6.6666666666666596E-2</v>
      </c>
      <c r="BY964">
        <v>0</v>
      </c>
      <c r="BZ964">
        <v>0</v>
      </c>
      <c r="CA964">
        <v>0</v>
      </c>
      <c r="CB964">
        <v>0</v>
      </c>
      <c r="CC964">
        <v>0.57999999999999996</v>
      </c>
      <c r="CD964">
        <v>0.57999999999999996</v>
      </c>
      <c r="CE964">
        <v>0.81</v>
      </c>
      <c r="CF964">
        <v>0.81</v>
      </c>
      <c r="CG964">
        <v>8</v>
      </c>
      <c r="CH964" s="1" t="s">
        <v>397</v>
      </c>
      <c r="CI964" s="1" t="s">
        <v>128</v>
      </c>
      <c r="CJ964">
        <v>0.2</v>
      </c>
      <c r="CK964">
        <v>4</v>
      </c>
      <c r="CL964" s="1" t="s">
        <v>169</v>
      </c>
      <c r="CM964" s="1" t="s">
        <v>483</v>
      </c>
      <c r="CN964" s="1" t="s">
        <v>1980</v>
      </c>
      <c r="CO964">
        <v>98</v>
      </c>
      <c r="CP964">
        <v>98.6</v>
      </c>
      <c r="CQ964" s="1" t="s">
        <v>8134</v>
      </c>
      <c r="CR964">
        <v>134.80000000000001</v>
      </c>
      <c r="CS964" s="1" t="s">
        <v>8082</v>
      </c>
      <c r="CT964" s="1" t="s">
        <v>8135</v>
      </c>
      <c r="CU964" s="1" t="s">
        <v>8083</v>
      </c>
      <c r="CV964" s="1" t="s">
        <v>8136</v>
      </c>
      <c r="CW964">
        <v>70.8</v>
      </c>
      <c r="CX964">
        <v>81.3</v>
      </c>
      <c r="CY964">
        <v>85.4</v>
      </c>
      <c r="CZ964">
        <v>75</v>
      </c>
      <c r="DA964">
        <v>1</v>
      </c>
      <c r="DB964" t="s">
        <v>179</v>
      </c>
      <c r="DC964">
        <v>69</v>
      </c>
      <c r="DD964" s="1" t="s">
        <v>8137</v>
      </c>
      <c r="DE964" s="1" t="s">
        <v>8138</v>
      </c>
      <c r="DF964" t="e">
        <f>_xlfn.XLOOKUP(Table1[[#This Row],[Player ID]],Table2[feed_id],Table2[trade_status])</f>
        <v>#N/A</v>
      </c>
      <c r="DG964">
        <f>_xlfn.NUMBERVALUE(Table1[[#This Row],[predicted]])</f>
        <v>61.320316857980202</v>
      </c>
    </row>
    <row r="965" spans="1:111" x14ac:dyDescent="0.25">
      <c r="A965">
        <v>132669</v>
      </c>
      <c r="B965">
        <v>9239</v>
      </c>
      <c r="C965" t="s">
        <v>7040</v>
      </c>
      <c r="D965" t="s">
        <v>3116</v>
      </c>
      <c r="E965">
        <v>2025</v>
      </c>
      <c r="F965">
        <v>1017396</v>
      </c>
      <c r="G965" t="s">
        <v>7226</v>
      </c>
      <c r="H965" t="s">
        <v>247</v>
      </c>
      <c r="I965" t="s">
        <v>524</v>
      </c>
      <c r="J965">
        <v>2</v>
      </c>
      <c r="K965">
        <v>32</v>
      </c>
      <c r="L965">
        <v>50</v>
      </c>
      <c r="M965">
        <v>24</v>
      </c>
      <c r="N965">
        <v>28</v>
      </c>
      <c r="O965">
        <v>36</v>
      </c>
      <c r="P965">
        <v>4</v>
      </c>
      <c r="Q965">
        <v>5</v>
      </c>
      <c r="R965">
        <v>2</v>
      </c>
      <c r="S965">
        <v>1</v>
      </c>
      <c r="T965">
        <v>0</v>
      </c>
      <c r="U965">
        <v>3</v>
      </c>
      <c r="V965">
        <v>1</v>
      </c>
      <c r="W965">
        <v>0</v>
      </c>
      <c r="X965">
        <v>0</v>
      </c>
      <c r="Y965" t="s">
        <v>113</v>
      </c>
      <c r="Z965" t="s">
        <v>179</v>
      </c>
      <c r="AA965" t="s">
        <v>7227</v>
      </c>
      <c r="AH965" t="s">
        <v>181</v>
      </c>
      <c r="AI965">
        <v>1</v>
      </c>
      <c r="AJ965">
        <v>0</v>
      </c>
      <c r="AK965">
        <v>0</v>
      </c>
      <c r="AL965">
        <v>0</v>
      </c>
      <c r="AM965">
        <v>0.04</v>
      </c>
      <c r="AN965">
        <v>0.17</v>
      </c>
      <c r="AO965">
        <v>0.32</v>
      </c>
      <c r="AS965">
        <v>6</v>
      </c>
      <c r="AT965">
        <v>0</v>
      </c>
      <c r="AU965">
        <v>1</v>
      </c>
      <c r="AV965">
        <v>77</v>
      </c>
      <c r="AW965">
        <v>90</v>
      </c>
      <c r="AX965">
        <v>69</v>
      </c>
      <c r="AY965">
        <v>0</v>
      </c>
      <c r="AZ965" t="b">
        <v>0</v>
      </c>
      <c r="BA965">
        <v>1592</v>
      </c>
      <c r="BB965">
        <v>1678</v>
      </c>
      <c r="BC965">
        <v>6</v>
      </c>
      <c r="BD965" t="s">
        <v>7138</v>
      </c>
      <c r="BE965" s="1" t="s">
        <v>3594</v>
      </c>
      <c r="BF965">
        <v>0</v>
      </c>
      <c r="BG965">
        <v>71</v>
      </c>
      <c r="BH965">
        <v>0</v>
      </c>
      <c r="BI965">
        <v>6</v>
      </c>
      <c r="BJ965" s="1" t="s">
        <v>1041</v>
      </c>
      <c r="BK965" s="1" t="s">
        <v>160</v>
      </c>
      <c r="BL965">
        <v>4.2</v>
      </c>
      <c r="BM965">
        <v>3</v>
      </c>
      <c r="BN965" s="1" t="s">
        <v>565</v>
      </c>
      <c r="BO965" s="1" t="s">
        <v>129</v>
      </c>
      <c r="BP965">
        <v>1.4</v>
      </c>
      <c r="BQ965">
        <v>0</v>
      </c>
      <c r="BR965" s="1" t="s">
        <v>170</v>
      </c>
      <c r="BS965" s="1" t="s">
        <v>161</v>
      </c>
      <c r="BT965" s="1" t="s">
        <v>127</v>
      </c>
      <c r="BU965" s="1" t="s">
        <v>129</v>
      </c>
      <c r="BV965">
        <v>1.4</v>
      </c>
      <c r="BW965">
        <v>0</v>
      </c>
      <c r="BX965">
        <v>0.6</v>
      </c>
      <c r="BY965" s="1" t="s">
        <v>129</v>
      </c>
      <c r="BZ965" s="1" t="s">
        <v>184</v>
      </c>
      <c r="CA965">
        <v>0.04</v>
      </c>
      <c r="CB965">
        <v>0.04</v>
      </c>
      <c r="CC965">
        <v>0.17</v>
      </c>
      <c r="CD965">
        <v>0.17</v>
      </c>
      <c r="CE965">
        <v>0.32</v>
      </c>
      <c r="CF965">
        <v>0.32</v>
      </c>
      <c r="CG965">
        <v>4</v>
      </c>
      <c r="CH965" s="1" t="s">
        <v>189</v>
      </c>
      <c r="CI965">
        <v>0</v>
      </c>
      <c r="CJ965">
        <v>0.6</v>
      </c>
      <c r="CK965" s="1" t="s">
        <v>161</v>
      </c>
      <c r="CL965" s="1" t="s">
        <v>237</v>
      </c>
      <c r="CM965" s="1" t="s">
        <v>263</v>
      </c>
      <c r="CN965" s="1" t="s">
        <v>4609</v>
      </c>
      <c r="CO965" s="1" t="s">
        <v>552</v>
      </c>
      <c r="CP965" s="1" t="s">
        <v>1081</v>
      </c>
      <c r="CQ965" s="1" t="s">
        <v>6609</v>
      </c>
      <c r="CR965" s="1" t="s">
        <v>7228</v>
      </c>
      <c r="CS965" s="1" t="s">
        <v>806</v>
      </c>
      <c r="CT965" s="1" t="s">
        <v>7181</v>
      </c>
      <c r="CU965">
        <v>1593</v>
      </c>
      <c r="CV965" s="1" t="s">
        <v>7182</v>
      </c>
      <c r="CW965">
        <v>67.099999999999994</v>
      </c>
      <c r="CX965">
        <v>56</v>
      </c>
      <c r="CY965">
        <v>47.6</v>
      </c>
      <c r="CZ965">
        <v>55</v>
      </c>
      <c r="DA965">
        <v>1</v>
      </c>
      <c r="DB965" t="s">
        <v>179</v>
      </c>
      <c r="DC965">
        <v>50</v>
      </c>
      <c r="DD965" s="1" t="s">
        <v>7229</v>
      </c>
      <c r="DE965">
        <v>-5.4326285594850203</v>
      </c>
      <c r="DF965" t="str">
        <f>_xlfn.XLOOKUP(Table1[[#This Row],[Player ID]],Table2[feed_id],Table2[trade_status])</f>
        <v>free_agent</v>
      </c>
      <c r="DG965">
        <f>_xlfn.NUMBERVALUE(Table1[[#This Row],[predicted]])</f>
        <v>55.432628559485003</v>
      </c>
    </row>
    <row r="966" spans="1:111" x14ac:dyDescent="0.25">
      <c r="A966">
        <v>132817</v>
      </c>
      <c r="B966">
        <v>9243</v>
      </c>
      <c r="C966" t="s">
        <v>7798</v>
      </c>
      <c r="D966" t="s">
        <v>3116</v>
      </c>
      <c r="E966">
        <v>2025</v>
      </c>
      <c r="F966">
        <v>1013197</v>
      </c>
      <c r="G966" t="s">
        <v>958</v>
      </c>
      <c r="H966" t="s">
        <v>7860</v>
      </c>
      <c r="I966" t="s">
        <v>317</v>
      </c>
      <c r="J966">
        <v>8</v>
      </c>
      <c r="K966">
        <v>65</v>
      </c>
      <c r="L966">
        <v>66</v>
      </c>
      <c r="M966">
        <v>80</v>
      </c>
      <c r="N966">
        <v>53</v>
      </c>
      <c r="O966">
        <v>75</v>
      </c>
      <c r="P966">
        <v>10</v>
      </c>
      <c r="Q966">
        <v>11</v>
      </c>
      <c r="R966">
        <v>3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113</v>
      </c>
      <c r="Z966" t="s">
        <v>525</v>
      </c>
      <c r="AA966" t="s">
        <v>7861</v>
      </c>
      <c r="AH966" t="s">
        <v>181</v>
      </c>
      <c r="AI966">
        <v>41</v>
      </c>
      <c r="AJ966">
        <v>0</v>
      </c>
      <c r="AK966">
        <v>0</v>
      </c>
      <c r="AL966">
        <v>0</v>
      </c>
      <c r="AM966">
        <v>0.09</v>
      </c>
      <c r="AN966">
        <v>0.13</v>
      </c>
      <c r="AO966">
        <v>0.23</v>
      </c>
      <c r="AS966">
        <v>6</v>
      </c>
      <c r="AT966">
        <v>3</v>
      </c>
      <c r="AU966">
        <v>1</v>
      </c>
      <c r="AV966">
        <v>71</v>
      </c>
      <c r="AW966">
        <v>83</v>
      </c>
      <c r="AX966">
        <v>430</v>
      </c>
      <c r="AY966">
        <v>0</v>
      </c>
      <c r="AZ966" t="b">
        <v>0</v>
      </c>
      <c r="BA966">
        <v>1728</v>
      </c>
      <c r="BB966">
        <v>1559</v>
      </c>
      <c r="BC966">
        <v>6</v>
      </c>
      <c r="BD966" t="s">
        <v>7800</v>
      </c>
      <c r="BE966" s="1" t="s">
        <v>3594</v>
      </c>
      <c r="BF966">
        <v>0</v>
      </c>
      <c r="BG966">
        <v>71</v>
      </c>
      <c r="BH966">
        <v>0</v>
      </c>
      <c r="BI966" s="1" t="s">
        <v>397</v>
      </c>
      <c r="BJ966" s="1" t="s">
        <v>1041</v>
      </c>
      <c r="BK966">
        <v>8</v>
      </c>
      <c r="BL966">
        <v>6.2</v>
      </c>
      <c r="BM966">
        <v>2</v>
      </c>
      <c r="BN966" s="1" t="s">
        <v>159</v>
      </c>
      <c r="BO966" s="1" t="s">
        <v>126</v>
      </c>
      <c r="BP966" s="1" t="s">
        <v>206</v>
      </c>
      <c r="BQ966">
        <v>0</v>
      </c>
      <c r="BR966">
        <v>0</v>
      </c>
      <c r="BS966" s="1" t="s">
        <v>128</v>
      </c>
      <c r="BT966" s="1" t="s">
        <v>128</v>
      </c>
      <c r="BU966" s="1" t="s">
        <v>129</v>
      </c>
      <c r="BV966">
        <v>0.4</v>
      </c>
      <c r="BW966" s="1" t="s">
        <v>128</v>
      </c>
      <c r="BX966">
        <v>0.2</v>
      </c>
      <c r="BY966">
        <v>0</v>
      </c>
      <c r="BZ966" s="1" t="s">
        <v>213</v>
      </c>
      <c r="CA966">
        <v>0.09</v>
      </c>
      <c r="CB966">
        <v>0.09</v>
      </c>
      <c r="CC966">
        <v>0.13</v>
      </c>
      <c r="CD966">
        <v>0.13</v>
      </c>
      <c r="CE966">
        <v>0.23</v>
      </c>
      <c r="CF966">
        <v>0.23</v>
      </c>
      <c r="CG966" s="1" t="s">
        <v>160</v>
      </c>
      <c r="CH966">
        <v>4.4000000000000004</v>
      </c>
      <c r="CI966" s="1" t="s">
        <v>161</v>
      </c>
      <c r="CJ966" s="1" t="s">
        <v>161</v>
      </c>
      <c r="CK966" s="1" t="s">
        <v>161</v>
      </c>
      <c r="CL966">
        <v>1.6</v>
      </c>
      <c r="CM966" s="1" t="s">
        <v>1012</v>
      </c>
      <c r="CN966" s="1" t="s">
        <v>701</v>
      </c>
      <c r="CO966">
        <v>63</v>
      </c>
      <c r="CP966" s="1" t="s">
        <v>1839</v>
      </c>
      <c r="CQ966" s="1" t="s">
        <v>7186</v>
      </c>
      <c r="CR966">
        <v>260.2</v>
      </c>
      <c r="CS966">
        <v>1430</v>
      </c>
      <c r="CT966">
        <v>1471.8</v>
      </c>
      <c r="CU966">
        <v>1853</v>
      </c>
      <c r="CV966" s="1" t="s">
        <v>7862</v>
      </c>
      <c r="CW966">
        <v>51.95</v>
      </c>
      <c r="CX966">
        <v>63.4</v>
      </c>
      <c r="CY966">
        <v>56.4</v>
      </c>
      <c r="CZ966">
        <v>55</v>
      </c>
      <c r="DA966">
        <v>1</v>
      </c>
      <c r="DB966" t="s">
        <v>525</v>
      </c>
      <c r="DC966">
        <v>66</v>
      </c>
      <c r="DD966" s="1" t="s">
        <v>7863</v>
      </c>
      <c r="DE966" s="1" t="s">
        <v>7864</v>
      </c>
      <c r="DF966" t="str">
        <f>_xlfn.XLOOKUP(Table1[[#This Row],[Player ID]],Table2[feed_id],Table2[trade_status])</f>
        <v>free_agent</v>
      </c>
      <c r="DG966">
        <f>_xlfn.NUMBERVALUE(Table1[[#This Row],[predicted]])</f>
        <v>55.311087126682402</v>
      </c>
    </row>
    <row r="967" spans="1:111" hidden="1" x14ac:dyDescent="0.25">
      <c r="A967">
        <v>132885</v>
      </c>
      <c r="B967">
        <v>9244</v>
      </c>
      <c r="C967" t="s">
        <v>7983</v>
      </c>
      <c r="D967" t="s">
        <v>3116</v>
      </c>
      <c r="E967">
        <v>2025</v>
      </c>
      <c r="F967">
        <v>1008083</v>
      </c>
      <c r="G967" t="s">
        <v>3651</v>
      </c>
      <c r="H967" t="s">
        <v>8148</v>
      </c>
      <c r="I967" t="s">
        <v>1089</v>
      </c>
      <c r="J967">
        <v>13</v>
      </c>
      <c r="K967">
        <v>64</v>
      </c>
      <c r="L967">
        <v>92</v>
      </c>
      <c r="M967">
        <v>50</v>
      </c>
      <c r="N967">
        <v>56</v>
      </c>
      <c r="O967">
        <v>78</v>
      </c>
      <c r="P967">
        <v>8</v>
      </c>
      <c r="Q967">
        <v>10</v>
      </c>
      <c r="R967">
        <v>6</v>
      </c>
      <c r="S967">
        <v>2</v>
      </c>
      <c r="T967">
        <v>0</v>
      </c>
      <c r="U967">
        <v>0</v>
      </c>
      <c r="V967">
        <v>2</v>
      </c>
      <c r="W967">
        <v>0</v>
      </c>
      <c r="X967">
        <v>0</v>
      </c>
      <c r="Y967" t="s">
        <v>113</v>
      </c>
      <c r="Z967" t="s">
        <v>226</v>
      </c>
      <c r="AA967" t="s">
        <v>8149</v>
      </c>
      <c r="AH967" t="s">
        <v>181</v>
      </c>
      <c r="AI967">
        <v>39</v>
      </c>
      <c r="AJ967">
        <v>0</v>
      </c>
      <c r="AK967">
        <v>0</v>
      </c>
      <c r="AL967">
        <v>0</v>
      </c>
      <c r="AM967">
        <v>0.31</v>
      </c>
      <c r="AN967">
        <v>0.25</v>
      </c>
      <c r="AO967">
        <v>0.34</v>
      </c>
      <c r="AS967">
        <v>6</v>
      </c>
      <c r="AT967">
        <v>1</v>
      </c>
      <c r="AU967">
        <v>2</v>
      </c>
      <c r="AV967">
        <v>88</v>
      </c>
      <c r="AW967">
        <v>84</v>
      </c>
      <c r="AX967">
        <v>164</v>
      </c>
      <c r="AY967">
        <v>0</v>
      </c>
      <c r="AZ967" t="b">
        <v>0</v>
      </c>
      <c r="BA967">
        <v>1473</v>
      </c>
      <c r="BB967">
        <v>1816</v>
      </c>
      <c r="BC967">
        <v>6</v>
      </c>
      <c r="BD967" t="s">
        <v>8080</v>
      </c>
      <c r="BE967" s="1" t="s">
        <v>3594</v>
      </c>
      <c r="BF967">
        <v>0</v>
      </c>
      <c r="BG967">
        <v>71</v>
      </c>
      <c r="BH967">
        <v>1</v>
      </c>
      <c r="BI967">
        <v>9</v>
      </c>
      <c r="BJ967" s="1" t="s">
        <v>303</v>
      </c>
      <c r="BK967" s="1" t="s">
        <v>356</v>
      </c>
      <c r="BL967" s="1" t="s">
        <v>1008</v>
      </c>
      <c r="BM967" s="1" t="s">
        <v>183</v>
      </c>
      <c r="BN967" s="1" t="s">
        <v>398</v>
      </c>
      <c r="BO967" s="1" t="s">
        <v>169</v>
      </c>
      <c r="BP967" s="1" t="s">
        <v>275</v>
      </c>
      <c r="BQ967">
        <v>0</v>
      </c>
      <c r="BR967">
        <v>0</v>
      </c>
      <c r="BS967" s="1" t="s">
        <v>128</v>
      </c>
      <c r="BT967" s="1" t="s">
        <v>184</v>
      </c>
      <c r="BU967" s="1" t="s">
        <v>128</v>
      </c>
      <c r="BV967" s="1" t="s">
        <v>129</v>
      </c>
      <c r="BW967">
        <v>0</v>
      </c>
      <c r="BX967">
        <v>0</v>
      </c>
      <c r="BY967">
        <v>0</v>
      </c>
      <c r="BZ967">
        <v>0</v>
      </c>
      <c r="CA967">
        <v>0.31</v>
      </c>
      <c r="CB967">
        <v>0.31</v>
      </c>
      <c r="CC967">
        <v>0.25</v>
      </c>
      <c r="CD967">
        <v>0.25</v>
      </c>
      <c r="CE967">
        <v>0.34</v>
      </c>
      <c r="CF967">
        <v>0.34</v>
      </c>
      <c r="CG967" s="1" t="s">
        <v>124</v>
      </c>
      <c r="CH967">
        <v>6.2</v>
      </c>
      <c r="CI967" s="1" t="s">
        <v>129</v>
      </c>
      <c r="CJ967">
        <v>0.4</v>
      </c>
      <c r="CK967" s="1" t="s">
        <v>126</v>
      </c>
      <c r="CL967" s="1" t="s">
        <v>257</v>
      </c>
      <c r="CM967" s="1" t="s">
        <v>554</v>
      </c>
      <c r="CN967" s="1" t="s">
        <v>2774</v>
      </c>
      <c r="CO967">
        <v>85</v>
      </c>
      <c r="CP967">
        <v>90.2</v>
      </c>
      <c r="CQ967" s="1" t="s">
        <v>5042</v>
      </c>
      <c r="CR967" s="1" t="s">
        <v>8150</v>
      </c>
      <c r="CS967" s="1" t="s">
        <v>8082</v>
      </c>
      <c r="CT967">
        <v>1750.8</v>
      </c>
      <c r="CU967" s="1" t="s">
        <v>8083</v>
      </c>
      <c r="CV967" s="1" t="s">
        <v>8104</v>
      </c>
      <c r="CW967">
        <v>88.95</v>
      </c>
      <c r="CX967">
        <v>86.9</v>
      </c>
      <c r="CY967">
        <v>88.8</v>
      </c>
      <c r="CZ967" s="1" t="s">
        <v>6888</v>
      </c>
      <c r="DA967">
        <v>1</v>
      </c>
      <c r="DB967" t="s">
        <v>226</v>
      </c>
      <c r="DC967">
        <v>92</v>
      </c>
      <c r="DD967" s="1" t="s">
        <v>8151</v>
      </c>
      <c r="DE967">
        <v>-14.276436053338299</v>
      </c>
      <c r="DF967" t="e">
        <f>_xlfn.XLOOKUP(Table1[[#This Row],[Player ID]],Table2[feed_id],Table2[trade_status])</f>
        <v>#N/A</v>
      </c>
      <c r="DG967">
        <f>_xlfn.NUMBERVALUE(Table1[[#This Row],[predicted]])</f>
        <v>106.276436053338</v>
      </c>
    </row>
    <row r="968" spans="1:111" hidden="1" x14ac:dyDescent="0.25">
      <c r="A968">
        <v>132887</v>
      </c>
      <c r="B968">
        <v>9244</v>
      </c>
      <c r="C968" t="s">
        <v>7983</v>
      </c>
      <c r="D968" t="s">
        <v>3116</v>
      </c>
      <c r="E968">
        <v>2025</v>
      </c>
      <c r="F968">
        <v>993107</v>
      </c>
      <c r="G968" t="s">
        <v>2192</v>
      </c>
      <c r="H968" t="s">
        <v>5625</v>
      </c>
      <c r="I968" t="s">
        <v>1089</v>
      </c>
      <c r="J968">
        <v>5</v>
      </c>
      <c r="K968">
        <v>58</v>
      </c>
      <c r="L968">
        <v>72</v>
      </c>
      <c r="M968">
        <v>39</v>
      </c>
      <c r="N968">
        <v>45</v>
      </c>
      <c r="O968">
        <v>60</v>
      </c>
      <c r="P968">
        <v>9</v>
      </c>
      <c r="Q968">
        <v>5</v>
      </c>
      <c r="R968">
        <v>4</v>
      </c>
      <c r="S968">
        <v>2</v>
      </c>
      <c r="T968">
        <v>0</v>
      </c>
      <c r="U968">
        <v>1</v>
      </c>
      <c r="V968">
        <v>0</v>
      </c>
      <c r="W968">
        <v>0</v>
      </c>
      <c r="X968">
        <v>0</v>
      </c>
      <c r="Y968" t="s">
        <v>113</v>
      </c>
      <c r="Z968" t="s">
        <v>8152</v>
      </c>
      <c r="AA968" t="s">
        <v>8153</v>
      </c>
      <c r="AE968">
        <v>0</v>
      </c>
      <c r="AI968">
        <v>27</v>
      </c>
      <c r="AJ968">
        <v>21</v>
      </c>
      <c r="AK968">
        <v>57.81</v>
      </c>
      <c r="AL968">
        <v>0</v>
      </c>
      <c r="AM968">
        <v>0</v>
      </c>
      <c r="AN968">
        <v>2.86</v>
      </c>
      <c r="AO968">
        <v>2.0699999999999998</v>
      </c>
      <c r="AS968">
        <v>3</v>
      </c>
      <c r="AT968">
        <v>0</v>
      </c>
      <c r="AU968">
        <v>1</v>
      </c>
      <c r="AV968">
        <v>78</v>
      </c>
      <c r="AW968">
        <v>92</v>
      </c>
      <c r="AX968">
        <v>298</v>
      </c>
      <c r="AY968">
        <v>0</v>
      </c>
      <c r="AZ968" t="b">
        <v>0</v>
      </c>
      <c r="BA968">
        <v>1473</v>
      </c>
      <c r="BB968">
        <v>1816</v>
      </c>
      <c r="BC968">
        <v>6</v>
      </c>
      <c r="BD968" t="s">
        <v>8080</v>
      </c>
      <c r="BE968" s="1" t="s">
        <v>3594</v>
      </c>
      <c r="BF968">
        <v>0</v>
      </c>
      <c r="BG968">
        <v>71</v>
      </c>
      <c r="BH968">
        <v>1</v>
      </c>
      <c r="BI968">
        <v>13</v>
      </c>
      <c r="BJ968" s="1" t="s">
        <v>4001</v>
      </c>
      <c r="BK968">
        <v>8</v>
      </c>
      <c r="BL968">
        <v>7.6</v>
      </c>
      <c r="BM968" s="1" t="s">
        <v>253</v>
      </c>
      <c r="BN968" s="1" t="s">
        <v>964</v>
      </c>
      <c r="BO968" s="1" t="s">
        <v>169</v>
      </c>
      <c r="BP968" s="1" t="s">
        <v>169</v>
      </c>
      <c r="BQ968">
        <v>0</v>
      </c>
      <c r="BR968">
        <v>0</v>
      </c>
      <c r="BS968" s="1" t="s">
        <v>126</v>
      </c>
      <c r="BT968" s="1" t="s">
        <v>399</v>
      </c>
      <c r="BU968" s="1" t="s">
        <v>129</v>
      </c>
      <c r="BV968">
        <v>0.4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2.86</v>
      </c>
      <c r="CD968">
        <v>2.86</v>
      </c>
      <c r="CE968">
        <v>2.0699999999999998</v>
      </c>
      <c r="CF968">
        <v>2.0699999999999998</v>
      </c>
      <c r="CG968">
        <v>5</v>
      </c>
      <c r="CH968" s="1" t="s">
        <v>211</v>
      </c>
      <c r="CI968" s="1" t="s">
        <v>128</v>
      </c>
      <c r="CJ968" s="1" t="s">
        <v>231</v>
      </c>
      <c r="CK968">
        <v>2</v>
      </c>
      <c r="CL968" s="1" t="s">
        <v>566</v>
      </c>
      <c r="CM968" s="1" t="s">
        <v>516</v>
      </c>
      <c r="CN968" s="1" t="s">
        <v>5252</v>
      </c>
      <c r="CO968" s="1" t="s">
        <v>1013</v>
      </c>
      <c r="CP968" s="1" t="s">
        <v>7285</v>
      </c>
      <c r="CQ968">
        <v>376</v>
      </c>
      <c r="CR968" s="1" t="s">
        <v>8154</v>
      </c>
      <c r="CS968" s="1" t="s">
        <v>8082</v>
      </c>
      <c r="CT968">
        <v>1750.8</v>
      </c>
      <c r="CU968" s="1" t="s">
        <v>8083</v>
      </c>
      <c r="CV968" s="1" t="s">
        <v>8104</v>
      </c>
      <c r="CW968">
        <v>95.55</v>
      </c>
      <c r="CX968">
        <v>98.1</v>
      </c>
      <c r="CY968">
        <v>103.6</v>
      </c>
      <c r="CZ968" s="1" t="s">
        <v>6492</v>
      </c>
      <c r="DA968">
        <v>1</v>
      </c>
      <c r="DB968" t="s">
        <v>8152</v>
      </c>
      <c r="DC968">
        <v>72</v>
      </c>
      <c r="DD968">
        <v>94.274389243361298</v>
      </c>
      <c r="DE968">
        <v>-22.274389243361298</v>
      </c>
      <c r="DF968" t="e">
        <f>_xlfn.XLOOKUP(Table1[[#This Row],[Player ID]],Table2[feed_id],Table2[trade_status])</f>
        <v>#N/A</v>
      </c>
      <c r="DG968">
        <f>_xlfn.NUMBERVALUE(Table1[[#This Row],[predicted]])</f>
        <v>94.274389243361298</v>
      </c>
    </row>
    <row r="969" spans="1:111" x14ac:dyDescent="0.25">
      <c r="A969">
        <v>132629</v>
      </c>
      <c r="B969">
        <v>9239</v>
      </c>
      <c r="C969" t="s">
        <v>7040</v>
      </c>
      <c r="D969" t="s">
        <v>3116</v>
      </c>
      <c r="E969">
        <v>2025</v>
      </c>
      <c r="F969">
        <v>1004848</v>
      </c>
      <c r="G969" t="s">
        <v>1986</v>
      </c>
      <c r="H969" t="s">
        <v>7064</v>
      </c>
      <c r="I969" t="s">
        <v>813</v>
      </c>
      <c r="J969">
        <v>14</v>
      </c>
      <c r="K969">
        <v>85</v>
      </c>
      <c r="L969">
        <v>73</v>
      </c>
      <c r="M969">
        <v>111</v>
      </c>
      <c r="N969">
        <v>68</v>
      </c>
      <c r="O969">
        <v>93</v>
      </c>
      <c r="P969">
        <v>13</v>
      </c>
      <c r="Q969">
        <v>8</v>
      </c>
      <c r="R969">
        <v>7</v>
      </c>
      <c r="S969">
        <v>3</v>
      </c>
      <c r="T969">
        <v>0</v>
      </c>
      <c r="U969">
        <v>0</v>
      </c>
      <c r="V969">
        <v>1</v>
      </c>
      <c r="W969">
        <v>0</v>
      </c>
      <c r="X969">
        <v>0</v>
      </c>
      <c r="Y969" t="s">
        <v>113</v>
      </c>
      <c r="Z969" t="s">
        <v>525</v>
      </c>
      <c r="AA969" t="s">
        <v>7065</v>
      </c>
      <c r="AH969" t="s">
        <v>118</v>
      </c>
      <c r="AI969">
        <v>15</v>
      </c>
      <c r="AJ969">
        <v>0</v>
      </c>
      <c r="AK969">
        <v>0</v>
      </c>
      <c r="AL969">
        <v>0</v>
      </c>
      <c r="AM969">
        <v>1.33</v>
      </c>
      <c r="AN969">
        <v>0.94</v>
      </c>
      <c r="AO969">
        <v>2.11</v>
      </c>
      <c r="AS969">
        <v>2</v>
      </c>
      <c r="AT969">
        <v>0</v>
      </c>
      <c r="AU969">
        <v>2</v>
      </c>
      <c r="AV969">
        <v>76</v>
      </c>
      <c r="AW969">
        <v>85</v>
      </c>
      <c r="AX969">
        <v>329</v>
      </c>
      <c r="AY969">
        <v>0</v>
      </c>
      <c r="AZ969" t="b">
        <v>0</v>
      </c>
      <c r="BA969">
        <v>1678</v>
      </c>
      <c r="BB969">
        <v>1592</v>
      </c>
      <c r="BC969">
        <v>6</v>
      </c>
      <c r="BD969" t="s">
        <v>7044</v>
      </c>
      <c r="BE969" s="1" t="s">
        <v>3594</v>
      </c>
      <c r="BF969">
        <v>0</v>
      </c>
      <c r="BG969">
        <v>71</v>
      </c>
      <c r="BH969">
        <v>1</v>
      </c>
      <c r="BI969" s="1" t="s">
        <v>294</v>
      </c>
      <c r="BJ969">
        <v>8.4</v>
      </c>
      <c r="BK969" s="1" t="s">
        <v>253</v>
      </c>
      <c r="BL969">
        <v>5.2</v>
      </c>
      <c r="BM969" s="1" t="s">
        <v>449</v>
      </c>
      <c r="BN969">
        <v>3.6</v>
      </c>
      <c r="BO969" s="1" t="s">
        <v>126</v>
      </c>
      <c r="BP969" s="1" t="s">
        <v>130</v>
      </c>
      <c r="BQ969">
        <v>0</v>
      </c>
      <c r="BR969">
        <v>0</v>
      </c>
      <c r="BS969" s="1" t="s">
        <v>128</v>
      </c>
      <c r="BT969" s="1" t="s">
        <v>128</v>
      </c>
      <c r="BU969" s="1" t="s">
        <v>128</v>
      </c>
      <c r="BV969" s="1" t="s">
        <v>231</v>
      </c>
      <c r="BW969" s="1" t="s">
        <v>129</v>
      </c>
      <c r="BX969">
        <v>6.6666666666666596E-2</v>
      </c>
      <c r="BY969">
        <v>0</v>
      </c>
      <c r="BZ969">
        <v>6.6666666666666596E-2</v>
      </c>
      <c r="CA969">
        <v>1.33</v>
      </c>
      <c r="CB969">
        <v>1.33</v>
      </c>
      <c r="CC969">
        <v>0.94</v>
      </c>
      <c r="CD969">
        <v>0.94</v>
      </c>
      <c r="CE969">
        <v>2.11</v>
      </c>
      <c r="CF969">
        <v>2.11</v>
      </c>
      <c r="CG969" s="1" t="s">
        <v>159</v>
      </c>
      <c r="CH969">
        <v>3.4</v>
      </c>
      <c r="CI969" s="1" t="s">
        <v>129</v>
      </c>
      <c r="CJ969" s="1" t="s">
        <v>127</v>
      </c>
      <c r="CK969" s="1" t="s">
        <v>161</v>
      </c>
      <c r="CL969" s="1" t="s">
        <v>304</v>
      </c>
      <c r="CM969" s="1" t="s">
        <v>268</v>
      </c>
      <c r="CN969">
        <v>78.400000000000006</v>
      </c>
      <c r="CO969">
        <v>65</v>
      </c>
      <c r="CP969" s="1" t="s">
        <v>4759</v>
      </c>
      <c r="CQ969" s="1" t="s">
        <v>6924</v>
      </c>
      <c r="CR969" s="1" t="s">
        <v>7066</v>
      </c>
      <c r="CS969" s="1" t="s">
        <v>2903</v>
      </c>
      <c r="CT969" s="1" t="s">
        <v>7067</v>
      </c>
      <c r="CU969">
        <v>1674</v>
      </c>
      <c r="CV969">
        <v>1691.2</v>
      </c>
      <c r="CW969">
        <v>47.6</v>
      </c>
      <c r="CX969">
        <v>52.6</v>
      </c>
      <c r="CY969">
        <v>49</v>
      </c>
      <c r="CZ969" s="1" t="s">
        <v>971</v>
      </c>
      <c r="DA969">
        <v>1</v>
      </c>
      <c r="DB969" t="s">
        <v>525</v>
      </c>
      <c r="DC969">
        <v>73</v>
      </c>
      <c r="DD969">
        <v>54.845758448157099</v>
      </c>
      <c r="DE969">
        <v>18.154241551842901</v>
      </c>
      <c r="DF969" t="str">
        <f>_xlfn.XLOOKUP(Table1[[#This Row],[Player ID]],Table2[feed_id],Table2[trade_status])</f>
        <v>free_agent</v>
      </c>
      <c r="DG969">
        <f>_xlfn.NUMBERVALUE(Table1[[#This Row],[predicted]])</f>
        <v>54.845758448157099</v>
      </c>
    </row>
    <row r="970" spans="1:111" x14ac:dyDescent="0.25">
      <c r="A970">
        <v>132778</v>
      </c>
      <c r="B970">
        <v>9242</v>
      </c>
      <c r="C970" t="s">
        <v>7597</v>
      </c>
      <c r="D970" t="s">
        <v>3116</v>
      </c>
      <c r="E970">
        <v>2025</v>
      </c>
      <c r="F970">
        <v>280824</v>
      </c>
      <c r="G970" t="s">
        <v>1235</v>
      </c>
      <c r="H970" t="s">
        <v>7687</v>
      </c>
      <c r="I970" t="s">
        <v>291</v>
      </c>
      <c r="J970">
        <v>3</v>
      </c>
      <c r="K970">
        <v>37</v>
      </c>
      <c r="L970">
        <v>54</v>
      </c>
      <c r="M970">
        <v>49</v>
      </c>
      <c r="N970">
        <v>28</v>
      </c>
      <c r="O970">
        <v>36</v>
      </c>
      <c r="P970">
        <v>5</v>
      </c>
      <c r="Q970">
        <v>2</v>
      </c>
      <c r="R970">
        <v>3</v>
      </c>
      <c r="S970">
        <v>2</v>
      </c>
      <c r="T970">
        <v>0</v>
      </c>
      <c r="U970">
        <v>1</v>
      </c>
      <c r="V970">
        <v>0</v>
      </c>
      <c r="W970">
        <v>0</v>
      </c>
      <c r="X970">
        <v>0</v>
      </c>
      <c r="Y970" t="s">
        <v>113</v>
      </c>
      <c r="Z970" t="s">
        <v>525</v>
      </c>
      <c r="AA970" t="s">
        <v>7688</v>
      </c>
      <c r="AE970">
        <v>0</v>
      </c>
      <c r="AH970" t="s">
        <v>155</v>
      </c>
      <c r="AI970">
        <v>18</v>
      </c>
      <c r="AJ970">
        <v>19</v>
      </c>
      <c r="AK970">
        <v>69.53</v>
      </c>
      <c r="AL970">
        <v>0</v>
      </c>
      <c r="AM970">
        <v>0</v>
      </c>
      <c r="AN970">
        <v>0.11</v>
      </c>
      <c r="AO970">
        <v>0.09</v>
      </c>
      <c r="AS970">
        <v>4</v>
      </c>
      <c r="AT970">
        <v>0</v>
      </c>
      <c r="AU970">
        <v>0</v>
      </c>
      <c r="AV970">
        <v>71</v>
      </c>
      <c r="AW970">
        <v>76</v>
      </c>
      <c r="AX970">
        <v>183</v>
      </c>
      <c r="AY970">
        <v>0</v>
      </c>
      <c r="AZ970" t="b">
        <v>0</v>
      </c>
      <c r="BA970">
        <v>1764</v>
      </c>
      <c r="BB970">
        <v>1522</v>
      </c>
      <c r="BC970">
        <v>6</v>
      </c>
      <c r="BD970" t="s">
        <v>7599</v>
      </c>
      <c r="BE970" s="1" t="s">
        <v>3594</v>
      </c>
      <c r="BF970">
        <v>0</v>
      </c>
      <c r="BG970">
        <v>71</v>
      </c>
      <c r="BH970">
        <v>0</v>
      </c>
      <c r="BI970" s="1" t="s">
        <v>449</v>
      </c>
      <c r="BJ970" s="1" t="s">
        <v>818</v>
      </c>
      <c r="BK970" s="1" t="s">
        <v>159</v>
      </c>
      <c r="BL970" s="1" t="s">
        <v>170</v>
      </c>
      <c r="BM970" s="1" t="s">
        <v>169</v>
      </c>
      <c r="BN970" s="1" t="s">
        <v>125</v>
      </c>
      <c r="BO970" s="1" t="s">
        <v>161</v>
      </c>
      <c r="BP970" s="1" t="s">
        <v>327</v>
      </c>
      <c r="BQ970">
        <v>0</v>
      </c>
      <c r="BR970">
        <v>0</v>
      </c>
      <c r="BS970" s="1" t="s">
        <v>128</v>
      </c>
      <c r="BT970" s="1" t="s">
        <v>130</v>
      </c>
      <c r="BU970" s="1" t="s">
        <v>129</v>
      </c>
      <c r="BV970">
        <v>0.4</v>
      </c>
      <c r="BW970" s="1" t="s">
        <v>129</v>
      </c>
      <c r="BX970">
        <v>1.2</v>
      </c>
      <c r="BY970" s="1" t="s">
        <v>128</v>
      </c>
      <c r="BZ970">
        <v>0.8</v>
      </c>
      <c r="CA970">
        <v>0</v>
      </c>
      <c r="CB970">
        <v>0</v>
      </c>
      <c r="CC970">
        <v>0.11</v>
      </c>
      <c r="CD970">
        <v>8.3333333333333301E-2</v>
      </c>
      <c r="CE970">
        <v>0.09</v>
      </c>
      <c r="CF970">
        <v>7.3333333333333306E-2</v>
      </c>
      <c r="CG970" s="1" t="s">
        <v>125</v>
      </c>
      <c r="CH970" s="1" t="s">
        <v>766</v>
      </c>
      <c r="CI970" s="1" t="s">
        <v>128</v>
      </c>
      <c r="CJ970" s="1" t="s">
        <v>184</v>
      </c>
      <c r="CK970">
        <v>1</v>
      </c>
      <c r="CL970" s="1" t="s">
        <v>206</v>
      </c>
      <c r="CM970" s="1" t="s">
        <v>1979</v>
      </c>
      <c r="CN970">
        <v>68.599999999999994</v>
      </c>
      <c r="CO970">
        <v>77</v>
      </c>
      <c r="CP970" s="1" t="s">
        <v>3309</v>
      </c>
      <c r="CQ970" s="1" t="s">
        <v>7483</v>
      </c>
      <c r="CR970" s="1" t="s">
        <v>7689</v>
      </c>
      <c r="CS970" s="1" t="s">
        <v>2460</v>
      </c>
      <c r="CT970" s="1" t="s">
        <v>7690</v>
      </c>
      <c r="CU970" s="1" t="s">
        <v>7601</v>
      </c>
      <c r="CV970" s="1" t="s">
        <v>7691</v>
      </c>
      <c r="CW970">
        <v>53.25</v>
      </c>
      <c r="CX970">
        <v>52.7</v>
      </c>
      <c r="CY970">
        <v>51.6</v>
      </c>
      <c r="CZ970">
        <v>45</v>
      </c>
      <c r="DA970">
        <v>1</v>
      </c>
      <c r="DB970" t="s">
        <v>525</v>
      </c>
      <c r="DC970">
        <v>54</v>
      </c>
      <c r="DD970" s="1" t="s">
        <v>7692</v>
      </c>
      <c r="DE970">
        <v>-0.74804614617978804</v>
      </c>
      <c r="DF970" t="str">
        <f>_xlfn.XLOOKUP(Table1[[#This Row],[Player ID]],Table2[feed_id],Table2[trade_status])</f>
        <v>free_agent</v>
      </c>
      <c r="DG970">
        <f>_xlfn.NUMBERVALUE(Table1[[#This Row],[predicted]])</f>
        <v>54.748046146179703</v>
      </c>
    </row>
    <row r="971" spans="1:111" x14ac:dyDescent="0.25">
      <c r="A971">
        <v>132618</v>
      </c>
      <c r="B971">
        <v>9238</v>
      </c>
      <c r="C971" t="s">
        <v>6865</v>
      </c>
      <c r="D971" t="s">
        <v>3116</v>
      </c>
      <c r="E971">
        <v>2025</v>
      </c>
      <c r="F971">
        <v>290307</v>
      </c>
      <c r="G971" t="s">
        <v>110</v>
      </c>
      <c r="H971" t="s">
        <v>7015</v>
      </c>
      <c r="I971" t="s">
        <v>338</v>
      </c>
      <c r="J971">
        <v>8</v>
      </c>
      <c r="K971">
        <v>55</v>
      </c>
      <c r="L971">
        <v>72</v>
      </c>
      <c r="M971">
        <v>31</v>
      </c>
      <c r="N971">
        <v>45</v>
      </c>
      <c r="O971">
        <v>63</v>
      </c>
      <c r="P971">
        <v>10</v>
      </c>
      <c r="Q971">
        <v>6</v>
      </c>
      <c r="R971">
        <v>4</v>
      </c>
      <c r="S971">
        <v>1</v>
      </c>
      <c r="T971">
        <v>0</v>
      </c>
      <c r="U971">
        <v>0</v>
      </c>
      <c r="V971">
        <v>1</v>
      </c>
      <c r="W971">
        <v>0</v>
      </c>
      <c r="X971">
        <v>0</v>
      </c>
      <c r="Y971" t="s">
        <v>113</v>
      </c>
      <c r="Z971" t="s">
        <v>179</v>
      </c>
      <c r="AA971" t="s">
        <v>7016</v>
      </c>
      <c r="AH971" t="s">
        <v>181</v>
      </c>
      <c r="AI971">
        <v>24</v>
      </c>
      <c r="AJ971">
        <v>0</v>
      </c>
      <c r="AK971">
        <v>0</v>
      </c>
      <c r="AL971">
        <v>0</v>
      </c>
      <c r="AM971">
        <v>0.31</v>
      </c>
      <c r="AN971">
        <v>0.18</v>
      </c>
      <c r="AO971">
        <v>0.3</v>
      </c>
      <c r="AS971">
        <v>4</v>
      </c>
      <c r="AT971">
        <v>1</v>
      </c>
      <c r="AU971">
        <v>3</v>
      </c>
      <c r="AV971">
        <v>87</v>
      </c>
      <c r="AW971">
        <v>74</v>
      </c>
      <c r="AX971">
        <v>364</v>
      </c>
      <c r="AY971">
        <v>1</v>
      </c>
      <c r="AZ971" t="b">
        <v>0</v>
      </c>
      <c r="BA971">
        <v>1741</v>
      </c>
      <c r="BB971">
        <v>1546</v>
      </c>
      <c r="BC971">
        <v>6</v>
      </c>
      <c r="BD971" t="s">
        <v>6968</v>
      </c>
      <c r="BE971" s="1" t="s">
        <v>3594</v>
      </c>
      <c r="BF971">
        <v>0</v>
      </c>
      <c r="BG971">
        <v>71</v>
      </c>
      <c r="BH971">
        <v>1</v>
      </c>
      <c r="BI971" s="1" t="s">
        <v>157</v>
      </c>
      <c r="BJ971">
        <v>8.8000000000000007</v>
      </c>
      <c r="BK971">
        <v>3</v>
      </c>
      <c r="BL971" s="1" t="s">
        <v>528</v>
      </c>
      <c r="BM971" s="1" t="s">
        <v>397</v>
      </c>
      <c r="BN971">
        <v>5.2</v>
      </c>
      <c r="BO971" s="1" t="s">
        <v>169</v>
      </c>
      <c r="BP971" s="1" t="s">
        <v>170</v>
      </c>
      <c r="BQ971">
        <v>0</v>
      </c>
      <c r="BR971">
        <v>0</v>
      </c>
      <c r="BS971" s="1" t="s">
        <v>129</v>
      </c>
      <c r="BT971" s="1" t="s">
        <v>238</v>
      </c>
      <c r="BU971" s="1" t="s">
        <v>129</v>
      </c>
      <c r="BV971">
        <v>0.6</v>
      </c>
      <c r="BW971">
        <v>0</v>
      </c>
      <c r="BX971" s="1" t="s">
        <v>213</v>
      </c>
      <c r="BY971">
        <v>0</v>
      </c>
      <c r="BZ971">
        <v>0</v>
      </c>
      <c r="CA971">
        <v>0.31</v>
      </c>
      <c r="CB971">
        <v>0.31</v>
      </c>
      <c r="CC971">
        <v>0.18</v>
      </c>
      <c r="CD971">
        <v>0.18</v>
      </c>
      <c r="CE971">
        <v>0.3</v>
      </c>
      <c r="CF971">
        <v>0.3</v>
      </c>
      <c r="CG971" s="1" t="s">
        <v>169</v>
      </c>
      <c r="CH971">
        <v>2.8</v>
      </c>
      <c r="CI971" s="1" t="s">
        <v>128</v>
      </c>
      <c r="CJ971" s="1" t="s">
        <v>129</v>
      </c>
      <c r="CK971" s="1" t="s">
        <v>161</v>
      </c>
      <c r="CL971" s="1" t="s">
        <v>161</v>
      </c>
      <c r="CM971">
        <v>82</v>
      </c>
      <c r="CN971" s="1" t="s">
        <v>3984</v>
      </c>
      <c r="CO971" s="1" t="s">
        <v>610</v>
      </c>
      <c r="CP971" s="1" t="s">
        <v>1490</v>
      </c>
      <c r="CQ971">
        <v>332</v>
      </c>
      <c r="CR971" s="1" t="s">
        <v>7017</v>
      </c>
      <c r="CS971" s="1" t="s">
        <v>6970</v>
      </c>
      <c r="CT971" s="1" t="s">
        <v>943</v>
      </c>
      <c r="CU971">
        <v>1683</v>
      </c>
      <c r="CV971" s="1" t="s">
        <v>2740</v>
      </c>
      <c r="CW971">
        <v>61.25</v>
      </c>
      <c r="CX971">
        <v>68.099999999999994</v>
      </c>
      <c r="CY971">
        <v>70.599999999999994</v>
      </c>
      <c r="CZ971" s="1" t="s">
        <v>1176</v>
      </c>
      <c r="DA971">
        <v>1</v>
      </c>
      <c r="DB971" t="s">
        <v>179</v>
      </c>
      <c r="DC971">
        <v>72</v>
      </c>
      <c r="DD971" s="1" t="s">
        <v>7018</v>
      </c>
      <c r="DE971" s="1" t="s">
        <v>7019</v>
      </c>
      <c r="DF971" t="str">
        <f>_xlfn.XLOOKUP(Table1[[#This Row],[Player ID]],Table2[feed_id],Table2[trade_status])</f>
        <v>free_agent</v>
      </c>
      <c r="DG971">
        <f>_xlfn.NUMBERVALUE(Table1[[#This Row],[predicted]])</f>
        <v>54.458259689349397</v>
      </c>
    </row>
    <row r="972" spans="1:111" x14ac:dyDescent="0.25">
      <c r="A972">
        <v>132591</v>
      </c>
      <c r="B972">
        <v>9238</v>
      </c>
      <c r="C972" t="s">
        <v>6865</v>
      </c>
      <c r="D972" t="s">
        <v>3116</v>
      </c>
      <c r="E972">
        <v>2025</v>
      </c>
      <c r="F972">
        <v>1004757</v>
      </c>
      <c r="G972" t="s">
        <v>6920</v>
      </c>
      <c r="H972" t="s">
        <v>6921</v>
      </c>
      <c r="I972" t="s">
        <v>112</v>
      </c>
      <c r="J972">
        <v>15</v>
      </c>
      <c r="K972">
        <v>64</v>
      </c>
      <c r="L972">
        <v>69</v>
      </c>
      <c r="M972">
        <v>84</v>
      </c>
      <c r="N972">
        <v>47</v>
      </c>
      <c r="O972">
        <v>60</v>
      </c>
      <c r="P972">
        <v>9</v>
      </c>
      <c r="Q972">
        <v>0</v>
      </c>
      <c r="R972">
        <v>3</v>
      </c>
      <c r="S972">
        <v>4</v>
      </c>
      <c r="T972">
        <v>0</v>
      </c>
      <c r="U972">
        <v>0</v>
      </c>
      <c r="V972">
        <v>0</v>
      </c>
      <c r="W972">
        <v>2</v>
      </c>
      <c r="X972">
        <v>0</v>
      </c>
      <c r="Y972" t="s">
        <v>113</v>
      </c>
      <c r="Z972" t="s">
        <v>525</v>
      </c>
      <c r="AA972" t="s">
        <v>6922</v>
      </c>
      <c r="AH972" t="s">
        <v>155</v>
      </c>
      <c r="AI972">
        <v>31</v>
      </c>
      <c r="AJ972">
        <v>0</v>
      </c>
      <c r="AK972">
        <v>0</v>
      </c>
      <c r="AL972">
        <v>0</v>
      </c>
      <c r="AM972">
        <v>0.13</v>
      </c>
      <c r="AN972">
        <v>0.32</v>
      </c>
      <c r="AO972">
        <v>0.81</v>
      </c>
      <c r="AS972">
        <v>1</v>
      </c>
      <c r="AT972">
        <v>0</v>
      </c>
      <c r="AU972">
        <v>0</v>
      </c>
      <c r="AV972">
        <v>100</v>
      </c>
      <c r="AW972">
        <v>77</v>
      </c>
      <c r="AX972">
        <v>447</v>
      </c>
      <c r="AY972">
        <v>0</v>
      </c>
      <c r="AZ972" t="b">
        <v>0</v>
      </c>
      <c r="BA972">
        <v>1546</v>
      </c>
      <c r="BB972">
        <v>1741</v>
      </c>
      <c r="BC972">
        <v>6</v>
      </c>
      <c r="BD972" t="s">
        <v>6869</v>
      </c>
      <c r="BE972" s="1" t="s">
        <v>3594</v>
      </c>
      <c r="BF972">
        <v>0</v>
      </c>
      <c r="BG972">
        <v>71</v>
      </c>
      <c r="BH972">
        <v>0</v>
      </c>
      <c r="BI972" s="1" t="s">
        <v>204</v>
      </c>
      <c r="BJ972" s="1" t="s">
        <v>204</v>
      </c>
      <c r="BK972">
        <v>2</v>
      </c>
      <c r="BL972" s="1" t="s">
        <v>189</v>
      </c>
      <c r="BM972" s="1" t="s">
        <v>126</v>
      </c>
      <c r="BN972" s="1" t="s">
        <v>304</v>
      </c>
      <c r="BO972" s="1" t="s">
        <v>160</v>
      </c>
      <c r="BP972" s="1" t="s">
        <v>499</v>
      </c>
      <c r="BQ972">
        <v>0</v>
      </c>
      <c r="BR972">
        <v>0</v>
      </c>
      <c r="BS972">
        <v>1</v>
      </c>
      <c r="BT972">
        <v>0.8</v>
      </c>
      <c r="BU972">
        <v>0</v>
      </c>
      <c r="BV972">
        <v>0.8</v>
      </c>
      <c r="BW972">
        <v>1</v>
      </c>
      <c r="BX972" s="1" t="s">
        <v>231</v>
      </c>
      <c r="BY972">
        <v>0</v>
      </c>
      <c r="BZ972" s="1" t="s">
        <v>129</v>
      </c>
      <c r="CA972">
        <v>0.13</v>
      </c>
      <c r="CB972">
        <v>0.13</v>
      </c>
      <c r="CC972">
        <v>0.32</v>
      </c>
      <c r="CD972">
        <v>0.32</v>
      </c>
      <c r="CE972">
        <v>0.81</v>
      </c>
      <c r="CF972">
        <v>0.81</v>
      </c>
      <c r="CG972" s="1" t="s">
        <v>138</v>
      </c>
      <c r="CH972" s="1" t="s">
        <v>587</v>
      </c>
      <c r="CI972" s="1" t="s">
        <v>126</v>
      </c>
      <c r="CJ972">
        <v>1.8</v>
      </c>
      <c r="CK972" s="1" t="s">
        <v>129</v>
      </c>
      <c r="CL972" s="1" t="s">
        <v>375</v>
      </c>
      <c r="CM972" s="1" t="s">
        <v>516</v>
      </c>
      <c r="CN972" s="1" t="s">
        <v>4979</v>
      </c>
      <c r="CO972">
        <v>74</v>
      </c>
      <c r="CP972">
        <v>71.2</v>
      </c>
      <c r="CQ972" s="1" t="s">
        <v>6923</v>
      </c>
      <c r="CR972" s="1" t="s">
        <v>6924</v>
      </c>
      <c r="CS972">
        <v>1729</v>
      </c>
      <c r="CT972" s="1" t="s">
        <v>6925</v>
      </c>
      <c r="CU972" s="1" t="s">
        <v>5214</v>
      </c>
      <c r="CV972">
        <v>1639.2</v>
      </c>
      <c r="CW972">
        <v>53.9</v>
      </c>
      <c r="CX972">
        <v>58.2</v>
      </c>
      <c r="CY972">
        <v>57.2</v>
      </c>
      <c r="CZ972" s="1" t="s">
        <v>681</v>
      </c>
      <c r="DA972">
        <v>1</v>
      </c>
      <c r="DB972" t="s">
        <v>525</v>
      </c>
      <c r="DC972">
        <v>69</v>
      </c>
      <c r="DD972" s="1" t="s">
        <v>6926</v>
      </c>
      <c r="DE972" s="1" t="s">
        <v>6927</v>
      </c>
      <c r="DF972" t="str">
        <f>_xlfn.XLOOKUP(Table1[[#This Row],[Player ID]],Table2[feed_id],Table2[trade_status])</f>
        <v>free_agent</v>
      </c>
      <c r="DG972">
        <f>_xlfn.NUMBERVALUE(Table1[[#This Row],[predicted]])</f>
        <v>54.261578729217298</v>
      </c>
    </row>
    <row r="973" spans="1:111" hidden="1" x14ac:dyDescent="0.25">
      <c r="A973">
        <v>132892</v>
      </c>
      <c r="B973">
        <v>9244</v>
      </c>
      <c r="C973" t="s">
        <v>7983</v>
      </c>
      <c r="D973" t="s">
        <v>3116</v>
      </c>
      <c r="E973">
        <v>2025</v>
      </c>
      <c r="F973">
        <v>296324</v>
      </c>
      <c r="G973" t="s">
        <v>1184</v>
      </c>
      <c r="H973" t="s">
        <v>8172</v>
      </c>
      <c r="I973" t="s">
        <v>1089</v>
      </c>
      <c r="J973">
        <v>9</v>
      </c>
      <c r="K973">
        <v>45</v>
      </c>
      <c r="L973">
        <v>70</v>
      </c>
      <c r="M973">
        <v>35</v>
      </c>
      <c r="N973">
        <v>38</v>
      </c>
      <c r="O973">
        <v>45</v>
      </c>
      <c r="P973">
        <v>5</v>
      </c>
      <c r="Q973">
        <v>2</v>
      </c>
      <c r="R973">
        <v>3</v>
      </c>
      <c r="S973">
        <v>1</v>
      </c>
      <c r="T973">
        <v>0</v>
      </c>
      <c r="U973">
        <v>1</v>
      </c>
      <c r="V973">
        <v>0</v>
      </c>
      <c r="W973">
        <v>2</v>
      </c>
      <c r="X973">
        <v>0</v>
      </c>
      <c r="Y973" t="s">
        <v>113</v>
      </c>
      <c r="Z973" t="s">
        <v>656</v>
      </c>
      <c r="AA973" t="s">
        <v>8173</v>
      </c>
      <c r="AE973">
        <v>0</v>
      </c>
      <c r="AH973" t="s">
        <v>155</v>
      </c>
      <c r="AI973">
        <v>23</v>
      </c>
      <c r="AJ973">
        <v>20</v>
      </c>
      <c r="AK973">
        <v>89.05</v>
      </c>
      <c r="AL973">
        <v>0</v>
      </c>
      <c r="AM973">
        <v>0</v>
      </c>
      <c r="AN973">
        <v>0.19</v>
      </c>
      <c r="AO973">
        <v>0.44</v>
      </c>
      <c r="AS973">
        <v>5</v>
      </c>
      <c r="AT973">
        <v>0</v>
      </c>
      <c r="AU973">
        <v>1</v>
      </c>
      <c r="AV973">
        <v>71</v>
      </c>
      <c r="AW973">
        <v>92</v>
      </c>
      <c r="AX973">
        <v>112</v>
      </c>
      <c r="AY973">
        <v>1</v>
      </c>
      <c r="AZ973" t="b">
        <v>0</v>
      </c>
      <c r="BA973">
        <v>1473</v>
      </c>
      <c r="BB973">
        <v>1816</v>
      </c>
      <c r="BC973">
        <v>6</v>
      </c>
      <c r="BD973" t="s">
        <v>8080</v>
      </c>
      <c r="BE973" s="1" t="s">
        <v>3594</v>
      </c>
      <c r="BF973">
        <v>0</v>
      </c>
      <c r="BG973">
        <v>71</v>
      </c>
      <c r="BH973">
        <v>0</v>
      </c>
      <c r="BI973" s="1" t="s">
        <v>253</v>
      </c>
      <c r="BJ973" s="1" t="s">
        <v>674</v>
      </c>
      <c r="BK973" s="1" t="s">
        <v>169</v>
      </c>
      <c r="BL973" s="1" t="s">
        <v>237</v>
      </c>
      <c r="BM973" s="1" t="s">
        <v>124</v>
      </c>
      <c r="BN973">
        <v>6.4</v>
      </c>
      <c r="BO973">
        <v>1</v>
      </c>
      <c r="BP973">
        <v>1.4</v>
      </c>
      <c r="BQ973">
        <v>0</v>
      </c>
      <c r="BR973">
        <v>0</v>
      </c>
      <c r="BS973" s="1" t="s">
        <v>126</v>
      </c>
      <c r="BT973" s="1" t="s">
        <v>162</v>
      </c>
      <c r="BU973">
        <v>1</v>
      </c>
      <c r="BV973" s="1" t="s">
        <v>238</v>
      </c>
      <c r="BW973">
        <v>5</v>
      </c>
      <c r="BX973" s="1" t="s">
        <v>587</v>
      </c>
      <c r="BY973">
        <v>0</v>
      </c>
      <c r="BZ973" s="1" t="s">
        <v>128</v>
      </c>
      <c r="CA973">
        <v>0</v>
      </c>
      <c r="CB973">
        <v>0</v>
      </c>
      <c r="CC973">
        <v>0.19</v>
      </c>
      <c r="CD973">
        <v>0.19</v>
      </c>
      <c r="CE973">
        <v>0.44</v>
      </c>
      <c r="CF973">
        <v>0.44</v>
      </c>
      <c r="CG973">
        <v>6</v>
      </c>
      <c r="CH973" s="1" t="s">
        <v>818</v>
      </c>
      <c r="CI973" s="1" t="s">
        <v>129</v>
      </c>
      <c r="CJ973" s="1" t="s">
        <v>213</v>
      </c>
      <c r="CK973" s="1" t="s">
        <v>161</v>
      </c>
      <c r="CL973">
        <v>1.8</v>
      </c>
      <c r="CM973">
        <v>78</v>
      </c>
      <c r="CN973">
        <v>70.8</v>
      </c>
      <c r="CO973" s="1" t="s">
        <v>554</v>
      </c>
      <c r="CP973" s="1" t="s">
        <v>2269</v>
      </c>
      <c r="CQ973">
        <v>189</v>
      </c>
      <c r="CR973">
        <v>194.8</v>
      </c>
      <c r="CS973" s="1" t="s">
        <v>8082</v>
      </c>
      <c r="CT973" s="1" t="s">
        <v>8174</v>
      </c>
      <c r="CU973" s="1" t="s">
        <v>8083</v>
      </c>
      <c r="CV973" s="1" t="s">
        <v>8175</v>
      </c>
      <c r="CW973">
        <v>96.35</v>
      </c>
      <c r="CX973">
        <v>108.2</v>
      </c>
      <c r="CY973">
        <v>105.2</v>
      </c>
      <c r="CZ973" s="1" t="s">
        <v>6888</v>
      </c>
      <c r="DA973">
        <v>1</v>
      </c>
      <c r="DB973" t="s">
        <v>656</v>
      </c>
      <c r="DC973">
        <v>70</v>
      </c>
      <c r="DD973" s="1" t="s">
        <v>8176</v>
      </c>
      <c r="DE973">
        <v>-13.2974205545191</v>
      </c>
      <c r="DF973" t="e">
        <f>_xlfn.XLOOKUP(Table1[[#This Row],[Player ID]],Table2[feed_id],Table2[trade_status])</f>
        <v>#N/A</v>
      </c>
      <c r="DG973">
        <f>_xlfn.NUMBERVALUE(Table1[[#This Row],[predicted]])</f>
        <v>83.297420554519107</v>
      </c>
    </row>
    <row r="974" spans="1:111" hidden="1" x14ac:dyDescent="0.25">
      <c r="A974">
        <v>132894</v>
      </c>
      <c r="B974">
        <v>9244</v>
      </c>
      <c r="C974" t="s">
        <v>7983</v>
      </c>
      <c r="D974" t="s">
        <v>3116</v>
      </c>
      <c r="E974">
        <v>2025</v>
      </c>
      <c r="F974">
        <v>1008139</v>
      </c>
      <c r="G974" t="s">
        <v>4983</v>
      </c>
      <c r="H974" t="s">
        <v>8177</v>
      </c>
      <c r="I974" t="s">
        <v>1089</v>
      </c>
      <c r="J974">
        <v>2</v>
      </c>
      <c r="K974">
        <v>34</v>
      </c>
      <c r="L974">
        <v>47</v>
      </c>
      <c r="M974">
        <v>35</v>
      </c>
      <c r="N974">
        <v>26</v>
      </c>
      <c r="O974">
        <v>36</v>
      </c>
      <c r="P974">
        <v>2</v>
      </c>
      <c r="Q974">
        <v>6</v>
      </c>
      <c r="R974">
        <v>1</v>
      </c>
      <c r="S974">
        <v>3</v>
      </c>
      <c r="T974">
        <v>0</v>
      </c>
      <c r="U974">
        <v>1</v>
      </c>
      <c r="V974">
        <v>0</v>
      </c>
      <c r="W974">
        <v>0</v>
      </c>
      <c r="X974">
        <v>0</v>
      </c>
      <c r="Y974" t="s">
        <v>113</v>
      </c>
      <c r="Z974" t="s">
        <v>1563</v>
      </c>
      <c r="AA974" t="s">
        <v>8178</v>
      </c>
      <c r="AH974" t="s">
        <v>155</v>
      </c>
      <c r="AI974">
        <v>14</v>
      </c>
      <c r="AJ974">
        <v>0</v>
      </c>
      <c r="AK974">
        <v>0</v>
      </c>
      <c r="AL974">
        <v>0</v>
      </c>
      <c r="AM974">
        <v>0.09</v>
      </c>
      <c r="AN974">
        <v>0.15</v>
      </c>
      <c r="AO974">
        <v>0.36</v>
      </c>
      <c r="AS974">
        <v>2</v>
      </c>
      <c r="AT974">
        <v>2</v>
      </c>
      <c r="AU974">
        <v>0</v>
      </c>
      <c r="AV974">
        <v>100</v>
      </c>
      <c r="AW974">
        <v>84</v>
      </c>
      <c r="AX974">
        <v>60</v>
      </c>
      <c r="AY974">
        <v>1</v>
      </c>
      <c r="AZ974" t="b">
        <v>0</v>
      </c>
      <c r="BA974">
        <v>1473</v>
      </c>
      <c r="BB974">
        <v>1816</v>
      </c>
      <c r="BC974">
        <v>6</v>
      </c>
      <c r="BD974" t="s">
        <v>8080</v>
      </c>
      <c r="BE974" s="1" t="s">
        <v>3594</v>
      </c>
      <c r="BF974">
        <v>0</v>
      </c>
      <c r="BG974">
        <v>71</v>
      </c>
      <c r="BH974">
        <v>0</v>
      </c>
      <c r="BI974" s="1" t="s">
        <v>160</v>
      </c>
      <c r="BJ974">
        <v>5.2</v>
      </c>
      <c r="BK974">
        <v>7</v>
      </c>
      <c r="BL974">
        <v>7.4</v>
      </c>
      <c r="BM974" s="1" t="s">
        <v>161</v>
      </c>
      <c r="BN974" s="1" t="s">
        <v>327</v>
      </c>
      <c r="BO974" s="1" t="s">
        <v>204</v>
      </c>
      <c r="BP974" s="1" t="s">
        <v>358</v>
      </c>
      <c r="BQ974">
        <v>0</v>
      </c>
      <c r="BR974">
        <v>0</v>
      </c>
      <c r="BS974" s="1" t="s">
        <v>128</v>
      </c>
      <c r="BT974" s="1" t="s">
        <v>130</v>
      </c>
      <c r="BU974">
        <v>0</v>
      </c>
      <c r="BV974" s="1" t="s">
        <v>127</v>
      </c>
      <c r="BW974">
        <v>1</v>
      </c>
      <c r="BX974">
        <v>0.4</v>
      </c>
      <c r="BY974">
        <v>0</v>
      </c>
      <c r="BZ974">
        <v>0.2</v>
      </c>
      <c r="CA974">
        <v>0.09</v>
      </c>
      <c r="CB974">
        <v>0.09</v>
      </c>
      <c r="CC974">
        <v>0.15</v>
      </c>
      <c r="CD974">
        <v>0.15</v>
      </c>
      <c r="CE974">
        <v>0.36</v>
      </c>
      <c r="CF974">
        <v>0.36</v>
      </c>
      <c r="CG974">
        <v>4</v>
      </c>
      <c r="CH974">
        <v>4.2</v>
      </c>
      <c r="CI974">
        <v>2</v>
      </c>
      <c r="CJ974">
        <v>2</v>
      </c>
      <c r="CK974" s="1" t="s">
        <v>128</v>
      </c>
      <c r="CL974" s="1" t="s">
        <v>275</v>
      </c>
      <c r="CM974">
        <v>87</v>
      </c>
      <c r="CN974" s="1" t="s">
        <v>928</v>
      </c>
      <c r="CO974" s="1" t="s">
        <v>516</v>
      </c>
      <c r="CP974">
        <v>85.2</v>
      </c>
      <c r="CQ974" s="1" t="s">
        <v>5743</v>
      </c>
      <c r="CR974" s="1" t="s">
        <v>3170</v>
      </c>
      <c r="CS974" s="1" t="s">
        <v>8082</v>
      </c>
      <c r="CT974">
        <v>1751.6</v>
      </c>
      <c r="CU974" s="1" t="s">
        <v>8083</v>
      </c>
      <c r="CV974">
        <v>1535.2</v>
      </c>
      <c r="CW974">
        <v>68.75</v>
      </c>
      <c r="CX974">
        <v>66.099999999999994</v>
      </c>
      <c r="CY974">
        <v>70.400000000000006</v>
      </c>
      <c r="CZ974" s="1" t="s">
        <v>261</v>
      </c>
      <c r="DA974">
        <v>1</v>
      </c>
      <c r="DB974" t="s">
        <v>1563</v>
      </c>
      <c r="DC974">
        <v>47</v>
      </c>
      <c r="DD974" s="1" t="s">
        <v>8179</v>
      </c>
      <c r="DE974">
        <v>-30.866612573486002</v>
      </c>
      <c r="DF974" t="e">
        <f>_xlfn.XLOOKUP(Table1[[#This Row],[Player ID]],Table2[feed_id],Table2[trade_status])</f>
        <v>#N/A</v>
      </c>
      <c r="DG974">
        <f>_xlfn.NUMBERVALUE(Table1[[#This Row],[predicted]])</f>
        <v>77.866612573485995</v>
      </c>
    </row>
    <row r="975" spans="1:111" hidden="1" x14ac:dyDescent="0.25">
      <c r="A975">
        <v>132895</v>
      </c>
      <c r="B975">
        <v>9245</v>
      </c>
      <c r="C975" t="s">
        <v>8180</v>
      </c>
      <c r="D975" t="s">
        <v>3116</v>
      </c>
      <c r="E975">
        <v>2025</v>
      </c>
      <c r="F975">
        <v>1001299</v>
      </c>
      <c r="G975" t="s">
        <v>3651</v>
      </c>
      <c r="H975" t="s">
        <v>8181</v>
      </c>
      <c r="I975" t="s">
        <v>425</v>
      </c>
      <c r="J975">
        <v>31</v>
      </c>
      <c r="K975">
        <v>126</v>
      </c>
      <c r="L975">
        <v>137</v>
      </c>
      <c r="M975">
        <v>161</v>
      </c>
      <c r="N975">
        <v>98</v>
      </c>
      <c r="O975">
        <v>130</v>
      </c>
      <c r="P975">
        <v>20</v>
      </c>
      <c r="Q975">
        <v>8</v>
      </c>
      <c r="R975">
        <v>7</v>
      </c>
      <c r="S975">
        <v>4</v>
      </c>
      <c r="T975">
        <v>0</v>
      </c>
      <c r="U975">
        <v>0</v>
      </c>
      <c r="V975">
        <v>0</v>
      </c>
      <c r="W975">
        <v>2</v>
      </c>
      <c r="X975">
        <v>1</v>
      </c>
      <c r="Y975" t="s">
        <v>113</v>
      </c>
      <c r="Z975" t="s">
        <v>3425</v>
      </c>
      <c r="AA975" t="s">
        <v>7509</v>
      </c>
      <c r="AB975" t="s">
        <v>226</v>
      </c>
      <c r="AC975" t="s">
        <v>3427</v>
      </c>
      <c r="AH975" t="s">
        <v>118</v>
      </c>
      <c r="AI975">
        <v>1</v>
      </c>
      <c r="AJ975">
        <v>0</v>
      </c>
      <c r="AK975">
        <v>0</v>
      </c>
      <c r="AL975">
        <v>0</v>
      </c>
      <c r="AM975">
        <v>10.85</v>
      </c>
      <c r="AN975">
        <v>6.93</v>
      </c>
      <c r="AO975">
        <v>6.89</v>
      </c>
      <c r="AS975">
        <v>6</v>
      </c>
      <c r="AT975">
        <v>3</v>
      </c>
      <c r="AU975">
        <v>1</v>
      </c>
      <c r="AV975">
        <v>67</v>
      </c>
      <c r="AW975">
        <v>83</v>
      </c>
      <c r="AX975">
        <v>546</v>
      </c>
      <c r="AY975">
        <v>1</v>
      </c>
      <c r="AZ975" t="b">
        <v>0</v>
      </c>
      <c r="BA975">
        <v>1477</v>
      </c>
      <c r="BB975">
        <v>1799</v>
      </c>
      <c r="BC975">
        <v>6</v>
      </c>
      <c r="BD975" t="s">
        <v>8182</v>
      </c>
      <c r="BE975" s="1" t="s">
        <v>3594</v>
      </c>
      <c r="BF975">
        <v>1</v>
      </c>
      <c r="BG975">
        <v>71</v>
      </c>
      <c r="BH975">
        <v>1</v>
      </c>
      <c r="BI975" s="1" t="s">
        <v>121</v>
      </c>
      <c r="BJ975" s="1" t="s">
        <v>7730</v>
      </c>
      <c r="BK975">
        <v>10</v>
      </c>
      <c r="BL975">
        <v>9.1999999999999993</v>
      </c>
      <c r="BM975" s="1" t="s">
        <v>160</v>
      </c>
      <c r="BN975">
        <v>4.2</v>
      </c>
      <c r="BO975" s="1" t="s">
        <v>160</v>
      </c>
      <c r="BP975" s="1" t="s">
        <v>499</v>
      </c>
      <c r="BQ975">
        <v>0</v>
      </c>
      <c r="BR975">
        <v>0</v>
      </c>
      <c r="BS975" s="1" t="s">
        <v>161</v>
      </c>
      <c r="BT975">
        <v>1</v>
      </c>
      <c r="BU975" s="1" t="s">
        <v>129</v>
      </c>
      <c r="BV975" s="1" t="s">
        <v>399</v>
      </c>
      <c r="BW975" s="1" t="s">
        <v>128</v>
      </c>
      <c r="BX975" s="1" t="s">
        <v>130</v>
      </c>
      <c r="BY975" s="1" t="s">
        <v>128</v>
      </c>
      <c r="BZ975" s="1" t="s">
        <v>231</v>
      </c>
      <c r="CA975">
        <v>10.85</v>
      </c>
      <c r="CB975">
        <v>10.85</v>
      </c>
      <c r="CC975">
        <v>6.93</v>
      </c>
      <c r="CD975">
        <v>6.93</v>
      </c>
      <c r="CE975">
        <v>6.89</v>
      </c>
      <c r="CF975">
        <v>6.89</v>
      </c>
      <c r="CG975">
        <v>6</v>
      </c>
      <c r="CH975" s="1" t="s">
        <v>183</v>
      </c>
      <c r="CI975" s="1" t="s">
        <v>169</v>
      </c>
      <c r="CJ975" s="1" t="s">
        <v>781</v>
      </c>
      <c r="CK975" s="1" t="s">
        <v>169</v>
      </c>
      <c r="CL975" s="1" t="s">
        <v>138</v>
      </c>
      <c r="CM975" s="1" t="s">
        <v>418</v>
      </c>
      <c r="CN975">
        <v>67.400000000000006</v>
      </c>
      <c r="CO975" s="1" t="s">
        <v>239</v>
      </c>
      <c r="CP975" s="1" t="s">
        <v>365</v>
      </c>
      <c r="CQ975" s="1" t="s">
        <v>6626</v>
      </c>
      <c r="CR975">
        <v>421</v>
      </c>
      <c r="CS975" s="1" t="s">
        <v>3934</v>
      </c>
      <c r="CT975" s="1" t="s">
        <v>2124</v>
      </c>
      <c r="CU975" s="1" t="s">
        <v>1533</v>
      </c>
      <c r="CV975">
        <v>1606.6</v>
      </c>
      <c r="CW975">
        <v>98.2</v>
      </c>
      <c r="CX975">
        <v>96.5</v>
      </c>
      <c r="CY975">
        <v>107</v>
      </c>
      <c r="CZ975" s="1" t="s">
        <v>217</v>
      </c>
      <c r="DA975">
        <v>1</v>
      </c>
      <c r="DB975" t="s">
        <v>3425</v>
      </c>
      <c r="DC975">
        <v>137</v>
      </c>
      <c r="DD975" s="1" t="s">
        <v>8183</v>
      </c>
      <c r="DE975" s="1" t="s">
        <v>8184</v>
      </c>
      <c r="DF975" t="e">
        <f>_xlfn.XLOOKUP(Table1[[#This Row],[Player ID]],Table2[feed_id],Table2[trade_status])</f>
        <v>#N/A</v>
      </c>
      <c r="DG975">
        <f>_xlfn.NUMBERVALUE(Table1[[#This Row],[predicted]])</f>
        <v>87.386934243017706</v>
      </c>
    </row>
    <row r="976" spans="1:111" hidden="1" x14ac:dyDescent="0.25">
      <c r="A976">
        <v>132896</v>
      </c>
      <c r="B976">
        <v>9245</v>
      </c>
      <c r="C976" t="s">
        <v>8180</v>
      </c>
      <c r="D976" t="s">
        <v>3116</v>
      </c>
      <c r="E976">
        <v>2025</v>
      </c>
      <c r="F976">
        <v>1006121</v>
      </c>
      <c r="G976" t="s">
        <v>8070</v>
      </c>
      <c r="H976" t="s">
        <v>8185</v>
      </c>
      <c r="I976" t="s">
        <v>425</v>
      </c>
      <c r="J976">
        <v>21</v>
      </c>
      <c r="K976">
        <v>105</v>
      </c>
      <c r="L976">
        <v>135</v>
      </c>
      <c r="M976">
        <v>132</v>
      </c>
      <c r="N976">
        <v>87</v>
      </c>
      <c r="O976">
        <v>126</v>
      </c>
      <c r="P976">
        <v>14</v>
      </c>
      <c r="Q976">
        <v>19</v>
      </c>
      <c r="R976">
        <v>5</v>
      </c>
      <c r="S976">
        <v>4</v>
      </c>
      <c r="T976">
        <v>0</v>
      </c>
      <c r="U976">
        <v>0</v>
      </c>
      <c r="V976">
        <v>2</v>
      </c>
      <c r="W976">
        <v>0</v>
      </c>
      <c r="X976">
        <v>0</v>
      </c>
      <c r="Y976" t="s">
        <v>113</v>
      </c>
      <c r="Z976" t="s">
        <v>6775</v>
      </c>
      <c r="AA976" t="s">
        <v>8186</v>
      </c>
      <c r="AB976" t="s">
        <v>8187</v>
      </c>
      <c r="AC976" t="s">
        <v>8188</v>
      </c>
      <c r="AH976" t="s">
        <v>118</v>
      </c>
      <c r="AI976">
        <v>9</v>
      </c>
      <c r="AJ976">
        <v>0</v>
      </c>
      <c r="AK976">
        <v>0</v>
      </c>
      <c r="AL976">
        <v>0</v>
      </c>
      <c r="AM976">
        <v>23.47</v>
      </c>
      <c r="AN976">
        <v>31.02</v>
      </c>
      <c r="AO976">
        <v>26.92</v>
      </c>
      <c r="AS976">
        <v>16</v>
      </c>
      <c r="AT976">
        <v>8</v>
      </c>
      <c r="AU976">
        <v>8</v>
      </c>
      <c r="AV976">
        <v>75</v>
      </c>
      <c r="AW976">
        <v>81</v>
      </c>
      <c r="AX976">
        <v>422</v>
      </c>
      <c r="AY976">
        <v>0</v>
      </c>
      <c r="AZ976" t="b">
        <v>0</v>
      </c>
      <c r="BA976">
        <v>1477</v>
      </c>
      <c r="BB976">
        <v>1799</v>
      </c>
      <c r="BC976">
        <v>6</v>
      </c>
      <c r="BD976" t="s">
        <v>8182</v>
      </c>
      <c r="BE976" s="1" t="s">
        <v>3594</v>
      </c>
      <c r="BF976">
        <v>1</v>
      </c>
      <c r="BG976">
        <v>71</v>
      </c>
      <c r="BH976">
        <v>1</v>
      </c>
      <c r="BI976" s="1" t="s">
        <v>276</v>
      </c>
      <c r="BJ976" s="1" t="s">
        <v>5124</v>
      </c>
      <c r="BK976">
        <v>16</v>
      </c>
      <c r="BL976" s="1" t="s">
        <v>4001</v>
      </c>
      <c r="BM976" s="1" t="s">
        <v>211</v>
      </c>
      <c r="BN976">
        <v>4.5999999999999996</v>
      </c>
      <c r="BO976" s="1" t="s">
        <v>125</v>
      </c>
      <c r="BP976" s="1" t="s">
        <v>256</v>
      </c>
      <c r="BQ976">
        <v>0</v>
      </c>
      <c r="BR976">
        <v>0</v>
      </c>
      <c r="BS976" s="1" t="s">
        <v>129</v>
      </c>
      <c r="BT976" s="1" t="s">
        <v>298</v>
      </c>
      <c r="BU976">
        <v>2</v>
      </c>
      <c r="BV976">
        <v>1.2</v>
      </c>
      <c r="BW976">
        <v>0</v>
      </c>
      <c r="BX976">
        <v>0.4</v>
      </c>
      <c r="BY976">
        <v>0</v>
      </c>
      <c r="BZ976" s="1" t="s">
        <v>238</v>
      </c>
      <c r="CA976">
        <v>23.47</v>
      </c>
      <c r="CB976">
        <v>23.47</v>
      </c>
      <c r="CC976">
        <v>31.02</v>
      </c>
      <c r="CD976">
        <v>31.02</v>
      </c>
      <c r="CE976">
        <v>26.92</v>
      </c>
      <c r="CF976">
        <v>26.92</v>
      </c>
      <c r="CG976" s="1" t="s">
        <v>276</v>
      </c>
      <c r="CH976" s="1" t="s">
        <v>949</v>
      </c>
      <c r="CI976" s="1" t="s">
        <v>397</v>
      </c>
      <c r="CJ976" s="1" t="s">
        <v>416</v>
      </c>
      <c r="CK976" s="1" t="s">
        <v>124</v>
      </c>
      <c r="CL976">
        <v>3.8</v>
      </c>
      <c r="CM976" s="1" t="s">
        <v>593</v>
      </c>
      <c r="CN976" s="1" t="s">
        <v>4672</v>
      </c>
      <c r="CO976" s="1" t="s">
        <v>350</v>
      </c>
      <c r="CP976" s="1" t="s">
        <v>2079</v>
      </c>
      <c r="CQ976" s="1" t="s">
        <v>8189</v>
      </c>
      <c r="CR976">
        <v>416.2</v>
      </c>
      <c r="CS976" s="1" t="s">
        <v>3218</v>
      </c>
      <c r="CT976" s="1" t="s">
        <v>5165</v>
      </c>
      <c r="CU976" s="1" t="s">
        <v>806</v>
      </c>
      <c r="CV976">
        <v>1613</v>
      </c>
      <c r="CW976">
        <v>110.3</v>
      </c>
      <c r="CX976">
        <v>104</v>
      </c>
      <c r="CY976">
        <v>81.599999999999994</v>
      </c>
      <c r="CZ976" s="1" t="s">
        <v>6888</v>
      </c>
      <c r="DA976">
        <v>1</v>
      </c>
      <c r="DB976" t="s">
        <v>6775</v>
      </c>
      <c r="DC976">
        <v>135</v>
      </c>
      <c r="DD976" s="1" t="s">
        <v>8190</v>
      </c>
      <c r="DE976" s="1" t="s">
        <v>8191</v>
      </c>
      <c r="DF976" t="e">
        <f>_xlfn.XLOOKUP(Table1[[#This Row],[Player ID]],Table2[feed_id],Table2[trade_status])</f>
        <v>#N/A</v>
      </c>
      <c r="DG976">
        <f>_xlfn.NUMBERVALUE(Table1[[#This Row],[predicted]])</f>
        <v>105.294281685963</v>
      </c>
    </row>
    <row r="977" spans="1:111" hidden="1" x14ac:dyDescent="0.25">
      <c r="A977">
        <v>132897</v>
      </c>
      <c r="B977">
        <v>9245</v>
      </c>
      <c r="C977" t="s">
        <v>8180</v>
      </c>
      <c r="D977" t="s">
        <v>3116</v>
      </c>
      <c r="E977">
        <v>2025</v>
      </c>
      <c r="F977">
        <v>1011640</v>
      </c>
      <c r="G977" t="s">
        <v>4434</v>
      </c>
      <c r="H977" t="s">
        <v>8192</v>
      </c>
      <c r="I977" t="s">
        <v>425</v>
      </c>
      <c r="J977">
        <v>15</v>
      </c>
      <c r="K977">
        <v>100</v>
      </c>
      <c r="L977">
        <v>119</v>
      </c>
      <c r="M977">
        <v>129</v>
      </c>
      <c r="N977">
        <v>77</v>
      </c>
      <c r="O977">
        <v>106</v>
      </c>
      <c r="P977">
        <v>21</v>
      </c>
      <c r="Q977">
        <v>8</v>
      </c>
      <c r="R977">
        <v>4</v>
      </c>
      <c r="S977">
        <v>2</v>
      </c>
      <c r="T977">
        <v>0</v>
      </c>
      <c r="U977">
        <v>3</v>
      </c>
      <c r="V977">
        <v>1</v>
      </c>
      <c r="W977">
        <v>0</v>
      </c>
      <c r="X977">
        <v>1</v>
      </c>
      <c r="Y977" t="s">
        <v>113</v>
      </c>
      <c r="Z977" t="s">
        <v>339</v>
      </c>
      <c r="AA977" t="s">
        <v>8193</v>
      </c>
      <c r="AB977" t="s">
        <v>5826</v>
      </c>
      <c r="AC977" t="s">
        <v>4858</v>
      </c>
      <c r="AH977" t="s">
        <v>118</v>
      </c>
      <c r="AI977">
        <v>18</v>
      </c>
      <c r="AJ977">
        <v>0</v>
      </c>
      <c r="AK977">
        <v>0</v>
      </c>
      <c r="AL977">
        <v>0</v>
      </c>
      <c r="AM977">
        <v>4.83</v>
      </c>
      <c r="AN977">
        <v>3.57</v>
      </c>
      <c r="AO977">
        <v>5.31</v>
      </c>
      <c r="AS977">
        <v>13</v>
      </c>
      <c r="AT977">
        <v>7</v>
      </c>
      <c r="AU977">
        <v>1</v>
      </c>
      <c r="AV977">
        <v>75</v>
      </c>
      <c r="AW977">
        <v>80</v>
      </c>
      <c r="AX977">
        <v>637</v>
      </c>
      <c r="AY977">
        <v>0</v>
      </c>
      <c r="AZ977" t="b">
        <v>0</v>
      </c>
      <c r="BA977">
        <v>1477</v>
      </c>
      <c r="BB977">
        <v>1799</v>
      </c>
      <c r="BC977">
        <v>6</v>
      </c>
      <c r="BD977" t="s">
        <v>8182</v>
      </c>
      <c r="BE977" s="1" t="s">
        <v>3594</v>
      </c>
      <c r="BF977">
        <v>1</v>
      </c>
      <c r="BG977">
        <v>71</v>
      </c>
      <c r="BH977">
        <v>1</v>
      </c>
      <c r="BI977" s="1" t="s">
        <v>123</v>
      </c>
      <c r="BJ977" s="1" t="s">
        <v>8194</v>
      </c>
      <c r="BK977">
        <v>12</v>
      </c>
      <c r="BL977">
        <v>7</v>
      </c>
      <c r="BM977" s="1" t="s">
        <v>160</v>
      </c>
      <c r="BN977" s="1" t="s">
        <v>160</v>
      </c>
      <c r="BO977">
        <v>3</v>
      </c>
      <c r="BP977">
        <v>2.8</v>
      </c>
      <c r="BQ977">
        <v>0</v>
      </c>
      <c r="BR977">
        <v>0</v>
      </c>
      <c r="BS977">
        <v>2</v>
      </c>
      <c r="BT977">
        <v>1.6</v>
      </c>
      <c r="BU977" s="1" t="s">
        <v>126</v>
      </c>
      <c r="BV977" s="1" t="s">
        <v>255</v>
      </c>
      <c r="BW977" s="1" t="s">
        <v>126</v>
      </c>
      <c r="BX977">
        <v>1.2</v>
      </c>
      <c r="BY977" s="1" t="s">
        <v>128</v>
      </c>
      <c r="BZ977" s="1" t="s">
        <v>130</v>
      </c>
      <c r="CA977">
        <v>4.83</v>
      </c>
      <c r="CB977">
        <v>4.83</v>
      </c>
      <c r="CC977">
        <v>3.57</v>
      </c>
      <c r="CD977">
        <v>3.57</v>
      </c>
      <c r="CE977">
        <v>5.31</v>
      </c>
      <c r="CF977">
        <v>5.31</v>
      </c>
      <c r="CG977" s="1" t="s">
        <v>276</v>
      </c>
      <c r="CH977" s="1" t="s">
        <v>864</v>
      </c>
      <c r="CI977" s="1" t="s">
        <v>397</v>
      </c>
      <c r="CJ977" s="1" t="s">
        <v>416</v>
      </c>
      <c r="CK977" s="1" t="s">
        <v>138</v>
      </c>
      <c r="CL977">
        <v>4.5999999999999996</v>
      </c>
      <c r="CM977">
        <v>75</v>
      </c>
      <c r="CN977" s="1" t="s">
        <v>5330</v>
      </c>
      <c r="CO977" s="1" t="s">
        <v>968</v>
      </c>
      <c r="CP977" s="1" t="s">
        <v>1753</v>
      </c>
      <c r="CQ977" s="1" t="s">
        <v>8195</v>
      </c>
      <c r="CR977" s="1" t="s">
        <v>8196</v>
      </c>
      <c r="CS977" s="1" t="s">
        <v>3934</v>
      </c>
      <c r="CT977" s="1" t="s">
        <v>2124</v>
      </c>
      <c r="CU977" s="1" t="s">
        <v>1533</v>
      </c>
      <c r="CV977">
        <v>1606.6</v>
      </c>
      <c r="CW977">
        <v>95.25</v>
      </c>
      <c r="CX977">
        <v>94.7</v>
      </c>
      <c r="CY977">
        <v>99.6</v>
      </c>
      <c r="CZ977">
        <v>118</v>
      </c>
      <c r="DA977">
        <v>1</v>
      </c>
      <c r="DB977" t="s">
        <v>339</v>
      </c>
      <c r="DC977">
        <v>119</v>
      </c>
      <c r="DD977" s="1" t="s">
        <v>8197</v>
      </c>
      <c r="DE977" s="1" t="s">
        <v>8198</v>
      </c>
      <c r="DF977" t="e">
        <f>_xlfn.XLOOKUP(Table1[[#This Row],[Player ID]],Table2[feed_id],Table2[trade_status])</f>
        <v>#N/A</v>
      </c>
      <c r="DG977">
        <f>_xlfn.NUMBERVALUE(Table1[[#This Row],[predicted]])</f>
        <v>95.019212475613401</v>
      </c>
    </row>
    <row r="978" spans="1:111" hidden="1" x14ac:dyDescent="0.25">
      <c r="A978">
        <v>132898</v>
      </c>
      <c r="B978">
        <v>9245</v>
      </c>
      <c r="C978" t="s">
        <v>8180</v>
      </c>
      <c r="D978" t="s">
        <v>3116</v>
      </c>
      <c r="E978">
        <v>2025</v>
      </c>
      <c r="F978">
        <v>992330</v>
      </c>
      <c r="G978" t="s">
        <v>5512</v>
      </c>
      <c r="H978" t="s">
        <v>8199</v>
      </c>
      <c r="I978" t="s">
        <v>425</v>
      </c>
      <c r="J978">
        <v>44</v>
      </c>
      <c r="K978">
        <v>93</v>
      </c>
      <c r="L978">
        <v>114</v>
      </c>
      <c r="M978">
        <v>109</v>
      </c>
      <c r="N978">
        <v>84</v>
      </c>
      <c r="O978">
        <v>104</v>
      </c>
      <c r="P978">
        <v>3</v>
      </c>
      <c r="Q978">
        <v>9</v>
      </c>
      <c r="R978">
        <v>1</v>
      </c>
      <c r="S978">
        <v>6</v>
      </c>
      <c r="T978">
        <v>47</v>
      </c>
      <c r="U978">
        <v>1</v>
      </c>
      <c r="V978">
        <v>3</v>
      </c>
      <c r="W978">
        <v>0</v>
      </c>
      <c r="X978">
        <v>0</v>
      </c>
      <c r="Y978" t="s">
        <v>113</v>
      </c>
      <c r="Z978" t="s">
        <v>602</v>
      </c>
      <c r="AA978" t="s">
        <v>8200</v>
      </c>
      <c r="AH978" t="s">
        <v>274</v>
      </c>
      <c r="AI978">
        <v>24</v>
      </c>
      <c r="AJ978">
        <v>0</v>
      </c>
      <c r="AK978">
        <v>0</v>
      </c>
      <c r="AL978">
        <v>0</v>
      </c>
      <c r="AM978">
        <v>19</v>
      </c>
      <c r="AN978">
        <v>15.16</v>
      </c>
      <c r="AO978">
        <v>11.17</v>
      </c>
      <c r="AS978">
        <v>10</v>
      </c>
      <c r="AT978">
        <v>2</v>
      </c>
      <c r="AU978">
        <v>7</v>
      </c>
      <c r="AV978">
        <v>50</v>
      </c>
      <c r="AW978">
        <v>87</v>
      </c>
      <c r="AX978">
        <v>145</v>
      </c>
      <c r="AY978">
        <v>0</v>
      </c>
      <c r="AZ978" t="b">
        <v>0</v>
      </c>
      <c r="BA978">
        <v>1477</v>
      </c>
      <c r="BB978">
        <v>1799</v>
      </c>
      <c r="BC978">
        <v>6</v>
      </c>
      <c r="BD978" t="s">
        <v>8182</v>
      </c>
      <c r="BE978" s="1" t="s">
        <v>3594</v>
      </c>
      <c r="BF978">
        <v>1</v>
      </c>
      <c r="BG978">
        <v>71</v>
      </c>
      <c r="BH978">
        <v>1</v>
      </c>
      <c r="BI978">
        <v>4</v>
      </c>
      <c r="BJ978" s="1" t="s">
        <v>230</v>
      </c>
      <c r="BK978">
        <v>8</v>
      </c>
      <c r="BL978">
        <v>6.6</v>
      </c>
      <c r="BM978">
        <v>2</v>
      </c>
      <c r="BN978" s="1" t="s">
        <v>304</v>
      </c>
      <c r="BO978" s="1" t="s">
        <v>160</v>
      </c>
      <c r="BP978" s="1" t="s">
        <v>160</v>
      </c>
      <c r="BQ978" s="1" t="s">
        <v>576</v>
      </c>
      <c r="BR978">
        <v>38</v>
      </c>
      <c r="BS978">
        <v>2</v>
      </c>
      <c r="BT978">
        <v>1.4</v>
      </c>
      <c r="BU978" s="1" t="s">
        <v>159</v>
      </c>
      <c r="BV978" s="1" t="s">
        <v>275</v>
      </c>
      <c r="BW978">
        <v>0</v>
      </c>
      <c r="BX978" s="1" t="s">
        <v>184</v>
      </c>
      <c r="BY978">
        <v>0</v>
      </c>
      <c r="BZ978" s="1" t="s">
        <v>213</v>
      </c>
      <c r="CA978">
        <v>19</v>
      </c>
      <c r="CB978">
        <v>19</v>
      </c>
      <c r="CC978">
        <v>15.16</v>
      </c>
      <c r="CD978">
        <v>15.16</v>
      </c>
      <c r="CE978">
        <v>11.17</v>
      </c>
      <c r="CF978">
        <v>11.17</v>
      </c>
      <c r="CG978">
        <v>9</v>
      </c>
      <c r="CH978" s="1" t="s">
        <v>818</v>
      </c>
      <c r="CI978" s="1" t="s">
        <v>125</v>
      </c>
      <c r="CJ978">
        <v>3.2</v>
      </c>
      <c r="CK978">
        <v>5</v>
      </c>
      <c r="CL978" s="1" t="s">
        <v>237</v>
      </c>
      <c r="CM978" s="1" t="s">
        <v>1291</v>
      </c>
      <c r="CN978">
        <v>66.2</v>
      </c>
      <c r="CO978" s="1" t="s">
        <v>403</v>
      </c>
      <c r="CP978" s="1" t="s">
        <v>2849</v>
      </c>
      <c r="CQ978">
        <v>102</v>
      </c>
      <c r="CR978">
        <v>136.6</v>
      </c>
      <c r="CS978" s="1" t="s">
        <v>3934</v>
      </c>
      <c r="CT978" s="1" t="s">
        <v>2124</v>
      </c>
      <c r="CU978" s="1" t="s">
        <v>1533</v>
      </c>
      <c r="CV978">
        <v>1606.6</v>
      </c>
      <c r="CW978">
        <v>89.15</v>
      </c>
      <c r="CX978">
        <v>93.7</v>
      </c>
      <c r="CY978">
        <v>94.6</v>
      </c>
      <c r="CZ978" s="1" t="s">
        <v>3487</v>
      </c>
      <c r="DA978">
        <v>1</v>
      </c>
      <c r="DB978" t="s">
        <v>602</v>
      </c>
      <c r="DC978">
        <v>114</v>
      </c>
      <c r="DD978" s="1" t="s">
        <v>8201</v>
      </c>
      <c r="DE978" s="1" t="s">
        <v>8202</v>
      </c>
      <c r="DF978" t="e">
        <f>_xlfn.XLOOKUP(Table1[[#This Row],[Player ID]],Table2[feed_id],Table2[trade_status])</f>
        <v>#N/A</v>
      </c>
      <c r="DG978">
        <f>_xlfn.NUMBERVALUE(Table1[[#This Row],[predicted]])</f>
        <v>94.352625526824298</v>
      </c>
    </row>
    <row r="979" spans="1:111" hidden="1" x14ac:dyDescent="0.25">
      <c r="A979">
        <v>132899</v>
      </c>
      <c r="B979">
        <v>9245</v>
      </c>
      <c r="C979" t="s">
        <v>8180</v>
      </c>
      <c r="D979" t="s">
        <v>3116</v>
      </c>
      <c r="E979">
        <v>2025</v>
      </c>
      <c r="F979">
        <v>1013462</v>
      </c>
      <c r="G979" t="s">
        <v>8203</v>
      </c>
      <c r="H979" t="s">
        <v>3865</v>
      </c>
      <c r="I979" t="s">
        <v>425</v>
      </c>
      <c r="J979">
        <v>14</v>
      </c>
      <c r="K979">
        <v>89</v>
      </c>
      <c r="L979">
        <v>72</v>
      </c>
      <c r="M979">
        <v>116</v>
      </c>
      <c r="N979">
        <v>68</v>
      </c>
      <c r="O979">
        <v>93</v>
      </c>
      <c r="P979">
        <v>17</v>
      </c>
      <c r="Q979">
        <v>6</v>
      </c>
      <c r="R979">
        <v>6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113</v>
      </c>
      <c r="Z979" t="s">
        <v>525</v>
      </c>
      <c r="AA979" t="s">
        <v>713</v>
      </c>
      <c r="AH979" t="s">
        <v>181</v>
      </c>
      <c r="AI979">
        <v>7</v>
      </c>
      <c r="AJ979">
        <v>0</v>
      </c>
      <c r="AK979">
        <v>0</v>
      </c>
      <c r="AL979">
        <v>0</v>
      </c>
      <c r="AM979">
        <v>0.93</v>
      </c>
      <c r="AN979">
        <v>0.69</v>
      </c>
      <c r="AO979">
        <v>0.18</v>
      </c>
      <c r="AS979">
        <v>3</v>
      </c>
      <c r="AT979">
        <v>2</v>
      </c>
      <c r="AU979">
        <v>4</v>
      </c>
      <c r="AV979">
        <v>69</v>
      </c>
      <c r="AW979">
        <v>96</v>
      </c>
      <c r="AX979">
        <v>422</v>
      </c>
      <c r="AY979">
        <v>0</v>
      </c>
      <c r="AZ979" t="b">
        <v>0</v>
      </c>
      <c r="BA979">
        <v>1477</v>
      </c>
      <c r="BB979">
        <v>1799</v>
      </c>
      <c r="BC979">
        <v>6</v>
      </c>
      <c r="BD979" t="s">
        <v>8182</v>
      </c>
      <c r="BE979" s="1" t="s">
        <v>3594</v>
      </c>
      <c r="BF979">
        <v>0</v>
      </c>
      <c r="BG979">
        <v>71</v>
      </c>
      <c r="BH979">
        <v>1</v>
      </c>
      <c r="BI979">
        <v>14</v>
      </c>
      <c r="BJ979" s="1" t="s">
        <v>5801</v>
      </c>
      <c r="BK979">
        <v>7</v>
      </c>
      <c r="BL979">
        <v>8.4</v>
      </c>
      <c r="BM979" s="1" t="s">
        <v>204</v>
      </c>
      <c r="BN979">
        <v>5.8</v>
      </c>
      <c r="BO979" s="1" t="s">
        <v>169</v>
      </c>
      <c r="BP979" s="1" t="s">
        <v>321</v>
      </c>
      <c r="BQ979">
        <v>0</v>
      </c>
      <c r="BR979">
        <v>0</v>
      </c>
      <c r="BS979" s="1" t="s">
        <v>129</v>
      </c>
      <c r="BT979">
        <v>0.8</v>
      </c>
      <c r="BU979">
        <v>0</v>
      </c>
      <c r="BV979" s="1" t="s">
        <v>128</v>
      </c>
      <c r="BW979">
        <v>0</v>
      </c>
      <c r="BX979">
        <v>0.4</v>
      </c>
      <c r="BY979" s="1" t="s">
        <v>129</v>
      </c>
      <c r="BZ979">
        <v>0.4</v>
      </c>
      <c r="CA979">
        <v>0.93</v>
      </c>
      <c r="CB979">
        <v>0.93</v>
      </c>
      <c r="CC979">
        <v>0.69</v>
      </c>
      <c r="CD979">
        <v>0.69</v>
      </c>
      <c r="CE979">
        <v>0.18</v>
      </c>
      <c r="CF979">
        <v>0.18</v>
      </c>
      <c r="CG979" s="1" t="s">
        <v>138</v>
      </c>
      <c r="CH979" s="1" t="s">
        <v>898</v>
      </c>
      <c r="CI979">
        <v>1</v>
      </c>
      <c r="CJ979" s="1" t="s">
        <v>126</v>
      </c>
      <c r="CK979">
        <v>3</v>
      </c>
      <c r="CL979" s="1" t="s">
        <v>214</v>
      </c>
      <c r="CM979" s="1" t="s">
        <v>516</v>
      </c>
      <c r="CN979" s="1" t="s">
        <v>1753</v>
      </c>
      <c r="CO979" s="1" t="s">
        <v>645</v>
      </c>
      <c r="CP979" s="1" t="s">
        <v>554</v>
      </c>
      <c r="CQ979" s="1" t="s">
        <v>8204</v>
      </c>
      <c r="CR979" s="1" t="s">
        <v>4522</v>
      </c>
      <c r="CS979" s="1" t="s">
        <v>3934</v>
      </c>
      <c r="CT979" s="1" t="s">
        <v>2124</v>
      </c>
      <c r="CU979" s="1" t="s">
        <v>1533</v>
      </c>
      <c r="CV979">
        <v>1606.6</v>
      </c>
      <c r="CW979">
        <v>87.05</v>
      </c>
      <c r="CX979">
        <v>90.5</v>
      </c>
      <c r="CY979">
        <v>82.2</v>
      </c>
      <c r="CZ979">
        <v>78</v>
      </c>
      <c r="DA979">
        <v>1</v>
      </c>
      <c r="DB979" t="s">
        <v>525</v>
      </c>
      <c r="DC979">
        <v>72</v>
      </c>
      <c r="DD979" s="1" t="s">
        <v>8205</v>
      </c>
      <c r="DE979">
        <v>-10.9936471347569</v>
      </c>
      <c r="DF979" t="e">
        <f>_xlfn.XLOOKUP(Table1[[#This Row],[Player ID]],Table2[feed_id],Table2[trade_status])</f>
        <v>#N/A</v>
      </c>
      <c r="DG979">
        <f>_xlfn.NUMBERVALUE(Table1[[#This Row],[predicted]])</f>
        <v>82.993647134756898</v>
      </c>
    </row>
    <row r="980" spans="1:111" hidden="1" x14ac:dyDescent="0.25">
      <c r="A980">
        <v>132900</v>
      </c>
      <c r="B980">
        <v>9245</v>
      </c>
      <c r="C980" t="s">
        <v>8180</v>
      </c>
      <c r="D980" t="s">
        <v>3116</v>
      </c>
      <c r="E980">
        <v>2025</v>
      </c>
      <c r="F980">
        <v>1000972</v>
      </c>
      <c r="G980" t="s">
        <v>8206</v>
      </c>
      <c r="H980" t="s">
        <v>1842</v>
      </c>
      <c r="I980" t="s">
        <v>425</v>
      </c>
      <c r="J980">
        <v>24</v>
      </c>
      <c r="K980">
        <v>86</v>
      </c>
      <c r="L980">
        <v>109</v>
      </c>
      <c r="M980">
        <v>105</v>
      </c>
      <c r="N980">
        <v>70</v>
      </c>
      <c r="O980">
        <v>100</v>
      </c>
      <c r="P980">
        <v>10</v>
      </c>
      <c r="Q980">
        <v>16</v>
      </c>
      <c r="R980">
        <v>1</v>
      </c>
      <c r="S980">
        <v>4</v>
      </c>
      <c r="T980">
        <v>0</v>
      </c>
      <c r="U980">
        <v>1</v>
      </c>
      <c r="V980">
        <v>1</v>
      </c>
      <c r="W980">
        <v>1</v>
      </c>
      <c r="X980">
        <v>1</v>
      </c>
      <c r="Y980" t="s">
        <v>113</v>
      </c>
      <c r="Z980" t="s">
        <v>8207</v>
      </c>
      <c r="AA980" t="s">
        <v>8208</v>
      </c>
      <c r="AE980">
        <v>0</v>
      </c>
      <c r="AH980" t="s">
        <v>118</v>
      </c>
      <c r="AI980">
        <v>28</v>
      </c>
      <c r="AJ980">
        <v>0</v>
      </c>
      <c r="AK980">
        <v>0</v>
      </c>
      <c r="AL980">
        <v>0</v>
      </c>
      <c r="AM980">
        <v>0</v>
      </c>
      <c r="AN980">
        <v>0.25</v>
      </c>
      <c r="AO980">
        <v>0.22</v>
      </c>
      <c r="AS980">
        <v>18</v>
      </c>
      <c r="AT980">
        <v>8</v>
      </c>
      <c r="AU980">
        <v>3</v>
      </c>
      <c r="AV980">
        <v>73</v>
      </c>
      <c r="AW980">
        <v>86</v>
      </c>
      <c r="AX980">
        <v>364</v>
      </c>
      <c r="AY980">
        <v>0</v>
      </c>
      <c r="AZ980" t="b">
        <v>0</v>
      </c>
      <c r="BA980">
        <v>1477</v>
      </c>
      <c r="BB980">
        <v>1799</v>
      </c>
      <c r="BC980">
        <v>6</v>
      </c>
      <c r="BD980" t="s">
        <v>8182</v>
      </c>
      <c r="BE980" s="1" t="s">
        <v>3594</v>
      </c>
      <c r="BF980">
        <v>1</v>
      </c>
      <c r="BG980">
        <v>71</v>
      </c>
      <c r="BH980">
        <v>1</v>
      </c>
      <c r="BI980" s="1" t="s">
        <v>294</v>
      </c>
      <c r="BJ980">
        <v>11</v>
      </c>
      <c r="BK980" s="1" t="s">
        <v>1008</v>
      </c>
      <c r="BL980">
        <v>8.6</v>
      </c>
      <c r="BM980">
        <v>2</v>
      </c>
      <c r="BN980" s="1" t="s">
        <v>373</v>
      </c>
      <c r="BO980" s="1" t="s">
        <v>125</v>
      </c>
      <c r="BP980" s="1" t="s">
        <v>680</v>
      </c>
      <c r="BQ980">
        <v>0</v>
      </c>
      <c r="BR980">
        <v>0</v>
      </c>
      <c r="BS980" s="1" t="s">
        <v>161</v>
      </c>
      <c r="BT980">
        <v>1.4</v>
      </c>
      <c r="BU980">
        <v>2</v>
      </c>
      <c r="BV980" s="1" t="s">
        <v>126</v>
      </c>
      <c r="BW980" s="1" t="s">
        <v>129</v>
      </c>
      <c r="BX980" s="1" t="s">
        <v>213</v>
      </c>
      <c r="BY980" s="1" t="s">
        <v>129</v>
      </c>
      <c r="BZ980" s="1" t="s">
        <v>231</v>
      </c>
      <c r="CA980">
        <v>0</v>
      </c>
      <c r="CB980">
        <v>0</v>
      </c>
      <c r="CC980">
        <v>0.25</v>
      </c>
      <c r="CD980">
        <v>0.25</v>
      </c>
      <c r="CE980">
        <v>0.22</v>
      </c>
      <c r="CF980">
        <v>0.22</v>
      </c>
      <c r="CG980">
        <v>9</v>
      </c>
      <c r="CH980">
        <v>9</v>
      </c>
      <c r="CI980" s="1" t="s">
        <v>211</v>
      </c>
      <c r="CJ980">
        <v>4.8</v>
      </c>
      <c r="CK980" s="1" t="s">
        <v>211</v>
      </c>
      <c r="CL980" s="1" t="s">
        <v>321</v>
      </c>
      <c r="CM980">
        <v>75</v>
      </c>
      <c r="CN980">
        <v>68.599999999999994</v>
      </c>
      <c r="CO980" s="1" t="s">
        <v>930</v>
      </c>
      <c r="CP980" s="1" t="s">
        <v>2249</v>
      </c>
      <c r="CQ980" s="1" t="s">
        <v>6550</v>
      </c>
      <c r="CR980" s="1" t="s">
        <v>7662</v>
      </c>
      <c r="CS980" s="1" t="s">
        <v>3934</v>
      </c>
      <c r="CT980" s="1" t="s">
        <v>2124</v>
      </c>
      <c r="CU980" s="1" t="s">
        <v>1533</v>
      </c>
      <c r="CV980">
        <v>1606.6</v>
      </c>
      <c r="CW980">
        <v>86.2</v>
      </c>
      <c r="CX980">
        <v>81.8</v>
      </c>
      <c r="CY980">
        <v>83</v>
      </c>
      <c r="CZ980" s="1" t="s">
        <v>261</v>
      </c>
      <c r="DA980">
        <v>1</v>
      </c>
      <c r="DB980" t="s">
        <v>8207</v>
      </c>
      <c r="DC980">
        <v>109</v>
      </c>
      <c r="DD980" s="1" t="s">
        <v>8209</v>
      </c>
      <c r="DE980" s="1" t="s">
        <v>8210</v>
      </c>
      <c r="DF980" t="e">
        <f>_xlfn.XLOOKUP(Table1[[#This Row],[Player ID]],Table2[feed_id],Table2[trade_status])</f>
        <v>#N/A</v>
      </c>
      <c r="DG980">
        <f>_xlfn.NUMBERVALUE(Table1[[#This Row],[predicted]])</f>
        <v>101.30529911948</v>
      </c>
    </row>
    <row r="981" spans="1:111" hidden="1" x14ac:dyDescent="0.25">
      <c r="A981">
        <v>132901</v>
      </c>
      <c r="B981">
        <v>9245</v>
      </c>
      <c r="C981" t="s">
        <v>8180</v>
      </c>
      <c r="D981" t="s">
        <v>3116</v>
      </c>
      <c r="E981">
        <v>2025</v>
      </c>
      <c r="F981">
        <v>294318</v>
      </c>
      <c r="G981" t="s">
        <v>8211</v>
      </c>
      <c r="H981" t="s">
        <v>8212</v>
      </c>
      <c r="I981" t="s">
        <v>425</v>
      </c>
      <c r="J981">
        <v>25</v>
      </c>
      <c r="K981">
        <v>84</v>
      </c>
      <c r="L981">
        <v>70</v>
      </c>
      <c r="M981">
        <v>105</v>
      </c>
      <c r="N981">
        <v>71</v>
      </c>
      <c r="O981">
        <v>106</v>
      </c>
      <c r="P981">
        <v>7</v>
      </c>
      <c r="Q981">
        <v>19</v>
      </c>
      <c r="R981">
        <v>2</v>
      </c>
      <c r="S981">
        <v>6</v>
      </c>
      <c r="T981">
        <v>3</v>
      </c>
      <c r="U981">
        <v>0</v>
      </c>
      <c r="V981">
        <v>3</v>
      </c>
      <c r="W981">
        <v>0</v>
      </c>
      <c r="X981">
        <v>1</v>
      </c>
      <c r="Y981" t="s">
        <v>113</v>
      </c>
      <c r="Z981" t="s">
        <v>877</v>
      </c>
      <c r="AA981" t="s">
        <v>8213</v>
      </c>
      <c r="AE981">
        <v>0</v>
      </c>
      <c r="AH981" t="s">
        <v>118</v>
      </c>
      <c r="AI981">
        <v>16</v>
      </c>
      <c r="AJ981">
        <v>21</v>
      </c>
      <c r="AK981">
        <v>94.52</v>
      </c>
      <c r="AL981">
        <v>0</v>
      </c>
      <c r="AM981">
        <v>0</v>
      </c>
      <c r="AN981">
        <v>1.37</v>
      </c>
      <c r="AO981">
        <v>2.09</v>
      </c>
      <c r="AS981">
        <v>14</v>
      </c>
      <c r="AT981">
        <v>5</v>
      </c>
      <c r="AU981">
        <v>6</v>
      </c>
      <c r="AV981">
        <v>53</v>
      </c>
      <c r="AW981">
        <v>63</v>
      </c>
      <c r="AX981">
        <v>222</v>
      </c>
      <c r="AY981">
        <v>0</v>
      </c>
      <c r="AZ981" t="b">
        <v>0</v>
      </c>
      <c r="BA981">
        <v>1477</v>
      </c>
      <c r="BB981">
        <v>1799</v>
      </c>
      <c r="BC981">
        <v>6</v>
      </c>
      <c r="BD981" t="s">
        <v>8182</v>
      </c>
      <c r="BE981" s="1" t="s">
        <v>3594</v>
      </c>
      <c r="BF981">
        <v>0</v>
      </c>
      <c r="BG981">
        <v>71</v>
      </c>
      <c r="BH981">
        <v>0</v>
      </c>
      <c r="BI981">
        <v>9</v>
      </c>
      <c r="BJ981" s="1" t="s">
        <v>962</v>
      </c>
      <c r="BK981" s="1" t="s">
        <v>5221</v>
      </c>
      <c r="BL981" s="1" t="s">
        <v>4719</v>
      </c>
      <c r="BM981" s="1" t="s">
        <v>159</v>
      </c>
      <c r="BN981" s="1" t="s">
        <v>125</v>
      </c>
      <c r="BO981" s="1" t="s">
        <v>160</v>
      </c>
      <c r="BP981">
        <v>4.8</v>
      </c>
      <c r="BQ981" s="1" t="s">
        <v>159</v>
      </c>
      <c r="BR981" s="1" t="s">
        <v>128</v>
      </c>
      <c r="BS981" s="1" t="s">
        <v>129</v>
      </c>
      <c r="BT981" s="1" t="s">
        <v>162</v>
      </c>
      <c r="BU981">
        <v>2</v>
      </c>
      <c r="BV981" s="1" t="s">
        <v>298</v>
      </c>
      <c r="BW981" s="1" t="s">
        <v>129</v>
      </c>
      <c r="BX981" s="1" t="s">
        <v>184</v>
      </c>
      <c r="BY981" s="1" t="s">
        <v>128</v>
      </c>
      <c r="BZ981" s="1" t="s">
        <v>231</v>
      </c>
      <c r="CA981">
        <v>0</v>
      </c>
      <c r="CB981">
        <v>0</v>
      </c>
      <c r="CC981">
        <v>1.37</v>
      </c>
      <c r="CD981">
        <v>1.37</v>
      </c>
      <c r="CE981">
        <v>2.09</v>
      </c>
      <c r="CF981">
        <v>2.09</v>
      </c>
      <c r="CG981" s="1" t="s">
        <v>276</v>
      </c>
      <c r="CH981" s="1" t="s">
        <v>4001</v>
      </c>
      <c r="CI981">
        <v>5</v>
      </c>
      <c r="CJ981" s="1" t="s">
        <v>963</v>
      </c>
      <c r="CK981">
        <v>6</v>
      </c>
      <c r="CL981" s="1" t="s">
        <v>587</v>
      </c>
      <c r="CM981">
        <v>63</v>
      </c>
      <c r="CN981" s="1" t="s">
        <v>2511</v>
      </c>
      <c r="CO981" s="1" t="s">
        <v>2147</v>
      </c>
      <c r="CP981">
        <v>72.599999999999994</v>
      </c>
      <c r="CQ981">
        <v>214</v>
      </c>
      <c r="CR981" s="1" t="s">
        <v>8214</v>
      </c>
      <c r="CS981" s="1" t="s">
        <v>3934</v>
      </c>
      <c r="CT981" s="1" t="s">
        <v>2124</v>
      </c>
      <c r="CU981" s="1" t="s">
        <v>1533</v>
      </c>
      <c r="CV981">
        <v>1606.6</v>
      </c>
      <c r="CW981">
        <v>95.8</v>
      </c>
      <c r="CX981">
        <v>98.8</v>
      </c>
      <c r="CY981">
        <v>94.8</v>
      </c>
      <c r="CZ981">
        <v>90</v>
      </c>
      <c r="DA981">
        <v>1</v>
      </c>
      <c r="DB981" t="s">
        <v>877</v>
      </c>
      <c r="DC981">
        <v>70</v>
      </c>
      <c r="DD981" s="1" t="s">
        <v>8215</v>
      </c>
      <c r="DE981">
        <v>-8.1921566259364305</v>
      </c>
      <c r="DF981" t="e">
        <f>_xlfn.XLOOKUP(Table1[[#This Row],[Player ID]],Table2[feed_id],Table2[trade_status])</f>
        <v>#N/A</v>
      </c>
      <c r="DG981">
        <f>_xlfn.NUMBERVALUE(Table1[[#This Row],[predicted]])</f>
        <v>78.192156625936406</v>
      </c>
    </row>
    <row r="982" spans="1:111" x14ac:dyDescent="0.25">
      <c r="A982">
        <v>132691</v>
      </c>
      <c r="B982">
        <v>9240</v>
      </c>
      <c r="C982" t="s">
        <v>7230</v>
      </c>
      <c r="D982" t="s">
        <v>3116</v>
      </c>
      <c r="E982">
        <v>2025</v>
      </c>
      <c r="F982">
        <v>1009241</v>
      </c>
      <c r="G982" t="s">
        <v>4649</v>
      </c>
      <c r="H982" t="s">
        <v>7330</v>
      </c>
      <c r="I982" t="s">
        <v>249</v>
      </c>
      <c r="J982">
        <v>4</v>
      </c>
      <c r="K982">
        <v>36</v>
      </c>
      <c r="L982">
        <v>58</v>
      </c>
      <c r="M982">
        <v>46</v>
      </c>
      <c r="N982">
        <v>30</v>
      </c>
      <c r="O982">
        <v>43</v>
      </c>
      <c r="P982">
        <v>4</v>
      </c>
      <c r="Q982">
        <v>6</v>
      </c>
      <c r="R982">
        <v>2</v>
      </c>
      <c r="S982">
        <v>2</v>
      </c>
      <c r="T982">
        <v>0</v>
      </c>
      <c r="U982">
        <v>0</v>
      </c>
      <c r="V982">
        <v>1</v>
      </c>
      <c r="W982">
        <v>0</v>
      </c>
      <c r="X982">
        <v>1</v>
      </c>
      <c r="Y982" t="s">
        <v>113</v>
      </c>
      <c r="Z982" t="s">
        <v>1920</v>
      </c>
      <c r="AA982" t="s">
        <v>7331</v>
      </c>
      <c r="AB982" t="s">
        <v>656</v>
      </c>
      <c r="AC982" t="s">
        <v>7332</v>
      </c>
      <c r="AH982" t="s">
        <v>181</v>
      </c>
      <c r="AI982">
        <v>17</v>
      </c>
      <c r="AJ982">
        <v>0</v>
      </c>
      <c r="AK982">
        <v>0</v>
      </c>
      <c r="AL982">
        <v>0</v>
      </c>
      <c r="AM982">
        <v>0.18</v>
      </c>
      <c r="AN982">
        <v>0.08</v>
      </c>
      <c r="AO982">
        <v>0.13</v>
      </c>
      <c r="AS982">
        <v>4</v>
      </c>
      <c r="AT982">
        <v>0</v>
      </c>
      <c r="AU982">
        <v>2</v>
      </c>
      <c r="AV982">
        <v>70</v>
      </c>
      <c r="AW982">
        <v>64</v>
      </c>
      <c r="AX982">
        <v>87</v>
      </c>
      <c r="AY982">
        <v>1</v>
      </c>
      <c r="AZ982" t="b">
        <v>1</v>
      </c>
      <c r="BA982">
        <v>1285</v>
      </c>
      <c r="BB982">
        <v>1976</v>
      </c>
      <c r="BC982">
        <v>6</v>
      </c>
      <c r="BD982" t="s">
        <v>7234</v>
      </c>
      <c r="BE982" s="1" t="s">
        <v>3594</v>
      </c>
      <c r="BF982">
        <v>0</v>
      </c>
      <c r="BG982">
        <v>71</v>
      </c>
      <c r="BH982">
        <v>0</v>
      </c>
      <c r="BI982" s="1" t="s">
        <v>397</v>
      </c>
      <c r="BJ982" s="1" t="s">
        <v>168</v>
      </c>
      <c r="BK982" s="1" t="s">
        <v>138</v>
      </c>
      <c r="BL982" s="1" t="s">
        <v>990</v>
      </c>
      <c r="BM982" s="1" t="s">
        <v>211</v>
      </c>
      <c r="BN982">
        <v>4.5999999999999996</v>
      </c>
      <c r="BO982" s="1" t="s">
        <v>169</v>
      </c>
      <c r="BP982" s="1" t="s">
        <v>375</v>
      </c>
      <c r="BQ982">
        <v>0</v>
      </c>
      <c r="BR982">
        <v>0</v>
      </c>
      <c r="BS982">
        <v>1</v>
      </c>
      <c r="BT982">
        <v>0.6</v>
      </c>
      <c r="BU982" s="1" t="s">
        <v>128</v>
      </c>
      <c r="BV982" s="1" t="s">
        <v>399</v>
      </c>
      <c r="BW982" s="1" t="s">
        <v>161</v>
      </c>
      <c r="BX982">
        <v>0.8</v>
      </c>
      <c r="BY982" s="1" t="s">
        <v>128</v>
      </c>
      <c r="BZ982" s="1" t="s">
        <v>231</v>
      </c>
      <c r="CA982">
        <v>0.18</v>
      </c>
      <c r="CB982">
        <v>0.18</v>
      </c>
      <c r="CC982">
        <v>0.08</v>
      </c>
      <c r="CD982">
        <v>0.08</v>
      </c>
      <c r="CE982">
        <v>0.13</v>
      </c>
      <c r="CF982">
        <v>0.13</v>
      </c>
      <c r="CG982">
        <v>3</v>
      </c>
      <c r="CH982" s="1" t="s">
        <v>766</v>
      </c>
      <c r="CI982">
        <v>0</v>
      </c>
      <c r="CJ982">
        <v>0</v>
      </c>
      <c r="CK982" s="1" t="s">
        <v>138</v>
      </c>
      <c r="CL982" s="1" t="s">
        <v>322</v>
      </c>
      <c r="CM982">
        <v>59</v>
      </c>
      <c r="CN982">
        <v>66.8</v>
      </c>
      <c r="CO982" s="1" t="s">
        <v>994</v>
      </c>
      <c r="CP982" s="1" t="s">
        <v>1665</v>
      </c>
      <c r="CQ982" s="1" t="s">
        <v>7333</v>
      </c>
      <c r="CR982" s="1" t="s">
        <v>7334</v>
      </c>
      <c r="CS982" s="1" t="s">
        <v>7238</v>
      </c>
      <c r="CT982" s="1" t="s">
        <v>7335</v>
      </c>
      <c r="CU982" s="1" t="s">
        <v>7239</v>
      </c>
      <c r="CV982">
        <v>1620.6</v>
      </c>
      <c r="CW982">
        <v>63</v>
      </c>
      <c r="CX982">
        <v>54</v>
      </c>
      <c r="CY982">
        <v>47.4</v>
      </c>
      <c r="CZ982" s="1" t="s">
        <v>1459</v>
      </c>
      <c r="DA982">
        <v>1</v>
      </c>
      <c r="DB982" t="s">
        <v>1920</v>
      </c>
      <c r="DC982">
        <v>58</v>
      </c>
      <c r="DD982" s="1" t="s">
        <v>7336</v>
      </c>
      <c r="DE982" s="1" t="s">
        <v>7337</v>
      </c>
      <c r="DF982" t="str">
        <f>_xlfn.XLOOKUP(Table1[[#This Row],[Player ID]],Table2[feed_id],Table2[trade_status])</f>
        <v>free_agent</v>
      </c>
      <c r="DG982">
        <f>_xlfn.NUMBERVALUE(Table1[[#This Row],[predicted]])</f>
        <v>54.191893056642499</v>
      </c>
    </row>
    <row r="983" spans="1:111" x14ac:dyDescent="0.25">
      <c r="A983">
        <v>132915</v>
      </c>
      <c r="B983">
        <v>9245</v>
      </c>
      <c r="C983" t="s">
        <v>8180</v>
      </c>
      <c r="D983" t="s">
        <v>3116</v>
      </c>
      <c r="E983">
        <v>2025</v>
      </c>
      <c r="F983">
        <v>1012881</v>
      </c>
      <c r="G983" t="s">
        <v>8211</v>
      </c>
      <c r="H983" t="s">
        <v>8262</v>
      </c>
      <c r="I983" t="s">
        <v>425</v>
      </c>
      <c r="J983">
        <v>9</v>
      </c>
      <c r="K983">
        <v>39</v>
      </c>
      <c r="L983">
        <v>50</v>
      </c>
      <c r="M983">
        <v>48</v>
      </c>
      <c r="N983">
        <v>36</v>
      </c>
      <c r="O983">
        <v>46</v>
      </c>
      <c r="P983">
        <v>5</v>
      </c>
      <c r="Q983">
        <v>4</v>
      </c>
      <c r="R983">
        <v>4</v>
      </c>
      <c r="S983">
        <v>0</v>
      </c>
      <c r="T983">
        <v>0</v>
      </c>
      <c r="U983">
        <v>0</v>
      </c>
      <c r="V983">
        <v>1</v>
      </c>
      <c r="W983">
        <v>1</v>
      </c>
      <c r="X983">
        <v>1</v>
      </c>
      <c r="Y983" t="s">
        <v>113</v>
      </c>
      <c r="Z983" t="s">
        <v>656</v>
      </c>
      <c r="AA983" t="s">
        <v>8263</v>
      </c>
      <c r="AH983" t="s">
        <v>181</v>
      </c>
      <c r="AI983">
        <v>30</v>
      </c>
      <c r="AJ983">
        <v>0</v>
      </c>
      <c r="AK983">
        <v>0</v>
      </c>
      <c r="AL983">
        <v>0</v>
      </c>
      <c r="AM983">
        <v>0.35</v>
      </c>
      <c r="AN983">
        <v>0.16</v>
      </c>
      <c r="AO983">
        <v>0.74</v>
      </c>
      <c r="AS983">
        <v>3</v>
      </c>
      <c r="AT983">
        <v>0</v>
      </c>
      <c r="AU983">
        <v>1</v>
      </c>
      <c r="AV983">
        <v>55</v>
      </c>
      <c r="AW983">
        <v>82</v>
      </c>
      <c r="AX983">
        <v>124</v>
      </c>
      <c r="AY983">
        <v>0</v>
      </c>
      <c r="AZ983" t="b">
        <v>0</v>
      </c>
      <c r="BA983">
        <v>1477</v>
      </c>
      <c r="BB983">
        <v>1799</v>
      </c>
      <c r="BC983">
        <v>6</v>
      </c>
      <c r="BD983" t="s">
        <v>8182</v>
      </c>
      <c r="BE983" s="1" t="s">
        <v>3594</v>
      </c>
      <c r="BF983">
        <v>0</v>
      </c>
      <c r="BG983">
        <v>71</v>
      </c>
      <c r="BH983">
        <v>0</v>
      </c>
      <c r="BI983" s="1" t="s">
        <v>211</v>
      </c>
      <c r="BJ983" s="1" t="s">
        <v>587</v>
      </c>
      <c r="BK983">
        <v>2</v>
      </c>
      <c r="BL983" s="1" t="s">
        <v>170</v>
      </c>
      <c r="BM983">
        <v>3</v>
      </c>
      <c r="BN983" s="1" t="s">
        <v>159</v>
      </c>
      <c r="BO983" s="1" t="s">
        <v>126</v>
      </c>
      <c r="BP983">
        <v>1.4</v>
      </c>
      <c r="BQ983">
        <v>0</v>
      </c>
      <c r="BR983" s="1" t="s">
        <v>162</v>
      </c>
      <c r="BS983" s="1" t="s">
        <v>128</v>
      </c>
      <c r="BT983" s="1" t="s">
        <v>128</v>
      </c>
      <c r="BU983" s="1" t="s">
        <v>129</v>
      </c>
      <c r="BV983">
        <v>1</v>
      </c>
      <c r="BW983" s="1" t="s">
        <v>161</v>
      </c>
      <c r="BX983" s="1" t="s">
        <v>257</v>
      </c>
      <c r="BY983" s="1" t="s">
        <v>128</v>
      </c>
      <c r="BZ983" s="1" t="s">
        <v>130</v>
      </c>
      <c r="CA983">
        <v>0.35</v>
      </c>
      <c r="CB983">
        <v>0.42</v>
      </c>
      <c r="CC983">
        <v>0.16</v>
      </c>
      <c r="CD983" s="1" t="s">
        <v>642</v>
      </c>
      <c r="CE983">
        <v>0.74</v>
      </c>
      <c r="CF983">
        <v>0.83799999999999997</v>
      </c>
      <c r="CG983">
        <v>2</v>
      </c>
      <c r="CH983" s="1" t="s">
        <v>766</v>
      </c>
      <c r="CI983">
        <v>0</v>
      </c>
      <c r="CJ983" s="1" t="s">
        <v>213</v>
      </c>
      <c r="CK983" s="1" t="s">
        <v>128</v>
      </c>
      <c r="CL983">
        <v>2</v>
      </c>
      <c r="CM983" s="1" t="s">
        <v>683</v>
      </c>
      <c r="CN983" s="1" t="s">
        <v>2924</v>
      </c>
      <c r="CO983" s="1" t="s">
        <v>483</v>
      </c>
      <c r="CP983">
        <v>78.2</v>
      </c>
      <c r="CQ983" s="1" t="s">
        <v>4202</v>
      </c>
      <c r="CR983" s="1" t="s">
        <v>2335</v>
      </c>
      <c r="CS983" s="1" t="s">
        <v>8264</v>
      </c>
      <c r="CT983" s="1" t="s">
        <v>4319</v>
      </c>
      <c r="CU983" s="1" t="s">
        <v>8265</v>
      </c>
      <c r="CV983" s="1" t="s">
        <v>8266</v>
      </c>
      <c r="CW983">
        <v>49.75</v>
      </c>
      <c r="CX983">
        <v>54</v>
      </c>
      <c r="CY983">
        <v>53.2</v>
      </c>
      <c r="CZ983" s="1" t="s">
        <v>759</v>
      </c>
      <c r="DA983">
        <v>1</v>
      </c>
      <c r="DB983" t="s">
        <v>656</v>
      </c>
      <c r="DC983">
        <v>50</v>
      </c>
      <c r="DD983" s="1" t="s">
        <v>8267</v>
      </c>
      <c r="DE983">
        <v>-3.8164955552581499</v>
      </c>
      <c r="DF983" t="str">
        <f>_xlfn.XLOOKUP(Table1[[#This Row],[Player ID]],Table2[feed_id],Table2[trade_status])</f>
        <v>free_agent</v>
      </c>
      <c r="DG983">
        <f>_xlfn.NUMBERVALUE(Table1[[#This Row],[predicted]])</f>
        <v>53.816495555258101</v>
      </c>
    </row>
    <row r="984" spans="1:111" x14ac:dyDescent="0.25">
      <c r="A984">
        <v>132837</v>
      </c>
      <c r="B984">
        <v>9243</v>
      </c>
      <c r="C984" t="s">
        <v>7798</v>
      </c>
      <c r="D984" t="s">
        <v>3116</v>
      </c>
      <c r="E984">
        <v>2025</v>
      </c>
      <c r="F984">
        <v>1016825</v>
      </c>
      <c r="G984" t="s">
        <v>1002</v>
      </c>
      <c r="H984" t="s">
        <v>1881</v>
      </c>
      <c r="I984" t="s">
        <v>178</v>
      </c>
      <c r="J984">
        <v>20</v>
      </c>
      <c r="K984">
        <v>76</v>
      </c>
      <c r="L984">
        <v>81</v>
      </c>
      <c r="M984">
        <v>76</v>
      </c>
      <c r="N984">
        <v>60</v>
      </c>
      <c r="O984">
        <v>85</v>
      </c>
      <c r="P984">
        <v>6</v>
      </c>
      <c r="Q984">
        <v>11</v>
      </c>
      <c r="R984">
        <v>4</v>
      </c>
      <c r="S984">
        <v>7</v>
      </c>
      <c r="T984">
        <v>0</v>
      </c>
      <c r="U984">
        <v>1</v>
      </c>
      <c r="V984">
        <v>2</v>
      </c>
      <c r="W984">
        <v>0</v>
      </c>
      <c r="X984">
        <v>1</v>
      </c>
      <c r="Y984" t="s">
        <v>113</v>
      </c>
      <c r="Z984" t="s">
        <v>877</v>
      </c>
      <c r="AA984" t="s">
        <v>5836</v>
      </c>
      <c r="AH984" t="s">
        <v>118</v>
      </c>
      <c r="AI984">
        <v>44</v>
      </c>
      <c r="AJ984">
        <v>0</v>
      </c>
      <c r="AK984">
        <v>0</v>
      </c>
      <c r="AL984">
        <v>0</v>
      </c>
      <c r="AM984">
        <v>1.28</v>
      </c>
      <c r="AN984">
        <v>0.61</v>
      </c>
      <c r="AO984">
        <v>1.43</v>
      </c>
      <c r="AS984">
        <v>9</v>
      </c>
      <c r="AT984">
        <v>5</v>
      </c>
      <c r="AU984">
        <v>4</v>
      </c>
      <c r="AV984">
        <v>70</v>
      </c>
      <c r="AW984">
        <v>78</v>
      </c>
      <c r="AX984">
        <v>218</v>
      </c>
      <c r="AY984">
        <v>0</v>
      </c>
      <c r="AZ984" t="b">
        <v>0</v>
      </c>
      <c r="BA984">
        <v>1559</v>
      </c>
      <c r="BB984">
        <v>1728</v>
      </c>
      <c r="BC984">
        <v>6</v>
      </c>
      <c r="BD984" t="s">
        <v>7901</v>
      </c>
      <c r="BE984" s="1" t="s">
        <v>3594</v>
      </c>
      <c r="BF984">
        <v>0</v>
      </c>
      <c r="BG984">
        <v>71</v>
      </c>
      <c r="BH984">
        <v>1</v>
      </c>
      <c r="BI984">
        <v>7</v>
      </c>
      <c r="BJ984" s="1" t="s">
        <v>1239</v>
      </c>
      <c r="BK984" s="1" t="s">
        <v>137</v>
      </c>
      <c r="BL984">
        <v>8</v>
      </c>
      <c r="BM984" s="1" t="s">
        <v>138</v>
      </c>
      <c r="BN984" s="1" t="s">
        <v>321</v>
      </c>
      <c r="BO984">
        <v>4</v>
      </c>
      <c r="BP984" s="1" t="s">
        <v>321</v>
      </c>
      <c r="BQ984">
        <v>0</v>
      </c>
      <c r="BR984">
        <v>0</v>
      </c>
      <c r="BS984">
        <v>1</v>
      </c>
      <c r="BT984" s="1" t="s">
        <v>128</v>
      </c>
      <c r="BU984">
        <v>1</v>
      </c>
      <c r="BV984">
        <v>1</v>
      </c>
      <c r="BW984" s="1" t="s">
        <v>129</v>
      </c>
      <c r="BX984" s="1" t="s">
        <v>213</v>
      </c>
      <c r="BY984" s="1" t="s">
        <v>128</v>
      </c>
      <c r="BZ984" s="1" t="s">
        <v>238</v>
      </c>
      <c r="CA984">
        <v>1.28</v>
      </c>
      <c r="CB984">
        <v>1.28</v>
      </c>
      <c r="CC984">
        <v>0.61</v>
      </c>
      <c r="CD984">
        <v>0.61</v>
      </c>
      <c r="CE984">
        <v>1.43</v>
      </c>
      <c r="CF984">
        <v>1.43</v>
      </c>
      <c r="CG984" s="1" t="s">
        <v>397</v>
      </c>
      <c r="CH984" s="1" t="s">
        <v>124</v>
      </c>
      <c r="CI984">
        <v>3</v>
      </c>
      <c r="CJ984" s="1" t="s">
        <v>322</v>
      </c>
      <c r="CK984" s="1" t="s">
        <v>169</v>
      </c>
      <c r="CL984" s="1" t="s">
        <v>169</v>
      </c>
      <c r="CM984">
        <v>74</v>
      </c>
      <c r="CN984">
        <v>71.599999999999994</v>
      </c>
      <c r="CO984" s="1" t="s">
        <v>683</v>
      </c>
      <c r="CP984">
        <v>69.2</v>
      </c>
      <c r="CQ984" s="1" t="s">
        <v>7939</v>
      </c>
      <c r="CR984" s="1" t="s">
        <v>7940</v>
      </c>
      <c r="CS984" s="1" t="s">
        <v>7903</v>
      </c>
      <c r="CT984">
        <v>1659.2</v>
      </c>
      <c r="CU984" s="1" t="s">
        <v>6535</v>
      </c>
      <c r="CV984">
        <v>1624.4</v>
      </c>
      <c r="CW984">
        <v>67.25</v>
      </c>
      <c r="CX984">
        <v>65.5</v>
      </c>
      <c r="CY984">
        <v>72.2</v>
      </c>
      <c r="CZ984" s="1" t="s">
        <v>417</v>
      </c>
      <c r="DA984">
        <v>1</v>
      </c>
      <c r="DB984" t="s">
        <v>877</v>
      </c>
      <c r="DC984">
        <v>81</v>
      </c>
      <c r="DD984" s="1" t="s">
        <v>7941</v>
      </c>
      <c r="DE984" s="1" t="s">
        <v>7942</v>
      </c>
      <c r="DF984" t="str">
        <f>_xlfn.XLOOKUP(Table1[[#This Row],[Player ID]],Table2[feed_id],Table2[trade_status])</f>
        <v>free_agent</v>
      </c>
      <c r="DG984">
        <f>_xlfn.NUMBERVALUE(Table1[[#This Row],[predicted]])</f>
        <v>53.403006558501701</v>
      </c>
    </row>
    <row r="985" spans="1:111" hidden="1" x14ac:dyDescent="0.25">
      <c r="A985">
        <v>132906</v>
      </c>
      <c r="B985">
        <v>9245</v>
      </c>
      <c r="C985" t="s">
        <v>8180</v>
      </c>
      <c r="D985" t="s">
        <v>3116</v>
      </c>
      <c r="E985">
        <v>2025</v>
      </c>
      <c r="F985">
        <v>1002253</v>
      </c>
      <c r="G985" t="s">
        <v>4258</v>
      </c>
      <c r="H985" t="s">
        <v>8232</v>
      </c>
      <c r="I985" t="s">
        <v>425</v>
      </c>
      <c r="J985">
        <v>8</v>
      </c>
      <c r="K985">
        <v>62</v>
      </c>
      <c r="L985">
        <v>84</v>
      </c>
      <c r="M985">
        <v>82</v>
      </c>
      <c r="N985">
        <v>46</v>
      </c>
      <c r="O985">
        <v>66</v>
      </c>
      <c r="P985">
        <v>14</v>
      </c>
      <c r="Q985">
        <v>4</v>
      </c>
      <c r="R985">
        <v>2</v>
      </c>
      <c r="S985">
        <v>2</v>
      </c>
      <c r="T985">
        <v>0</v>
      </c>
      <c r="U985">
        <v>1</v>
      </c>
      <c r="V985">
        <v>1</v>
      </c>
      <c r="W985">
        <v>0</v>
      </c>
      <c r="X985">
        <v>0</v>
      </c>
      <c r="Y985" t="s">
        <v>113</v>
      </c>
      <c r="Z985" t="s">
        <v>226</v>
      </c>
      <c r="AA985" t="s">
        <v>8233</v>
      </c>
      <c r="AE985">
        <v>0</v>
      </c>
      <c r="AH985" t="s">
        <v>118</v>
      </c>
      <c r="AI985">
        <v>6</v>
      </c>
      <c r="AJ985">
        <v>4</v>
      </c>
      <c r="AK985">
        <v>48.25</v>
      </c>
      <c r="AL985">
        <v>0</v>
      </c>
      <c r="AM985">
        <v>0</v>
      </c>
      <c r="AN985">
        <v>7.0000000000000007E-2</v>
      </c>
      <c r="AO985">
        <v>0.16</v>
      </c>
      <c r="AS985">
        <v>3</v>
      </c>
      <c r="AT985">
        <v>1</v>
      </c>
      <c r="AU985">
        <v>3</v>
      </c>
      <c r="AV985">
        <v>72</v>
      </c>
      <c r="AW985">
        <v>89</v>
      </c>
      <c r="AX985">
        <v>516</v>
      </c>
      <c r="AY985">
        <v>0</v>
      </c>
      <c r="AZ985" t="b">
        <v>0</v>
      </c>
      <c r="BA985">
        <v>1477</v>
      </c>
      <c r="BB985">
        <v>1799</v>
      </c>
      <c r="BC985">
        <v>6</v>
      </c>
      <c r="BD985" t="s">
        <v>8182</v>
      </c>
      <c r="BE985" s="1" t="s">
        <v>3594</v>
      </c>
      <c r="BF985">
        <v>0</v>
      </c>
      <c r="BG985">
        <v>71</v>
      </c>
      <c r="BH985">
        <v>1</v>
      </c>
      <c r="BI985">
        <v>14</v>
      </c>
      <c r="BJ985">
        <v>15.2</v>
      </c>
      <c r="BK985">
        <v>3</v>
      </c>
      <c r="BL985" s="1" t="s">
        <v>374</v>
      </c>
      <c r="BM985" s="1" t="s">
        <v>159</v>
      </c>
      <c r="BN985" s="1" t="s">
        <v>160</v>
      </c>
      <c r="BO985">
        <v>2</v>
      </c>
      <c r="BP985" s="1" t="s">
        <v>159</v>
      </c>
      <c r="BQ985">
        <v>0</v>
      </c>
      <c r="BR985">
        <v>0</v>
      </c>
      <c r="BS985" s="1" t="s">
        <v>129</v>
      </c>
      <c r="BT985" s="1" t="s">
        <v>231</v>
      </c>
      <c r="BU985" s="1" t="s">
        <v>128</v>
      </c>
      <c r="BV985">
        <v>0.6</v>
      </c>
      <c r="BW985">
        <v>0</v>
      </c>
      <c r="BX985" s="1" t="s">
        <v>213</v>
      </c>
      <c r="BY985" s="1" t="s">
        <v>129</v>
      </c>
      <c r="BZ985" s="1" t="s">
        <v>129</v>
      </c>
      <c r="CA985">
        <v>0</v>
      </c>
      <c r="CB985">
        <v>0</v>
      </c>
      <c r="CC985">
        <v>7.0000000000000007E-2</v>
      </c>
      <c r="CD985">
        <v>7.0000000000000007E-2</v>
      </c>
      <c r="CE985">
        <v>0.16</v>
      </c>
      <c r="CF985">
        <v>0.16</v>
      </c>
      <c r="CG985">
        <v>2</v>
      </c>
      <c r="CH985" s="1" t="s">
        <v>125</v>
      </c>
      <c r="CI985" s="1" t="s">
        <v>128</v>
      </c>
      <c r="CJ985">
        <v>0.8</v>
      </c>
      <c r="CK985" s="1" t="s">
        <v>161</v>
      </c>
      <c r="CL985">
        <v>2</v>
      </c>
      <c r="CM985">
        <v>80</v>
      </c>
      <c r="CN985" s="1" t="s">
        <v>1259</v>
      </c>
      <c r="CO985" s="1" t="s">
        <v>968</v>
      </c>
      <c r="CP985" s="1" t="s">
        <v>5350</v>
      </c>
      <c r="CQ985" s="1" t="s">
        <v>8234</v>
      </c>
      <c r="CR985" s="1" t="s">
        <v>8235</v>
      </c>
      <c r="CS985" s="1" t="s">
        <v>3934</v>
      </c>
      <c r="CT985" s="1" t="s">
        <v>8236</v>
      </c>
      <c r="CU985" s="1" t="s">
        <v>1533</v>
      </c>
      <c r="CV985" s="1" t="s">
        <v>8237</v>
      </c>
      <c r="CW985">
        <v>84.05</v>
      </c>
      <c r="CX985">
        <v>81.400000000000006</v>
      </c>
      <c r="CY985">
        <v>88.8</v>
      </c>
      <c r="CZ985">
        <v>80</v>
      </c>
      <c r="DA985">
        <v>1</v>
      </c>
      <c r="DB985" t="s">
        <v>226</v>
      </c>
      <c r="DC985">
        <v>84</v>
      </c>
      <c r="DD985" s="1" t="s">
        <v>8238</v>
      </c>
      <c r="DE985">
        <v>-17.632013703567502</v>
      </c>
      <c r="DF985" t="e">
        <f>_xlfn.XLOOKUP(Table1[[#This Row],[Player ID]],Table2[feed_id],Table2[trade_status])</f>
        <v>#N/A</v>
      </c>
      <c r="DG985">
        <f>_xlfn.NUMBERVALUE(Table1[[#This Row],[predicted]])</f>
        <v>101.632013703567</v>
      </c>
    </row>
    <row r="986" spans="1:111" x14ac:dyDescent="0.25">
      <c r="A986">
        <v>132681</v>
      </c>
      <c r="B986">
        <v>9240</v>
      </c>
      <c r="C986" t="s">
        <v>7230</v>
      </c>
      <c r="D986" t="s">
        <v>3116</v>
      </c>
      <c r="E986">
        <v>2025</v>
      </c>
      <c r="F986">
        <v>1008510</v>
      </c>
      <c r="G986" t="s">
        <v>1072</v>
      </c>
      <c r="H986" t="s">
        <v>5561</v>
      </c>
      <c r="I986" t="s">
        <v>249</v>
      </c>
      <c r="J986">
        <v>18</v>
      </c>
      <c r="K986">
        <v>78</v>
      </c>
      <c r="L986">
        <v>91</v>
      </c>
      <c r="M986">
        <v>95</v>
      </c>
      <c r="N986">
        <v>66</v>
      </c>
      <c r="O986">
        <v>79</v>
      </c>
      <c r="P986">
        <v>8</v>
      </c>
      <c r="Q986">
        <v>3</v>
      </c>
      <c r="R986">
        <v>5</v>
      </c>
      <c r="S986">
        <v>2</v>
      </c>
      <c r="T986">
        <v>0</v>
      </c>
      <c r="U986">
        <v>0</v>
      </c>
      <c r="V986">
        <v>0</v>
      </c>
      <c r="W986">
        <v>4</v>
      </c>
      <c r="X986">
        <v>1</v>
      </c>
      <c r="Y986" t="s">
        <v>113</v>
      </c>
      <c r="Z986" t="s">
        <v>861</v>
      </c>
      <c r="AA986" t="s">
        <v>7294</v>
      </c>
      <c r="AH986" t="s">
        <v>155</v>
      </c>
      <c r="AI986">
        <v>19</v>
      </c>
      <c r="AJ986">
        <v>0</v>
      </c>
      <c r="AK986">
        <v>0</v>
      </c>
      <c r="AL986">
        <v>0</v>
      </c>
      <c r="AM986">
        <v>0.09</v>
      </c>
      <c r="AN986">
        <v>0.05</v>
      </c>
      <c r="AO986">
        <v>0.05</v>
      </c>
      <c r="AS986">
        <v>3</v>
      </c>
      <c r="AT986">
        <v>1</v>
      </c>
      <c r="AU986">
        <v>0</v>
      </c>
      <c r="AV986">
        <v>72</v>
      </c>
      <c r="AW986">
        <v>83</v>
      </c>
      <c r="AX986">
        <v>250</v>
      </c>
      <c r="AY986">
        <v>0</v>
      </c>
      <c r="AZ986" t="b">
        <v>0</v>
      </c>
      <c r="BA986">
        <v>1285</v>
      </c>
      <c r="BB986">
        <v>1976</v>
      </c>
      <c r="BC986">
        <v>6</v>
      </c>
      <c r="BD986" t="s">
        <v>7234</v>
      </c>
      <c r="BE986" s="1" t="s">
        <v>3594</v>
      </c>
      <c r="BF986">
        <v>0</v>
      </c>
      <c r="BG986">
        <v>71</v>
      </c>
      <c r="BH986">
        <v>1</v>
      </c>
      <c r="BI986" s="1" t="s">
        <v>397</v>
      </c>
      <c r="BJ986">
        <v>4.4000000000000004</v>
      </c>
      <c r="BK986" s="1" t="s">
        <v>138</v>
      </c>
      <c r="BL986" s="1" t="s">
        <v>528</v>
      </c>
      <c r="BM986" s="1" t="s">
        <v>125</v>
      </c>
      <c r="BN986" s="1" t="s">
        <v>304</v>
      </c>
      <c r="BO986">
        <v>2</v>
      </c>
      <c r="BP986">
        <v>2.6</v>
      </c>
      <c r="BQ986">
        <v>0</v>
      </c>
      <c r="BR986">
        <v>0</v>
      </c>
      <c r="BS986" s="1" t="s">
        <v>129</v>
      </c>
      <c r="BT986" s="1" t="s">
        <v>129</v>
      </c>
      <c r="BU986">
        <v>0</v>
      </c>
      <c r="BV986" s="1" t="s">
        <v>213</v>
      </c>
      <c r="BW986" s="1" t="s">
        <v>161</v>
      </c>
      <c r="BX986" s="1" t="s">
        <v>130</v>
      </c>
      <c r="BY986" s="1" t="s">
        <v>128</v>
      </c>
      <c r="BZ986" s="1" t="s">
        <v>231</v>
      </c>
      <c r="CA986">
        <v>0.09</v>
      </c>
      <c r="CB986" s="1" t="s">
        <v>7295</v>
      </c>
      <c r="CC986">
        <v>0.05</v>
      </c>
      <c r="CD986" s="1" t="s">
        <v>7296</v>
      </c>
      <c r="CE986">
        <v>0.05</v>
      </c>
      <c r="CF986" s="1" t="s">
        <v>1190</v>
      </c>
      <c r="CG986">
        <v>3</v>
      </c>
      <c r="CH986" s="1" t="s">
        <v>528</v>
      </c>
      <c r="CI986" s="1" t="s">
        <v>128</v>
      </c>
      <c r="CJ986">
        <v>0.6</v>
      </c>
      <c r="CK986" s="1" t="s">
        <v>128</v>
      </c>
      <c r="CL986" s="1" t="s">
        <v>130</v>
      </c>
      <c r="CM986" s="1" t="s">
        <v>2147</v>
      </c>
      <c r="CN986" s="1" t="s">
        <v>263</v>
      </c>
      <c r="CO986">
        <v>66</v>
      </c>
      <c r="CP986" s="1" t="s">
        <v>1391</v>
      </c>
      <c r="CQ986" s="1" t="s">
        <v>5855</v>
      </c>
      <c r="CR986" s="1" t="s">
        <v>7297</v>
      </c>
      <c r="CS986">
        <v>1845</v>
      </c>
      <c r="CT986" s="1" t="s">
        <v>1655</v>
      </c>
      <c r="CU986" s="1" t="s">
        <v>7298</v>
      </c>
      <c r="CV986" s="1" t="s">
        <v>1405</v>
      </c>
      <c r="CW986">
        <v>47.1</v>
      </c>
      <c r="CX986">
        <v>50</v>
      </c>
      <c r="CY986">
        <v>50.8</v>
      </c>
      <c r="CZ986" s="1" t="s">
        <v>822</v>
      </c>
      <c r="DA986">
        <v>1</v>
      </c>
      <c r="DB986" t="s">
        <v>861</v>
      </c>
      <c r="DC986">
        <v>91</v>
      </c>
      <c r="DD986" s="1" t="s">
        <v>7299</v>
      </c>
      <c r="DE986" s="1" t="s">
        <v>7300</v>
      </c>
      <c r="DF986" t="str">
        <f>_xlfn.XLOOKUP(Table1[[#This Row],[Player ID]],Table2[feed_id],Table2[trade_status])</f>
        <v>free_agent</v>
      </c>
      <c r="DG986">
        <f>_xlfn.NUMBERVALUE(Table1[[#This Row],[predicted]])</f>
        <v>52.790378690848399</v>
      </c>
    </row>
    <row r="987" spans="1:111" x14ac:dyDescent="0.25">
      <c r="A987">
        <v>132865</v>
      </c>
      <c r="B987">
        <v>9244</v>
      </c>
      <c r="C987" t="s">
        <v>7983</v>
      </c>
      <c r="D987" t="s">
        <v>3116</v>
      </c>
      <c r="E987">
        <v>2025</v>
      </c>
      <c r="F987">
        <v>1023784</v>
      </c>
      <c r="G987" t="s">
        <v>2813</v>
      </c>
      <c r="H987" t="s">
        <v>8056</v>
      </c>
      <c r="I987" t="s">
        <v>152</v>
      </c>
      <c r="J987">
        <v>8</v>
      </c>
      <c r="K987">
        <v>53</v>
      </c>
      <c r="L987">
        <v>44</v>
      </c>
      <c r="M987">
        <v>69</v>
      </c>
      <c r="N987">
        <v>44</v>
      </c>
      <c r="O987">
        <v>54</v>
      </c>
      <c r="P987">
        <v>7</v>
      </c>
      <c r="Q987">
        <v>3</v>
      </c>
      <c r="R987">
        <v>7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 t="s">
        <v>113</v>
      </c>
      <c r="Z987" t="s">
        <v>8057</v>
      </c>
      <c r="AA987" t="s">
        <v>8058</v>
      </c>
      <c r="AH987" t="s">
        <v>155</v>
      </c>
      <c r="AI987">
        <v>47</v>
      </c>
      <c r="AJ987">
        <v>0</v>
      </c>
      <c r="AK987">
        <v>0</v>
      </c>
      <c r="AL987">
        <v>0</v>
      </c>
      <c r="AM987">
        <v>0.18</v>
      </c>
      <c r="AN987">
        <v>0.1</v>
      </c>
      <c r="AO987">
        <v>0.1</v>
      </c>
      <c r="AS987">
        <v>2</v>
      </c>
      <c r="AT987">
        <v>0</v>
      </c>
      <c r="AU987">
        <v>0</v>
      </c>
      <c r="AV987">
        <v>70</v>
      </c>
      <c r="AW987">
        <v>96</v>
      </c>
      <c r="AX987">
        <v>138</v>
      </c>
      <c r="AY987">
        <v>0</v>
      </c>
      <c r="AZ987" t="b">
        <v>0</v>
      </c>
      <c r="BA987">
        <v>1816</v>
      </c>
      <c r="BB987">
        <v>1473</v>
      </c>
      <c r="BC987">
        <v>6</v>
      </c>
      <c r="BD987" t="s">
        <v>7985</v>
      </c>
      <c r="BE987" s="1" t="s">
        <v>3594</v>
      </c>
      <c r="BF987">
        <v>0</v>
      </c>
      <c r="BG987">
        <v>71</v>
      </c>
      <c r="BH987">
        <v>0</v>
      </c>
      <c r="BI987" s="1" t="s">
        <v>1008</v>
      </c>
      <c r="BJ987" s="1" t="s">
        <v>397</v>
      </c>
      <c r="BK987" s="1" t="s">
        <v>211</v>
      </c>
      <c r="BL987">
        <v>4.8</v>
      </c>
      <c r="BM987" s="1" t="s">
        <v>137</v>
      </c>
      <c r="BN987" s="1" t="s">
        <v>205</v>
      </c>
      <c r="BO987" s="1" t="s">
        <v>128</v>
      </c>
      <c r="BP987">
        <v>1.8</v>
      </c>
      <c r="BQ987">
        <v>0</v>
      </c>
      <c r="BR987" s="1" t="s">
        <v>127</v>
      </c>
      <c r="BS987">
        <v>1</v>
      </c>
      <c r="BT987">
        <v>0.8</v>
      </c>
      <c r="BU987">
        <v>1</v>
      </c>
      <c r="BV987">
        <v>0.8</v>
      </c>
      <c r="BW987">
        <v>0</v>
      </c>
      <c r="BX987" s="1" t="s">
        <v>238</v>
      </c>
      <c r="BY987">
        <v>0</v>
      </c>
      <c r="BZ987" s="1" t="s">
        <v>129</v>
      </c>
      <c r="CA987">
        <v>0.18</v>
      </c>
      <c r="CB987">
        <v>0.18</v>
      </c>
      <c r="CC987">
        <v>0.1</v>
      </c>
      <c r="CD987">
        <v>0.1</v>
      </c>
      <c r="CE987">
        <v>0.1</v>
      </c>
      <c r="CF987">
        <v>0.1</v>
      </c>
      <c r="CG987" s="1" t="s">
        <v>160</v>
      </c>
      <c r="CH987" s="1" t="s">
        <v>205</v>
      </c>
      <c r="CI987">
        <v>0</v>
      </c>
      <c r="CJ987" s="1" t="s">
        <v>213</v>
      </c>
      <c r="CK987">
        <v>2</v>
      </c>
      <c r="CL987" s="1" t="s">
        <v>375</v>
      </c>
      <c r="CM987">
        <v>78</v>
      </c>
      <c r="CN987" s="1" t="s">
        <v>803</v>
      </c>
      <c r="CO987" s="1" t="s">
        <v>630</v>
      </c>
      <c r="CP987" s="1" t="s">
        <v>3069</v>
      </c>
      <c r="CQ987" s="1" t="s">
        <v>6597</v>
      </c>
      <c r="CR987" s="1" t="s">
        <v>5576</v>
      </c>
      <c r="CS987" s="1" t="s">
        <v>7987</v>
      </c>
      <c r="CT987" s="1" t="s">
        <v>8059</v>
      </c>
      <c r="CU987" s="1" t="s">
        <v>7988</v>
      </c>
      <c r="CV987" s="1" t="s">
        <v>4415</v>
      </c>
      <c r="CW987">
        <v>57.55</v>
      </c>
      <c r="CX987">
        <v>64.900000000000006</v>
      </c>
      <c r="CY987">
        <v>69.599999999999994</v>
      </c>
      <c r="CZ987" s="1" t="s">
        <v>1053</v>
      </c>
      <c r="DA987">
        <v>1</v>
      </c>
      <c r="DB987" t="s">
        <v>8057</v>
      </c>
      <c r="DC987">
        <v>44</v>
      </c>
      <c r="DD987">
        <v>52.250319735776202</v>
      </c>
      <c r="DE987">
        <v>-8.2503197357762001</v>
      </c>
      <c r="DF987" t="str">
        <f>_xlfn.XLOOKUP(Table1[[#This Row],[Player ID]],Table2[feed_id],Table2[trade_status])</f>
        <v>free_agent</v>
      </c>
      <c r="DG987">
        <f>_xlfn.NUMBERVALUE(Table1[[#This Row],[predicted]])</f>
        <v>52.250319735776202</v>
      </c>
    </row>
    <row r="988" spans="1:111" hidden="1" x14ac:dyDescent="0.25">
      <c r="A988">
        <v>132909</v>
      </c>
      <c r="B988">
        <v>9245</v>
      </c>
      <c r="C988" t="s">
        <v>8180</v>
      </c>
      <c r="D988" t="s">
        <v>3116</v>
      </c>
      <c r="E988">
        <v>2025</v>
      </c>
      <c r="F988">
        <v>250365</v>
      </c>
      <c r="G988" t="s">
        <v>1582</v>
      </c>
      <c r="H988" t="s">
        <v>8249</v>
      </c>
      <c r="I988" t="s">
        <v>425</v>
      </c>
      <c r="J988">
        <v>8</v>
      </c>
      <c r="K988">
        <v>56</v>
      </c>
      <c r="L988">
        <v>76</v>
      </c>
      <c r="M988">
        <v>69</v>
      </c>
      <c r="N988">
        <v>47</v>
      </c>
      <c r="O988">
        <v>69</v>
      </c>
      <c r="P988">
        <v>9</v>
      </c>
      <c r="Q988">
        <v>11</v>
      </c>
      <c r="R988">
        <v>2</v>
      </c>
      <c r="S988">
        <v>1</v>
      </c>
      <c r="T988">
        <v>0</v>
      </c>
      <c r="U988">
        <v>0</v>
      </c>
      <c r="V988">
        <v>1</v>
      </c>
      <c r="W988">
        <v>0</v>
      </c>
      <c r="X988">
        <v>0</v>
      </c>
      <c r="Y988" t="s">
        <v>113</v>
      </c>
      <c r="Z988" t="s">
        <v>525</v>
      </c>
      <c r="AA988" t="s">
        <v>8250</v>
      </c>
      <c r="AE988">
        <v>0</v>
      </c>
      <c r="AH988" t="s">
        <v>118</v>
      </c>
      <c r="AI988">
        <v>10</v>
      </c>
      <c r="AJ988">
        <v>21</v>
      </c>
      <c r="AK988">
        <v>87.33</v>
      </c>
      <c r="AL988">
        <v>0</v>
      </c>
      <c r="AM988">
        <v>0</v>
      </c>
      <c r="AN988">
        <v>0.42</v>
      </c>
      <c r="AO988">
        <v>0.48</v>
      </c>
      <c r="AS988">
        <v>7</v>
      </c>
      <c r="AT988">
        <v>3</v>
      </c>
      <c r="AU988">
        <v>1</v>
      </c>
      <c r="AV988">
        <v>80</v>
      </c>
      <c r="AW988">
        <v>78</v>
      </c>
      <c r="AX988">
        <v>260</v>
      </c>
      <c r="AY988">
        <v>0</v>
      </c>
      <c r="AZ988" t="b">
        <v>0</v>
      </c>
      <c r="BA988">
        <v>1477</v>
      </c>
      <c r="BB988">
        <v>1799</v>
      </c>
      <c r="BC988">
        <v>6</v>
      </c>
      <c r="BD988" t="s">
        <v>8182</v>
      </c>
      <c r="BE988" s="1" t="s">
        <v>3594</v>
      </c>
      <c r="BF988">
        <v>0</v>
      </c>
      <c r="BG988">
        <v>71</v>
      </c>
      <c r="BH988">
        <v>1</v>
      </c>
      <c r="BI988" s="1" t="s">
        <v>294</v>
      </c>
      <c r="BJ988">
        <v>10.6</v>
      </c>
      <c r="BK988" s="1" t="s">
        <v>395</v>
      </c>
      <c r="BL988" s="1" t="s">
        <v>1426</v>
      </c>
      <c r="BM988" s="1" t="s">
        <v>160</v>
      </c>
      <c r="BN988" s="1" t="s">
        <v>499</v>
      </c>
      <c r="BO988" s="1" t="s">
        <v>126</v>
      </c>
      <c r="BP988" s="1" t="s">
        <v>159</v>
      </c>
      <c r="BQ988">
        <v>0</v>
      </c>
      <c r="BR988">
        <v>0</v>
      </c>
      <c r="BS988">
        <v>0</v>
      </c>
      <c r="BT988">
        <v>0.2</v>
      </c>
      <c r="BU988" s="1" t="s">
        <v>128</v>
      </c>
      <c r="BV988">
        <v>0.6</v>
      </c>
      <c r="BW988" s="1" t="s">
        <v>129</v>
      </c>
      <c r="BX988" s="1" t="s">
        <v>231</v>
      </c>
      <c r="BY988" s="1" t="s">
        <v>129</v>
      </c>
      <c r="BZ988" s="1" t="s">
        <v>238</v>
      </c>
      <c r="CA988">
        <v>0</v>
      </c>
      <c r="CB988">
        <v>0</v>
      </c>
      <c r="CC988">
        <v>0.42</v>
      </c>
      <c r="CD988">
        <v>0.42</v>
      </c>
      <c r="CE988">
        <v>0.48</v>
      </c>
      <c r="CF988">
        <v>0.48</v>
      </c>
      <c r="CG988" s="1" t="s">
        <v>449</v>
      </c>
      <c r="CH988" s="1" t="s">
        <v>963</v>
      </c>
      <c r="CI988" s="1" t="s">
        <v>159</v>
      </c>
      <c r="CJ988" s="1" t="s">
        <v>304</v>
      </c>
      <c r="CK988">
        <v>2</v>
      </c>
      <c r="CL988" s="1" t="s">
        <v>214</v>
      </c>
      <c r="CM988">
        <v>82</v>
      </c>
      <c r="CN988" s="1" t="s">
        <v>1460</v>
      </c>
      <c r="CO988" s="1" t="s">
        <v>994</v>
      </c>
      <c r="CP988" s="1" t="s">
        <v>969</v>
      </c>
      <c r="CQ988" s="1" t="s">
        <v>5931</v>
      </c>
      <c r="CR988" s="1" t="s">
        <v>8251</v>
      </c>
      <c r="CS988" s="1" t="s">
        <v>8252</v>
      </c>
      <c r="CT988">
        <v>1693.2</v>
      </c>
      <c r="CU988">
        <v>1481</v>
      </c>
      <c r="CV988">
        <v>1594.6</v>
      </c>
      <c r="CW988">
        <v>81.55</v>
      </c>
      <c r="CX988">
        <v>82.1</v>
      </c>
      <c r="CY988">
        <v>89.2</v>
      </c>
      <c r="CZ988" s="1" t="s">
        <v>350</v>
      </c>
      <c r="DA988">
        <v>1</v>
      </c>
      <c r="DB988" t="s">
        <v>525</v>
      </c>
      <c r="DC988">
        <v>76</v>
      </c>
      <c r="DD988" s="1" t="s">
        <v>8253</v>
      </c>
      <c r="DE988">
        <v>-2.3069791279750098</v>
      </c>
      <c r="DF988" t="e">
        <f>_xlfn.XLOOKUP(Table1[[#This Row],[Player ID]],Table2[feed_id],Table2[trade_status])</f>
        <v>#N/A</v>
      </c>
      <c r="DG988">
        <f>_xlfn.NUMBERVALUE(Table1[[#This Row],[predicted]])</f>
        <v>78.306979127974998</v>
      </c>
    </row>
    <row r="989" spans="1:111" x14ac:dyDescent="0.25">
      <c r="A989">
        <v>132692</v>
      </c>
      <c r="B989">
        <v>9240</v>
      </c>
      <c r="C989" t="s">
        <v>7230</v>
      </c>
      <c r="D989" t="s">
        <v>3116</v>
      </c>
      <c r="E989">
        <v>2025</v>
      </c>
      <c r="F989">
        <v>1000953</v>
      </c>
      <c r="G989" t="s">
        <v>2192</v>
      </c>
      <c r="H989" t="s">
        <v>7338</v>
      </c>
      <c r="I989" t="s">
        <v>249</v>
      </c>
      <c r="J989">
        <v>0</v>
      </c>
      <c r="K989">
        <v>13</v>
      </c>
      <c r="L989">
        <v>13</v>
      </c>
      <c r="M989">
        <v>15</v>
      </c>
      <c r="N989">
        <v>11</v>
      </c>
      <c r="O989">
        <v>15</v>
      </c>
      <c r="P989">
        <v>2</v>
      </c>
      <c r="Q989">
        <v>2</v>
      </c>
      <c r="R989">
        <v>0</v>
      </c>
      <c r="S989">
        <v>0</v>
      </c>
      <c r="T989">
        <v>2</v>
      </c>
      <c r="U989">
        <v>0</v>
      </c>
      <c r="V989">
        <v>0</v>
      </c>
      <c r="W989">
        <v>0</v>
      </c>
      <c r="X989">
        <v>1</v>
      </c>
      <c r="Y989" t="s">
        <v>113</v>
      </c>
      <c r="Z989" t="s">
        <v>114</v>
      </c>
      <c r="AA989" t="s">
        <v>7339</v>
      </c>
      <c r="AB989" t="s">
        <v>116</v>
      </c>
      <c r="AC989" t="s">
        <v>7340</v>
      </c>
      <c r="AE989">
        <v>0</v>
      </c>
      <c r="AH989" t="s">
        <v>155</v>
      </c>
      <c r="AI989">
        <v>10</v>
      </c>
      <c r="AJ989">
        <v>12</v>
      </c>
      <c r="AK989">
        <v>62.17</v>
      </c>
      <c r="AL989">
        <v>0</v>
      </c>
      <c r="AM989">
        <v>0</v>
      </c>
      <c r="AN989">
        <v>0.3</v>
      </c>
      <c r="AO989">
        <v>0.31</v>
      </c>
      <c r="AS989">
        <v>4</v>
      </c>
      <c r="AT989">
        <v>1</v>
      </c>
      <c r="AU989">
        <v>2</v>
      </c>
      <c r="AV989">
        <v>25</v>
      </c>
      <c r="AW989">
        <v>11</v>
      </c>
      <c r="AX989">
        <v>35</v>
      </c>
      <c r="AY989">
        <v>1</v>
      </c>
      <c r="AZ989" t="b">
        <v>1</v>
      </c>
      <c r="BA989">
        <v>1285</v>
      </c>
      <c r="BB989">
        <v>1976</v>
      </c>
      <c r="BC989">
        <v>6</v>
      </c>
      <c r="BD989" t="s">
        <v>7234</v>
      </c>
      <c r="BE989" s="1" t="s">
        <v>3594</v>
      </c>
      <c r="BF989">
        <v>0</v>
      </c>
      <c r="BG989">
        <v>71</v>
      </c>
      <c r="BH989">
        <v>0</v>
      </c>
      <c r="BI989">
        <v>6</v>
      </c>
      <c r="BJ989" s="1" t="s">
        <v>295</v>
      </c>
      <c r="BK989">
        <v>3</v>
      </c>
      <c r="BL989" s="1" t="s">
        <v>373</v>
      </c>
      <c r="BM989">
        <v>4</v>
      </c>
      <c r="BN989">
        <v>5.8</v>
      </c>
      <c r="BO989" s="1" t="s">
        <v>128</v>
      </c>
      <c r="BP989" s="1" t="s">
        <v>161</v>
      </c>
      <c r="BQ989" s="1" t="s">
        <v>161</v>
      </c>
      <c r="BR989">
        <v>1.6</v>
      </c>
      <c r="BS989">
        <v>0</v>
      </c>
      <c r="BT989" s="1" t="s">
        <v>162</v>
      </c>
      <c r="BU989">
        <v>1</v>
      </c>
      <c r="BV989" s="1" t="s">
        <v>127</v>
      </c>
      <c r="BW989" s="1" t="s">
        <v>126</v>
      </c>
      <c r="BX989" s="1" t="s">
        <v>275</v>
      </c>
      <c r="BY989">
        <v>1</v>
      </c>
      <c r="BZ989" s="1" t="s">
        <v>399</v>
      </c>
      <c r="CA989">
        <v>0</v>
      </c>
      <c r="CB989">
        <v>0</v>
      </c>
      <c r="CC989">
        <v>0.3</v>
      </c>
      <c r="CD989">
        <v>0.3</v>
      </c>
      <c r="CE989">
        <v>0.31</v>
      </c>
      <c r="CF989">
        <v>0.31</v>
      </c>
      <c r="CG989" s="1" t="s">
        <v>211</v>
      </c>
      <c r="CH989" s="1" t="s">
        <v>781</v>
      </c>
      <c r="CI989">
        <v>1</v>
      </c>
      <c r="CJ989" s="1" t="s">
        <v>162</v>
      </c>
      <c r="CK989">
        <v>3</v>
      </c>
      <c r="CL989" s="1" t="s">
        <v>237</v>
      </c>
      <c r="CM989" s="1" t="s">
        <v>283</v>
      </c>
      <c r="CN989">
        <v>69.599999999999994</v>
      </c>
      <c r="CO989" s="1" t="s">
        <v>1176</v>
      </c>
      <c r="CP989" s="1" t="s">
        <v>3984</v>
      </c>
      <c r="CQ989" s="1" t="s">
        <v>4980</v>
      </c>
      <c r="CR989" s="1" t="s">
        <v>7341</v>
      </c>
      <c r="CS989">
        <v>1712</v>
      </c>
      <c r="CT989" s="1" t="s">
        <v>6947</v>
      </c>
      <c r="CU989" s="1" t="s">
        <v>7342</v>
      </c>
      <c r="CV989" s="1" t="s">
        <v>7291</v>
      </c>
      <c r="CW989">
        <v>74.2</v>
      </c>
      <c r="CX989">
        <v>67.400000000000006</v>
      </c>
      <c r="CY989">
        <v>53.4</v>
      </c>
      <c r="CZ989">
        <v>43</v>
      </c>
      <c r="DA989">
        <v>1</v>
      </c>
      <c r="DB989" t="s">
        <v>114</v>
      </c>
      <c r="DC989">
        <v>13</v>
      </c>
      <c r="DD989" s="1" t="s">
        <v>7343</v>
      </c>
      <c r="DE989">
        <v>-39.089206835390897</v>
      </c>
      <c r="DF989" t="str">
        <f>_xlfn.XLOOKUP(Table1[[#This Row],[Player ID]],Table2[feed_id],Table2[trade_status])</f>
        <v>free_agent</v>
      </c>
      <c r="DG989">
        <f>_xlfn.NUMBERVALUE(Table1[[#This Row],[predicted]])</f>
        <v>52.089206835390897</v>
      </c>
    </row>
    <row r="990" spans="1:111" hidden="1" x14ac:dyDescent="0.25">
      <c r="A990">
        <v>132911</v>
      </c>
      <c r="B990">
        <v>9245</v>
      </c>
      <c r="C990" t="s">
        <v>8180</v>
      </c>
      <c r="D990" t="s">
        <v>3116</v>
      </c>
      <c r="E990">
        <v>2025</v>
      </c>
      <c r="F990">
        <v>1009191</v>
      </c>
      <c r="G990" t="s">
        <v>2814</v>
      </c>
      <c r="H990" t="s">
        <v>8257</v>
      </c>
      <c r="I990" t="s">
        <v>425</v>
      </c>
      <c r="J990">
        <v>10</v>
      </c>
      <c r="K990">
        <v>52</v>
      </c>
      <c r="L990">
        <v>62</v>
      </c>
      <c r="M990">
        <v>69</v>
      </c>
      <c r="N990">
        <v>39</v>
      </c>
      <c r="O990">
        <v>49</v>
      </c>
      <c r="P990">
        <v>7</v>
      </c>
      <c r="Q990">
        <v>0</v>
      </c>
      <c r="R990">
        <v>4</v>
      </c>
      <c r="S990">
        <v>3</v>
      </c>
      <c r="T990">
        <v>0</v>
      </c>
      <c r="U990">
        <v>0</v>
      </c>
      <c r="V990">
        <v>0</v>
      </c>
      <c r="W990">
        <v>1</v>
      </c>
      <c r="X990">
        <v>1</v>
      </c>
      <c r="Y990" t="s">
        <v>113</v>
      </c>
      <c r="Z990" t="s">
        <v>114</v>
      </c>
      <c r="AA990" t="s">
        <v>8258</v>
      </c>
      <c r="AB990" t="s">
        <v>116</v>
      </c>
      <c r="AC990" t="s">
        <v>8259</v>
      </c>
      <c r="AH990" t="s">
        <v>118</v>
      </c>
      <c r="AI990">
        <v>14</v>
      </c>
      <c r="AJ990">
        <v>0</v>
      </c>
      <c r="AK990">
        <v>0</v>
      </c>
      <c r="AL990">
        <v>0</v>
      </c>
      <c r="AM990">
        <v>0.4</v>
      </c>
      <c r="AN990">
        <v>0.4</v>
      </c>
      <c r="AO990">
        <v>0.76</v>
      </c>
      <c r="AS990">
        <v>0</v>
      </c>
      <c r="AT990">
        <v>0</v>
      </c>
      <c r="AU990">
        <v>1</v>
      </c>
      <c r="AV990">
        <v>57</v>
      </c>
      <c r="AW990">
        <v>43</v>
      </c>
      <c r="AX990">
        <v>317</v>
      </c>
      <c r="AY990">
        <v>1</v>
      </c>
      <c r="AZ990" t="b">
        <v>1</v>
      </c>
      <c r="BA990">
        <v>1477</v>
      </c>
      <c r="BB990">
        <v>1799</v>
      </c>
      <c r="BC990">
        <v>6</v>
      </c>
      <c r="BD990" t="s">
        <v>8182</v>
      </c>
      <c r="BE990" s="1" t="s">
        <v>3594</v>
      </c>
      <c r="BF990">
        <v>0</v>
      </c>
      <c r="BG990">
        <v>71</v>
      </c>
      <c r="BH990">
        <v>0</v>
      </c>
      <c r="BI990" s="1" t="s">
        <v>123</v>
      </c>
      <c r="BJ990">
        <v>11.6</v>
      </c>
      <c r="BK990" s="1" t="s">
        <v>449</v>
      </c>
      <c r="BL990">
        <v>5.2</v>
      </c>
      <c r="BM990" s="1" t="s">
        <v>183</v>
      </c>
      <c r="BN990" s="1" t="s">
        <v>448</v>
      </c>
      <c r="BO990" s="1" t="s">
        <v>159</v>
      </c>
      <c r="BP990" s="1" t="s">
        <v>255</v>
      </c>
      <c r="BQ990">
        <v>0</v>
      </c>
      <c r="BR990">
        <v>0</v>
      </c>
      <c r="BS990" s="1" t="s">
        <v>126</v>
      </c>
      <c r="BT990">
        <v>1.2</v>
      </c>
      <c r="BU990">
        <v>0</v>
      </c>
      <c r="BV990" s="1" t="s">
        <v>128</v>
      </c>
      <c r="BW990" s="1" t="s">
        <v>129</v>
      </c>
      <c r="BX990">
        <v>6.6666666666666596E-2</v>
      </c>
      <c r="BY990" s="1" t="s">
        <v>129</v>
      </c>
      <c r="BZ990" s="1" t="s">
        <v>213</v>
      </c>
      <c r="CA990">
        <v>0.4</v>
      </c>
      <c r="CB990">
        <v>0.4</v>
      </c>
      <c r="CC990">
        <v>0.4</v>
      </c>
      <c r="CD990">
        <v>0.4</v>
      </c>
      <c r="CE990">
        <v>0.76</v>
      </c>
      <c r="CF990">
        <v>0.76</v>
      </c>
      <c r="CG990" s="1" t="s">
        <v>160</v>
      </c>
      <c r="CH990" s="1" t="s">
        <v>374</v>
      </c>
      <c r="CI990">
        <v>0</v>
      </c>
      <c r="CJ990">
        <v>6.6666666666666596E-2</v>
      </c>
      <c r="CK990" s="1" t="s">
        <v>169</v>
      </c>
      <c r="CL990" s="1" t="s">
        <v>373</v>
      </c>
      <c r="CM990" s="1" t="s">
        <v>1838</v>
      </c>
      <c r="CN990" s="1" t="s">
        <v>350</v>
      </c>
      <c r="CO990" s="1" t="s">
        <v>1053</v>
      </c>
      <c r="CP990" s="1" t="s">
        <v>142</v>
      </c>
      <c r="CQ990">
        <v>523</v>
      </c>
      <c r="CR990" s="1" t="s">
        <v>8260</v>
      </c>
      <c r="CS990" s="1" t="s">
        <v>3934</v>
      </c>
      <c r="CT990" s="1" t="s">
        <v>2124</v>
      </c>
      <c r="CU990" s="1" t="s">
        <v>1533</v>
      </c>
      <c r="CV990">
        <v>1606.6</v>
      </c>
      <c r="CW990">
        <v>79.150000000000006</v>
      </c>
      <c r="CX990">
        <v>79.400000000000006</v>
      </c>
      <c r="CY990">
        <v>84.6</v>
      </c>
      <c r="CZ990">
        <v>90</v>
      </c>
      <c r="DA990">
        <v>1</v>
      </c>
      <c r="DB990" t="s">
        <v>114</v>
      </c>
      <c r="DC990">
        <v>62</v>
      </c>
      <c r="DD990" s="1" t="s">
        <v>8261</v>
      </c>
      <c r="DE990">
        <v>-0.73190649228196403</v>
      </c>
      <c r="DF990" t="e">
        <f>_xlfn.XLOOKUP(Table1[[#This Row],[Player ID]],Table2[feed_id],Table2[trade_status])</f>
        <v>#N/A</v>
      </c>
      <c r="DG990">
        <f>_xlfn.NUMBERVALUE(Table1[[#This Row],[predicted]])</f>
        <v>62.731906492281901</v>
      </c>
    </row>
    <row r="991" spans="1:111" x14ac:dyDescent="0.25">
      <c r="A991">
        <v>132554</v>
      </c>
      <c r="B991">
        <v>9237</v>
      </c>
      <c r="C991" t="s">
        <v>6650</v>
      </c>
      <c r="D991" t="s">
        <v>3116</v>
      </c>
      <c r="E991">
        <v>2025</v>
      </c>
      <c r="F991">
        <v>1015370</v>
      </c>
      <c r="G991" t="s">
        <v>5439</v>
      </c>
      <c r="H991" t="s">
        <v>6760</v>
      </c>
      <c r="I991" t="s">
        <v>510</v>
      </c>
      <c r="J991">
        <v>4</v>
      </c>
      <c r="K991">
        <v>42</v>
      </c>
      <c r="L991">
        <v>43</v>
      </c>
      <c r="M991">
        <v>55</v>
      </c>
      <c r="N991">
        <v>31</v>
      </c>
      <c r="O991">
        <v>42</v>
      </c>
      <c r="P991">
        <v>7</v>
      </c>
      <c r="Q991">
        <v>3</v>
      </c>
      <c r="R991">
        <v>2</v>
      </c>
      <c r="S991">
        <v>2</v>
      </c>
      <c r="T991">
        <v>0</v>
      </c>
      <c r="U991">
        <v>1</v>
      </c>
      <c r="V991">
        <v>0</v>
      </c>
      <c r="W991">
        <v>0</v>
      </c>
      <c r="X991">
        <v>0</v>
      </c>
      <c r="Y991" t="s">
        <v>113</v>
      </c>
      <c r="Z991" t="s">
        <v>179</v>
      </c>
      <c r="AA991" t="s">
        <v>6761</v>
      </c>
      <c r="AH991" t="s">
        <v>181</v>
      </c>
      <c r="AI991">
        <v>16</v>
      </c>
      <c r="AJ991">
        <v>0</v>
      </c>
      <c r="AK991">
        <v>0</v>
      </c>
      <c r="AL991">
        <v>0</v>
      </c>
      <c r="AM991">
        <v>0.4</v>
      </c>
      <c r="AN991">
        <v>0.45</v>
      </c>
      <c r="AO991">
        <v>0.57999999999999996</v>
      </c>
      <c r="AS991">
        <v>1</v>
      </c>
      <c r="AT991">
        <v>0</v>
      </c>
      <c r="AU991">
        <v>1</v>
      </c>
      <c r="AV991">
        <v>70</v>
      </c>
      <c r="AW991">
        <v>100</v>
      </c>
      <c r="AX991">
        <v>288</v>
      </c>
      <c r="AY991">
        <v>0</v>
      </c>
      <c r="AZ991" t="b">
        <v>0</v>
      </c>
      <c r="BA991">
        <v>1632</v>
      </c>
      <c r="BB991">
        <v>1646</v>
      </c>
      <c r="BC991">
        <v>6</v>
      </c>
      <c r="BD991" t="s">
        <v>6656</v>
      </c>
      <c r="BE991" s="1" t="s">
        <v>3594</v>
      </c>
      <c r="BF991">
        <v>0</v>
      </c>
      <c r="BG991">
        <v>71</v>
      </c>
      <c r="BH991">
        <v>0</v>
      </c>
      <c r="BI991" s="1" t="s">
        <v>253</v>
      </c>
      <c r="BJ991">
        <v>8.6</v>
      </c>
      <c r="BK991" s="1" t="s">
        <v>159</v>
      </c>
      <c r="BL991">
        <v>5</v>
      </c>
      <c r="BM991">
        <v>3</v>
      </c>
      <c r="BN991">
        <v>4.8</v>
      </c>
      <c r="BO991">
        <v>2</v>
      </c>
      <c r="BP991" s="1" t="s">
        <v>159</v>
      </c>
      <c r="BQ991">
        <v>0</v>
      </c>
      <c r="BR991">
        <v>0</v>
      </c>
      <c r="BS991">
        <v>1</v>
      </c>
      <c r="BT991" s="1" t="s">
        <v>399</v>
      </c>
      <c r="BU991" s="1" t="s">
        <v>128</v>
      </c>
      <c r="BV991" s="1" t="s">
        <v>399</v>
      </c>
      <c r="BW991">
        <v>0</v>
      </c>
      <c r="BX991">
        <v>0</v>
      </c>
      <c r="BY991">
        <v>0</v>
      </c>
      <c r="BZ991">
        <v>6.6666666666666596E-2</v>
      </c>
      <c r="CA991">
        <v>0.4</v>
      </c>
      <c r="CB991">
        <v>0.4</v>
      </c>
      <c r="CC991">
        <v>0.45</v>
      </c>
      <c r="CD991">
        <v>0.45</v>
      </c>
      <c r="CE991">
        <v>0.57999999999999996</v>
      </c>
      <c r="CF991">
        <v>0.57999999999999996</v>
      </c>
      <c r="CG991">
        <v>2</v>
      </c>
      <c r="CH991">
        <v>3.8</v>
      </c>
      <c r="CI991">
        <v>0</v>
      </c>
      <c r="CJ991" s="1" t="s">
        <v>130</v>
      </c>
      <c r="CK991">
        <v>1</v>
      </c>
      <c r="CL991" s="1" t="s">
        <v>304</v>
      </c>
      <c r="CM991">
        <v>79</v>
      </c>
      <c r="CN991" s="1" t="s">
        <v>1387</v>
      </c>
      <c r="CO991" s="1" t="s">
        <v>3487</v>
      </c>
      <c r="CP991" s="1" t="s">
        <v>6762</v>
      </c>
      <c r="CQ991" s="1" t="s">
        <v>6763</v>
      </c>
      <c r="CR991" s="1" t="s">
        <v>4894</v>
      </c>
      <c r="CS991" s="1" t="s">
        <v>4695</v>
      </c>
      <c r="CT991" s="1" t="s">
        <v>4304</v>
      </c>
      <c r="CU991">
        <v>1598</v>
      </c>
      <c r="CV991" s="1" t="s">
        <v>6676</v>
      </c>
      <c r="CW991">
        <v>63.9</v>
      </c>
      <c r="CX991">
        <v>63.2</v>
      </c>
      <c r="CY991">
        <v>59</v>
      </c>
      <c r="CZ991" s="1" t="s">
        <v>2998</v>
      </c>
      <c r="DA991">
        <v>1</v>
      </c>
      <c r="DB991" t="s">
        <v>179</v>
      </c>
      <c r="DC991">
        <v>43</v>
      </c>
      <c r="DD991" s="1" t="s">
        <v>6764</v>
      </c>
      <c r="DE991">
        <v>-8.5602592034529508</v>
      </c>
      <c r="DF991" t="str">
        <f>_xlfn.XLOOKUP(Table1[[#This Row],[Player ID]],Table2[feed_id],Table2[trade_status])</f>
        <v>free_agent</v>
      </c>
      <c r="DG991">
        <f>_xlfn.NUMBERVALUE(Table1[[#This Row],[predicted]])</f>
        <v>51.560259203452901</v>
      </c>
    </row>
    <row r="992" spans="1:111" x14ac:dyDescent="0.25">
      <c r="A992">
        <v>132907</v>
      </c>
      <c r="B992">
        <v>9245</v>
      </c>
      <c r="C992" t="s">
        <v>8180</v>
      </c>
      <c r="D992" t="s">
        <v>3116</v>
      </c>
      <c r="E992">
        <v>2025</v>
      </c>
      <c r="F992">
        <v>1011583</v>
      </c>
      <c r="G992" t="s">
        <v>4008</v>
      </c>
      <c r="H992" t="s">
        <v>890</v>
      </c>
      <c r="I992" t="s">
        <v>425</v>
      </c>
      <c r="J992">
        <v>12</v>
      </c>
      <c r="K992">
        <v>60</v>
      </c>
      <c r="L992">
        <v>73</v>
      </c>
      <c r="M992">
        <v>76</v>
      </c>
      <c r="N992">
        <v>50</v>
      </c>
      <c r="O992">
        <v>66</v>
      </c>
      <c r="P992">
        <v>8</v>
      </c>
      <c r="Q992">
        <v>7</v>
      </c>
      <c r="R992">
        <v>6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113</v>
      </c>
      <c r="Z992" t="s">
        <v>179</v>
      </c>
      <c r="AA992" t="s">
        <v>8239</v>
      </c>
      <c r="AI992">
        <v>34</v>
      </c>
      <c r="AJ992">
        <v>0</v>
      </c>
      <c r="AK992">
        <v>0</v>
      </c>
      <c r="AL992">
        <v>0</v>
      </c>
      <c r="AM992">
        <v>0</v>
      </c>
      <c r="AN992">
        <v>0.06</v>
      </c>
      <c r="AO992">
        <v>0.28000000000000003</v>
      </c>
      <c r="AS992">
        <v>6</v>
      </c>
      <c r="AT992">
        <v>1</v>
      </c>
      <c r="AU992">
        <v>1</v>
      </c>
      <c r="AV992">
        <v>86</v>
      </c>
      <c r="AW992">
        <v>85</v>
      </c>
      <c r="AX992">
        <v>200</v>
      </c>
      <c r="AY992">
        <v>0</v>
      </c>
      <c r="AZ992" t="b">
        <v>0</v>
      </c>
      <c r="BA992">
        <v>1477</v>
      </c>
      <c r="BB992">
        <v>1799</v>
      </c>
      <c r="BC992">
        <v>6</v>
      </c>
      <c r="BD992" t="s">
        <v>8182</v>
      </c>
      <c r="BE992" s="1" t="s">
        <v>3594</v>
      </c>
      <c r="BF992">
        <v>0</v>
      </c>
      <c r="BG992">
        <v>71</v>
      </c>
      <c r="BH992">
        <v>1</v>
      </c>
      <c r="BI992">
        <v>7</v>
      </c>
      <c r="BJ992" s="1" t="s">
        <v>124</v>
      </c>
      <c r="BK992" s="1" t="s">
        <v>253</v>
      </c>
      <c r="BL992">
        <v>5.2</v>
      </c>
      <c r="BM992" s="1" t="s">
        <v>211</v>
      </c>
      <c r="BN992" s="1" t="s">
        <v>138</v>
      </c>
      <c r="BO992">
        <v>2</v>
      </c>
      <c r="BP992" s="1" t="s">
        <v>161</v>
      </c>
      <c r="BQ992">
        <v>0</v>
      </c>
      <c r="BR992">
        <v>0</v>
      </c>
      <c r="BS992" s="1" t="s">
        <v>128</v>
      </c>
      <c r="BT992">
        <v>0.6</v>
      </c>
      <c r="BU992">
        <v>1</v>
      </c>
      <c r="BV992" s="1" t="s">
        <v>238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0.06</v>
      </c>
      <c r="CD992">
        <v>0.06</v>
      </c>
      <c r="CE992">
        <v>0.28000000000000003</v>
      </c>
      <c r="CF992">
        <v>0.28000000000000003</v>
      </c>
      <c r="CG992">
        <v>8</v>
      </c>
      <c r="CH992" s="1" t="s">
        <v>229</v>
      </c>
      <c r="CI992">
        <v>1</v>
      </c>
      <c r="CJ992" s="1" t="s">
        <v>129</v>
      </c>
      <c r="CK992">
        <v>2</v>
      </c>
      <c r="CL992" s="1" t="s">
        <v>566</v>
      </c>
      <c r="CM992" s="1" t="s">
        <v>1491</v>
      </c>
      <c r="CN992">
        <v>83.4</v>
      </c>
      <c r="CO992">
        <v>78</v>
      </c>
      <c r="CP992" s="1" t="s">
        <v>5127</v>
      </c>
      <c r="CQ992" s="1" t="s">
        <v>5205</v>
      </c>
      <c r="CR992" s="1" t="s">
        <v>8240</v>
      </c>
      <c r="CS992">
        <v>1831</v>
      </c>
      <c r="CT992" s="1" t="s">
        <v>8241</v>
      </c>
      <c r="CU992" s="1" t="s">
        <v>8242</v>
      </c>
      <c r="CV992" s="1" t="s">
        <v>2593</v>
      </c>
      <c r="CW992">
        <v>57.15</v>
      </c>
      <c r="CX992">
        <v>58.6</v>
      </c>
      <c r="CY992">
        <v>70</v>
      </c>
      <c r="CZ992" s="1" t="s">
        <v>1110</v>
      </c>
      <c r="DA992">
        <v>1</v>
      </c>
      <c r="DB992" t="s">
        <v>179</v>
      </c>
      <c r="DC992">
        <v>73</v>
      </c>
      <c r="DD992" s="1" t="s">
        <v>8243</v>
      </c>
      <c r="DE992" s="1" t="s">
        <v>8244</v>
      </c>
      <c r="DF992" t="str">
        <f>_xlfn.XLOOKUP(Table1[[#This Row],[Player ID]],Table2[feed_id],Table2[trade_status])</f>
        <v>free_agent</v>
      </c>
      <c r="DG992">
        <f>_xlfn.NUMBERVALUE(Table1[[#This Row],[predicted]])</f>
        <v>51.054852594772797</v>
      </c>
    </row>
    <row r="993" spans="1:111" hidden="1" x14ac:dyDescent="0.25">
      <c r="A993">
        <v>132918</v>
      </c>
      <c r="B993">
        <v>9245</v>
      </c>
      <c r="C993" t="s">
        <v>8180</v>
      </c>
      <c r="D993" t="s">
        <v>3116</v>
      </c>
      <c r="E993">
        <v>2025</v>
      </c>
      <c r="F993">
        <v>1020895</v>
      </c>
      <c r="G993" t="s">
        <v>8274</v>
      </c>
      <c r="H993" t="s">
        <v>8275</v>
      </c>
      <c r="I993" t="s">
        <v>391</v>
      </c>
      <c r="J993">
        <v>30</v>
      </c>
      <c r="K993">
        <v>118</v>
      </c>
      <c r="L993">
        <v>104</v>
      </c>
      <c r="M993">
        <v>91</v>
      </c>
      <c r="N993">
        <v>96</v>
      </c>
      <c r="O993">
        <v>126</v>
      </c>
      <c r="P993">
        <v>14</v>
      </c>
      <c r="Q993">
        <v>15</v>
      </c>
      <c r="R993">
        <v>7</v>
      </c>
      <c r="S993">
        <v>4</v>
      </c>
      <c r="T993">
        <v>0</v>
      </c>
      <c r="U993">
        <v>3</v>
      </c>
      <c r="V993">
        <v>0</v>
      </c>
      <c r="W993">
        <v>1</v>
      </c>
      <c r="X993">
        <v>0</v>
      </c>
      <c r="Y993" t="s">
        <v>113</v>
      </c>
      <c r="Z993" t="s">
        <v>6867</v>
      </c>
      <c r="AA993" t="s">
        <v>8276</v>
      </c>
      <c r="AB993" t="s">
        <v>877</v>
      </c>
      <c r="AC993" t="s">
        <v>1814</v>
      </c>
      <c r="AH993" t="s">
        <v>118</v>
      </c>
      <c r="AI993">
        <v>3</v>
      </c>
      <c r="AJ993">
        <v>0</v>
      </c>
      <c r="AK993">
        <v>0</v>
      </c>
      <c r="AL993">
        <v>0</v>
      </c>
      <c r="AM993">
        <v>6.95</v>
      </c>
      <c r="AN993">
        <v>5.23</v>
      </c>
      <c r="AO993">
        <v>6.1</v>
      </c>
      <c r="AS993">
        <v>12</v>
      </c>
      <c r="AT993">
        <v>8</v>
      </c>
      <c r="AU993">
        <v>3</v>
      </c>
      <c r="AV993">
        <v>69</v>
      </c>
      <c r="AW993">
        <v>79</v>
      </c>
      <c r="AX993">
        <v>426</v>
      </c>
      <c r="AY993">
        <v>0</v>
      </c>
      <c r="AZ993" t="b">
        <v>0</v>
      </c>
      <c r="BA993">
        <v>1799</v>
      </c>
      <c r="BB993">
        <v>1477</v>
      </c>
      <c r="BC993">
        <v>6</v>
      </c>
      <c r="BD993" t="s">
        <v>8277</v>
      </c>
      <c r="BE993" s="1" t="s">
        <v>3594</v>
      </c>
      <c r="BF993">
        <v>1</v>
      </c>
      <c r="BG993">
        <v>71</v>
      </c>
      <c r="BH993">
        <v>1</v>
      </c>
      <c r="BI993" s="1" t="s">
        <v>121</v>
      </c>
      <c r="BJ993" s="1" t="s">
        <v>356</v>
      </c>
      <c r="BK993">
        <v>14</v>
      </c>
      <c r="BL993" s="1" t="s">
        <v>1831</v>
      </c>
      <c r="BM993" s="1" t="s">
        <v>449</v>
      </c>
      <c r="BN993" s="1" t="s">
        <v>211</v>
      </c>
      <c r="BO993" s="1" t="s">
        <v>124</v>
      </c>
      <c r="BP993">
        <v>4.5999999999999996</v>
      </c>
      <c r="BQ993">
        <v>0</v>
      </c>
      <c r="BR993">
        <v>0</v>
      </c>
      <c r="BS993" s="1" t="s">
        <v>138</v>
      </c>
      <c r="BT993">
        <v>1.4</v>
      </c>
      <c r="BU993" s="1" t="s">
        <v>128</v>
      </c>
      <c r="BV993" s="1" t="s">
        <v>206</v>
      </c>
      <c r="BW993" s="1" t="s">
        <v>128</v>
      </c>
      <c r="BX993" s="1" t="s">
        <v>128</v>
      </c>
      <c r="BY993" s="1" t="s">
        <v>129</v>
      </c>
      <c r="BZ993" s="1" t="s">
        <v>129</v>
      </c>
      <c r="CA993">
        <v>6.95</v>
      </c>
      <c r="CB993">
        <v>6.95</v>
      </c>
      <c r="CC993">
        <v>5.23</v>
      </c>
      <c r="CD993">
        <v>5.23</v>
      </c>
      <c r="CE993">
        <v>6.1</v>
      </c>
      <c r="CF993">
        <v>6.1</v>
      </c>
      <c r="CG993" s="1" t="s">
        <v>123</v>
      </c>
      <c r="CH993" s="1" t="s">
        <v>1829</v>
      </c>
      <c r="CI993" s="1" t="s">
        <v>183</v>
      </c>
      <c r="CJ993" s="1" t="s">
        <v>430</v>
      </c>
      <c r="CK993">
        <v>4</v>
      </c>
      <c r="CL993" s="1" t="s">
        <v>766</v>
      </c>
      <c r="CM993" s="1" t="s">
        <v>1406</v>
      </c>
      <c r="CN993">
        <v>74.599999999999994</v>
      </c>
      <c r="CO993" s="1" t="s">
        <v>755</v>
      </c>
      <c r="CP993">
        <v>82.8</v>
      </c>
      <c r="CQ993" s="1" t="s">
        <v>7244</v>
      </c>
      <c r="CR993">
        <v>316</v>
      </c>
      <c r="CS993" s="1" t="s">
        <v>4566</v>
      </c>
      <c r="CT993">
        <v>1730.8</v>
      </c>
      <c r="CU993">
        <v>1616</v>
      </c>
      <c r="CV993">
        <v>1553</v>
      </c>
      <c r="CW993">
        <v>108.6</v>
      </c>
      <c r="CX993">
        <v>118.6</v>
      </c>
      <c r="CY993">
        <v>102.6</v>
      </c>
      <c r="CZ993">
        <v>114</v>
      </c>
      <c r="DA993">
        <v>1</v>
      </c>
      <c r="DB993" t="s">
        <v>6867</v>
      </c>
      <c r="DC993">
        <v>104</v>
      </c>
      <c r="DD993" s="1" t="s">
        <v>8278</v>
      </c>
      <c r="DE993" s="1" t="s">
        <v>8279</v>
      </c>
      <c r="DF993" t="e">
        <f>_xlfn.XLOOKUP(Table1[[#This Row],[Player ID]],Table2[feed_id],Table2[trade_status])</f>
        <v>#N/A</v>
      </c>
      <c r="DG993">
        <f>_xlfn.NUMBERVALUE(Table1[[#This Row],[predicted]])</f>
        <v>103.704769817395</v>
      </c>
    </row>
    <row r="994" spans="1:111" hidden="1" x14ac:dyDescent="0.25">
      <c r="A994">
        <v>132919</v>
      </c>
      <c r="B994">
        <v>9245</v>
      </c>
      <c r="C994" t="s">
        <v>8180</v>
      </c>
      <c r="D994" t="s">
        <v>3116</v>
      </c>
      <c r="E994">
        <v>2025</v>
      </c>
      <c r="F994">
        <v>1000980</v>
      </c>
      <c r="G994" t="s">
        <v>3400</v>
      </c>
      <c r="H994" t="s">
        <v>8280</v>
      </c>
      <c r="I994" t="s">
        <v>391</v>
      </c>
      <c r="J994">
        <v>34</v>
      </c>
      <c r="K994">
        <v>103</v>
      </c>
      <c r="L994">
        <v>105</v>
      </c>
      <c r="M994">
        <v>105</v>
      </c>
      <c r="N994">
        <v>85</v>
      </c>
      <c r="O994">
        <v>102</v>
      </c>
      <c r="P994">
        <v>4</v>
      </c>
      <c r="Q994">
        <v>9</v>
      </c>
      <c r="R994">
        <v>0</v>
      </c>
      <c r="S994">
        <v>7</v>
      </c>
      <c r="T994">
        <v>30</v>
      </c>
      <c r="U994">
        <v>3</v>
      </c>
      <c r="V994">
        <v>0</v>
      </c>
      <c r="W994">
        <v>2</v>
      </c>
      <c r="X994">
        <v>0</v>
      </c>
      <c r="Y994" t="s">
        <v>113</v>
      </c>
      <c r="Z994" t="s">
        <v>339</v>
      </c>
      <c r="AA994" t="s">
        <v>8281</v>
      </c>
      <c r="AB994" t="s">
        <v>602</v>
      </c>
      <c r="AC994" t="s">
        <v>2391</v>
      </c>
      <c r="AE994">
        <v>0</v>
      </c>
      <c r="AH994" t="s">
        <v>274</v>
      </c>
      <c r="AI994">
        <v>17</v>
      </c>
      <c r="AJ994">
        <v>0</v>
      </c>
      <c r="AK994">
        <v>0</v>
      </c>
      <c r="AL994">
        <v>0</v>
      </c>
      <c r="AM994">
        <v>0</v>
      </c>
      <c r="AN994">
        <v>0.17</v>
      </c>
      <c r="AO994">
        <v>0.21</v>
      </c>
      <c r="AS994">
        <v>12</v>
      </c>
      <c r="AT994">
        <v>7</v>
      </c>
      <c r="AU994">
        <v>1</v>
      </c>
      <c r="AV994">
        <v>84</v>
      </c>
      <c r="AW994">
        <v>86</v>
      </c>
      <c r="AX994">
        <v>151</v>
      </c>
      <c r="AY994">
        <v>1</v>
      </c>
      <c r="AZ994" t="b">
        <v>0</v>
      </c>
      <c r="BA994">
        <v>1799</v>
      </c>
      <c r="BB994">
        <v>1477</v>
      </c>
      <c r="BC994">
        <v>6</v>
      </c>
      <c r="BD994" t="s">
        <v>8277</v>
      </c>
      <c r="BE994" s="1" t="s">
        <v>3594</v>
      </c>
      <c r="BF994">
        <v>1</v>
      </c>
      <c r="BG994">
        <v>71</v>
      </c>
      <c r="BH994">
        <v>1</v>
      </c>
      <c r="BI994" s="1" t="s">
        <v>211</v>
      </c>
      <c r="BJ994" s="1" t="s">
        <v>124</v>
      </c>
      <c r="BK994">
        <v>9</v>
      </c>
      <c r="BL994">
        <v>8.6</v>
      </c>
      <c r="BM994" s="1" t="s">
        <v>126</v>
      </c>
      <c r="BN994">
        <v>2.4</v>
      </c>
      <c r="BO994">
        <v>4</v>
      </c>
      <c r="BP994">
        <v>3.4</v>
      </c>
      <c r="BQ994" s="1" t="s">
        <v>8282</v>
      </c>
      <c r="BR994" s="1" t="s">
        <v>8283</v>
      </c>
      <c r="BS994" s="1" t="s">
        <v>161</v>
      </c>
      <c r="BT994" s="1" t="s">
        <v>327</v>
      </c>
      <c r="BU994">
        <v>1</v>
      </c>
      <c r="BV994" s="1" t="s">
        <v>275</v>
      </c>
      <c r="BW994">
        <v>1</v>
      </c>
      <c r="BX994" s="1" t="s">
        <v>231</v>
      </c>
      <c r="BY994">
        <v>0</v>
      </c>
      <c r="BZ994" s="1" t="s">
        <v>129</v>
      </c>
      <c r="CA994">
        <v>0</v>
      </c>
      <c r="CB994">
        <v>0</v>
      </c>
      <c r="CC994">
        <v>0.17</v>
      </c>
      <c r="CD994">
        <v>0.17</v>
      </c>
      <c r="CE994">
        <v>0.21</v>
      </c>
      <c r="CF994">
        <v>0.21</v>
      </c>
      <c r="CG994">
        <v>10</v>
      </c>
      <c r="CH994">
        <v>9</v>
      </c>
      <c r="CI994" s="1" t="s">
        <v>160</v>
      </c>
      <c r="CJ994" s="1" t="s">
        <v>125</v>
      </c>
      <c r="CK994">
        <v>2</v>
      </c>
      <c r="CL994" s="1" t="s">
        <v>125</v>
      </c>
      <c r="CM994" s="1" t="s">
        <v>1110</v>
      </c>
      <c r="CN994" s="1" t="s">
        <v>3322</v>
      </c>
      <c r="CO994">
        <v>82</v>
      </c>
      <c r="CP994" s="1" t="s">
        <v>5252</v>
      </c>
      <c r="CQ994" s="1" t="s">
        <v>3574</v>
      </c>
      <c r="CR994">
        <v>172.6</v>
      </c>
      <c r="CS994" s="1" t="s">
        <v>4566</v>
      </c>
      <c r="CT994">
        <v>1730.8</v>
      </c>
      <c r="CU994">
        <v>1616</v>
      </c>
      <c r="CV994">
        <v>1553</v>
      </c>
      <c r="CW994">
        <v>105.15</v>
      </c>
      <c r="CX994">
        <v>102.6</v>
      </c>
      <c r="CY994">
        <v>103.4</v>
      </c>
      <c r="CZ994" s="1" t="s">
        <v>6492</v>
      </c>
      <c r="DA994">
        <v>1</v>
      </c>
      <c r="DB994" t="s">
        <v>339</v>
      </c>
      <c r="DC994">
        <v>105</v>
      </c>
      <c r="DD994" s="1" t="s">
        <v>8284</v>
      </c>
      <c r="DE994" s="1" t="s">
        <v>8285</v>
      </c>
      <c r="DF994" t="e">
        <f>_xlfn.XLOOKUP(Table1[[#This Row],[Player ID]],Table2[feed_id],Table2[trade_status])</f>
        <v>#N/A</v>
      </c>
      <c r="DG994">
        <f>_xlfn.NUMBERVALUE(Table1[[#This Row],[predicted]])</f>
        <v>94.744541906971705</v>
      </c>
    </row>
    <row r="995" spans="1:111" x14ac:dyDescent="0.25">
      <c r="A995">
        <v>132824</v>
      </c>
      <c r="B995">
        <v>9243</v>
      </c>
      <c r="C995" t="s">
        <v>7798</v>
      </c>
      <c r="D995" t="s">
        <v>3116</v>
      </c>
      <c r="E995">
        <v>2025</v>
      </c>
      <c r="F995">
        <v>1009551</v>
      </c>
      <c r="G995" t="s">
        <v>7887</v>
      </c>
      <c r="H995" t="s">
        <v>7888</v>
      </c>
      <c r="I995" t="s">
        <v>317</v>
      </c>
      <c r="J995">
        <v>8</v>
      </c>
      <c r="K995">
        <v>27</v>
      </c>
      <c r="L995">
        <v>50</v>
      </c>
      <c r="M995">
        <v>31</v>
      </c>
      <c r="N995">
        <v>26</v>
      </c>
      <c r="O995">
        <v>33</v>
      </c>
      <c r="P995">
        <v>3</v>
      </c>
      <c r="Q995">
        <v>3</v>
      </c>
      <c r="R995">
        <v>1</v>
      </c>
      <c r="S995">
        <v>0</v>
      </c>
      <c r="T995">
        <v>0</v>
      </c>
      <c r="U995">
        <v>0</v>
      </c>
      <c r="V995">
        <v>1</v>
      </c>
      <c r="W995">
        <v>2</v>
      </c>
      <c r="X995">
        <v>0</v>
      </c>
      <c r="Y995" t="s">
        <v>113</v>
      </c>
      <c r="Z995" t="s">
        <v>861</v>
      </c>
      <c r="AA995" t="s">
        <v>7889</v>
      </c>
      <c r="AI995">
        <v>17</v>
      </c>
      <c r="AJ995">
        <v>0</v>
      </c>
      <c r="AK995">
        <v>0</v>
      </c>
      <c r="AL995">
        <v>0</v>
      </c>
      <c r="AM995">
        <v>0.31</v>
      </c>
      <c r="AN995">
        <v>0.46</v>
      </c>
      <c r="AO995">
        <v>0.99</v>
      </c>
      <c r="AS995">
        <v>5</v>
      </c>
      <c r="AT995">
        <v>0</v>
      </c>
      <c r="AU995">
        <v>1</v>
      </c>
      <c r="AV995">
        <v>50</v>
      </c>
      <c r="AW995">
        <v>69</v>
      </c>
      <c r="AX995">
        <v>102</v>
      </c>
      <c r="AY995">
        <v>1</v>
      </c>
      <c r="AZ995" t="b">
        <v>0</v>
      </c>
      <c r="BA995">
        <v>1728</v>
      </c>
      <c r="BB995">
        <v>1559</v>
      </c>
      <c r="BC995">
        <v>6</v>
      </c>
      <c r="BD995" t="s">
        <v>7800</v>
      </c>
      <c r="BE995" s="1" t="s">
        <v>3594</v>
      </c>
      <c r="BF995">
        <v>0</v>
      </c>
      <c r="BG995">
        <v>71</v>
      </c>
      <c r="BH995">
        <v>0</v>
      </c>
      <c r="BI995" s="1" t="s">
        <v>160</v>
      </c>
      <c r="BJ995">
        <v>4.8</v>
      </c>
      <c r="BK995" s="1" t="s">
        <v>138</v>
      </c>
      <c r="BL995" s="1" t="s">
        <v>431</v>
      </c>
      <c r="BM995">
        <v>1</v>
      </c>
      <c r="BN995">
        <v>2</v>
      </c>
      <c r="BO995">
        <v>2</v>
      </c>
      <c r="BP995" s="1" t="s">
        <v>255</v>
      </c>
      <c r="BQ995">
        <v>0</v>
      </c>
      <c r="BR995">
        <v>0</v>
      </c>
      <c r="BS995" s="1" t="s">
        <v>128</v>
      </c>
      <c r="BT995">
        <v>0.6</v>
      </c>
      <c r="BU995">
        <v>1</v>
      </c>
      <c r="BV995" s="1" t="s">
        <v>128</v>
      </c>
      <c r="BW995" s="1" t="s">
        <v>126</v>
      </c>
      <c r="BX995" s="1" t="s">
        <v>128</v>
      </c>
      <c r="BY995" s="1" t="s">
        <v>128</v>
      </c>
      <c r="BZ995" s="1" t="s">
        <v>130</v>
      </c>
      <c r="CA995">
        <v>0.31</v>
      </c>
      <c r="CB995" s="1" t="s">
        <v>1253</v>
      </c>
      <c r="CC995">
        <v>0.46</v>
      </c>
      <c r="CD995" s="1" t="s">
        <v>1216</v>
      </c>
      <c r="CE995">
        <v>0.99</v>
      </c>
      <c r="CF995" s="1" t="s">
        <v>7890</v>
      </c>
      <c r="CG995" s="1" t="s">
        <v>125</v>
      </c>
      <c r="CH995" s="1" t="s">
        <v>990</v>
      </c>
      <c r="CI995">
        <v>0</v>
      </c>
      <c r="CJ995" s="1" t="s">
        <v>213</v>
      </c>
      <c r="CK995" s="1" t="s">
        <v>161</v>
      </c>
      <c r="CL995">
        <v>1.6</v>
      </c>
      <c r="CM995">
        <v>57</v>
      </c>
      <c r="CN995">
        <v>67.599999999999994</v>
      </c>
      <c r="CO995">
        <v>69</v>
      </c>
      <c r="CP995" s="1" t="s">
        <v>4759</v>
      </c>
      <c r="CQ995">
        <v>143</v>
      </c>
      <c r="CR995" s="1" t="s">
        <v>7891</v>
      </c>
      <c r="CS995" s="1" t="s">
        <v>7892</v>
      </c>
      <c r="CT995">
        <v>1563</v>
      </c>
      <c r="CU995" s="1" t="s">
        <v>7893</v>
      </c>
      <c r="CV995">
        <v>1711.6</v>
      </c>
      <c r="CW995">
        <v>42.8</v>
      </c>
      <c r="CX995">
        <v>54.2</v>
      </c>
      <c r="CY995">
        <v>51.8</v>
      </c>
      <c r="CZ995">
        <v>46</v>
      </c>
      <c r="DA995">
        <v>1</v>
      </c>
      <c r="DB995" t="s">
        <v>861</v>
      </c>
      <c r="DC995">
        <v>50</v>
      </c>
      <c r="DD995" s="1" t="s">
        <v>7894</v>
      </c>
      <c r="DE995">
        <v>-0.90094968141342902</v>
      </c>
      <c r="DF995" t="str">
        <f>_xlfn.XLOOKUP(Table1[[#This Row],[Player ID]],Table2[feed_id],Table2[trade_status])</f>
        <v>free_agent</v>
      </c>
      <c r="DG995">
        <f>_xlfn.NUMBERVALUE(Table1[[#This Row],[predicted]])</f>
        <v>50.900949681413401</v>
      </c>
    </row>
    <row r="996" spans="1:111" hidden="1" x14ac:dyDescent="0.25">
      <c r="A996">
        <v>132921</v>
      </c>
      <c r="B996">
        <v>9245</v>
      </c>
      <c r="C996" t="s">
        <v>8180</v>
      </c>
      <c r="D996" t="s">
        <v>3116</v>
      </c>
      <c r="E996">
        <v>2025</v>
      </c>
      <c r="F996">
        <v>297566</v>
      </c>
      <c r="G996" t="s">
        <v>617</v>
      </c>
      <c r="H996" t="s">
        <v>8292</v>
      </c>
      <c r="I996" t="s">
        <v>391</v>
      </c>
      <c r="J996">
        <v>26</v>
      </c>
      <c r="K996">
        <v>100</v>
      </c>
      <c r="L996">
        <v>102</v>
      </c>
      <c r="M996">
        <v>77</v>
      </c>
      <c r="N996">
        <v>88</v>
      </c>
      <c r="O996">
        <v>109</v>
      </c>
      <c r="P996">
        <v>12</v>
      </c>
      <c r="Q996">
        <v>8</v>
      </c>
      <c r="R996">
        <v>11</v>
      </c>
      <c r="S996">
        <v>1</v>
      </c>
      <c r="T996">
        <v>0</v>
      </c>
      <c r="U996">
        <v>1</v>
      </c>
      <c r="V996">
        <v>1</v>
      </c>
      <c r="W996">
        <v>2</v>
      </c>
      <c r="X996">
        <v>1</v>
      </c>
      <c r="Y996" t="s">
        <v>113</v>
      </c>
      <c r="Z996" t="s">
        <v>339</v>
      </c>
      <c r="AA996" t="s">
        <v>4045</v>
      </c>
      <c r="AB996" t="s">
        <v>987</v>
      </c>
      <c r="AC996" t="s">
        <v>8293</v>
      </c>
      <c r="AE996">
        <v>0</v>
      </c>
      <c r="AH996" t="s">
        <v>181</v>
      </c>
      <c r="AI996">
        <v>6</v>
      </c>
      <c r="AJ996">
        <v>14</v>
      </c>
      <c r="AK996">
        <v>95.57</v>
      </c>
      <c r="AL996">
        <v>0</v>
      </c>
      <c r="AM996">
        <v>0</v>
      </c>
      <c r="AN996">
        <v>39.81</v>
      </c>
      <c r="AO996">
        <v>21.29</v>
      </c>
      <c r="AS996">
        <v>7</v>
      </c>
      <c r="AT996">
        <v>0</v>
      </c>
      <c r="AU996">
        <v>4</v>
      </c>
      <c r="AV996">
        <v>70</v>
      </c>
      <c r="AW996">
        <v>93</v>
      </c>
      <c r="AX996">
        <v>350</v>
      </c>
      <c r="AY996">
        <v>1</v>
      </c>
      <c r="AZ996" t="b">
        <v>0</v>
      </c>
      <c r="BA996">
        <v>1799</v>
      </c>
      <c r="BB996">
        <v>1477</v>
      </c>
      <c r="BC996">
        <v>6</v>
      </c>
      <c r="BD996" t="s">
        <v>8277</v>
      </c>
      <c r="BE996" s="1" t="s">
        <v>3594</v>
      </c>
      <c r="BF996">
        <v>1</v>
      </c>
      <c r="BG996">
        <v>71</v>
      </c>
      <c r="BH996">
        <v>1</v>
      </c>
      <c r="BI996">
        <v>13</v>
      </c>
      <c r="BJ996" s="1" t="s">
        <v>7635</v>
      </c>
      <c r="BK996" s="1" t="s">
        <v>449</v>
      </c>
      <c r="BL996" s="1" t="s">
        <v>124</v>
      </c>
      <c r="BM996" s="1" t="s">
        <v>253</v>
      </c>
      <c r="BN996" s="1" t="s">
        <v>1079</v>
      </c>
      <c r="BO996" s="1" t="s">
        <v>126</v>
      </c>
      <c r="BP996" s="1" t="s">
        <v>257</v>
      </c>
      <c r="BQ996">
        <v>0</v>
      </c>
      <c r="BR996">
        <v>0</v>
      </c>
      <c r="BS996">
        <v>1</v>
      </c>
      <c r="BT996" s="1" t="s">
        <v>257</v>
      </c>
      <c r="BU996">
        <v>1</v>
      </c>
      <c r="BV996" s="1" t="s">
        <v>130</v>
      </c>
      <c r="BW996">
        <v>1</v>
      </c>
      <c r="BX996">
        <v>0.8</v>
      </c>
      <c r="BY996" s="1" t="s">
        <v>129</v>
      </c>
      <c r="BZ996" s="1" t="s">
        <v>231</v>
      </c>
      <c r="CA996">
        <v>0</v>
      </c>
      <c r="CB996">
        <v>0</v>
      </c>
      <c r="CC996">
        <v>39.81</v>
      </c>
      <c r="CD996">
        <v>39.81</v>
      </c>
      <c r="CE996">
        <v>21.29</v>
      </c>
      <c r="CF996">
        <v>21.29</v>
      </c>
      <c r="CG996" s="1" t="s">
        <v>124</v>
      </c>
      <c r="CH996" s="1" t="s">
        <v>139</v>
      </c>
      <c r="CI996" s="1" t="s">
        <v>129</v>
      </c>
      <c r="CJ996" s="1" t="s">
        <v>129</v>
      </c>
      <c r="CK996" s="1" t="s">
        <v>138</v>
      </c>
      <c r="CL996">
        <v>3</v>
      </c>
      <c r="CM996">
        <v>73</v>
      </c>
      <c r="CN996">
        <v>77.2</v>
      </c>
      <c r="CO996" s="1" t="s">
        <v>645</v>
      </c>
      <c r="CP996">
        <v>90.6</v>
      </c>
      <c r="CQ996" s="1" t="s">
        <v>8294</v>
      </c>
      <c r="CR996">
        <v>452.4</v>
      </c>
      <c r="CS996" s="1" t="s">
        <v>4566</v>
      </c>
      <c r="CT996" s="1" t="s">
        <v>8295</v>
      </c>
      <c r="CU996">
        <v>1616</v>
      </c>
      <c r="CV996" s="1" t="s">
        <v>8296</v>
      </c>
      <c r="CW996">
        <v>102.05</v>
      </c>
      <c r="CX996">
        <v>97.2</v>
      </c>
      <c r="CY996">
        <v>96.8</v>
      </c>
      <c r="CZ996" s="1" t="s">
        <v>3487</v>
      </c>
      <c r="DA996">
        <v>1</v>
      </c>
      <c r="DB996" t="s">
        <v>339</v>
      </c>
      <c r="DC996">
        <v>102</v>
      </c>
      <c r="DD996" s="1" t="s">
        <v>8297</v>
      </c>
      <c r="DE996" s="1" t="s">
        <v>8298</v>
      </c>
      <c r="DF996" t="e">
        <f>_xlfn.XLOOKUP(Table1[[#This Row],[Player ID]],Table2[feed_id],Table2[trade_status])</f>
        <v>#N/A</v>
      </c>
      <c r="DG996">
        <f>_xlfn.NUMBERVALUE(Table1[[#This Row],[predicted]])</f>
        <v>93.282053086348895</v>
      </c>
    </row>
    <row r="997" spans="1:111" hidden="1" x14ac:dyDescent="0.25">
      <c r="A997">
        <v>132922</v>
      </c>
      <c r="B997">
        <v>9245</v>
      </c>
      <c r="C997" t="s">
        <v>8180</v>
      </c>
      <c r="D997" t="s">
        <v>3116</v>
      </c>
      <c r="E997">
        <v>2025</v>
      </c>
      <c r="F997">
        <v>1006314</v>
      </c>
      <c r="G997" t="s">
        <v>1986</v>
      </c>
      <c r="H997" t="s">
        <v>6944</v>
      </c>
      <c r="I997" t="s">
        <v>391</v>
      </c>
      <c r="J997">
        <v>25</v>
      </c>
      <c r="K997">
        <v>88</v>
      </c>
      <c r="L997">
        <v>101</v>
      </c>
      <c r="M997">
        <v>76</v>
      </c>
      <c r="N997">
        <v>62</v>
      </c>
      <c r="O997">
        <v>93</v>
      </c>
      <c r="P997">
        <v>10</v>
      </c>
      <c r="Q997">
        <v>12</v>
      </c>
      <c r="R997">
        <v>0</v>
      </c>
      <c r="S997">
        <v>9</v>
      </c>
      <c r="T997">
        <v>0</v>
      </c>
      <c r="U997">
        <v>1</v>
      </c>
      <c r="V997">
        <v>1</v>
      </c>
      <c r="W997">
        <v>0</v>
      </c>
      <c r="X997">
        <v>0</v>
      </c>
      <c r="Y997" t="s">
        <v>113</v>
      </c>
      <c r="Z997" t="s">
        <v>5826</v>
      </c>
      <c r="AA997" t="s">
        <v>8299</v>
      </c>
      <c r="AE997">
        <v>0</v>
      </c>
      <c r="AH997" t="s">
        <v>155</v>
      </c>
      <c r="AI997">
        <v>13</v>
      </c>
      <c r="AJ997">
        <v>0</v>
      </c>
      <c r="AK997">
        <v>0</v>
      </c>
      <c r="AL997">
        <v>0</v>
      </c>
      <c r="AM997">
        <v>0</v>
      </c>
      <c r="AN997">
        <v>3.82</v>
      </c>
      <c r="AO997">
        <v>5.5</v>
      </c>
      <c r="AS997">
        <v>10</v>
      </c>
      <c r="AT997">
        <v>5</v>
      </c>
      <c r="AU997">
        <v>3</v>
      </c>
      <c r="AV997">
        <v>68</v>
      </c>
      <c r="AW997">
        <v>84</v>
      </c>
      <c r="AX997">
        <v>319</v>
      </c>
      <c r="AY997">
        <v>0</v>
      </c>
      <c r="AZ997" t="b">
        <v>0</v>
      </c>
      <c r="BA997">
        <v>1799</v>
      </c>
      <c r="BB997">
        <v>1477</v>
      </c>
      <c r="BC997">
        <v>6</v>
      </c>
      <c r="BD997" t="s">
        <v>8277</v>
      </c>
      <c r="BE997" s="1" t="s">
        <v>3594</v>
      </c>
      <c r="BF997">
        <v>1</v>
      </c>
      <c r="BG997">
        <v>71</v>
      </c>
      <c r="BH997">
        <v>1</v>
      </c>
      <c r="BI997">
        <v>8</v>
      </c>
      <c r="BJ997" s="1" t="s">
        <v>3438</v>
      </c>
      <c r="BK997" s="1" t="s">
        <v>977</v>
      </c>
      <c r="BL997" s="1" t="s">
        <v>254</v>
      </c>
      <c r="BM997">
        <v>1</v>
      </c>
      <c r="BN997" s="1" t="s">
        <v>229</v>
      </c>
      <c r="BO997" s="1" t="s">
        <v>160</v>
      </c>
      <c r="BP997">
        <v>4</v>
      </c>
      <c r="BQ997">
        <v>0</v>
      </c>
      <c r="BR997">
        <v>0</v>
      </c>
      <c r="BS997" s="1" t="s">
        <v>161</v>
      </c>
      <c r="BT997" s="1" t="s">
        <v>275</v>
      </c>
      <c r="BU997" s="1" t="s">
        <v>126</v>
      </c>
      <c r="BV997" s="1" t="s">
        <v>128</v>
      </c>
      <c r="BW997" s="1" t="s">
        <v>128</v>
      </c>
      <c r="BX997" s="1" t="s">
        <v>257</v>
      </c>
      <c r="BY997">
        <v>0</v>
      </c>
      <c r="BZ997" s="1" t="s">
        <v>162</v>
      </c>
      <c r="CA997">
        <v>0</v>
      </c>
      <c r="CB997">
        <v>0</v>
      </c>
      <c r="CC997">
        <v>3.82</v>
      </c>
      <c r="CD997">
        <v>3.82</v>
      </c>
      <c r="CE997">
        <v>5.5</v>
      </c>
      <c r="CF997">
        <v>5.5</v>
      </c>
      <c r="CG997" s="1" t="s">
        <v>253</v>
      </c>
      <c r="CH997">
        <v>7</v>
      </c>
      <c r="CI997" s="1" t="s">
        <v>169</v>
      </c>
      <c r="CJ997">
        <v>2</v>
      </c>
      <c r="CK997" s="1" t="s">
        <v>159</v>
      </c>
      <c r="CL997" s="1" t="s">
        <v>322</v>
      </c>
      <c r="CM997" s="1" t="s">
        <v>364</v>
      </c>
      <c r="CN997" s="1" t="s">
        <v>2147</v>
      </c>
      <c r="CO997" s="1" t="s">
        <v>268</v>
      </c>
      <c r="CP997">
        <v>87.8</v>
      </c>
      <c r="CQ997" s="1" t="s">
        <v>5357</v>
      </c>
      <c r="CR997" s="1" t="s">
        <v>8300</v>
      </c>
      <c r="CS997" s="1" t="s">
        <v>4566</v>
      </c>
      <c r="CT997">
        <v>1730.8</v>
      </c>
      <c r="CU997">
        <v>1616</v>
      </c>
      <c r="CV997">
        <v>1553</v>
      </c>
      <c r="CW997">
        <v>97.15</v>
      </c>
      <c r="CX997">
        <v>93.3</v>
      </c>
      <c r="CY997">
        <v>85.2</v>
      </c>
      <c r="CZ997" s="1" t="s">
        <v>364</v>
      </c>
      <c r="DA997">
        <v>1</v>
      </c>
      <c r="DB997" t="s">
        <v>5826</v>
      </c>
      <c r="DC997">
        <v>101</v>
      </c>
      <c r="DD997" s="1" t="s">
        <v>8301</v>
      </c>
      <c r="DE997" s="1" t="s">
        <v>8302</v>
      </c>
      <c r="DF997" t="e">
        <f>_xlfn.XLOOKUP(Table1[[#This Row],[Player ID]],Table2[feed_id],Table2[trade_status])</f>
        <v>#N/A</v>
      </c>
      <c r="DG997">
        <f>_xlfn.NUMBERVALUE(Table1[[#This Row],[predicted]])</f>
        <v>95.636981944496299</v>
      </c>
    </row>
    <row r="998" spans="1:111" hidden="1" x14ac:dyDescent="0.25">
      <c r="A998">
        <v>132923</v>
      </c>
      <c r="B998">
        <v>9245</v>
      </c>
      <c r="C998" t="s">
        <v>8180</v>
      </c>
      <c r="D998" t="s">
        <v>3116</v>
      </c>
      <c r="E998">
        <v>2025</v>
      </c>
      <c r="F998">
        <v>297354</v>
      </c>
      <c r="G998" t="s">
        <v>8303</v>
      </c>
      <c r="H998" t="s">
        <v>8304</v>
      </c>
      <c r="I998" t="s">
        <v>391</v>
      </c>
      <c r="J998">
        <v>15</v>
      </c>
      <c r="K998">
        <v>88</v>
      </c>
      <c r="L998">
        <v>79</v>
      </c>
      <c r="M998">
        <v>46</v>
      </c>
      <c r="N998">
        <v>62</v>
      </c>
      <c r="O998">
        <v>87</v>
      </c>
      <c r="P998">
        <v>18</v>
      </c>
      <c r="Q998">
        <v>3</v>
      </c>
      <c r="R998">
        <v>4</v>
      </c>
      <c r="S998">
        <v>4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113</v>
      </c>
      <c r="Z998" t="s">
        <v>226</v>
      </c>
      <c r="AA998" t="s">
        <v>7353</v>
      </c>
      <c r="AE998">
        <v>0</v>
      </c>
      <c r="AH998" t="s">
        <v>118</v>
      </c>
      <c r="AI998">
        <v>10</v>
      </c>
      <c r="AJ998">
        <v>6</v>
      </c>
      <c r="AK998">
        <v>50.5</v>
      </c>
      <c r="AL998">
        <v>0</v>
      </c>
      <c r="AM998">
        <v>0</v>
      </c>
      <c r="AN998">
        <v>2.8</v>
      </c>
      <c r="AO998">
        <v>4.76</v>
      </c>
      <c r="AS998">
        <v>1</v>
      </c>
      <c r="AT998">
        <v>0</v>
      </c>
      <c r="AU998">
        <v>3</v>
      </c>
      <c r="AV998">
        <v>85</v>
      </c>
      <c r="AW998">
        <v>86</v>
      </c>
      <c r="AX998">
        <v>616</v>
      </c>
      <c r="AY998">
        <v>0</v>
      </c>
      <c r="AZ998" t="b">
        <v>0</v>
      </c>
      <c r="BA998">
        <v>1799</v>
      </c>
      <c r="BB998">
        <v>1477</v>
      </c>
      <c r="BC998">
        <v>6</v>
      </c>
      <c r="BD998" t="s">
        <v>8277</v>
      </c>
      <c r="BE998" s="1" t="s">
        <v>3594</v>
      </c>
      <c r="BF998">
        <v>0</v>
      </c>
      <c r="BG998">
        <v>71</v>
      </c>
      <c r="BH998">
        <v>1</v>
      </c>
      <c r="BI998" s="1" t="s">
        <v>622</v>
      </c>
      <c r="BJ998" s="1" t="s">
        <v>4883</v>
      </c>
      <c r="BK998" s="1" t="s">
        <v>204</v>
      </c>
      <c r="BL998" s="1" t="s">
        <v>260</v>
      </c>
      <c r="BM998" s="1" t="s">
        <v>169</v>
      </c>
      <c r="BN998" s="1" t="s">
        <v>781</v>
      </c>
      <c r="BO998" s="1" t="s">
        <v>138</v>
      </c>
      <c r="BP998">
        <v>2.2000000000000002</v>
      </c>
      <c r="BQ998">
        <v>0</v>
      </c>
      <c r="BR998">
        <v>0</v>
      </c>
      <c r="BS998">
        <v>1</v>
      </c>
      <c r="BT998">
        <v>0.8</v>
      </c>
      <c r="BU998">
        <v>0</v>
      </c>
      <c r="BV998">
        <v>0.4</v>
      </c>
      <c r="BW998">
        <v>0</v>
      </c>
      <c r="BX998" s="1" t="s">
        <v>213</v>
      </c>
      <c r="BY998">
        <v>0</v>
      </c>
      <c r="BZ998">
        <v>0.2</v>
      </c>
      <c r="CA998">
        <v>0</v>
      </c>
      <c r="CB998">
        <v>0</v>
      </c>
      <c r="CC998">
        <v>2.8</v>
      </c>
      <c r="CD998">
        <v>2.8</v>
      </c>
      <c r="CE998">
        <v>4.76</v>
      </c>
      <c r="CF998">
        <v>4.76</v>
      </c>
      <c r="CG998" s="1" t="s">
        <v>211</v>
      </c>
      <c r="CH998">
        <v>3.8</v>
      </c>
      <c r="CI998">
        <v>1</v>
      </c>
      <c r="CJ998" s="1" t="s">
        <v>126</v>
      </c>
      <c r="CK998" s="1" t="s">
        <v>159</v>
      </c>
      <c r="CL998">
        <v>2.4</v>
      </c>
      <c r="CM998">
        <v>81</v>
      </c>
      <c r="CN998">
        <v>80.400000000000006</v>
      </c>
      <c r="CO998" s="1" t="s">
        <v>239</v>
      </c>
      <c r="CP998" s="1" t="s">
        <v>1642</v>
      </c>
      <c r="CQ998" s="1" t="s">
        <v>5115</v>
      </c>
      <c r="CR998" s="1" t="s">
        <v>8305</v>
      </c>
      <c r="CS998" s="1" t="s">
        <v>4566</v>
      </c>
      <c r="CT998">
        <v>1730.8</v>
      </c>
      <c r="CU998">
        <v>1616</v>
      </c>
      <c r="CV998">
        <v>1553</v>
      </c>
      <c r="CW998">
        <v>92.8</v>
      </c>
      <c r="CX998">
        <v>96.2</v>
      </c>
      <c r="CY998">
        <v>97.2</v>
      </c>
      <c r="CZ998">
        <v>88</v>
      </c>
      <c r="DA998">
        <v>1</v>
      </c>
      <c r="DB998" t="s">
        <v>226</v>
      </c>
      <c r="DC998">
        <v>79</v>
      </c>
      <c r="DD998" s="1" t="s">
        <v>8306</v>
      </c>
      <c r="DE998">
        <v>-31.1304401574215</v>
      </c>
      <c r="DF998" t="e">
        <f>_xlfn.XLOOKUP(Table1[[#This Row],[Player ID]],Table2[feed_id],Table2[trade_status])</f>
        <v>#N/A</v>
      </c>
      <c r="DG998">
        <f>_xlfn.NUMBERVALUE(Table1[[#This Row],[predicted]])</f>
        <v>110.13044015742101</v>
      </c>
    </row>
    <row r="999" spans="1:111" hidden="1" x14ac:dyDescent="0.25">
      <c r="A999">
        <v>132924</v>
      </c>
      <c r="B999">
        <v>9245</v>
      </c>
      <c r="C999" t="s">
        <v>8180</v>
      </c>
      <c r="D999" t="s">
        <v>3116</v>
      </c>
      <c r="E999">
        <v>2025</v>
      </c>
      <c r="F999">
        <v>1002222</v>
      </c>
      <c r="G999" t="s">
        <v>617</v>
      </c>
      <c r="H999" t="s">
        <v>8307</v>
      </c>
      <c r="I999" t="s">
        <v>391</v>
      </c>
      <c r="J999">
        <v>20</v>
      </c>
      <c r="K999">
        <v>85</v>
      </c>
      <c r="L999">
        <v>85</v>
      </c>
      <c r="M999">
        <v>67</v>
      </c>
      <c r="N999">
        <v>69</v>
      </c>
      <c r="O999">
        <v>97</v>
      </c>
      <c r="P999">
        <v>10</v>
      </c>
      <c r="Q999">
        <v>13</v>
      </c>
      <c r="R999">
        <v>2</v>
      </c>
      <c r="S999">
        <v>5</v>
      </c>
      <c r="T999">
        <v>0</v>
      </c>
      <c r="U999">
        <v>2</v>
      </c>
      <c r="V999">
        <v>2</v>
      </c>
      <c r="W999">
        <v>1</v>
      </c>
      <c r="X999">
        <v>1</v>
      </c>
      <c r="Y999" t="s">
        <v>113</v>
      </c>
      <c r="Z999" t="s">
        <v>778</v>
      </c>
      <c r="AA999" t="s">
        <v>8308</v>
      </c>
      <c r="AB999" t="s">
        <v>877</v>
      </c>
      <c r="AC999" t="s">
        <v>1814</v>
      </c>
      <c r="AE999">
        <v>0</v>
      </c>
      <c r="AH999" t="s">
        <v>118</v>
      </c>
      <c r="AI999">
        <v>5</v>
      </c>
      <c r="AJ999">
        <v>8</v>
      </c>
      <c r="AK999">
        <v>67.38</v>
      </c>
      <c r="AL999">
        <v>0</v>
      </c>
      <c r="AM999">
        <v>0</v>
      </c>
      <c r="AN999">
        <v>0.25</v>
      </c>
      <c r="AO999">
        <v>0.46</v>
      </c>
      <c r="AS999">
        <v>10</v>
      </c>
      <c r="AT999">
        <v>5</v>
      </c>
      <c r="AU999">
        <v>5</v>
      </c>
      <c r="AV999">
        <v>73</v>
      </c>
      <c r="AW999">
        <v>69</v>
      </c>
      <c r="AX999">
        <v>454</v>
      </c>
      <c r="AY999">
        <v>1</v>
      </c>
      <c r="AZ999" t="b">
        <v>1</v>
      </c>
      <c r="BA999">
        <v>1799</v>
      </c>
      <c r="BB999">
        <v>1477</v>
      </c>
      <c r="BC999">
        <v>6</v>
      </c>
      <c r="BD999" t="s">
        <v>8277</v>
      </c>
      <c r="BE999" s="1" t="s">
        <v>3594</v>
      </c>
      <c r="BF999">
        <v>0</v>
      </c>
      <c r="BG999">
        <v>71</v>
      </c>
      <c r="BH999">
        <v>1</v>
      </c>
      <c r="BI999" s="1" t="s">
        <v>294</v>
      </c>
      <c r="BJ999">
        <v>11</v>
      </c>
      <c r="BK999">
        <v>8</v>
      </c>
      <c r="BL999">
        <v>10.6</v>
      </c>
      <c r="BM999">
        <v>2</v>
      </c>
      <c r="BN999" s="1" t="s">
        <v>170</v>
      </c>
      <c r="BO999">
        <v>5</v>
      </c>
      <c r="BP999">
        <v>4.4000000000000004</v>
      </c>
      <c r="BQ999">
        <v>0</v>
      </c>
      <c r="BR999">
        <v>0</v>
      </c>
      <c r="BS999" s="1" t="s">
        <v>126</v>
      </c>
      <c r="BT999">
        <v>0.6</v>
      </c>
      <c r="BU999">
        <v>2</v>
      </c>
      <c r="BV999" s="1" t="s">
        <v>126</v>
      </c>
      <c r="BW999" s="1" t="s">
        <v>129</v>
      </c>
      <c r="BX999" s="1" t="s">
        <v>129</v>
      </c>
      <c r="BY999">
        <v>1</v>
      </c>
      <c r="BZ999" s="1" t="s">
        <v>128</v>
      </c>
      <c r="CA999">
        <v>0</v>
      </c>
      <c r="CB999">
        <v>0</v>
      </c>
      <c r="CC999">
        <v>0.25</v>
      </c>
      <c r="CD999">
        <v>0.25</v>
      </c>
      <c r="CE999">
        <v>0.46</v>
      </c>
      <c r="CF999">
        <v>0.46</v>
      </c>
      <c r="CG999" s="1" t="s">
        <v>183</v>
      </c>
      <c r="CH999" s="1" t="s">
        <v>1426</v>
      </c>
      <c r="CI999" s="1" t="s">
        <v>449</v>
      </c>
      <c r="CJ999" s="1" t="s">
        <v>752</v>
      </c>
      <c r="CK999" s="1" t="s">
        <v>160</v>
      </c>
      <c r="CL999">
        <v>3.8</v>
      </c>
      <c r="CM999">
        <v>56</v>
      </c>
      <c r="CN999">
        <v>62.8</v>
      </c>
      <c r="CO999" s="1" t="s">
        <v>333</v>
      </c>
      <c r="CP999">
        <v>72.8</v>
      </c>
      <c r="CQ999" s="1" t="s">
        <v>7244</v>
      </c>
      <c r="CR999">
        <v>348</v>
      </c>
      <c r="CS999" s="1" t="s">
        <v>2838</v>
      </c>
      <c r="CT999">
        <v>1737.6</v>
      </c>
      <c r="CU999">
        <v>1666</v>
      </c>
      <c r="CV999">
        <v>1549.4</v>
      </c>
      <c r="CW999">
        <v>82.75</v>
      </c>
      <c r="CX999">
        <v>75.7</v>
      </c>
      <c r="CY999">
        <v>70.2</v>
      </c>
      <c r="CZ999">
        <v>66</v>
      </c>
      <c r="DA999">
        <v>1</v>
      </c>
      <c r="DB999" t="s">
        <v>778</v>
      </c>
      <c r="DC999">
        <v>85</v>
      </c>
      <c r="DD999" s="1" t="s">
        <v>8309</v>
      </c>
      <c r="DE999">
        <v>-3.68763152449527</v>
      </c>
      <c r="DF999" t="e">
        <f>_xlfn.XLOOKUP(Table1[[#This Row],[Player ID]],Table2[feed_id],Table2[trade_status])</f>
        <v>#N/A</v>
      </c>
      <c r="DG999">
        <f>_xlfn.NUMBERVALUE(Table1[[#This Row],[predicted]])</f>
        <v>88.687631524495202</v>
      </c>
    </row>
    <row r="1000" spans="1:111" x14ac:dyDescent="0.25">
      <c r="A1000">
        <v>132877</v>
      </c>
      <c r="B1000">
        <v>9244</v>
      </c>
      <c r="C1000" t="s">
        <v>7983</v>
      </c>
      <c r="D1000" t="s">
        <v>3116</v>
      </c>
      <c r="E1000">
        <v>2025</v>
      </c>
      <c r="F1000">
        <v>1004530</v>
      </c>
      <c r="G1000" t="s">
        <v>3830</v>
      </c>
      <c r="H1000" t="s">
        <v>8105</v>
      </c>
      <c r="I1000" t="s">
        <v>1089</v>
      </c>
      <c r="J1000">
        <v>25</v>
      </c>
      <c r="K1000">
        <v>97</v>
      </c>
      <c r="L1000">
        <v>97</v>
      </c>
      <c r="M1000">
        <v>71</v>
      </c>
      <c r="N1000">
        <v>75</v>
      </c>
      <c r="O1000">
        <v>99</v>
      </c>
      <c r="P1000">
        <v>14</v>
      </c>
      <c r="Q1000">
        <v>6</v>
      </c>
      <c r="R1000">
        <v>6</v>
      </c>
      <c r="S1000">
        <v>5</v>
      </c>
      <c r="T1000">
        <v>0</v>
      </c>
      <c r="U1000">
        <v>2</v>
      </c>
      <c r="V1000">
        <v>1</v>
      </c>
      <c r="W1000">
        <v>1</v>
      </c>
      <c r="X1000">
        <v>0</v>
      </c>
      <c r="Y1000" t="s">
        <v>113</v>
      </c>
      <c r="Z1000" t="s">
        <v>6496</v>
      </c>
      <c r="AA1000" t="s">
        <v>8106</v>
      </c>
      <c r="AB1000" t="s">
        <v>525</v>
      </c>
      <c r="AC1000" t="s">
        <v>8107</v>
      </c>
      <c r="AH1000" t="s">
        <v>118</v>
      </c>
      <c r="AI1000">
        <v>10</v>
      </c>
      <c r="AJ1000">
        <v>0</v>
      </c>
      <c r="AK1000">
        <v>0</v>
      </c>
      <c r="AL1000">
        <v>0</v>
      </c>
      <c r="AM1000">
        <v>1.1100000000000001</v>
      </c>
      <c r="AN1000">
        <v>4.0599999999999996</v>
      </c>
      <c r="AO1000">
        <v>0.11</v>
      </c>
      <c r="AS1000">
        <v>6</v>
      </c>
      <c r="AT1000">
        <v>1</v>
      </c>
      <c r="AU1000">
        <v>3</v>
      </c>
      <c r="AV1000">
        <v>70</v>
      </c>
      <c r="AW1000">
        <v>80</v>
      </c>
      <c r="AX1000">
        <v>478</v>
      </c>
      <c r="AY1000">
        <v>0</v>
      </c>
      <c r="AZ1000" t="b">
        <v>0</v>
      </c>
      <c r="BA1000">
        <v>1473</v>
      </c>
      <c r="BB1000">
        <v>1816</v>
      </c>
      <c r="BC1000">
        <v>6</v>
      </c>
      <c r="BD1000" t="s">
        <v>8080</v>
      </c>
      <c r="BE1000" s="1" t="s">
        <v>3594</v>
      </c>
      <c r="BF1000">
        <v>0</v>
      </c>
      <c r="BG1000">
        <v>71</v>
      </c>
      <c r="BH1000">
        <v>1</v>
      </c>
      <c r="BI1000" s="1" t="s">
        <v>137</v>
      </c>
      <c r="BJ1000">
        <v>8.8000000000000007</v>
      </c>
      <c r="BK1000" s="1" t="s">
        <v>449</v>
      </c>
      <c r="BL1000">
        <v>5.6</v>
      </c>
      <c r="BM1000" s="1" t="s">
        <v>138</v>
      </c>
      <c r="BN1000" s="1" t="s">
        <v>431</v>
      </c>
      <c r="BO1000" s="1" t="s">
        <v>159</v>
      </c>
      <c r="BP1000" s="1" t="s">
        <v>375</v>
      </c>
      <c r="BQ1000">
        <v>0</v>
      </c>
      <c r="BR1000">
        <v>0</v>
      </c>
      <c r="BS1000" s="1" t="s">
        <v>128</v>
      </c>
      <c r="BT1000" s="1" t="s">
        <v>162</v>
      </c>
      <c r="BU1000" s="1" t="s">
        <v>128</v>
      </c>
      <c r="BV1000" s="1" t="s">
        <v>238</v>
      </c>
      <c r="BW1000" s="1" t="s">
        <v>129</v>
      </c>
      <c r="BX1000" s="1" t="s">
        <v>213</v>
      </c>
      <c r="BY1000">
        <v>0</v>
      </c>
      <c r="BZ1000" s="1" t="s">
        <v>213</v>
      </c>
      <c r="CA1000">
        <v>1.1100000000000001</v>
      </c>
      <c r="CB1000">
        <v>1.1100000000000001</v>
      </c>
      <c r="CC1000">
        <v>4.0599999999999996</v>
      </c>
      <c r="CD1000">
        <v>4.0599999999999996</v>
      </c>
      <c r="CE1000">
        <v>0.11</v>
      </c>
      <c r="CF1000">
        <v>0.11</v>
      </c>
      <c r="CG1000" s="1" t="s">
        <v>138</v>
      </c>
      <c r="CH1000" s="1" t="s">
        <v>436</v>
      </c>
      <c r="CI1000">
        <v>1</v>
      </c>
      <c r="CJ1000">
        <v>1</v>
      </c>
      <c r="CK1000">
        <v>2</v>
      </c>
      <c r="CL1000">
        <v>2.4</v>
      </c>
      <c r="CM1000" s="1" t="s">
        <v>787</v>
      </c>
      <c r="CN1000" s="1" t="s">
        <v>1354</v>
      </c>
      <c r="CO1000" s="1" t="s">
        <v>1166</v>
      </c>
      <c r="CP1000" s="1" t="s">
        <v>684</v>
      </c>
      <c r="CQ1000" s="1" t="s">
        <v>5780</v>
      </c>
      <c r="CR1000" s="1" t="s">
        <v>8108</v>
      </c>
      <c r="CS1000" s="1" t="s">
        <v>8082</v>
      </c>
      <c r="CT1000" s="1" t="s">
        <v>8109</v>
      </c>
      <c r="CU1000" s="1" t="s">
        <v>8083</v>
      </c>
      <c r="CV1000" s="1" t="s">
        <v>2583</v>
      </c>
      <c r="CW1000">
        <v>52.9</v>
      </c>
      <c r="CX1000">
        <v>57.2</v>
      </c>
      <c r="CY1000">
        <v>61.6</v>
      </c>
      <c r="CZ1000" s="1" t="s">
        <v>971</v>
      </c>
      <c r="DA1000">
        <v>1</v>
      </c>
      <c r="DB1000" t="s">
        <v>6496</v>
      </c>
      <c r="DC1000">
        <v>97</v>
      </c>
      <c r="DD1000" s="1" t="s">
        <v>8110</v>
      </c>
      <c r="DE1000" s="1" t="s">
        <v>8111</v>
      </c>
      <c r="DF1000" t="str">
        <f>_xlfn.XLOOKUP(Table1[[#This Row],[Player ID]],Table2[feed_id],Table2[trade_status])</f>
        <v>free_agent</v>
      </c>
      <c r="DG1000">
        <f>_xlfn.NUMBERVALUE(Table1[[#This Row],[predicted]])</f>
        <v>50.8733048832908</v>
      </c>
    </row>
    <row r="1001" spans="1:111" hidden="1" x14ac:dyDescent="0.25">
      <c r="A1001">
        <v>132926</v>
      </c>
      <c r="B1001">
        <v>9245</v>
      </c>
      <c r="C1001" t="s">
        <v>8180</v>
      </c>
      <c r="D1001" t="s">
        <v>3116</v>
      </c>
      <c r="E1001">
        <v>2025</v>
      </c>
      <c r="F1001">
        <v>1005144</v>
      </c>
      <c r="G1001" t="s">
        <v>8315</v>
      </c>
      <c r="H1001" t="s">
        <v>8316</v>
      </c>
      <c r="I1001" t="s">
        <v>391</v>
      </c>
      <c r="J1001">
        <v>8</v>
      </c>
      <c r="K1001">
        <v>66</v>
      </c>
      <c r="L1001">
        <v>53</v>
      </c>
      <c r="M1001">
        <v>39</v>
      </c>
      <c r="N1001">
        <v>53</v>
      </c>
      <c r="O1001">
        <v>73</v>
      </c>
      <c r="P1001">
        <v>11</v>
      </c>
      <c r="Q1001">
        <v>8</v>
      </c>
      <c r="R1001">
        <v>4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1</v>
      </c>
      <c r="Y1001" t="s">
        <v>113</v>
      </c>
      <c r="Z1001" t="s">
        <v>525</v>
      </c>
      <c r="AA1001" t="s">
        <v>8317</v>
      </c>
      <c r="AH1001" t="s">
        <v>181</v>
      </c>
      <c r="AI1001">
        <v>16</v>
      </c>
      <c r="AJ1001">
        <v>0</v>
      </c>
      <c r="AK1001">
        <v>0</v>
      </c>
      <c r="AL1001">
        <v>0</v>
      </c>
      <c r="AM1001">
        <v>1.1100000000000001</v>
      </c>
      <c r="AN1001">
        <v>2.1</v>
      </c>
      <c r="AO1001">
        <v>0.76</v>
      </c>
      <c r="AS1001">
        <v>6</v>
      </c>
      <c r="AT1001">
        <v>2</v>
      </c>
      <c r="AU1001">
        <v>2</v>
      </c>
      <c r="AV1001">
        <v>52</v>
      </c>
      <c r="AW1001">
        <v>85</v>
      </c>
      <c r="AX1001">
        <v>328</v>
      </c>
      <c r="AY1001">
        <v>0</v>
      </c>
      <c r="AZ1001" t="b">
        <v>0</v>
      </c>
      <c r="BA1001">
        <v>1799</v>
      </c>
      <c r="BB1001">
        <v>1477</v>
      </c>
      <c r="BC1001">
        <v>6</v>
      </c>
      <c r="BD1001" t="s">
        <v>8277</v>
      </c>
      <c r="BE1001" s="1" t="s">
        <v>3594</v>
      </c>
      <c r="BF1001">
        <v>0</v>
      </c>
      <c r="BG1001">
        <v>71</v>
      </c>
      <c r="BH1001">
        <v>0</v>
      </c>
      <c r="BI1001" s="1" t="s">
        <v>276</v>
      </c>
      <c r="BJ1001">
        <v>12.4</v>
      </c>
      <c r="BK1001" s="1" t="s">
        <v>253</v>
      </c>
      <c r="BL1001">
        <v>8</v>
      </c>
      <c r="BM1001" s="1" t="s">
        <v>160</v>
      </c>
      <c r="BN1001" s="1" t="s">
        <v>205</v>
      </c>
      <c r="BO1001" s="1" t="s">
        <v>159</v>
      </c>
      <c r="BP1001">
        <v>2.2000000000000002</v>
      </c>
      <c r="BQ1001">
        <v>0</v>
      </c>
      <c r="BR1001">
        <v>0</v>
      </c>
      <c r="BS1001">
        <v>1</v>
      </c>
      <c r="BT1001" s="1" t="s">
        <v>130</v>
      </c>
      <c r="BU1001">
        <v>0</v>
      </c>
      <c r="BV1001" s="1" t="s">
        <v>130</v>
      </c>
      <c r="BW1001">
        <v>0</v>
      </c>
      <c r="BX1001" s="1" t="s">
        <v>238</v>
      </c>
      <c r="BY1001" s="1" t="s">
        <v>129</v>
      </c>
      <c r="BZ1001" s="1" t="s">
        <v>184</v>
      </c>
      <c r="CA1001">
        <v>1.1100000000000001</v>
      </c>
      <c r="CB1001">
        <v>1.1100000000000001</v>
      </c>
      <c r="CC1001">
        <v>2.1</v>
      </c>
      <c r="CD1001">
        <v>2.1</v>
      </c>
      <c r="CE1001">
        <v>0.76</v>
      </c>
      <c r="CF1001">
        <v>0.76</v>
      </c>
      <c r="CG1001">
        <v>6</v>
      </c>
      <c r="CH1001" s="1" t="s">
        <v>397</v>
      </c>
      <c r="CI1001" s="1" t="s">
        <v>161</v>
      </c>
      <c r="CJ1001" s="1" t="s">
        <v>161</v>
      </c>
      <c r="CK1001" s="1" t="s">
        <v>126</v>
      </c>
      <c r="CL1001">
        <v>2.2000000000000002</v>
      </c>
      <c r="CM1001">
        <v>63</v>
      </c>
      <c r="CN1001">
        <v>74.8</v>
      </c>
      <c r="CO1001" s="1" t="s">
        <v>406</v>
      </c>
      <c r="CP1001" s="1" t="s">
        <v>1204</v>
      </c>
      <c r="CQ1001" s="1" t="s">
        <v>6429</v>
      </c>
      <c r="CR1001" s="1" t="s">
        <v>8318</v>
      </c>
      <c r="CS1001" s="1" t="s">
        <v>4566</v>
      </c>
      <c r="CT1001">
        <v>1730.8</v>
      </c>
      <c r="CU1001">
        <v>1616</v>
      </c>
      <c r="CV1001">
        <v>1553</v>
      </c>
      <c r="CW1001">
        <v>90</v>
      </c>
      <c r="CX1001">
        <v>90.7</v>
      </c>
      <c r="CY1001">
        <v>72.2</v>
      </c>
      <c r="CZ1001" s="1" t="s">
        <v>483</v>
      </c>
      <c r="DA1001">
        <v>1</v>
      </c>
      <c r="DB1001" t="s">
        <v>525</v>
      </c>
      <c r="DC1001">
        <v>53</v>
      </c>
      <c r="DD1001">
        <v>83.050543341741403</v>
      </c>
      <c r="DE1001">
        <v>-30.050543341741399</v>
      </c>
      <c r="DF1001" t="e">
        <f>_xlfn.XLOOKUP(Table1[[#This Row],[Player ID]],Table2[feed_id],Table2[trade_status])</f>
        <v>#N/A</v>
      </c>
      <c r="DG1001">
        <f>_xlfn.NUMBERVALUE(Table1[[#This Row],[predicted]])</f>
        <v>83.050543341741403</v>
      </c>
    </row>
    <row r="1002" spans="1:111" x14ac:dyDescent="0.25">
      <c r="A1002">
        <v>132916</v>
      </c>
      <c r="B1002">
        <v>9245</v>
      </c>
      <c r="C1002" t="s">
        <v>8180</v>
      </c>
      <c r="D1002" t="s">
        <v>3116</v>
      </c>
      <c r="E1002">
        <v>2025</v>
      </c>
      <c r="F1002">
        <v>1002220</v>
      </c>
      <c r="G1002" t="s">
        <v>8268</v>
      </c>
      <c r="H1002" t="s">
        <v>8269</v>
      </c>
      <c r="I1002" t="s">
        <v>425</v>
      </c>
      <c r="J1002">
        <v>3</v>
      </c>
      <c r="K1002">
        <v>37</v>
      </c>
      <c r="L1002">
        <v>64</v>
      </c>
      <c r="M1002">
        <v>49</v>
      </c>
      <c r="N1002">
        <v>34</v>
      </c>
      <c r="O1002">
        <v>45</v>
      </c>
      <c r="P1002">
        <v>5</v>
      </c>
      <c r="Q1002">
        <v>4</v>
      </c>
      <c r="R1002">
        <v>5</v>
      </c>
      <c r="S1002">
        <v>1</v>
      </c>
      <c r="T1002">
        <v>0</v>
      </c>
      <c r="U1002">
        <v>1</v>
      </c>
      <c r="V1002">
        <v>2</v>
      </c>
      <c r="W1002">
        <v>0</v>
      </c>
      <c r="X1002">
        <v>0</v>
      </c>
      <c r="Y1002" t="s">
        <v>113</v>
      </c>
      <c r="Z1002" t="s">
        <v>179</v>
      </c>
      <c r="AA1002" t="s">
        <v>8270</v>
      </c>
      <c r="AE1002">
        <v>0</v>
      </c>
      <c r="AH1002" t="s">
        <v>274</v>
      </c>
      <c r="AI1002">
        <v>27</v>
      </c>
      <c r="AJ1002">
        <v>8</v>
      </c>
      <c r="AK1002">
        <v>49.25</v>
      </c>
      <c r="AL1002">
        <v>0</v>
      </c>
      <c r="AM1002">
        <v>0</v>
      </c>
      <c r="AN1002">
        <v>1.05</v>
      </c>
      <c r="AO1002">
        <v>2.35</v>
      </c>
      <c r="AS1002">
        <v>5</v>
      </c>
      <c r="AT1002">
        <v>1</v>
      </c>
      <c r="AU1002">
        <v>2</v>
      </c>
      <c r="AV1002">
        <v>88</v>
      </c>
      <c r="AW1002">
        <v>100</v>
      </c>
      <c r="AX1002">
        <v>159</v>
      </c>
      <c r="AY1002">
        <v>0</v>
      </c>
      <c r="AZ1002" t="b">
        <v>0</v>
      </c>
      <c r="BA1002">
        <v>1477</v>
      </c>
      <c r="BB1002">
        <v>1799</v>
      </c>
      <c r="BC1002">
        <v>6</v>
      </c>
      <c r="BD1002" t="s">
        <v>8182</v>
      </c>
      <c r="BE1002" s="1" t="s">
        <v>3594</v>
      </c>
      <c r="BF1002">
        <v>0</v>
      </c>
      <c r="BG1002">
        <v>71</v>
      </c>
      <c r="BH1002">
        <v>0</v>
      </c>
      <c r="BI1002" s="1" t="s">
        <v>204</v>
      </c>
      <c r="BJ1002" s="1" t="s">
        <v>416</v>
      </c>
      <c r="BK1002" s="1" t="s">
        <v>138</v>
      </c>
      <c r="BL1002" s="1" t="s">
        <v>125</v>
      </c>
      <c r="BM1002">
        <v>6</v>
      </c>
      <c r="BN1002">
        <v>4.2</v>
      </c>
      <c r="BO1002" s="1" t="s">
        <v>128</v>
      </c>
      <c r="BP1002" s="1" t="s">
        <v>275</v>
      </c>
      <c r="BQ1002">
        <v>0</v>
      </c>
      <c r="BR1002" s="1" t="s">
        <v>184</v>
      </c>
      <c r="BS1002" s="1" t="s">
        <v>128</v>
      </c>
      <c r="BT1002">
        <v>0.8</v>
      </c>
      <c r="BU1002" s="1" t="s">
        <v>126</v>
      </c>
      <c r="BV1002">
        <v>1.2</v>
      </c>
      <c r="BW1002">
        <v>0</v>
      </c>
      <c r="BX1002" s="1" t="s">
        <v>184</v>
      </c>
      <c r="BY1002">
        <v>0</v>
      </c>
      <c r="BZ1002">
        <v>0.4</v>
      </c>
      <c r="CA1002">
        <v>0</v>
      </c>
      <c r="CB1002">
        <v>0</v>
      </c>
      <c r="CC1002">
        <v>1.05</v>
      </c>
      <c r="CD1002">
        <v>1.05</v>
      </c>
      <c r="CE1002">
        <v>2.35</v>
      </c>
      <c r="CF1002">
        <v>2.35</v>
      </c>
      <c r="CG1002">
        <v>4</v>
      </c>
      <c r="CH1002" s="1" t="s">
        <v>160</v>
      </c>
      <c r="CI1002" s="1" t="s">
        <v>129</v>
      </c>
      <c r="CJ1002" s="1" t="s">
        <v>129</v>
      </c>
      <c r="CK1002">
        <v>2</v>
      </c>
      <c r="CL1002" s="1" t="s">
        <v>159</v>
      </c>
      <c r="CM1002" s="1" t="s">
        <v>241</v>
      </c>
      <c r="CN1002" s="1" t="s">
        <v>2914</v>
      </c>
      <c r="CO1002" s="1" t="s">
        <v>217</v>
      </c>
      <c r="CP1002">
        <v>90</v>
      </c>
      <c r="CQ1002" s="1" t="s">
        <v>3356</v>
      </c>
      <c r="CR1002" s="1" t="s">
        <v>8271</v>
      </c>
      <c r="CS1002" s="1" t="s">
        <v>3934</v>
      </c>
      <c r="CT1002" s="1" t="s">
        <v>143</v>
      </c>
      <c r="CU1002" s="1" t="s">
        <v>1533</v>
      </c>
      <c r="CV1002" s="1" t="s">
        <v>7764</v>
      </c>
      <c r="CW1002">
        <v>56.9</v>
      </c>
      <c r="CX1002">
        <v>51.8</v>
      </c>
      <c r="CY1002">
        <v>57.4</v>
      </c>
      <c r="CZ1002" s="1" t="s">
        <v>1166</v>
      </c>
      <c r="DA1002">
        <v>1</v>
      </c>
      <c r="DB1002" t="s">
        <v>179</v>
      </c>
      <c r="DC1002">
        <v>64</v>
      </c>
      <c r="DD1002" s="1" t="s">
        <v>8272</v>
      </c>
      <c r="DE1002" s="1" t="s">
        <v>8273</v>
      </c>
      <c r="DF1002" t="str">
        <f>_xlfn.XLOOKUP(Table1[[#This Row],[Player ID]],Table2[feed_id],Table2[trade_status])</f>
        <v>free_agent</v>
      </c>
      <c r="DG1002">
        <f>_xlfn.NUMBERVALUE(Table1[[#This Row],[predicted]])</f>
        <v>50.568190653935197</v>
      </c>
    </row>
    <row r="1003" spans="1:111" x14ac:dyDescent="0.25">
      <c r="A1003">
        <v>132790</v>
      </c>
      <c r="B1003">
        <v>9242</v>
      </c>
      <c r="C1003" t="s">
        <v>7597</v>
      </c>
      <c r="D1003" t="s">
        <v>3116</v>
      </c>
      <c r="E1003">
        <v>2025</v>
      </c>
      <c r="F1003">
        <v>1013201</v>
      </c>
      <c r="G1003" t="s">
        <v>6357</v>
      </c>
      <c r="H1003" t="s">
        <v>7741</v>
      </c>
      <c r="I1003" t="s">
        <v>619</v>
      </c>
      <c r="J1003">
        <v>26</v>
      </c>
      <c r="K1003">
        <v>96</v>
      </c>
      <c r="L1003">
        <v>92</v>
      </c>
      <c r="M1003">
        <v>67</v>
      </c>
      <c r="N1003">
        <v>81</v>
      </c>
      <c r="O1003">
        <v>96</v>
      </c>
      <c r="P1003">
        <v>13</v>
      </c>
      <c r="Q1003">
        <v>2</v>
      </c>
      <c r="R1003">
        <v>8</v>
      </c>
      <c r="S1003">
        <v>1</v>
      </c>
      <c r="T1003">
        <v>0</v>
      </c>
      <c r="U1003">
        <v>1</v>
      </c>
      <c r="V1003">
        <v>0</v>
      </c>
      <c r="W1003">
        <v>4</v>
      </c>
      <c r="X1003">
        <v>0</v>
      </c>
      <c r="Y1003" t="s">
        <v>113</v>
      </c>
      <c r="Z1003" t="s">
        <v>6775</v>
      </c>
      <c r="AA1003" t="s">
        <v>7742</v>
      </c>
      <c r="AB1003" t="s">
        <v>861</v>
      </c>
      <c r="AC1003" t="s">
        <v>862</v>
      </c>
      <c r="AH1003" t="s">
        <v>155</v>
      </c>
      <c r="AI1003">
        <v>29</v>
      </c>
      <c r="AJ1003">
        <v>0</v>
      </c>
      <c r="AK1003">
        <v>0</v>
      </c>
      <c r="AL1003">
        <v>0</v>
      </c>
      <c r="AM1003">
        <v>0.31</v>
      </c>
      <c r="AN1003">
        <v>0.2</v>
      </c>
      <c r="AO1003">
        <v>0.2</v>
      </c>
      <c r="AS1003">
        <v>5</v>
      </c>
      <c r="AT1003">
        <v>0</v>
      </c>
      <c r="AU1003">
        <v>3</v>
      </c>
      <c r="AV1003">
        <v>60</v>
      </c>
      <c r="AW1003">
        <v>66</v>
      </c>
      <c r="AX1003">
        <v>353</v>
      </c>
      <c r="AY1003">
        <v>0</v>
      </c>
      <c r="AZ1003" t="b">
        <v>0</v>
      </c>
      <c r="BA1003">
        <v>1522</v>
      </c>
      <c r="BB1003">
        <v>1764</v>
      </c>
      <c r="BC1003">
        <v>6</v>
      </c>
      <c r="BD1003" t="s">
        <v>7708</v>
      </c>
      <c r="BE1003" s="1" t="s">
        <v>3594</v>
      </c>
      <c r="BF1003">
        <v>0</v>
      </c>
      <c r="BG1003">
        <v>71</v>
      </c>
      <c r="BH1003">
        <v>1</v>
      </c>
      <c r="BI1003" s="1" t="s">
        <v>204</v>
      </c>
      <c r="BJ1003" s="1" t="s">
        <v>1092</v>
      </c>
      <c r="BK1003" s="1" t="s">
        <v>169</v>
      </c>
      <c r="BL1003">
        <v>4</v>
      </c>
      <c r="BM1003">
        <v>4</v>
      </c>
      <c r="BN1003" s="1" t="s">
        <v>431</v>
      </c>
      <c r="BO1003">
        <v>1</v>
      </c>
      <c r="BP1003" s="1" t="s">
        <v>327</v>
      </c>
      <c r="BQ1003">
        <v>0</v>
      </c>
      <c r="BR1003">
        <v>0</v>
      </c>
      <c r="BS1003" s="1" t="s">
        <v>129</v>
      </c>
      <c r="BT1003" s="1" t="s">
        <v>184</v>
      </c>
      <c r="BU1003" s="1" t="s">
        <v>128</v>
      </c>
      <c r="BV1003" s="1" t="s">
        <v>129</v>
      </c>
      <c r="BW1003" s="1" t="s">
        <v>161</v>
      </c>
      <c r="BX1003" s="1" t="s">
        <v>238</v>
      </c>
      <c r="BY1003" s="1" t="s">
        <v>128</v>
      </c>
      <c r="BZ1003">
        <v>0.4</v>
      </c>
      <c r="CA1003">
        <v>0.31</v>
      </c>
      <c r="CB1003">
        <v>0.31</v>
      </c>
      <c r="CC1003">
        <v>0.2</v>
      </c>
      <c r="CD1003">
        <v>0.2</v>
      </c>
      <c r="CE1003">
        <v>0.2</v>
      </c>
      <c r="CF1003">
        <v>0.2</v>
      </c>
      <c r="CG1003" s="1" t="s">
        <v>169</v>
      </c>
      <c r="CH1003" s="1" t="s">
        <v>640</v>
      </c>
      <c r="CI1003">
        <v>0</v>
      </c>
      <c r="CJ1003" s="1" t="s">
        <v>213</v>
      </c>
      <c r="CK1003" s="1" t="s">
        <v>161</v>
      </c>
      <c r="CL1003">
        <v>2</v>
      </c>
      <c r="CM1003" s="1" t="s">
        <v>1857</v>
      </c>
      <c r="CN1003" s="1" t="s">
        <v>7743</v>
      </c>
      <c r="CO1003" s="1" t="s">
        <v>1524</v>
      </c>
      <c r="CP1003">
        <v>61.4</v>
      </c>
      <c r="CQ1003" s="1" t="s">
        <v>7744</v>
      </c>
      <c r="CR1003" s="1" t="s">
        <v>7745</v>
      </c>
      <c r="CS1003" s="1" t="s">
        <v>144</v>
      </c>
      <c r="CT1003" s="1" t="s">
        <v>7746</v>
      </c>
      <c r="CU1003" s="1" t="s">
        <v>4416</v>
      </c>
      <c r="CV1003" s="1" t="s">
        <v>7747</v>
      </c>
      <c r="CW1003">
        <v>42</v>
      </c>
      <c r="CX1003">
        <v>33.4</v>
      </c>
      <c r="CY1003">
        <v>39</v>
      </c>
      <c r="CZ1003">
        <v>53</v>
      </c>
      <c r="DA1003">
        <v>1</v>
      </c>
      <c r="DB1003" t="s">
        <v>6775</v>
      </c>
      <c r="DC1003">
        <v>92</v>
      </c>
      <c r="DD1003" s="1" t="s">
        <v>7748</v>
      </c>
      <c r="DE1003" s="1" t="s">
        <v>7749</v>
      </c>
      <c r="DF1003" t="str">
        <f>_xlfn.XLOOKUP(Table1[[#This Row],[Player ID]],Table2[feed_id],Table2[trade_status])</f>
        <v>free_agent</v>
      </c>
      <c r="DG1003">
        <f>_xlfn.NUMBERVALUE(Table1[[#This Row],[predicted]])</f>
        <v>50.246962758774401</v>
      </c>
    </row>
    <row r="1004" spans="1:111" x14ac:dyDescent="0.25">
      <c r="A1004">
        <v>132813</v>
      </c>
      <c r="B1004">
        <v>9243</v>
      </c>
      <c r="C1004" t="s">
        <v>7798</v>
      </c>
      <c r="D1004" t="s">
        <v>3116</v>
      </c>
      <c r="E1004">
        <v>2025</v>
      </c>
      <c r="F1004">
        <v>294592</v>
      </c>
      <c r="G1004" t="s">
        <v>7841</v>
      </c>
      <c r="H1004" t="s">
        <v>7842</v>
      </c>
      <c r="I1004" t="s">
        <v>317</v>
      </c>
      <c r="J1004">
        <v>18</v>
      </c>
      <c r="K1004">
        <v>74</v>
      </c>
      <c r="L1004">
        <v>82</v>
      </c>
      <c r="M1004">
        <v>93</v>
      </c>
      <c r="N1004">
        <v>63</v>
      </c>
      <c r="O1004">
        <v>84</v>
      </c>
      <c r="P1004">
        <v>11</v>
      </c>
      <c r="Q1004">
        <v>8</v>
      </c>
      <c r="R1004">
        <v>6</v>
      </c>
      <c r="S1004">
        <v>1</v>
      </c>
      <c r="T1004">
        <v>0</v>
      </c>
      <c r="U1004">
        <v>0</v>
      </c>
      <c r="V1004">
        <v>1</v>
      </c>
      <c r="W1004">
        <v>1</v>
      </c>
      <c r="X1004">
        <v>0</v>
      </c>
      <c r="Y1004" t="s">
        <v>113</v>
      </c>
      <c r="Z1004" t="s">
        <v>877</v>
      </c>
      <c r="AA1004" t="s">
        <v>7843</v>
      </c>
      <c r="AH1004" t="s">
        <v>118</v>
      </c>
      <c r="AI1004">
        <v>33</v>
      </c>
      <c r="AJ1004">
        <v>0</v>
      </c>
      <c r="AK1004">
        <v>0</v>
      </c>
      <c r="AL1004">
        <v>0</v>
      </c>
      <c r="AM1004">
        <v>0.27</v>
      </c>
      <c r="AN1004">
        <v>0.25</v>
      </c>
      <c r="AO1004">
        <v>0.2</v>
      </c>
      <c r="AS1004">
        <v>5</v>
      </c>
      <c r="AT1004">
        <v>2</v>
      </c>
      <c r="AU1004">
        <v>1</v>
      </c>
      <c r="AV1004">
        <v>73</v>
      </c>
      <c r="AW1004">
        <v>77</v>
      </c>
      <c r="AX1004">
        <v>292</v>
      </c>
      <c r="AY1004">
        <v>1</v>
      </c>
      <c r="AZ1004" t="b">
        <v>0</v>
      </c>
      <c r="BA1004">
        <v>1728</v>
      </c>
      <c r="BB1004">
        <v>1559</v>
      </c>
      <c r="BC1004">
        <v>6</v>
      </c>
      <c r="BD1004" t="s">
        <v>7800</v>
      </c>
      <c r="BE1004" s="1" t="s">
        <v>3594</v>
      </c>
      <c r="BF1004">
        <v>0</v>
      </c>
      <c r="BG1004">
        <v>71</v>
      </c>
      <c r="BH1004">
        <v>1</v>
      </c>
      <c r="BI1004" s="1" t="s">
        <v>977</v>
      </c>
      <c r="BJ1004" s="1" t="s">
        <v>295</v>
      </c>
      <c r="BK1004">
        <v>6</v>
      </c>
      <c r="BL1004" s="1" t="s">
        <v>499</v>
      </c>
      <c r="BM1004">
        <v>5</v>
      </c>
      <c r="BN1004" s="1" t="s">
        <v>587</v>
      </c>
      <c r="BO1004" s="1" t="s">
        <v>211</v>
      </c>
      <c r="BP1004" s="1" t="s">
        <v>373</v>
      </c>
      <c r="BQ1004">
        <v>0</v>
      </c>
      <c r="BR1004">
        <v>6.6666666666666596E-2</v>
      </c>
      <c r="BS1004">
        <v>0</v>
      </c>
      <c r="BT1004" s="1" t="s">
        <v>231</v>
      </c>
      <c r="BU1004">
        <v>1</v>
      </c>
      <c r="BV1004">
        <v>1</v>
      </c>
      <c r="BW1004" s="1" t="s">
        <v>128</v>
      </c>
      <c r="BX1004" s="1" t="s">
        <v>231</v>
      </c>
      <c r="BY1004">
        <v>0</v>
      </c>
      <c r="BZ1004" s="1" t="s">
        <v>129</v>
      </c>
      <c r="CA1004">
        <v>0.27</v>
      </c>
      <c r="CB1004">
        <v>0.27</v>
      </c>
      <c r="CC1004">
        <v>0.25</v>
      </c>
      <c r="CD1004">
        <v>0.25</v>
      </c>
      <c r="CE1004">
        <v>0.2</v>
      </c>
      <c r="CF1004">
        <v>0.2</v>
      </c>
      <c r="CG1004">
        <v>3</v>
      </c>
      <c r="CH1004" s="1" t="s">
        <v>256</v>
      </c>
      <c r="CI1004">
        <v>1</v>
      </c>
      <c r="CJ1004" s="1" t="s">
        <v>257</v>
      </c>
      <c r="CK1004" s="1" t="s">
        <v>161</v>
      </c>
      <c r="CL1004" s="1" t="s">
        <v>322</v>
      </c>
      <c r="CM1004" s="1" t="s">
        <v>261</v>
      </c>
      <c r="CN1004" s="1" t="s">
        <v>2500</v>
      </c>
      <c r="CO1004">
        <v>75</v>
      </c>
      <c r="CP1004" s="1" t="s">
        <v>6191</v>
      </c>
      <c r="CQ1004">
        <v>230</v>
      </c>
      <c r="CR1004" s="1" t="s">
        <v>7844</v>
      </c>
      <c r="CS1004" s="1" t="s">
        <v>4221</v>
      </c>
      <c r="CT1004">
        <v>1496</v>
      </c>
      <c r="CU1004" s="1" t="s">
        <v>5939</v>
      </c>
      <c r="CV1004">
        <v>1779</v>
      </c>
      <c r="CW1004">
        <v>56.45</v>
      </c>
      <c r="CX1004">
        <v>60.6</v>
      </c>
      <c r="CY1004">
        <v>72.8</v>
      </c>
      <c r="CZ1004">
        <v>72</v>
      </c>
      <c r="DA1004">
        <v>1</v>
      </c>
      <c r="DB1004" t="s">
        <v>877</v>
      </c>
      <c r="DC1004">
        <v>82</v>
      </c>
      <c r="DD1004" s="1" t="s">
        <v>7845</v>
      </c>
      <c r="DE1004" s="1" t="s">
        <v>7846</v>
      </c>
      <c r="DF1004" t="str">
        <f>_xlfn.XLOOKUP(Table1[[#This Row],[Player ID]],Table2[feed_id],Table2[trade_status])</f>
        <v>free_agent</v>
      </c>
      <c r="DG1004">
        <f>_xlfn.NUMBERVALUE(Table1[[#This Row],[predicted]])</f>
        <v>48.659868692777202</v>
      </c>
    </row>
    <row r="1005" spans="1:111" hidden="1" x14ac:dyDescent="0.25">
      <c r="A1005">
        <v>132930</v>
      </c>
      <c r="B1005">
        <v>9245</v>
      </c>
      <c r="C1005" t="s">
        <v>8180</v>
      </c>
      <c r="D1005" t="s">
        <v>3116</v>
      </c>
      <c r="E1005">
        <v>2025</v>
      </c>
      <c r="F1005">
        <v>1023482</v>
      </c>
      <c r="G1005" t="s">
        <v>2273</v>
      </c>
      <c r="H1005" t="s">
        <v>1864</v>
      </c>
      <c r="I1005" t="s">
        <v>391</v>
      </c>
      <c r="J1005">
        <v>7</v>
      </c>
      <c r="K1005">
        <v>57</v>
      </c>
      <c r="L1005">
        <v>64</v>
      </c>
      <c r="M1005">
        <v>32</v>
      </c>
      <c r="N1005">
        <v>43</v>
      </c>
      <c r="O1005">
        <v>63</v>
      </c>
      <c r="P1005">
        <v>10</v>
      </c>
      <c r="Q1005">
        <v>8</v>
      </c>
      <c r="R1005">
        <v>1</v>
      </c>
      <c r="S1005">
        <v>2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113</v>
      </c>
      <c r="Z1005" t="s">
        <v>877</v>
      </c>
      <c r="AA1005" t="s">
        <v>8336</v>
      </c>
      <c r="AH1005" t="s">
        <v>118</v>
      </c>
      <c r="AI1005">
        <v>28</v>
      </c>
      <c r="AJ1005">
        <v>0</v>
      </c>
      <c r="AK1005">
        <v>0</v>
      </c>
      <c r="AL1005">
        <v>0</v>
      </c>
      <c r="AM1005">
        <v>0.75</v>
      </c>
      <c r="AN1005">
        <v>0.76</v>
      </c>
      <c r="AO1005">
        <v>1.45</v>
      </c>
      <c r="AS1005">
        <v>5</v>
      </c>
      <c r="AT1005">
        <v>3</v>
      </c>
      <c r="AU1005">
        <v>2</v>
      </c>
      <c r="AV1005">
        <v>77</v>
      </c>
      <c r="AW1005">
        <v>70</v>
      </c>
      <c r="AX1005">
        <v>364</v>
      </c>
      <c r="AY1005">
        <v>0</v>
      </c>
      <c r="AZ1005" t="b">
        <v>0</v>
      </c>
      <c r="BA1005">
        <v>1799</v>
      </c>
      <c r="BB1005">
        <v>1477</v>
      </c>
      <c r="BC1005">
        <v>6</v>
      </c>
      <c r="BD1005" t="s">
        <v>8277</v>
      </c>
      <c r="BE1005" s="1" t="s">
        <v>3594</v>
      </c>
      <c r="BF1005">
        <v>0</v>
      </c>
      <c r="BG1005">
        <v>71</v>
      </c>
      <c r="BH1005">
        <v>0</v>
      </c>
      <c r="BI1005" s="1" t="s">
        <v>276</v>
      </c>
      <c r="BJ1005">
        <v>8.6</v>
      </c>
      <c r="BK1005" s="1" t="s">
        <v>157</v>
      </c>
      <c r="BL1005" s="1" t="s">
        <v>303</v>
      </c>
      <c r="BM1005" s="1" t="s">
        <v>138</v>
      </c>
      <c r="BN1005">
        <v>3.2</v>
      </c>
      <c r="BO1005" s="1" t="s">
        <v>138</v>
      </c>
      <c r="BP1005">
        <v>3</v>
      </c>
      <c r="BQ1005">
        <v>0</v>
      </c>
      <c r="BR1005">
        <v>0</v>
      </c>
      <c r="BS1005" s="1" t="s">
        <v>129</v>
      </c>
      <c r="BT1005" s="1" t="s">
        <v>238</v>
      </c>
      <c r="BU1005" s="1" t="s">
        <v>128</v>
      </c>
      <c r="BV1005">
        <v>0.6</v>
      </c>
      <c r="BW1005">
        <v>0</v>
      </c>
      <c r="BX1005" s="1" t="s">
        <v>129</v>
      </c>
      <c r="BY1005">
        <v>0</v>
      </c>
      <c r="BZ1005">
        <v>6.6666666666666596E-2</v>
      </c>
      <c r="CA1005">
        <v>0.75</v>
      </c>
      <c r="CB1005">
        <v>0.75</v>
      </c>
      <c r="CC1005">
        <v>0.76</v>
      </c>
      <c r="CD1005">
        <v>0.76</v>
      </c>
      <c r="CE1005">
        <v>1.45</v>
      </c>
      <c r="CF1005">
        <v>1.45</v>
      </c>
      <c r="CG1005">
        <v>6</v>
      </c>
      <c r="CH1005" s="1" t="s">
        <v>963</v>
      </c>
      <c r="CI1005">
        <v>3</v>
      </c>
      <c r="CJ1005">
        <v>2.6</v>
      </c>
      <c r="CK1005">
        <v>2</v>
      </c>
      <c r="CL1005" s="1" t="s">
        <v>566</v>
      </c>
      <c r="CM1005">
        <v>79</v>
      </c>
      <c r="CN1005" s="1" t="s">
        <v>701</v>
      </c>
      <c r="CO1005">
        <v>66</v>
      </c>
      <c r="CP1005">
        <v>71.400000000000006</v>
      </c>
      <c r="CQ1005" s="1" t="s">
        <v>7733</v>
      </c>
      <c r="CR1005">
        <v>250</v>
      </c>
      <c r="CS1005" s="1" t="s">
        <v>4566</v>
      </c>
      <c r="CT1005">
        <v>1719.8</v>
      </c>
      <c r="CU1005">
        <v>1616</v>
      </c>
      <c r="CV1005">
        <v>1565.6</v>
      </c>
      <c r="CW1005">
        <v>66.849999999999994</v>
      </c>
      <c r="CX1005">
        <v>73</v>
      </c>
      <c r="CY1005">
        <v>84</v>
      </c>
      <c r="CZ1005" s="1" t="s">
        <v>268</v>
      </c>
      <c r="DA1005">
        <v>1</v>
      </c>
      <c r="DB1005" t="s">
        <v>877</v>
      </c>
      <c r="DC1005">
        <v>64</v>
      </c>
      <c r="DD1005" s="1" t="s">
        <v>8337</v>
      </c>
      <c r="DE1005" s="1" t="s">
        <v>8338</v>
      </c>
      <c r="DF1005" t="e">
        <f>_xlfn.XLOOKUP(Table1[[#This Row],[Player ID]],Table2[feed_id],Table2[trade_status])</f>
        <v>#N/A</v>
      </c>
      <c r="DG1005">
        <f>_xlfn.NUMBERVALUE(Table1[[#This Row],[predicted]])</f>
        <v>58.870810839515499</v>
      </c>
    </row>
    <row r="1006" spans="1:111" x14ac:dyDescent="0.25">
      <c r="A1006">
        <v>132933</v>
      </c>
      <c r="B1006">
        <v>9245</v>
      </c>
      <c r="C1006" t="s">
        <v>8180</v>
      </c>
      <c r="D1006" t="s">
        <v>3116</v>
      </c>
      <c r="E1006">
        <v>2025</v>
      </c>
      <c r="F1006">
        <v>280744</v>
      </c>
      <c r="G1006" t="s">
        <v>176</v>
      </c>
      <c r="H1006" t="s">
        <v>8351</v>
      </c>
      <c r="I1006" t="s">
        <v>391</v>
      </c>
      <c r="J1006">
        <v>8</v>
      </c>
      <c r="K1006">
        <v>44</v>
      </c>
      <c r="L1006">
        <v>43</v>
      </c>
      <c r="M1006">
        <v>33</v>
      </c>
      <c r="N1006">
        <v>32</v>
      </c>
      <c r="O1006">
        <v>42</v>
      </c>
      <c r="P1006">
        <v>6</v>
      </c>
      <c r="Q1006">
        <v>2</v>
      </c>
      <c r="R1006">
        <v>1</v>
      </c>
      <c r="S1006">
        <v>3</v>
      </c>
      <c r="T1006">
        <v>0</v>
      </c>
      <c r="U1006">
        <v>1</v>
      </c>
      <c r="V1006">
        <v>0</v>
      </c>
      <c r="W1006">
        <v>1</v>
      </c>
      <c r="X1006">
        <v>0</v>
      </c>
      <c r="Y1006" t="s">
        <v>113</v>
      </c>
      <c r="Z1006" t="s">
        <v>861</v>
      </c>
      <c r="AA1006" t="s">
        <v>8352</v>
      </c>
      <c r="AB1006" t="s">
        <v>3571</v>
      </c>
      <c r="AC1006" t="s">
        <v>4081</v>
      </c>
      <c r="AE1006">
        <v>0</v>
      </c>
      <c r="AH1006" t="s">
        <v>155</v>
      </c>
      <c r="AI1006">
        <v>22</v>
      </c>
      <c r="AJ1006">
        <v>21</v>
      </c>
      <c r="AK1006">
        <v>85.48</v>
      </c>
      <c r="AL1006">
        <v>0</v>
      </c>
      <c r="AM1006">
        <v>0</v>
      </c>
      <c r="AN1006">
        <v>0.14000000000000001</v>
      </c>
      <c r="AO1006">
        <v>0.26</v>
      </c>
      <c r="AS1006">
        <v>4</v>
      </c>
      <c r="AT1006">
        <v>0</v>
      </c>
      <c r="AU1006">
        <v>0</v>
      </c>
      <c r="AV1006">
        <v>75</v>
      </c>
      <c r="AW1006">
        <v>42</v>
      </c>
      <c r="AX1006">
        <v>116</v>
      </c>
      <c r="AY1006">
        <v>0</v>
      </c>
      <c r="AZ1006" t="b">
        <v>0</v>
      </c>
      <c r="BA1006">
        <v>1799</v>
      </c>
      <c r="BB1006">
        <v>1477</v>
      </c>
      <c r="BC1006">
        <v>6</v>
      </c>
      <c r="BD1006" t="s">
        <v>8277</v>
      </c>
      <c r="BE1006" s="1" t="s">
        <v>3594</v>
      </c>
      <c r="BF1006">
        <v>0</v>
      </c>
      <c r="BG1006">
        <v>71</v>
      </c>
      <c r="BH1006">
        <v>0</v>
      </c>
      <c r="BI1006" s="1" t="s">
        <v>138</v>
      </c>
      <c r="BJ1006">
        <v>4.8</v>
      </c>
      <c r="BK1006" s="1" t="s">
        <v>161</v>
      </c>
      <c r="BL1006" s="1" t="s">
        <v>170</v>
      </c>
      <c r="BM1006">
        <v>1</v>
      </c>
      <c r="BN1006" s="1" t="s">
        <v>566</v>
      </c>
      <c r="BO1006">
        <v>2</v>
      </c>
      <c r="BP1006">
        <v>1.2</v>
      </c>
      <c r="BQ1006">
        <v>0</v>
      </c>
      <c r="BR1006">
        <v>0</v>
      </c>
      <c r="BS1006" s="1" t="s">
        <v>128</v>
      </c>
      <c r="BT1006">
        <v>0.8</v>
      </c>
      <c r="BU1006" s="1" t="s">
        <v>129</v>
      </c>
      <c r="BV1006" s="1" t="s">
        <v>238</v>
      </c>
      <c r="BW1006" s="1" t="s">
        <v>128</v>
      </c>
      <c r="BX1006" s="1" t="s">
        <v>126</v>
      </c>
      <c r="BY1006">
        <v>0</v>
      </c>
      <c r="BZ1006" s="1" t="s">
        <v>184</v>
      </c>
      <c r="CA1006">
        <v>0</v>
      </c>
      <c r="CB1006">
        <v>0</v>
      </c>
      <c r="CC1006">
        <v>0.14000000000000001</v>
      </c>
      <c r="CD1006">
        <v>0.14000000000000001</v>
      </c>
      <c r="CE1006">
        <v>0.26</v>
      </c>
      <c r="CF1006">
        <v>0.26</v>
      </c>
      <c r="CG1006" s="1" t="s">
        <v>159</v>
      </c>
      <c r="CH1006" s="1" t="s">
        <v>528</v>
      </c>
      <c r="CI1006">
        <v>0</v>
      </c>
      <c r="CJ1006" s="1" t="s">
        <v>184</v>
      </c>
      <c r="CK1006" s="1" t="s">
        <v>129</v>
      </c>
      <c r="CL1006" s="1" t="s">
        <v>257</v>
      </c>
      <c r="CM1006" s="1" t="s">
        <v>1969</v>
      </c>
      <c r="CN1006" s="1" t="s">
        <v>5067</v>
      </c>
      <c r="CO1006">
        <v>31</v>
      </c>
      <c r="CP1006" s="1" t="s">
        <v>8353</v>
      </c>
      <c r="CQ1006" s="1" t="s">
        <v>593</v>
      </c>
      <c r="CR1006" s="1" t="s">
        <v>8354</v>
      </c>
      <c r="CS1006">
        <v>1627</v>
      </c>
      <c r="CT1006">
        <v>1705.8</v>
      </c>
      <c r="CU1006" s="1" t="s">
        <v>1876</v>
      </c>
      <c r="CV1006">
        <v>1580.6</v>
      </c>
      <c r="CW1006">
        <v>41.75</v>
      </c>
      <c r="CX1006">
        <v>46.4</v>
      </c>
      <c r="CY1006">
        <v>34.4</v>
      </c>
      <c r="CZ1006" s="1" t="s">
        <v>4085</v>
      </c>
      <c r="DA1006">
        <v>1</v>
      </c>
      <c r="DB1006" t="s">
        <v>861</v>
      </c>
      <c r="DC1006">
        <v>43</v>
      </c>
      <c r="DD1006" s="1" t="s">
        <v>8355</v>
      </c>
      <c r="DE1006">
        <v>-4.5938082706247698</v>
      </c>
      <c r="DF1006" t="str">
        <f>_xlfn.XLOOKUP(Table1[[#This Row],[Player ID]],Table2[feed_id],Table2[trade_status])</f>
        <v>free_agent</v>
      </c>
      <c r="DG1006">
        <f>_xlfn.NUMBERVALUE(Table1[[#This Row],[predicted]])</f>
        <v>47.593808270624699</v>
      </c>
    </row>
    <row r="1007" spans="1:111" hidden="1" x14ac:dyDescent="0.25">
      <c r="A1007">
        <v>132932</v>
      </c>
      <c r="B1007">
        <v>9245</v>
      </c>
      <c r="C1007" t="s">
        <v>8180</v>
      </c>
      <c r="D1007" t="s">
        <v>3116</v>
      </c>
      <c r="E1007">
        <v>2025</v>
      </c>
      <c r="F1007">
        <v>1017110</v>
      </c>
      <c r="G1007" t="s">
        <v>1318</v>
      </c>
      <c r="H1007" t="s">
        <v>8092</v>
      </c>
      <c r="I1007" t="s">
        <v>391</v>
      </c>
      <c r="J1007">
        <v>6</v>
      </c>
      <c r="K1007">
        <v>44</v>
      </c>
      <c r="L1007">
        <v>49</v>
      </c>
      <c r="M1007">
        <v>14</v>
      </c>
      <c r="N1007">
        <v>36</v>
      </c>
      <c r="O1007">
        <v>54</v>
      </c>
      <c r="P1007">
        <v>10</v>
      </c>
      <c r="Q1007">
        <v>8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 t="s">
        <v>113</v>
      </c>
      <c r="Z1007" t="s">
        <v>877</v>
      </c>
      <c r="AA1007" t="s">
        <v>8346</v>
      </c>
      <c r="AH1007" t="s">
        <v>118</v>
      </c>
      <c r="AI1007">
        <v>25</v>
      </c>
      <c r="AJ1007">
        <v>0</v>
      </c>
      <c r="AK1007">
        <v>0</v>
      </c>
      <c r="AL1007">
        <v>0</v>
      </c>
      <c r="AM1007">
        <v>0.53</v>
      </c>
      <c r="AN1007">
        <v>0.34</v>
      </c>
      <c r="AO1007">
        <v>0.64</v>
      </c>
      <c r="AS1007">
        <v>7</v>
      </c>
      <c r="AT1007">
        <v>3</v>
      </c>
      <c r="AU1007">
        <v>3</v>
      </c>
      <c r="AV1007">
        <v>61</v>
      </c>
      <c r="AW1007">
        <v>64</v>
      </c>
      <c r="AX1007">
        <v>378</v>
      </c>
      <c r="AY1007">
        <v>0</v>
      </c>
      <c r="AZ1007" t="b">
        <v>0</v>
      </c>
      <c r="BA1007">
        <v>1799</v>
      </c>
      <c r="BB1007">
        <v>1477</v>
      </c>
      <c r="BC1007">
        <v>6</v>
      </c>
      <c r="BD1007" t="s">
        <v>8277</v>
      </c>
      <c r="BE1007" s="1" t="s">
        <v>3594</v>
      </c>
      <c r="BF1007">
        <v>0</v>
      </c>
      <c r="BG1007">
        <v>71</v>
      </c>
      <c r="BH1007">
        <v>0</v>
      </c>
      <c r="BI1007">
        <v>11</v>
      </c>
      <c r="BJ1007" s="1" t="s">
        <v>294</v>
      </c>
      <c r="BK1007" s="1" t="s">
        <v>1008</v>
      </c>
      <c r="BL1007">
        <v>7.2</v>
      </c>
      <c r="BM1007" s="1" t="s">
        <v>161</v>
      </c>
      <c r="BN1007">
        <v>3.6</v>
      </c>
      <c r="BO1007">
        <v>3</v>
      </c>
      <c r="BP1007" s="1" t="s">
        <v>255</v>
      </c>
      <c r="BQ1007">
        <v>0</v>
      </c>
      <c r="BR1007">
        <v>0</v>
      </c>
      <c r="BS1007" s="1" t="s">
        <v>128</v>
      </c>
      <c r="BT1007" s="1" t="s">
        <v>184</v>
      </c>
      <c r="BU1007" s="1" t="s">
        <v>129</v>
      </c>
      <c r="BV1007" s="1" t="s">
        <v>184</v>
      </c>
      <c r="BW1007" s="1" t="s">
        <v>129</v>
      </c>
      <c r="BX1007" s="1" t="s">
        <v>213</v>
      </c>
      <c r="BY1007">
        <v>0</v>
      </c>
      <c r="BZ1007" s="1" t="s">
        <v>184</v>
      </c>
      <c r="CA1007">
        <v>0.53</v>
      </c>
      <c r="CB1007">
        <v>0.53</v>
      </c>
      <c r="CC1007">
        <v>0.34</v>
      </c>
      <c r="CD1007">
        <v>0.34</v>
      </c>
      <c r="CE1007">
        <v>0.64</v>
      </c>
      <c r="CF1007">
        <v>0.64</v>
      </c>
      <c r="CG1007" s="1" t="s">
        <v>204</v>
      </c>
      <c r="CH1007" s="1" t="s">
        <v>752</v>
      </c>
      <c r="CI1007" s="1" t="s">
        <v>169</v>
      </c>
      <c r="CJ1007">
        <v>2</v>
      </c>
      <c r="CK1007">
        <v>2</v>
      </c>
      <c r="CL1007">
        <v>1.8</v>
      </c>
      <c r="CM1007" s="1" t="s">
        <v>593</v>
      </c>
      <c r="CN1007">
        <v>69.2</v>
      </c>
      <c r="CO1007" s="1" t="s">
        <v>822</v>
      </c>
      <c r="CP1007" s="1" t="s">
        <v>3365</v>
      </c>
      <c r="CQ1007" s="1" t="s">
        <v>8347</v>
      </c>
      <c r="CR1007" s="1" t="s">
        <v>8348</v>
      </c>
      <c r="CS1007" s="1" t="s">
        <v>4566</v>
      </c>
      <c r="CT1007" s="1" t="s">
        <v>8349</v>
      </c>
      <c r="CU1007">
        <v>1616</v>
      </c>
      <c r="CV1007" s="1" t="s">
        <v>704</v>
      </c>
      <c r="CW1007">
        <v>62.95</v>
      </c>
      <c r="CX1007">
        <v>69</v>
      </c>
      <c r="CY1007">
        <v>75.2</v>
      </c>
      <c r="CZ1007" s="1" t="s">
        <v>364</v>
      </c>
      <c r="DA1007">
        <v>1</v>
      </c>
      <c r="DB1007" t="s">
        <v>877</v>
      </c>
      <c r="DC1007">
        <v>49</v>
      </c>
      <c r="DD1007" s="1" t="s">
        <v>8350</v>
      </c>
      <c r="DE1007">
        <v>-6.3404821227385399</v>
      </c>
      <c r="DF1007" t="e">
        <f>_xlfn.XLOOKUP(Table1[[#This Row],[Player ID]],Table2[feed_id],Table2[trade_status])</f>
        <v>#N/A</v>
      </c>
      <c r="DG1007">
        <f>_xlfn.NUMBERVALUE(Table1[[#This Row],[predicted]])</f>
        <v>55.3404821227385</v>
      </c>
    </row>
    <row r="1008" spans="1:111" x14ac:dyDescent="0.25">
      <c r="A1008">
        <v>132737</v>
      </c>
      <c r="B1008">
        <v>9241</v>
      </c>
      <c r="C1008" t="s">
        <v>7418</v>
      </c>
      <c r="D1008" t="s">
        <v>3116</v>
      </c>
      <c r="E1008">
        <v>2025</v>
      </c>
      <c r="F1008">
        <v>297899</v>
      </c>
      <c r="G1008" t="s">
        <v>617</v>
      </c>
      <c r="H1008" t="s">
        <v>7496</v>
      </c>
      <c r="I1008" t="s">
        <v>712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113</v>
      </c>
      <c r="Z1008" t="s">
        <v>114</v>
      </c>
      <c r="AA1008" t="s">
        <v>7497</v>
      </c>
      <c r="AB1008" t="s">
        <v>116</v>
      </c>
      <c r="AC1008" t="s">
        <v>4411</v>
      </c>
      <c r="AE1008">
        <v>0</v>
      </c>
      <c r="AH1008" t="s">
        <v>118</v>
      </c>
      <c r="AI1008">
        <v>22</v>
      </c>
      <c r="AJ1008">
        <v>21</v>
      </c>
      <c r="AK1008">
        <v>81.05</v>
      </c>
      <c r="AL1008">
        <v>0</v>
      </c>
      <c r="AM1008">
        <v>0</v>
      </c>
      <c r="AN1008">
        <v>9.8000000000000007</v>
      </c>
      <c r="AO1008">
        <v>1.04</v>
      </c>
      <c r="AS1008">
        <v>0</v>
      </c>
      <c r="AT1008">
        <v>0</v>
      </c>
      <c r="AU1008">
        <v>0</v>
      </c>
      <c r="AV1008">
        <v>0</v>
      </c>
      <c r="AW1008">
        <v>2</v>
      </c>
      <c r="AX1008">
        <v>0</v>
      </c>
      <c r="AY1008">
        <v>1</v>
      </c>
      <c r="AZ1008" t="b">
        <v>1</v>
      </c>
      <c r="BA1008">
        <v>1780</v>
      </c>
      <c r="BB1008">
        <v>1518</v>
      </c>
      <c r="BC1008">
        <v>6</v>
      </c>
      <c r="BD1008" t="s">
        <v>7420</v>
      </c>
      <c r="BE1008" s="1" t="s">
        <v>3594</v>
      </c>
      <c r="BF1008">
        <v>0</v>
      </c>
      <c r="BG1008">
        <v>71</v>
      </c>
      <c r="BH1008">
        <v>0</v>
      </c>
      <c r="BI1008" s="1" t="s">
        <v>545</v>
      </c>
      <c r="BJ1008" s="1" t="s">
        <v>1442</v>
      </c>
      <c r="BK1008">
        <v>7</v>
      </c>
      <c r="BL1008" s="1" t="s">
        <v>137</v>
      </c>
      <c r="BM1008">
        <v>3</v>
      </c>
      <c r="BN1008">
        <v>3.6</v>
      </c>
      <c r="BO1008" s="1" t="s">
        <v>138</v>
      </c>
      <c r="BP1008" s="1" t="s">
        <v>640</v>
      </c>
      <c r="BQ1008">
        <v>0</v>
      </c>
      <c r="BR1008">
        <v>0</v>
      </c>
      <c r="BS1008">
        <v>1</v>
      </c>
      <c r="BT1008" s="1" t="s">
        <v>128</v>
      </c>
      <c r="BU1008" s="1" t="s">
        <v>129</v>
      </c>
      <c r="BV1008" s="1" t="s">
        <v>399</v>
      </c>
      <c r="BW1008" s="1" t="s">
        <v>129</v>
      </c>
      <c r="BX1008" s="1" t="s">
        <v>128</v>
      </c>
      <c r="BY1008" s="1" t="s">
        <v>129</v>
      </c>
      <c r="BZ1008" s="1" t="s">
        <v>129</v>
      </c>
      <c r="CA1008">
        <v>0</v>
      </c>
      <c r="CB1008">
        <v>0</v>
      </c>
      <c r="CC1008">
        <v>9.8000000000000007</v>
      </c>
      <c r="CD1008">
        <v>8.5120000000000005</v>
      </c>
      <c r="CE1008">
        <v>1.04</v>
      </c>
      <c r="CF1008" s="1" t="s">
        <v>7498</v>
      </c>
      <c r="CG1008">
        <v>7</v>
      </c>
      <c r="CH1008" s="1" t="s">
        <v>964</v>
      </c>
      <c r="CI1008" s="1" t="s">
        <v>126</v>
      </c>
      <c r="CJ1008">
        <v>1.8</v>
      </c>
      <c r="CK1008" s="1" t="s">
        <v>161</v>
      </c>
      <c r="CL1008" s="1" t="s">
        <v>255</v>
      </c>
      <c r="CM1008" s="1" t="s">
        <v>2013</v>
      </c>
      <c r="CN1008" s="1" t="s">
        <v>1242</v>
      </c>
      <c r="CO1008" s="1" t="s">
        <v>649</v>
      </c>
      <c r="CP1008">
        <v>71.8</v>
      </c>
      <c r="CQ1008" s="1" t="s">
        <v>3742</v>
      </c>
      <c r="CR1008" s="1" t="s">
        <v>7499</v>
      </c>
      <c r="CS1008" s="1" t="s">
        <v>664</v>
      </c>
      <c r="CT1008">
        <v>1643.8</v>
      </c>
      <c r="CU1008" s="1" t="s">
        <v>3948</v>
      </c>
      <c r="CV1008">
        <v>1643</v>
      </c>
      <c r="CW1008">
        <v>61.85</v>
      </c>
      <c r="CX1008">
        <v>76.3</v>
      </c>
      <c r="CY1008">
        <v>64.2</v>
      </c>
      <c r="CZ1008">
        <v>64</v>
      </c>
      <c r="DA1008">
        <v>1</v>
      </c>
      <c r="DB1008" t="s">
        <v>114</v>
      </c>
      <c r="DC1008">
        <v>0</v>
      </c>
      <c r="DD1008" s="1" t="s">
        <v>7500</v>
      </c>
      <c r="DE1008">
        <v>-47.5171798013249</v>
      </c>
      <c r="DF1008" t="str">
        <f>_xlfn.XLOOKUP(Table1[[#This Row],[Player ID]],Table2[feed_id],Table2[trade_status])</f>
        <v>free_agent</v>
      </c>
      <c r="DG1008">
        <f>_xlfn.NUMBERVALUE(Table1[[#This Row],[predicted]])</f>
        <v>47.5171798013249</v>
      </c>
    </row>
    <row r="1009" spans="1:111" x14ac:dyDescent="0.25">
      <c r="A1009">
        <v>132706</v>
      </c>
      <c r="B1009">
        <v>9240</v>
      </c>
      <c r="C1009" t="s">
        <v>7230</v>
      </c>
      <c r="D1009" t="s">
        <v>3116</v>
      </c>
      <c r="E1009">
        <v>2025</v>
      </c>
      <c r="F1009">
        <v>1011437</v>
      </c>
      <c r="G1009" t="s">
        <v>2192</v>
      </c>
      <c r="H1009" t="s">
        <v>4546</v>
      </c>
      <c r="I1009" t="s">
        <v>582</v>
      </c>
      <c r="J1009">
        <v>3</v>
      </c>
      <c r="K1009">
        <v>44</v>
      </c>
      <c r="L1009">
        <v>63</v>
      </c>
      <c r="M1009">
        <v>30</v>
      </c>
      <c r="N1009">
        <v>35</v>
      </c>
      <c r="O1009">
        <v>45</v>
      </c>
      <c r="P1009">
        <v>7</v>
      </c>
      <c r="Q1009">
        <v>2</v>
      </c>
      <c r="R1009">
        <v>5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113</v>
      </c>
      <c r="Z1009" t="s">
        <v>179</v>
      </c>
      <c r="AA1009" t="s">
        <v>7396</v>
      </c>
      <c r="AH1009" t="s">
        <v>181</v>
      </c>
      <c r="AI1009">
        <v>42</v>
      </c>
      <c r="AJ1009">
        <v>0</v>
      </c>
      <c r="AK1009">
        <v>0</v>
      </c>
      <c r="AL1009">
        <v>0</v>
      </c>
      <c r="AM1009">
        <v>0.13</v>
      </c>
      <c r="AN1009">
        <v>0.11</v>
      </c>
      <c r="AO1009">
        <v>0.14000000000000001</v>
      </c>
      <c r="AS1009">
        <v>4</v>
      </c>
      <c r="AT1009">
        <v>0</v>
      </c>
      <c r="AU1009">
        <v>1</v>
      </c>
      <c r="AV1009">
        <v>88</v>
      </c>
      <c r="AW1009">
        <v>84</v>
      </c>
      <c r="AX1009">
        <v>226</v>
      </c>
      <c r="AY1009">
        <v>0</v>
      </c>
      <c r="AZ1009" t="b">
        <v>0</v>
      </c>
      <c r="BA1009">
        <v>1976</v>
      </c>
      <c r="BB1009">
        <v>1285</v>
      </c>
      <c r="BC1009">
        <v>6</v>
      </c>
      <c r="BD1009" t="s">
        <v>7344</v>
      </c>
      <c r="BE1009" s="1" t="s">
        <v>3594</v>
      </c>
      <c r="BF1009">
        <v>0</v>
      </c>
      <c r="BG1009">
        <v>71</v>
      </c>
      <c r="BH1009">
        <v>0</v>
      </c>
      <c r="BI1009">
        <v>6</v>
      </c>
      <c r="BJ1009" s="1" t="s">
        <v>1092</v>
      </c>
      <c r="BK1009" s="1" t="s">
        <v>161</v>
      </c>
      <c r="BL1009" s="1" t="s">
        <v>375</v>
      </c>
      <c r="BM1009" s="1" t="s">
        <v>211</v>
      </c>
      <c r="BN1009" s="1" t="s">
        <v>230</v>
      </c>
      <c r="BO1009" s="1" t="s">
        <v>129</v>
      </c>
      <c r="BP1009" s="1" t="s">
        <v>298</v>
      </c>
      <c r="BQ1009">
        <v>0</v>
      </c>
      <c r="BR1009">
        <v>0</v>
      </c>
      <c r="BS1009" s="1" t="s">
        <v>129</v>
      </c>
      <c r="BT1009" s="1" t="s">
        <v>231</v>
      </c>
      <c r="BU1009" s="1" t="s">
        <v>129</v>
      </c>
      <c r="BV1009">
        <v>0.6</v>
      </c>
      <c r="BW1009">
        <v>0</v>
      </c>
      <c r="BX1009">
        <v>0</v>
      </c>
      <c r="BY1009">
        <v>0</v>
      </c>
      <c r="BZ1009">
        <v>0</v>
      </c>
      <c r="CA1009">
        <v>0.13</v>
      </c>
      <c r="CB1009" s="1" t="s">
        <v>845</v>
      </c>
      <c r="CC1009">
        <v>0.11</v>
      </c>
      <c r="CD1009" s="1" t="s">
        <v>7397</v>
      </c>
      <c r="CE1009">
        <v>0.14000000000000001</v>
      </c>
      <c r="CF1009" s="1" t="s">
        <v>1200</v>
      </c>
      <c r="CG1009" s="1" t="s">
        <v>169</v>
      </c>
      <c r="CH1009" s="1" t="s">
        <v>138</v>
      </c>
      <c r="CI1009">
        <v>0</v>
      </c>
      <c r="CJ1009">
        <v>0</v>
      </c>
      <c r="CK1009" s="1" t="s">
        <v>161</v>
      </c>
      <c r="CL1009" s="1" t="s">
        <v>566</v>
      </c>
      <c r="CM1009" s="1" t="s">
        <v>683</v>
      </c>
      <c r="CN1009" s="1" t="s">
        <v>930</v>
      </c>
      <c r="CO1009" s="1" t="s">
        <v>305</v>
      </c>
      <c r="CP1009" s="1" t="s">
        <v>789</v>
      </c>
      <c r="CQ1009" s="1" t="s">
        <v>7398</v>
      </c>
      <c r="CR1009" s="1" t="s">
        <v>7399</v>
      </c>
      <c r="CS1009" s="1" t="s">
        <v>7381</v>
      </c>
      <c r="CT1009">
        <v>1445.4</v>
      </c>
      <c r="CU1009">
        <v>1909</v>
      </c>
      <c r="CV1009" s="1" t="s">
        <v>7400</v>
      </c>
      <c r="CW1009">
        <v>54.2</v>
      </c>
      <c r="CX1009">
        <v>52.3</v>
      </c>
      <c r="CY1009">
        <v>51.2</v>
      </c>
      <c r="CZ1009" s="1" t="s">
        <v>4315</v>
      </c>
      <c r="DA1009">
        <v>1</v>
      </c>
      <c r="DB1009" t="s">
        <v>179</v>
      </c>
      <c r="DC1009">
        <v>63</v>
      </c>
      <c r="DD1009" s="1" t="s">
        <v>7401</v>
      </c>
      <c r="DE1009" s="1" t="s">
        <v>7402</v>
      </c>
      <c r="DF1009" t="str">
        <f>_xlfn.XLOOKUP(Table1[[#This Row],[Player ID]],Table2[feed_id],Table2[trade_status])</f>
        <v>free_agent</v>
      </c>
      <c r="DG1009">
        <f>_xlfn.NUMBERVALUE(Table1[[#This Row],[predicted]])</f>
        <v>47.322656199835002</v>
      </c>
    </row>
    <row r="1010" spans="1:111" x14ac:dyDescent="0.25">
      <c r="A1010">
        <v>132730</v>
      </c>
      <c r="B1010">
        <v>9241</v>
      </c>
      <c r="C1010" t="s">
        <v>7418</v>
      </c>
      <c r="D1010" t="s">
        <v>3116</v>
      </c>
      <c r="E1010">
        <v>2025</v>
      </c>
      <c r="F1010">
        <v>998782</v>
      </c>
      <c r="G1010" t="s">
        <v>7475</v>
      </c>
      <c r="H1010" t="s">
        <v>7476</v>
      </c>
      <c r="I1010" t="s">
        <v>712</v>
      </c>
      <c r="J1010">
        <v>5</v>
      </c>
      <c r="K1010">
        <v>51</v>
      </c>
      <c r="L1010">
        <v>67</v>
      </c>
      <c r="M1010">
        <v>65</v>
      </c>
      <c r="N1010">
        <v>41</v>
      </c>
      <c r="O1010">
        <v>54</v>
      </c>
      <c r="P1010">
        <v>6</v>
      </c>
      <c r="Q1010">
        <v>6</v>
      </c>
      <c r="R1010">
        <v>4</v>
      </c>
      <c r="S1010">
        <v>2</v>
      </c>
      <c r="T1010">
        <v>0</v>
      </c>
      <c r="U1010">
        <v>1</v>
      </c>
      <c r="V1010">
        <v>0</v>
      </c>
      <c r="W1010">
        <v>0</v>
      </c>
      <c r="X1010">
        <v>0</v>
      </c>
      <c r="Y1010" t="s">
        <v>113</v>
      </c>
      <c r="Z1010" t="s">
        <v>179</v>
      </c>
      <c r="AA1010" t="s">
        <v>7477</v>
      </c>
      <c r="AH1010" t="s">
        <v>181</v>
      </c>
      <c r="AI1010">
        <v>24</v>
      </c>
      <c r="AJ1010">
        <v>0</v>
      </c>
      <c r="AK1010">
        <v>0</v>
      </c>
      <c r="AL1010">
        <v>0</v>
      </c>
      <c r="AM1010">
        <v>0.18</v>
      </c>
      <c r="AN1010">
        <v>0.5</v>
      </c>
      <c r="AO1010">
        <v>0.18</v>
      </c>
      <c r="AS1010">
        <v>6</v>
      </c>
      <c r="AT1010">
        <v>1</v>
      </c>
      <c r="AU1010">
        <v>1</v>
      </c>
      <c r="AV1010">
        <v>75</v>
      </c>
      <c r="AW1010">
        <v>82</v>
      </c>
      <c r="AX1010">
        <v>123</v>
      </c>
      <c r="AY1010">
        <v>0</v>
      </c>
      <c r="AZ1010" t="b">
        <v>0</v>
      </c>
      <c r="BA1010">
        <v>1780</v>
      </c>
      <c r="BB1010">
        <v>1518</v>
      </c>
      <c r="BC1010">
        <v>6</v>
      </c>
      <c r="BD1010" t="s">
        <v>7420</v>
      </c>
      <c r="BE1010" s="1" t="s">
        <v>3594</v>
      </c>
      <c r="BF1010">
        <v>0</v>
      </c>
      <c r="BG1010">
        <v>71</v>
      </c>
      <c r="BH1010">
        <v>0</v>
      </c>
      <c r="BI1010" s="1" t="s">
        <v>124</v>
      </c>
      <c r="BJ1010" s="1" t="s">
        <v>449</v>
      </c>
      <c r="BK1010" s="1" t="s">
        <v>449</v>
      </c>
      <c r="BL1010">
        <v>4.2</v>
      </c>
      <c r="BM1010" s="1" t="s">
        <v>160</v>
      </c>
      <c r="BN1010">
        <v>4</v>
      </c>
      <c r="BO1010" s="1" t="s">
        <v>138</v>
      </c>
      <c r="BP1010">
        <v>1.8</v>
      </c>
      <c r="BQ1010">
        <v>0</v>
      </c>
      <c r="BR1010" s="1" t="s">
        <v>213</v>
      </c>
      <c r="BS1010" s="1" t="s">
        <v>129</v>
      </c>
      <c r="BT1010">
        <v>0.6</v>
      </c>
      <c r="BU1010">
        <v>1</v>
      </c>
      <c r="BV1010">
        <v>0.6</v>
      </c>
      <c r="BW1010">
        <v>0</v>
      </c>
      <c r="BX1010">
        <v>0</v>
      </c>
      <c r="BY1010">
        <v>0</v>
      </c>
      <c r="BZ1010">
        <v>0</v>
      </c>
      <c r="CA1010">
        <v>0.18</v>
      </c>
      <c r="CB1010">
        <v>0.18</v>
      </c>
      <c r="CC1010">
        <v>0.5</v>
      </c>
      <c r="CD1010">
        <v>0.5</v>
      </c>
      <c r="CE1010">
        <v>0.18</v>
      </c>
      <c r="CF1010">
        <v>0.18</v>
      </c>
      <c r="CG1010" s="1" t="s">
        <v>211</v>
      </c>
      <c r="CH1010" s="1" t="s">
        <v>237</v>
      </c>
      <c r="CI1010" s="1" t="s">
        <v>129</v>
      </c>
      <c r="CJ1010">
        <v>6.6666666666666596E-2</v>
      </c>
      <c r="CK1010">
        <v>2</v>
      </c>
      <c r="CL1010" s="1" t="s">
        <v>257</v>
      </c>
      <c r="CM1010" s="1" t="s">
        <v>941</v>
      </c>
      <c r="CN1010">
        <v>80.2</v>
      </c>
      <c r="CO1010">
        <v>89</v>
      </c>
      <c r="CP1010">
        <v>83.8</v>
      </c>
      <c r="CQ1010">
        <v>125</v>
      </c>
      <c r="CR1010">
        <v>100</v>
      </c>
      <c r="CS1010" s="1" t="s">
        <v>664</v>
      </c>
      <c r="CT1010" s="1" t="s">
        <v>7478</v>
      </c>
      <c r="CU1010" s="1" t="s">
        <v>3948</v>
      </c>
      <c r="CV1010" s="1" t="s">
        <v>6460</v>
      </c>
      <c r="CW1010">
        <v>53.85</v>
      </c>
      <c r="CX1010">
        <v>55.5</v>
      </c>
      <c r="CY1010">
        <v>64.599999999999994</v>
      </c>
      <c r="CZ1010" s="1" t="s">
        <v>787</v>
      </c>
      <c r="DA1010">
        <v>1</v>
      </c>
      <c r="DB1010" t="s">
        <v>179</v>
      </c>
      <c r="DC1010">
        <v>67</v>
      </c>
      <c r="DD1010" s="1" t="s">
        <v>7479</v>
      </c>
      <c r="DE1010" s="1" t="s">
        <v>7480</v>
      </c>
      <c r="DF1010" t="str">
        <f>_xlfn.XLOOKUP(Table1[[#This Row],[Player ID]],Table2[feed_id],Table2[trade_status])</f>
        <v>free_agent</v>
      </c>
      <c r="DG1010">
        <f>_xlfn.NUMBERVALUE(Table1[[#This Row],[predicted]])</f>
        <v>47.300483750276697</v>
      </c>
    </row>
    <row r="1011" spans="1:111" x14ac:dyDescent="0.25">
      <c r="A1011">
        <v>132819</v>
      </c>
      <c r="B1011">
        <v>9243</v>
      </c>
      <c r="C1011" t="s">
        <v>7798</v>
      </c>
      <c r="D1011" t="s">
        <v>3116</v>
      </c>
      <c r="E1011">
        <v>2025</v>
      </c>
      <c r="F1011">
        <v>1017114</v>
      </c>
      <c r="G1011" t="s">
        <v>4269</v>
      </c>
      <c r="H1011" t="s">
        <v>7869</v>
      </c>
      <c r="I1011" t="s">
        <v>317</v>
      </c>
      <c r="J1011">
        <v>11</v>
      </c>
      <c r="K1011">
        <v>57</v>
      </c>
      <c r="L1011">
        <v>47</v>
      </c>
      <c r="M1011">
        <v>72</v>
      </c>
      <c r="N1011">
        <v>46</v>
      </c>
      <c r="O1011">
        <v>60</v>
      </c>
      <c r="P1011">
        <v>7</v>
      </c>
      <c r="Q1011">
        <v>5</v>
      </c>
      <c r="R1011">
        <v>4</v>
      </c>
      <c r="S1011">
        <v>2</v>
      </c>
      <c r="T1011">
        <v>0</v>
      </c>
      <c r="U1011">
        <v>0</v>
      </c>
      <c r="V1011">
        <v>0</v>
      </c>
      <c r="W1011">
        <v>1</v>
      </c>
      <c r="X1011">
        <v>0</v>
      </c>
      <c r="Y1011" t="s">
        <v>113</v>
      </c>
      <c r="Z1011" t="s">
        <v>525</v>
      </c>
      <c r="AA1011" t="s">
        <v>7270</v>
      </c>
      <c r="AH1011" t="s">
        <v>118</v>
      </c>
      <c r="AI1011">
        <v>40</v>
      </c>
      <c r="AJ1011">
        <v>0</v>
      </c>
      <c r="AK1011">
        <v>0</v>
      </c>
      <c r="AL1011">
        <v>0</v>
      </c>
      <c r="AM1011">
        <v>0.4</v>
      </c>
      <c r="AN1011">
        <v>0.88</v>
      </c>
      <c r="AO1011">
        <v>0.05</v>
      </c>
      <c r="AS1011">
        <v>4</v>
      </c>
      <c r="AT1011">
        <v>2</v>
      </c>
      <c r="AU1011">
        <v>1</v>
      </c>
      <c r="AV1011">
        <v>66</v>
      </c>
      <c r="AW1011">
        <v>84</v>
      </c>
      <c r="AX1011">
        <v>199</v>
      </c>
      <c r="AY1011">
        <v>0</v>
      </c>
      <c r="AZ1011" t="b">
        <v>0</v>
      </c>
      <c r="BA1011">
        <v>1728</v>
      </c>
      <c r="BB1011">
        <v>1559</v>
      </c>
      <c r="BC1011">
        <v>6</v>
      </c>
      <c r="BD1011" t="s">
        <v>7800</v>
      </c>
      <c r="BE1011" s="1" t="s">
        <v>3594</v>
      </c>
      <c r="BF1011">
        <v>0</v>
      </c>
      <c r="BG1011">
        <v>71</v>
      </c>
      <c r="BH1011">
        <v>0</v>
      </c>
      <c r="BI1011" s="1" t="s">
        <v>253</v>
      </c>
      <c r="BJ1011" s="1" t="s">
        <v>624</v>
      </c>
      <c r="BK1011">
        <v>4</v>
      </c>
      <c r="BL1011" s="1" t="s">
        <v>229</v>
      </c>
      <c r="BM1011" s="1" t="s">
        <v>125</v>
      </c>
      <c r="BN1011" s="1" t="s">
        <v>431</v>
      </c>
      <c r="BO1011" s="1" t="s">
        <v>126</v>
      </c>
      <c r="BP1011">
        <v>1.2</v>
      </c>
      <c r="BQ1011">
        <v>0</v>
      </c>
      <c r="BR1011">
        <v>0</v>
      </c>
      <c r="BS1011">
        <v>0</v>
      </c>
      <c r="BT1011">
        <v>0.4</v>
      </c>
      <c r="BU1011" s="1" t="s">
        <v>129</v>
      </c>
      <c r="BV1011" s="1" t="s">
        <v>184</v>
      </c>
      <c r="BW1011" s="1" t="s">
        <v>129</v>
      </c>
      <c r="BX1011" s="1" t="s">
        <v>184</v>
      </c>
      <c r="BY1011" s="1" t="s">
        <v>126</v>
      </c>
      <c r="BZ1011" s="1" t="s">
        <v>128</v>
      </c>
      <c r="CA1011">
        <v>0.4</v>
      </c>
      <c r="CB1011">
        <v>0.4</v>
      </c>
      <c r="CC1011">
        <v>0.88</v>
      </c>
      <c r="CD1011">
        <v>0.88</v>
      </c>
      <c r="CE1011">
        <v>0.05</v>
      </c>
      <c r="CF1011">
        <v>0.05</v>
      </c>
      <c r="CG1011" s="1" t="s">
        <v>159</v>
      </c>
      <c r="CH1011" s="1" t="s">
        <v>125</v>
      </c>
      <c r="CI1011">
        <v>1</v>
      </c>
      <c r="CJ1011">
        <v>1.2</v>
      </c>
      <c r="CK1011" s="1" t="s">
        <v>126</v>
      </c>
      <c r="CL1011" s="1" t="s">
        <v>275</v>
      </c>
      <c r="CM1011" s="1" t="s">
        <v>1459</v>
      </c>
      <c r="CN1011" s="1" t="s">
        <v>328</v>
      </c>
      <c r="CO1011" s="1" t="s">
        <v>364</v>
      </c>
      <c r="CP1011" s="1" t="s">
        <v>3439</v>
      </c>
      <c r="CQ1011" s="1" t="s">
        <v>6609</v>
      </c>
      <c r="CR1011" s="1" t="s">
        <v>7870</v>
      </c>
      <c r="CS1011" s="1" t="s">
        <v>4221</v>
      </c>
      <c r="CT1011" s="1" t="s">
        <v>4345</v>
      </c>
      <c r="CU1011" s="1" t="s">
        <v>5939</v>
      </c>
      <c r="CV1011">
        <v>1795.4</v>
      </c>
      <c r="CW1011">
        <v>38.65</v>
      </c>
      <c r="CX1011">
        <v>36.4</v>
      </c>
      <c r="CY1011">
        <v>31.4</v>
      </c>
      <c r="CZ1011" s="1" t="s">
        <v>536</v>
      </c>
      <c r="DA1011">
        <v>1</v>
      </c>
      <c r="DB1011" t="s">
        <v>525</v>
      </c>
      <c r="DC1011">
        <v>47</v>
      </c>
      <c r="DD1011" s="1" t="s">
        <v>7871</v>
      </c>
      <c r="DE1011" s="1" t="s">
        <v>7872</v>
      </c>
      <c r="DF1011" t="str">
        <f>_xlfn.XLOOKUP(Table1[[#This Row],[Player ID]],Table2[feed_id],Table2[trade_status])</f>
        <v>free_agent</v>
      </c>
      <c r="DG1011">
        <f>_xlfn.NUMBERVALUE(Table1[[#This Row],[predicted]])</f>
        <v>45.570379353415497</v>
      </c>
    </row>
    <row r="1012" spans="1:111" x14ac:dyDescent="0.25">
      <c r="A1012">
        <v>132781</v>
      </c>
      <c r="B1012">
        <v>9242</v>
      </c>
      <c r="C1012" t="s">
        <v>7597</v>
      </c>
      <c r="D1012" t="s">
        <v>3116</v>
      </c>
      <c r="E1012">
        <v>2025</v>
      </c>
      <c r="F1012">
        <v>1007099</v>
      </c>
      <c r="G1012" t="s">
        <v>2192</v>
      </c>
      <c r="H1012" t="s">
        <v>7702</v>
      </c>
      <c r="I1012" t="s">
        <v>291</v>
      </c>
      <c r="J1012">
        <v>7</v>
      </c>
      <c r="K1012">
        <v>20</v>
      </c>
      <c r="L1012">
        <v>33</v>
      </c>
      <c r="M1012">
        <v>24</v>
      </c>
      <c r="N1012">
        <v>18</v>
      </c>
      <c r="O1012">
        <v>21</v>
      </c>
      <c r="P1012">
        <v>2</v>
      </c>
      <c r="Q1012">
        <v>1</v>
      </c>
      <c r="R1012">
        <v>2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 t="s">
        <v>113</v>
      </c>
      <c r="Z1012" t="s">
        <v>861</v>
      </c>
      <c r="AA1012" t="s">
        <v>7703</v>
      </c>
      <c r="AB1012" t="s">
        <v>3571</v>
      </c>
      <c r="AC1012" t="s">
        <v>4081</v>
      </c>
      <c r="AH1012" t="s">
        <v>118</v>
      </c>
      <c r="AI1012">
        <v>30</v>
      </c>
      <c r="AJ1012">
        <v>0</v>
      </c>
      <c r="AK1012">
        <v>0</v>
      </c>
      <c r="AL1012">
        <v>0</v>
      </c>
      <c r="AM1012">
        <v>0.27</v>
      </c>
      <c r="AN1012">
        <v>0.38</v>
      </c>
      <c r="AO1012">
        <v>0.3</v>
      </c>
      <c r="AS1012">
        <v>2</v>
      </c>
      <c r="AT1012">
        <v>0</v>
      </c>
      <c r="AU1012">
        <v>0</v>
      </c>
      <c r="AV1012">
        <v>100</v>
      </c>
      <c r="AW1012">
        <v>35</v>
      </c>
      <c r="AX1012">
        <v>73</v>
      </c>
      <c r="AY1012">
        <v>0</v>
      </c>
      <c r="AZ1012" t="b">
        <v>0</v>
      </c>
      <c r="BA1012">
        <v>1764</v>
      </c>
      <c r="BB1012">
        <v>1522</v>
      </c>
      <c r="BC1012">
        <v>6</v>
      </c>
      <c r="BD1012" t="s">
        <v>7599</v>
      </c>
      <c r="BE1012" s="1" t="s">
        <v>3594</v>
      </c>
      <c r="BF1012">
        <v>0</v>
      </c>
      <c r="BG1012">
        <v>71</v>
      </c>
      <c r="BH1012">
        <v>0</v>
      </c>
      <c r="BI1012" s="1" t="s">
        <v>160</v>
      </c>
      <c r="BJ1012" s="1" t="s">
        <v>498</v>
      </c>
      <c r="BK1012">
        <v>2</v>
      </c>
      <c r="BL1012" s="1" t="s">
        <v>255</v>
      </c>
      <c r="BM1012" s="1" t="s">
        <v>159</v>
      </c>
      <c r="BN1012" s="1" t="s">
        <v>431</v>
      </c>
      <c r="BO1012">
        <v>1</v>
      </c>
      <c r="BP1012">
        <v>1.6</v>
      </c>
      <c r="BQ1012">
        <v>0</v>
      </c>
      <c r="BR1012">
        <v>0</v>
      </c>
      <c r="BS1012">
        <v>0</v>
      </c>
      <c r="BT1012" s="1" t="s">
        <v>231</v>
      </c>
      <c r="BU1012" s="1" t="s">
        <v>128</v>
      </c>
      <c r="BV1012">
        <v>0.6</v>
      </c>
      <c r="BW1012">
        <v>1</v>
      </c>
      <c r="BX1012" s="1" t="s">
        <v>238</v>
      </c>
      <c r="BY1012">
        <v>0</v>
      </c>
      <c r="BZ1012" s="1" t="s">
        <v>184</v>
      </c>
      <c r="CA1012">
        <v>0.27</v>
      </c>
      <c r="CB1012">
        <v>0.754</v>
      </c>
      <c r="CC1012">
        <v>0.38</v>
      </c>
      <c r="CD1012" s="1" t="s">
        <v>7704</v>
      </c>
      <c r="CE1012">
        <v>0.3</v>
      </c>
      <c r="CF1012" s="1" t="s">
        <v>1911</v>
      </c>
      <c r="CG1012" s="1" t="s">
        <v>161</v>
      </c>
      <c r="CH1012" s="1" t="s">
        <v>373</v>
      </c>
      <c r="CI1012">
        <v>0</v>
      </c>
      <c r="CJ1012" s="1" t="s">
        <v>128</v>
      </c>
      <c r="CK1012">
        <v>1</v>
      </c>
      <c r="CL1012">
        <v>2.4</v>
      </c>
      <c r="CM1012">
        <v>81</v>
      </c>
      <c r="CN1012" s="1" t="s">
        <v>3733</v>
      </c>
      <c r="CO1012">
        <v>55</v>
      </c>
      <c r="CP1012" s="1" t="s">
        <v>6316</v>
      </c>
      <c r="CQ1012">
        <v>135</v>
      </c>
      <c r="CR1012">
        <v>238</v>
      </c>
      <c r="CS1012" s="1" t="s">
        <v>2460</v>
      </c>
      <c r="CT1012" s="1" t="s">
        <v>7705</v>
      </c>
      <c r="CU1012" s="1" t="s">
        <v>7601</v>
      </c>
      <c r="CV1012">
        <v>1619.4</v>
      </c>
      <c r="CW1012">
        <v>36.35</v>
      </c>
      <c r="CX1012">
        <v>43.7</v>
      </c>
      <c r="CY1012">
        <v>40.6</v>
      </c>
      <c r="CZ1012">
        <v>41</v>
      </c>
      <c r="DA1012">
        <v>1</v>
      </c>
      <c r="DB1012" t="s">
        <v>861</v>
      </c>
      <c r="DC1012">
        <v>33</v>
      </c>
      <c r="DD1012" s="1" t="s">
        <v>7706</v>
      </c>
      <c r="DE1012">
        <v>-11.7243794380946</v>
      </c>
      <c r="DF1012" t="str">
        <f>_xlfn.XLOOKUP(Table1[[#This Row],[Player ID]],Table2[feed_id],Table2[trade_status])</f>
        <v>free_agent</v>
      </c>
      <c r="DG1012">
        <f>_xlfn.NUMBERVALUE(Table1[[#This Row],[predicted]])</f>
        <v>44.724379438094601</v>
      </c>
    </row>
    <row r="1013" spans="1:111" x14ac:dyDescent="0.25">
      <c r="A1013">
        <v>132600</v>
      </c>
      <c r="B1013">
        <v>9238</v>
      </c>
      <c r="C1013" t="s">
        <v>6865</v>
      </c>
      <c r="D1013" t="s">
        <v>3116</v>
      </c>
      <c r="E1013">
        <v>2025</v>
      </c>
      <c r="F1013">
        <v>991773</v>
      </c>
      <c r="G1013" t="s">
        <v>2130</v>
      </c>
      <c r="H1013" t="s">
        <v>6958</v>
      </c>
      <c r="I1013" t="s">
        <v>112</v>
      </c>
      <c r="J1013">
        <v>3</v>
      </c>
      <c r="K1013">
        <v>39</v>
      </c>
      <c r="L1013">
        <v>72</v>
      </c>
      <c r="M1013">
        <v>50</v>
      </c>
      <c r="N1013">
        <v>31</v>
      </c>
      <c r="O1013">
        <v>42</v>
      </c>
      <c r="P1013">
        <v>6</v>
      </c>
      <c r="Q1013">
        <v>4</v>
      </c>
      <c r="R1013">
        <v>3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113</v>
      </c>
      <c r="Z1013" t="s">
        <v>179</v>
      </c>
      <c r="AA1013" t="s">
        <v>6959</v>
      </c>
      <c r="AE1013">
        <v>0</v>
      </c>
      <c r="AH1013" t="s">
        <v>181</v>
      </c>
      <c r="AI1013">
        <v>17</v>
      </c>
      <c r="AJ1013">
        <v>0</v>
      </c>
      <c r="AK1013">
        <v>0</v>
      </c>
      <c r="AL1013">
        <v>0</v>
      </c>
      <c r="AM1013">
        <v>0</v>
      </c>
      <c r="AN1013">
        <v>0.11</v>
      </c>
      <c r="AO1013">
        <v>0.12</v>
      </c>
      <c r="AS1013">
        <v>5</v>
      </c>
      <c r="AT1013">
        <v>0</v>
      </c>
      <c r="AU1013">
        <v>0</v>
      </c>
      <c r="AV1013">
        <v>90</v>
      </c>
      <c r="AW1013">
        <v>92</v>
      </c>
      <c r="AX1013">
        <v>66</v>
      </c>
      <c r="AY1013">
        <v>0</v>
      </c>
      <c r="AZ1013" t="b">
        <v>0</v>
      </c>
      <c r="BA1013">
        <v>1546</v>
      </c>
      <c r="BB1013">
        <v>1741</v>
      </c>
      <c r="BC1013">
        <v>6</v>
      </c>
      <c r="BD1013" t="s">
        <v>6869</v>
      </c>
      <c r="BE1013" s="1" t="s">
        <v>3594</v>
      </c>
      <c r="BF1013">
        <v>0</v>
      </c>
      <c r="BG1013">
        <v>71</v>
      </c>
      <c r="BH1013">
        <v>1</v>
      </c>
      <c r="BI1013" s="1" t="s">
        <v>211</v>
      </c>
      <c r="BJ1013">
        <v>5.2</v>
      </c>
      <c r="BK1013" s="1" t="s">
        <v>138</v>
      </c>
      <c r="BL1013">
        <v>3</v>
      </c>
      <c r="BM1013" s="1" t="s">
        <v>169</v>
      </c>
      <c r="BN1013" s="1" t="s">
        <v>431</v>
      </c>
      <c r="BO1013">
        <v>1</v>
      </c>
      <c r="BP1013">
        <v>1.2</v>
      </c>
      <c r="BQ1013">
        <v>0</v>
      </c>
      <c r="BR1013">
        <v>1</v>
      </c>
      <c r="BS1013">
        <v>0</v>
      </c>
      <c r="BT1013" s="1" t="s">
        <v>129</v>
      </c>
      <c r="BU1013" s="1" t="s">
        <v>126</v>
      </c>
      <c r="BV1013">
        <v>1</v>
      </c>
      <c r="BW1013">
        <v>0</v>
      </c>
      <c r="BX1013">
        <v>6.6666666666666596E-2</v>
      </c>
      <c r="BY1013">
        <v>0</v>
      </c>
      <c r="BZ1013" s="1" t="s">
        <v>184</v>
      </c>
      <c r="CA1013">
        <v>0</v>
      </c>
      <c r="CB1013">
        <v>0</v>
      </c>
      <c r="CC1013">
        <v>0.11</v>
      </c>
      <c r="CD1013">
        <v>0.11</v>
      </c>
      <c r="CE1013">
        <v>0.12</v>
      </c>
      <c r="CF1013">
        <v>0.12</v>
      </c>
      <c r="CG1013" s="1" t="s">
        <v>160</v>
      </c>
      <c r="CH1013" s="1" t="s">
        <v>125</v>
      </c>
      <c r="CI1013">
        <v>0</v>
      </c>
      <c r="CJ1013">
        <v>0.2</v>
      </c>
      <c r="CK1013" s="1" t="s">
        <v>161</v>
      </c>
      <c r="CL1013" s="1" t="s">
        <v>322</v>
      </c>
      <c r="CM1013" s="1" t="s">
        <v>1739</v>
      </c>
      <c r="CN1013">
        <v>75.8</v>
      </c>
      <c r="CO1013" s="1" t="s">
        <v>2492</v>
      </c>
      <c r="CP1013">
        <v>91.6</v>
      </c>
      <c r="CQ1013">
        <v>89</v>
      </c>
      <c r="CR1013" s="1" t="s">
        <v>6960</v>
      </c>
      <c r="CS1013">
        <v>1714</v>
      </c>
      <c r="CT1013">
        <v>1604.4</v>
      </c>
      <c r="CU1013" s="1" t="s">
        <v>851</v>
      </c>
      <c r="CV1013" s="1" t="s">
        <v>2174</v>
      </c>
      <c r="CW1013">
        <v>50.35</v>
      </c>
      <c r="CX1013">
        <v>45.5</v>
      </c>
      <c r="CY1013">
        <v>51.2</v>
      </c>
      <c r="CZ1013" s="1" t="s">
        <v>4315</v>
      </c>
      <c r="DA1013">
        <v>1</v>
      </c>
      <c r="DB1013" t="s">
        <v>179</v>
      </c>
      <c r="DC1013">
        <v>72</v>
      </c>
      <c r="DD1013" s="1" t="s">
        <v>6961</v>
      </c>
      <c r="DE1013" s="1" t="s">
        <v>6962</v>
      </c>
      <c r="DF1013" t="str">
        <f>_xlfn.XLOOKUP(Table1[[#This Row],[Player ID]],Table2[feed_id],Table2[trade_status])</f>
        <v>free_agent</v>
      </c>
      <c r="DG1013">
        <f>_xlfn.NUMBERVALUE(Table1[[#This Row],[predicted]])</f>
        <v>43.576819802814398</v>
      </c>
    </row>
    <row r="1014" spans="1:111" x14ac:dyDescent="0.25">
      <c r="A1014">
        <v>132847</v>
      </c>
      <c r="B1014">
        <v>9243</v>
      </c>
      <c r="C1014" t="s">
        <v>7798</v>
      </c>
      <c r="D1014" t="s">
        <v>3116</v>
      </c>
      <c r="E1014">
        <v>2025</v>
      </c>
      <c r="F1014">
        <v>1020668</v>
      </c>
      <c r="G1014" t="s">
        <v>3361</v>
      </c>
      <c r="H1014" t="s">
        <v>7723</v>
      </c>
      <c r="I1014" t="s">
        <v>178</v>
      </c>
      <c r="J1014">
        <v>3</v>
      </c>
      <c r="K1014">
        <v>36</v>
      </c>
      <c r="L1014">
        <v>55</v>
      </c>
      <c r="M1014">
        <v>31</v>
      </c>
      <c r="N1014">
        <v>31</v>
      </c>
      <c r="O1014">
        <v>42</v>
      </c>
      <c r="P1014">
        <v>3</v>
      </c>
      <c r="Q1014">
        <v>7</v>
      </c>
      <c r="R1014">
        <v>2</v>
      </c>
      <c r="S1014">
        <v>1</v>
      </c>
      <c r="T1014">
        <v>3</v>
      </c>
      <c r="U1014">
        <v>0</v>
      </c>
      <c r="V1014">
        <v>0</v>
      </c>
      <c r="W1014">
        <v>0</v>
      </c>
      <c r="X1014">
        <v>0</v>
      </c>
      <c r="Y1014" t="s">
        <v>113</v>
      </c>
      <c r="Z1014" t="s">
        <v>179</v>
      </c>
      <c r="AA1014" t="s">
        <v>7975</v>
      </c>
      <c r="AI1014">
        <v>37</v>
      </c>
      <c r="AJ1014">
        <v>0</v>
      </c>
      <c r="AK1014">
        <v>0</v>
      </c>
      <c r="AL1014">
        <v>0</v>
      </c>
      <c r="AM1014">
        <v>0.04</v>
      </c>
      <c r="AN1014">
        <v>0.1</v>
      </c>
      <c r="AO1014">
        <v>0.47</v>
      </c>
      <c r="AS1014">
        <v>6</v>
      </c>
      <c r="AT1014">
        <v>0</v>
      </c>
      <c r="AU1014">
        <v>1</v>
      </c>
      <c r="AV1014">
        <v>80</v>
      </c>
      <c r="AW1014">
        <v>87</v>
      </c>
      <c r="AX1014">
        <v>41</v>
      </c>
      <c r="AY1014">
        <v>0</v>
      </c>
      <c r="AZ1014" t="b">
        <v>0</v>
      </c>
      <c r="BA1014">
        <v>1559</v>
      </c>
      <c r="BB1014">
        <v>1728</v>
      </c>
      <c r="BC1014">
        <v>6</v>
      </c>
      <c r="BD1014" t="s">
        <v>7901</v>
      </c>
      <c r="BE1014" s="1" t="s">
        <v>3594</v>
      </c>
      <c r="BF1014">
        <v>0</v>
      </c>
      <c r="BG1014">
        <v>71</v>
      </c>
      <c r="BH1014">
        <v>0</v>
      </c>
      <c r="BI1014" s="1" t="s">
        <v>125</v>
      </c>
      <c r="BJ1014">
        <v>6</v>
      </c>
      <c r="BK1014" s="1" t="s">
        <v>125</v>
      </c>
      <c r="BL1014" s="1" t="s">
        <v>781</v>
      </c>
      <c r="BM1014">
        <v>2</v>
      </c>
      <c r="BN1014" s="1" t="s">
        <v>212</v>
      </c>
      <c r="BO1014">
        <v>1</v>
      </c>
      <c r="BP1014">
        <v>1</v>
      </c>
      <c r="BQ1014">
        <v>1</v>
      </c>
      <c r="BR1014">
        <v>0.2</v>
      </c>
      <c r="BS1014" s="1" t="s">
        <v>129</v>
      </c>
      <c r="BT1014" s="1" t="s">
        <v>231</v>
      </c>
      <c r="BU1014" s="1" t="s">
        <v>128</v>
      </c>
      <c r="BV1014" s="1" t="s">
        <v>128</v>
      </c>
      <c r="BW1014">
        <v>0</v>
      </c>
      <c r="BX1014">
        <v>0</v>
      </c>
      <c r="BY1014">
        <v>0</v>
      </c>
      <c r="BZ1014">
        <v>0</v>
      </c>
      <c r="CA1014">
        <v>0.04</v>
      </c>
      <c r="CB1014">
        <v>0.04</v>
      </c>
      <c r="CC1014">
        <v>0.1</v>
      </c>
      <c r="CD1014">
        <v>0.1</v>
      </c>
      <c r="CE1014">
        <v>0.47</v>
      </c>
      <c r="CF1014">
        <v>0.47</v>
      </c>
      <c r="CG1014" s="1" t="s">
        <v>125</v>
      </c>
      <c r="CH1014">
        <v>4.2</v>
      </c>
      <c r="CI1014" s="1" t="s">
        <v>129</v>
      </c>
      <c r="CJ1014">
        <v>6.6666666666666596E-2</v>
      </c>
      <c r="CK1014" s="1" t="s">
        <v>126</v>
      </c>
      <c r="CL1014" s="1" t="s">
        <v>298</v>
      </c>
      <c r="CM1014">
        <v>89</v>
      </c>
      <c r="CN1014">
        <v>85.4</v>
      </c>
      <c r="CO1014" s="1" t="s">
        <v>306</v>
      </c>
      <c r="CP1014" s="1" t="s">
        <v>968</v>
      </c>
      <c r="CQ1014" s="1" t="s">
        <v>3381</v>
      </c>
      <c r="CR1014" s="1" t="s">
        <v>7976</v>
      </c>
      <c r="CS1014" s="1" t="s">
        <v>7903</v>
      </c>
      <c r="CT1014" s="1" t="s">
        <v>7977</v>
      </c>
      <c r="CU1014" s="1" t="s">
        <v>6535</v>
      </c>
      <c r="CV1014">
        <v>1600.2</v>
      </c>
      <c r="CW1014">
        <v>53.5</v>
      </c>
      <c r="CX1014">
        <v>58.7</v>
      </c>
      <c r="CY1014">
        <v>50.6</v>
      </c>
      <c r="CZ1014">
        <v>48</v>
      </c>
      <c r="DA1014">
        <v>1</v>
      </c>
      <c r="DB1014" t="s">
        <v>179</v>
      </c>
      <c r="DC1014">
        <v>55</v>
      </c>
      <c r="DD1014" s="1" t="s">
        <v>7978</v>
      </c>
      <c r="DE1014" s="1" t="s">
        <v>7979</v>
      </c>
      <c r="DF1014" t="str">
        <f>_xlfn.XLOOKUP(Table1[[#This Row],[Player ID]],Table2[feed_id],Table2[trade_status])</f>
        <v>free_agent</v>
      </c>
      <c r="DG1014">
        <f>_xlfn.NUMBERVALUE(Table1[[#This Row],[predicted]])</f>
        <v>42.497659346154997</v>
      </c>
    </row>
  </sheetData>
  <conditionalFormatting sqref="L2:L10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621A-9C66-4A06-BD65-F64D615FAEC3}">
  <dimension ref="A1:BL607"/>
  <sheetViews>
    <sheetView workbookViewId="0">
      <selection sqref="A1:BL607"/>
    </sheetView>
  </sheetViews>
  <sheetFormatPr defaultRowHeight="15" x14ac:dyDescent="0.25"/>
  <cols>
    <col min="1" max="1" width="11" customWidth="1"/>
    <col min="2" max="2" width="11.140625" customWidth="1"/>
    <col min="3" max="3" width="14" customWidth="1"/>
    <col min="4" max="4" width="14.85546875" customWidth="1"/>
    <col min="5" max="5" width="13.7109375" customWidth="1"/>
    <col min="6" max="6" width="9.42578125" customWidth="1"/>
    <col min="7" max="7" width="12.42578125" customWidth="1"/>
    <col min="8" max="8" width="12.28515625" customWidth="1"/>
    <col min="10" max="10" width="10.42578125" customWidth="1"/>
    <col min="14" max="14" width="13.5703125" customWidth="1"/>
    <col min="16" max="16" width="13.85546875" customWidth="1"/>
    <col min="17" max="17" width="14.85546875" customWidth="1"/>
    <col min="18" max="18" width="19.7109375" customWidth="1"/>
    <col min="19" max="19" width="14.5703125" customWidth="1"/>
    <col min="20" max="20" width="16.5703125" customWidth="1"/>
    <col min="21" max="21" width="17" customWidth="1"/>
    <col min="22" max="22" width="21.85546875" customWidth="1"/>
    <col min="23" max="23" width="13" customWidth="1"/>
    <col min="25" max="25" width="12.5703125" customWidth="1"/>
    <col min="26" max="26" width="12.140625" customWidth="1"/>
    <col min="27" max="27" width="17" customWidth="1"/>
    <col min="29" max="29" width="13.5703125" customWidth="1"/>
    <col min="30" max="30" width="9.42578125" customWidth="1"/>
    <col min="31" max="32" width="14.28515625" customWidth="1"/>
    <col min="33" max="33" width="19.140625" customWidth="1"/>
    <col min="34" max="34" width="18.42578125" customWidth="1"/>
    <col min="35" max="35" width="23.28515625" customWidth="1"/>
    <col min="36" max="36" width="9.28515625" customWidth="1"/>
    <col min="37" max="37" width="14.140625" customWidth="1"/>
    <col min="39" max="39" width="12.85546875" customWidth="1"/>
    <col min="40" max="40" width="10.28515625" customWidth="1"/>
    <col min="41" max="41" width="15.140625" customWidth="1"/>
    <col min="43" max="43" width="11" customWidth="1"/>
    <col min="47" max="47" width="9.5703125" customWidth="1"/>
    <col min="61" max="61" width="16.7109375" customWidth="1"/>
    <col min="62" max="62" width="21.5703125" customWidth="1"/>
    <col min="63" max="63" width="12.42578125" customWidth="1"/>
    <col min="64" max="64" width="17.7109375" customWidth="1"/>
  </cols>
  <sheetData>
    <row r="1" spans="1:64" x14ac:dyDescent="0.25">
      <c r="A1" t="s">
        <v>8381</v>
      </c>
      <c r="B1" t="s">
        <v>8382</v>
      </c>
      <c r="C1" t="s">
        <v>8383</v>
      </c>
      <c r="D1" t="s">
        <v>8384</v>
      </c>
      <c r="E1" t="s">
        <v>8385</v>
      </c>
      <c r="F1" t="s">
        <v>8386</v>
      </c>
      <c r="G1" t="s">
        <v>8387</v>
      </c>
      <c r="H1" t="s">
        <v>8388</v>
      </c>
      <c r="I1" t="s">
        <v>8389</v>
      </c>
      <c r="J1" t="s">
        <v>8390</v>
      </c>
      <c r="K1" t="s">
        <v>8391</v>
      </c>
      <c r="L1" t="s">
        <v>8392</v>
      </c>
      <c r="M1" t="s">
        <v>8393</v>
      </c>
      <c r="N1" t="s">
        <v>8394</v>
      </c>
      <c r="O1" t="s">
        <v>8395</v>
      </c>
      <c r="P1" t="s">
        <v>8396</v>
      </c>
      <c r="Q1" t="s">
        <v>8397</v>
      </c>
      <c r="R1" t="s">
        <v>8398</v>
      </c>
      <c r="S1" t="s">
        <v>8399</v>
      </c>
      <c r="T1" t="s">
        <v>8400</v>
      </c>
      <c r="U1" t="s">
        <v>8401</v>
      </c>
      <c r="V1" t="s">
        <v>8402</v>
      </c>
      <c r="W1" t="s">
        <v>8403</v>
      </c>
      <c r="X1" t="s">
        <v>8404</v>
      </c>
      <c r="Y1" t="s">
        <v>8405</v>
      </c>
      <c r="Z1" t="s">
        <v>8406</v>
      </c>
      <c r="AA1" t="s">
        <v>8407</v>
      </c>
      <c r="AB1" t="s">
        <v>8408</v>
      </c>
      <c r="AC1" t="s">
        <v>8409</v>
      </c>
      <c r="AD1" t="s">
        <v>8410</v>
      </c>
      <c r="AE1" t="s">
        <v>8411</v>
      </c>
      <c r="AF1" t="s">
        <v>8412</v>
      </c>
      <c r="AG1" t="s">
        <v>8413</v>
      </c>
      <c r="AH1" t="s">
        <v>8414</v>
      </c>
      <c r="AI1" t="s">
        <v>8415</v>
      </c>
      <c r="AJ1" t="s">
        <v>8416</v>
      </c>
      <c r="AK1" t="s">
        <v>8417</v>
      </c>
      <c r="AL1" t="s">
        <v>8418</v>
      </c>
      <c r="AM1" t="s">
        <v>8419</v>
      </c>
      <c r="AN1" t="s">
        <v>8420</v>
      </c>
      <c r="AO1" t="s">
        <v>8421</v>
      </c>
      <c r="AP1" t="s">
        <v>8422</v>
      </c>
      <c r="AQ1" t="s">
        <v>8423</v>
      </c>
      <c r="AR1" t="s">
        <v>8424</v>
      </c>
      <c r="AS1" t="s">
        <v>8425</v>
      </c>
      <c r="AT1" t="s">
        <v>8426</v>
      </c>
      <c r="AU1" t="s">
        <v>8427</v>
      </c>
      <c r="AV1" t="s">
        <v>8428</v>
      </c>
      <c r="AW1" t="s">
        <v>8429</v>
      </c>
      <c r="AX1" t="s">
        <v>8430</v>
      </c>
      <c r="AY1" t="s">
        <v>8431</v>
      </c>
      <c r="AZ1" t="s">
        <v>8432</v>
      </c>
      <c r="BA1" t="s">
        <v>8433</v>
      </c>
      <c r="BB1" t="s">
        <v>8434</v>
      </c>
      <c r="BC1" t="s">
        <v>8435</v>
      </c>
      <c r="BD1" t="s">
        <v>8436</v>
      </c>
      <c r="BE1" t="s">
        <v>8437</v>
      </c>
      <c r="BF1" t="s">
        <v>8438</v>
      </c>
      <c r="BG1" t="s">
        <v>8439</v>
      </c>
      <c r="BH1" t="s">
        <v>8440</v>
      </c>
      <c r="BI1" t="s">
        <v>8441</v>
      </c>
      <c r="BJ1" t="s">
        <v>8442</v>
      </c>
      <c r="BK1" t="s">
        <v>8443</v>
      </c>
      <c r="BL1" t="s">
        <v>8444</v>
      </c>
    </row>
    <row r="2" spans="1:64" x14ac:dyDescent="0.25">
      <c r="A2">
        <v>25</v>
      </c>
      <c r="B2">
        <v>667</v>
      </c>
      <c r="C2" t="s">
        <v>8445</v>
      </c>
      <c r="F2">
        <v>1013128</v>
      </c>
      <c r="G2" t="s">
        <v>6132</v>
      </c>
      <c r="H2" t="s">
        <v>6133</v>
      </c>
      <c r="I2" t="s">
        <v>8446</v>
      </c>
      <c r="J2">
        <v>0</v>
      </c>
      <c r="K2">
        <v>6</v>
      </c>
      <c r="L2">
        <v>0</v>
      </c>
      <c r="M2">
        <v>581900</v>
      </c>
      <c r="N2">
        <v>0</v>
      </c>
      <c r="O2">
        <v>0</v>
      </c>
      <c r="P2">
        <v>0</v>
      </c>
      <c r="Q2">
        <v>0</v>
      </c>
      <c r="R2">
        <v>0</v>
      </c>
      <c r="S2">
        <v>510</v>
      </c>
      <c r="T2">
        <v>0</v>
      </c>
      <c r="U2">
        <v>0</v>
      </c>
      <c r="V2">
        <v>0</v>
      </c>
      <c r="W2" t="s">
        <v>8447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3690</v>
      </c>
      <c r="AR2">
        <v>0</v>
      </c>
      <c r="AS2">
        <v>0</v>
      </c>
      <c r="AT2" t="s">
        <v>8448</v>
      </c>
      <c r="AU2">
        <v>81</v>
      </c>
      <c r="AV2">
        <v>0</v>
      </c>
      <c r="AW2" t="s">
        <v>8449</v>
      </c>
      <c r="AX2">
        <v>1</v>
      </c>
      <c r="AY2" t="s">
        <v>8450</v>
      </c>
      <c r="AZ2">
        <v>0</v>
      </c>
      <c r="BA2" t="s">
        <v>8451</v>
      </c>
      <c r="BB2">
        <v>1</v>
      </c>
      <c r="BC2" t="s">
        <v>8452</v>
      </c>
      <c r="BD2">
        <v>100.703</v>
      </c>
      <c r="BE2" t="s">
        <v>8453</v>
      </c>
      <c r="BF2" t="s">
        <v>8454</v>
      </c>
      <c r="BG2" t="s">
        <v>8455</v>
      </c>
      <c r="BH2">
        <v>83.863600000000005</v>
      </c>
    </row>
    <row r="3" spans="1:64" x14ac:dyDescent="0.25">
      <c r="A3">
        <v>35</v>
      </c>
      <c r="B3">
        <v>778</v>
      </c>
      <c r="C3" t="s">
        <v>8445</v>
      </c>
      <c r="F3">
        <v>292128</v>
      </c>
      <c r="G3" t="s">
        <v>5866</v>
      </c>
      <c r="H3" t="s">
        <v>5867</v>
      </c>
      <c r="I3" t="s">
        <v>8456</v>
      </c>
      <c r="J3">
        <v>0</v>
      </c>
      <c r="K3">
        <v>6</v>
      </c>
      <c r="L3">
        <v>0</v>
      </c>
      <c r="M3">
        <v>564700</v>
      </c>
      <c r="N3">
        <v>0</v>
      </c>
      <c r="O3">
        <v>0</v>
      </c>
      <c r="P3">
        <v>0</v>
      </c>
      <c r="Q3">
        <v>0</v>
      </c>
      <c r="R3">
        <v>0</v>
      </c>
      <c r="S3">
        <v>510</v>
      </c>
      <c r="T3">
        <v>0</v>
      </c>
      <c r="U3">
        <v>0</v>
      </c>
      <c r="V3">
        <v>0</v>
      </c>
      <c r="W3" t="s">
        <v>8457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2463</v>
      </c>
      <c r="AR3">
        <v>0</v>
      </c>
      <c r="AS3">
        <v>0</v>
      </c>
      <c r="AT3" t="s">
        <v>8458</v>
      </c>
      <c r="AU3">
        <v>88.583299999999994</v>
      </c>
      <c r="AV3">
        <v>0</v>
      </c>
      <c r="AW3" t="s">
        <v>8459</v>
      </c>
      <c r="AX3">
        <v>1</v>
      </c>
      <c r="AY3" t="s">
        <v>8460</v>
      </c>
      <c r="AZ3">
        <v>0</v>
      </c>
      <c r="BA3" t="s">
        <v>8461</v>
      </c>
      <c r="BB3">
        <v>1</v>
      </c>
      <c r="BC3" t="s">
        <v>8462</v>
      </c>
      <c r="BD3">
        <v>98.836399999999998</v>
      </c>
      <c r="BE3" t="s">
        <v>8455</v>
      </c>
      <c r="BF3" t="s">
        <v>8463</v>
      </c>
      <c r="BG3" t="s">
        <v>8464</v>
      </c>
      <c r="BH3">
        <v>55.9773</v>
      </c>
    </row>
    <row r="4" spans="1:64" x14ac:dyDescent="0.25">
      <c r="A4">
        <v>47</v>
      </c>
      <c r="B4">
        <v>118</v>
      </c>
      <c r="C4" t="s">
        <v>8445</v>
      </c>
      <c r="F4">
        <v>297907</v>
      </c>
      <c r="G4" t="s">
        <v>4427</v>
      </c>
      <c r="H4" t="s">
        <v>316</v>
      </c>
      <c r="I4" t="s">
        <v>8465</v>
      </c>
      <c r="J4">
        <v>0</v>
      </c>
      <c r="K4">
        <v>6</v>
      </c>
      <c r="L4">
        <v>0</v>
      </c>
      <c r="M4">
        <v>546800</v>
      </c>
      <c r="N4">
        <v>0</v>
      </c>
      <c r="O4">
        <v>0</v>
      </c>
      <c r="P4">
        <v>0</v>
      </c>
      <c r="Q4">
        <v>0</v>
      </c>
      <c r="R4">
        <v>0</v>
      </c>
      <c r="S4">
        <v>510</v>
      </c>
      <c r="T4">
        <v>0</v>
      </c>
      <c r="U4">
        <v>0</v>
      </c>
      <c r="V4">
        <v>0</v>
      </c>
      <c r="W4" t="s">
        <v>8466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1090</v>
      </c>
      <c r="AR4">
        <v>0</v>
      </c>
      <c r="AS4">
        <v>0</v>
      </c>
      <c r="AT4" t="s">
        <v>8467</v>
      </c>
      <c r="AU4">
        <v>86</v>
      </c>
      <c r="AV4">
        <v>1</v>
      </c>
      <c r="AW4" t="s">
        <v>8468</v>
      </c>
      <c r="AX4">
        <v>0</v>
      </c>
      <c r="AY4" t="s">
        <v>8469</v>
      </c>
      <c r="AZ4">
        <v>1</v>
      </c>
      <c r="BA4" t="s">
        <v>8470</v>
      </c>
      <c r="BB4">
        <v>1</v>
      </c>
      <c r="BC4" t="s">
        <v>8471</v>
      </c>
      <c r="BD4">
        <v>91</v>
      </c>
      <c r="BE4" t="s">
        <v>8464</v>
      </c>
      <c r="BF4" t="s">
        <v>8472</v>
      </c>
      <c r="BG4" t="s">
        <v>8464</v>
      </c>
      <c r="BH4">
        <v>24.7727</v>
      </c>
    </row>
    <row r="5" spans="1:64" x14ac:dyDescent="0.25">
      <c r="A5">
        <v>67</v>
      </c>
      <c r="B5">
        <v>762</v>
      </c>
      <c r="C5" t="s">
        <v>8473</v>
      </c>
      <c r="D5">
        <v>116859</v>
      </c>
      <c r="E5" t="s">
        <v>8474</v>
      </c>
      <c r="F5">
        <v>295898</v>
      </c>
      <c r="G5" t="s">
        <v>1918</v>
      </c>
      <c r="H5" t="s">
        <v>1786</v>
      </c>
      <c r="I5" t="s">
        <v>8456</v>
      </c>
      <c r="J5">
        <v>0</v>
      </c>
      <c r="K5">
        <v>6</v>
      </c>
      <c r="L5">
        <v>0</v>
      </c>
      <c r="M5">
        <v>462700</v>
      </c>
      <c r="N5">
        <v>296</v>
      </c>
      <c r="O5">
        <v>0</v>
      </c>
      <c r="P5">
        <v>4</v>
      </c>
      <c r="Q5">
        <v>0</v>
      </c>
      <c r="R5">
        <v>-51600</v>
      </c>
      <c r="S5">
        <v>254</v>
      </c>
      <c r="T5">
        <v>0</v>
      </c>
      <c r="U5">
        <v>0</v>
      </c>
      <c r="V5">
        <v>404</v>
      </c>
      <c r="W5" t="s">
        <v>8475</v>
      </c>
      <c r="X5">
        <v>0</v>
      </c>
      <c r="Y5">
        <v>37</v>
      </c>
      <c r="Z5">
        <v>0</v>
      </c>
      <c r="AA5">
        <v>38</v>
      </c>
      <c r="AB5">
        <v>0</v>
      </c>
      <c r="AC5">
        <v>11</v>
      </c>
      <c r="AD5">
        <v>0</v>
      </c>
      <c r="AE5">
        <v>13</v>
      </c>
      <c r="AF5">
        <v>0</v>
      </c>
      <c r="AG5">
        <v>0</v>
      </c>
      <c r="AH5">
        <v>0</v>
      </c>
      <c r="AI5">
        <v>-4</v>
      </c>
      <c r="AJ5">
        <v>0</v>
      </c>
      <c r="AK5">
        <v>0</v>
      </c>
      <c r="AL5">
        <v>0</v>
      </c>
      <c r="AM5">
        <v>0</v>
      </c>
      <c r="AN5">
        <v>0</v>
      </c>
      <c r="AO5">
        <v>3</v>
      </c>
      <c r="AP5">
        <v>74</v>
      </c>
      <c r="AQ5">
        <v>2591</v>
      </c>
      <c r="AR5">
        <v>74</v>
      </c>
      <c r="AS5">
        <v>80</v>
      </c>
      <c r="AT5" t="s">
        <v>8458</v>
      </c>
      <c r="AU5">
        <v>80</v>
      </c>
      <c r="AV5">
        <v>0</v>
      </c>
      <c r="AW5" t="s">
        <v>8459</v>
      </c>
      <c r="AX5">
        <v>1</v>
      </c>
      <c r="AY5" t="s">
        <v>8460</v>
      </c>
      <c r="AZ5">
        <v>0</v>
      </c>
      <c r="BA5" t="s">
        <v>8461</v>
      </c>
      <c r="BB5">
        <v>1</v>
      </c>
      <c r="BC5" t="s">
        <v>8462</v>
      </c>
      <c r="BD5">
        <v>94.627399999999994</v>
      </c>
      <c r="BE5" t="s">
        <v>8455</v>
      </c>
      <c r="BF5" t="s">
        <v>8463</v>
      </c>
      <c r="BG5" t="s">
        <v>8464</v>
      </c>
      <c r="BH5">
        <v>58.886400000000002</v>
      </c>
      <c r="BJ5" s="1" t="s">
        <v>8476</v>
      </c>
      <c r="BK5" s="1" t="s">
        <v>8477</v>
      </c>
    </row>
    <row r="6" spans="1:64" x14ac:dyDescent="0.25">
      <c r="A6">
        <v>75</v>
      </c>
      <c r="B6">
        <v>88</v>
      </c>
      <c r="C6" t="s">
        <v>8445</v>
      </c>
      <c r="F6">
        <v>296294</v>
      </c>
      <c r="G6" t="s">
        <v>6512</v>
      </c>
      <c r="H6" t="s">
        <v>6513</v>
      </c>
      <c r="I6" t="s">
        <v>8465</v>
      </c>
      <c r="J6">
        <v>0</v>
      </c>
      <c r="K6">
        <v>6</v>
      </c>
      <c r="L6">
        <v>0</v>
      </c>
      <c r="M6">
        <v>386900</v>
      </c>
      <c r="N6">
        <v>237</v>
      </c>
      <c r="O6">
        <v>0</v>
      </c>
      <c r="P6">
        <v>4</v>
      </c>
      <c r="Q6">
        <v>0</v>
      </c>
      <c r="R6">
        <v>-113700</v>
      </c>
      <c r="S6">
        <v>322</v>
      </c>
      <c r="T6">
        <v>0</v>
      </c>
      <c r="U6">
        <v>0</v>
      </c>
      <c r="V6">
        <v>425</v>
      </c>
      <c r="W6" t="s">
        <v>8475</v>
      </c>
      <c r="X6">
        <v>0</v>
      </c>
      <c r="Y6">
        <v>41</v>
      </c>
      <c r="Z6">
        <v>0</v>
      </c>
      <c r="AA6">
        <v>35</v>
      </c>
      <c r="AB6">
        <v>0</v>
      </c>
      <c r="AC6">
        <v>14</v>
      </c>
      <c r="AD6">
        <v>0</v>
      </c>
      <c r="AE6">
        <v>14</v>
      </c>
      <c r="AF6">
        <v>0</v>
      </c>
      <c r="AG6">
        <v>6</v>
      </c>
      <c r="AH6">
        <v>0</v>
      </c>
      <c r="AI6">
        <v>-3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59.25</v>
      </c>
      <c r="AQ6">
        <v>2135</v>
      </c>
      <c r="AR6">
        <v>59.25</v>
      </c>
      <c r="AS6">
        <v>59</v>
      </c>
      <c r="AT6" t="s">
        <v>8467</v>
      </c>
      <c r="AU6">
        <v>79.166700000000006</v>
      </c>
      <c r="AV6">
        <v>1</v>
      </c>
      <c r="AW6" t="s">
        <v>8468</v>
      </c>
      <c r="AX6">
        <v>0</v>
      </c>
      <c r="AY6" t="s">
        <v>8469</v>
      </c>
      <c r="AZ6">
        <v>1</v>
      </c>
      <c r="BA6" t="s">
        <v>8470</v>
      </c>
      <c r="BB6">
        <v>1</v>
      </c>
      <c r="BC6" t="s">
        <v>8471</v>
      </c>
      <c r="BD6">
        <v>78.716399999999993</v>
      </c>
      <c r="BE6" t="s">
        <v>8464</v>
      </c>
      <c r="BF6" t="s">
        <v>8472</v>
      </c>
      <c r="BG6" t="s">
        <v>8464</v>
      </c>
      <c r="BH6">
        <v>48.5227</v>
      </c>
      <c r="BJ6" s="1" t="s">
        <v>8478</v>
      </c>
      <c r="BK6" s="1" t="s">
        <v>8479</v>
      </c>
    </row>
    <row r="7" spans="1:64" x14ac:dyDescent="0.25">
      <c r="A7">
        <v>83</v>
      </c>
      <c r="B7">
        <v>398</v>
      </c>
      <c r="C7" t="s">
        <v>8445</v>
      </c>
      <c r="F7">
        <v>1008550</v>
      </c>
      <c r="G7" t="s">
        <v>2115</v>
      </c>
      <c r="H7" t="s">
        <v>6418</v>
      </c>
      <c r="I7" t="s">
        <v>8480</v>
      </c>
      <c r="J7">
        <v>0</v>
      </c>
      <c r="K7">
        <v>6</v>
      </c>
      <c r="L7">
        <v>0</v>
      </c>
      <c r="M7">
        <v>483900</v>
      </c>
      <c r="N7">
        <v>404</v>
      </c>
      <c r="O7">
        <v>0</v>
      </c>
      <c r="P7">
        <v>4</v>
      </c>
      <c r="Q7">
        <v>0</v>
      </c>
      <c r="R7">
        <v>-7400</v>
      </c>
      <c r="S7">
        <v>109</v>
      </c>
      <c r="T7">
        <v>0</v>
      </c>
      <c r="U7">
        <v>0</v>
      </c>
      <c r="V7">
        <v>394</v>
      </c>
      <c r="W7" t="s">
        <v>8481</v>
      </c>
      <c r="X7">
        <v>0</v>
      </c>
      <c r="Y7">
        <v>49</v>
      </c>
      <c r="Z7">
        <v>0</v>
      </c>
      <c r="AA7">
        <v>43</v>
      </c>
      <c r="AB7">
        <v>0</v>
      </c>
      <c r="AC7">
        <v>13</v>
      </c>
      <c r="AD7">
        <v>0</v>
      </c>
      <c r="AE7">
        <v>17</v>
      </c>
      <c r="AF7">
        <v>0</v>
      </c>
      <c r="AG7">
        <v>11</v>
      </c>
      <c r="AH7">
        <v>0</v>
      </c>
      <c r="AI7">
        <v>-7</v>
      </c>
      <c r="AJ7">
        <v>0</v>
      </c>
      <c r="AK7">
        <v>0</v>
      </c>
      <c r="AL7">
        <v>0</v>
      </c>
      <c r="AM7">
        <v>5</v>
      </c>
      <c r="AN7">
        <v>0</v>
      </c>
      <c r="AO7">
        <v>4</v>
      </c>
      <c r="AP7">
        <v>101</v>
      </c>
      <c r="AQ7">
        <v>2641</v>
      </c>
      <c r="AR7">
        <v>101</v>
      </c>
      <c r="AS7">
        <v>85.333299999999994</v>
      </c>
      <c r="AT7" t="s">
        <v>8482</v>
      </c>
      <c r="AU7">
        <v>105</v>
      </c>
      <c r="AV7">
        <v>1</v>
      </c>
      <c r="AW7" t="s">
        <v>8483</v>
      </c>
      <c r="AX7">
        <v>0</v>
      </c>
      <c r="AY7" t="s">
        <v>8461</v>
      </c>
      <c r="AZ7">
        <v>0</v>
      </c>
      <c r="BA7" t="s">
        <v>8460</v>
      </c>
      <c r="BB7">
        <v>1</v>
      </c>
      <c r="BC7" t="s">
        <v>8484</v>
      </c>
      <c r="BD7">
        <v>78.961500000000001</v>
      </c>
      <c r="BE7" t="s">
        <v>8455</v>
      </c>
      <c r="BF7" t="s">
        <v>8464</v>
      </c>
      <c r="BG7" t="s">
        <v>8464</v>
      </c>
      <c r="BH7">
        <v>60.0227</v>
      </c>
      <c r="BJ7" s="1" t="s">
        <v>8485</v>
      </c>
      <c r="BK7" s="1" t="s">
        <v>8486</v>
      </c>
    </row>
    <row r="8" spans="1:64" x14ac:dyDescent="0.25">
      <c r="A8">
        <v>84</v>
      </c>
      <c r="B8">
        <v>101</v>
      </c>
      <c r="C8" t="s">
        <v>8445</v>
      </c>
      <c r="F8">
        <v>295518</v>
      </c>
      <c r="G8" t="s">
        <v>958</v>
      </c>
      <c r="H8" t="s">
        <v>7269</v>
      </c>
      <c r="I8" t="s">
        <v>8465</v>
      </c>
      <c r="J8">
        <v>0</v>
      </c>
      <c r="K8">
        <v>6</v>
      </c>
      <c r="L8">
        <v>0</v>
      </c>
      <c r="M8">
        <v>414100</v>
      </c>
      <c r="N8">
        <v>358</v>
      </c>
      <c r="O8">
        <v>0</v>
      </c>
      <c r="P8">
        <v>5</v>
      </c>
      <c r="Q8">
        <v>0</v>
      </c>
      <c r="R8">
        <v>-73800</v>
      </c>
      <c r="S8">
        <v>164</v>
      </c>
      <c r="T8">
        <v>0</v>
      </c>
      <c r="U8">
        <v>0</v>
      </c>
      <c r="V8">
        <v>466</v>
      </c>
      <c r="W8" t="s">
        <v>8481</v>
      </c>
      <c r="X8">
        <v>0</v>
      </c>
      <c r="Y8">
        <v>60</v>
      </c>
      <c r="Z8">
        <v>0</v>
      </c>
      <c r="AA8">
        <v>31</v>
      </c>
      <c r="AB8">
        <v>0</v>
      </c>
      <c r="AC8">
        <v>22</v>
      </c>
      <c r="AD8">
        <v>0</v>
      </c>
      <c r="AE8">
        <v>21</v>
      </c>
      <c r="AF8">
        <v>0</v>
      </c>
      <c r="AG8">
        <v>3</v>
      </c>
      <c r="AH8">
        <v>0</v>
      </c>
      <c r="AI8">
        <v>-1</v>
      </c>
      <c r="AJ8">
        <v>0</v>
      </c>
      <c r="AK8">
        <v>0</v>
      </c>
      <c r="AL8">
        <v>0</v>
      </c>
      <c r="AM8">
        <v>1</v>
      </c>
      <c r="AN8">
        <v>0</v>
      </c>
      <c r="AO8">
        <v>2</v>
      </c>
      <c r="AP8">
        <v>71.599999999999994</v>
      </c>
      <c r="AQ8">
        <v>2053</v>
      </c>
      <c r="AR8">
        <v>71.599999999999994</v>
      </c>
      <c r="AS8">
        <v>72.666700000000006</v>
      </c>
      <c r="AT8" t="s">
        <v>8467</v>
      </c>
      <c r="AU8">
        <v>92.75</v>
      </c>
      <c r="AV8">
        <v>1</v>
      </c>
      <c r="AW8" t="s">
        <v>8468</v>
      </c>
      <c r="AX8">
        <v>0</v>
      </c>
      <c r="AY8" t="s">
        <v>8469</v>
      </c>
      <c r="AZ8">
        <v>1</v>
      </c>
      <c r="BA8" t="s">
        <v>8470</v>
      </c>
      <c r="BB8">
        <v>1</v>
      </c>
      <c r="BC8" t="s">
        <v>8471</v>
      </c>
      <c r="BD8">
        <v>100.89100000000001</v>
      </c>
      <c r="BE8" t="s">
        <v>8464</v>
      </c>
      <c r="BF8" t="s">
        <v>8472</v>
      </c>
      <c r="BG8" t="s">
        <v>8464</v>
      </c>
      <c r="BH8">
        <v>46.659100000000002</v>
      </c>
      <c r="BJ8" s="1" t="s">
        <v>8487</v>
      </c>
      <c r="BK8" s="1" t="s">
        <v>8488</v>
      </c>
    </row>
    <row r="9" spans="1:64" x14ac:dyDescent="0.25">
      <c r="A9">
        <v>88</v>
      </c>
      <c r="B9">
        <v>121</v>
      </c>
      <c r="C9" t="s">
        <v>8473</v>
      </c>
      <c r="D9">
        <v>116859</v>
      </c>
      <c r="E9" t="s">
        <v>8474</v>
      </c>
      <c r="F9">
        <v>298290</v>
      </c>
      <c r="G9" t="s">
        <v>3809</v>
      </c>
      <c r="H9" t="s">
        <v>6061</v>
      </c>
      <c r="I9" t="s">
        <v>8465</v>
      </c>
      <c r="J9">
        <v>0</v>
      </c>
      <c r="K9">
        <v>6</v>
      </c>
      <c r="L9">
        <v>0</v>
      </c>
      <c r="M9">
        <v>484100</v>
      </c>
      <c r="N9">
        <v>0</v>
      </c>
      <c r="O9">
        <v>0</v>
      </c>
      <c r="P9">
        <v>0</v>
      </c>
      <c r="Q9">
        <v>0</v>
      </c>
      <c r="R9">
        <v>0</v>
      </c>
      <c r="S9">
        <v>510</v>
      </c>
      <c r="T9">
        <v>0</v>
      </c>
      <c r="U9">
        <v>0</v>
      </c>
      <c r="V9">
        <v>0</v>
      </c>
      <c r="W9" t="s">
        <v>8466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1183</v>
      </c>
      <c r="AR9">
        <v>0</v>
      </c>
      <c r="AS9">
        <v>0</v>
      </c>
      <c r="AT9" t="s">
        <v>8467</v>
      </c>
      <c r="AU9">
        <v>65</v>
      </c>
      <c r="AV9">
        <v>1</v>
      </c>
      <c r="AW9" t="s">
        <v>8468</v>
      </c>
      <c r="AX9">
        <v>0</v>
      </c>
      <c r="AY9" t="s">
        <v>8469</v>
      </c>
      <c r="AZ9">
        <v>1</v>
      </c>
      <c r="BA9" t="s">
        <v>8470</v>
      </c>
      <c r="BB9">
        <v>1</v>
      </c>
      <c r="BC9" t="s">
        <v>8471</v>
      </c>
      <c r="BD9">
        <v>83.611099999999993</v>
      </c>
      <c r="BE9" t="s">
        <v>8464</v>
      </c>
      <c r="BF9" t="s">
        <v>8472</v>
      </c>
      <c r="BG9" t="s">
        <v>8464</v>
      </c>
      <c r="BH9">
        <v>26.886399999999998</v>
      </c>
    </row>
    <row r="10" spans="1:64" x14ac:dyDescent="0.25">
      <c r="A10">
        <v>93</v>
      </c>
      <c r="B10">
        <v>289</v>
      </c>
      <c r="C10" t="s">
        <v>8473</v>
      </c>
      <c r="D10">
        <v>116887</v>
      </c>
      <c r="E10" t="s">
        <v>8474</v>
      </c>
      <c r="F10">
        <v>1007881</v>
      </c>
      <c r="G10" t="s">
        <v>7193</v>
      </c>
      <c r="H10" t="s">
        <v>7068</v>
      </c>
      <c r="I10" t="s">
        <v>8489</v>
      </c>
      <c r="J10">
        <v>0</v>
      </c>
      <c r="K10">
        <v>6</v>
      </c>
      <c r="L10">
        <v>0</v>
      </c>
      <c r="M10">
        <v>420400</v>
      </c>
      <c r="N10">
        <v>267</v>
      </c>
      <c r="O10">
        <v>0</v>
      </c>
      <c r="P10">
        <v>4</v>
      </c>
      <c r="Q10">
        <v>0</v>
      </c>
      <c r="R10">
        <v>-56800</v>
      </c>
      <c r="S10">
        <v>284</v>
      </c>
      <c r="T10">
        <v>0</v>
      </c>
      <c r="U10">
        <v>0</v>
      </c>
      <c r="V10">
        <v>453</v>
      </c>
      <c r="W10" t="s">
        <v>8475</v>
      </c>
      <c r="X10">
        <v>0</v>
      </c>
      <c r="Y10">
        <v>29</v>
      </c>
      <c r="Z10">
        <v>0</v>
      </c>
      <c r="AA10">
        <v>27</v>
      </c>
      <c r="AB10">
        <v>0</v>
      </c>
      <c r="AC10">
        <v>17</v>
      </c>
      <c r="AD10">
        <v>0</v>
      </c>
      <c r="AE10">
        <v>8</v>
      </c>
      <c r="AF10">
        <v>0</v>
      </c>
      <c r="AG10">
        <v>1</v>
      </c>
      <c r="AH10">
        <v>0</v>
      </c>
      <c r="AI10">
        <v>-6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66.75</v>
      </c>
      <c r="AQ10">
        <v>1978</v>
      </c>
      <c r="AR10">
        <v>66.75</v>
      </c>
      <c r="AS10">
        <v>71</v>
      </c>
      <c r="AT10" t="s">
        <v>8490</v>
      </c>
      <c r="AU10">
        <v>78.714299999999994</v>
      </c>
      <c r="AV10">
        <v>1</v>
      </c>
      <c r="AW10" t="s">
        <v>8491</v>
      </c>
      <c r="AX10">
        <v>0</v>
      </c>
      <c r="AY10" t="s">
        <v>8492</v>
      </c>
      <c r="AZ10">
        <v>1</v>
      </c>
      <c r="BA10" t="s">
        <v>8493</v>
      </c>
      <c r="BB10">
        <v>0</v>
      </c>
      <c r="BC10" t="s">
        <v>8471</v>
      </c>
      <c r="BD10">
        <v>82.769199999999998</v>
      </c>
      <c r="BE10" t="s">
        <v>8453</v>
      </c>
      <c r="BF10" t="s">
        <v>8494</v>
      </c>
      <c r="BG10" t="s">
        <v>8495</v>
      </c>
      <c r="BH10">
        <v>44.954500000000003</v>
      </c>
      <c r="BJ10" s="1" t="s">
        <v>8496</v>
      </c>
      <c r="BK10">
        <v>6298.1273408239704</v>
      </c>
    </row>
    <row r="11" spans="1:64" x14ac:dyDescent="0.25">
      <c r="A11">
        <v>94</v>
      </c>
      <c r="B11">
        <v>501</v>
      </c>
      <c r="C11" t="s">
        <v>8445</v>
      </c>
      <c r="F11">
        <v>1024272</v>
      </c>
      <c r="G11" t="s">
        <v>7131</v>
      </c>
      <c r="H11" t="s">
        <v>7132</v>
      </c>
      <c r="I11" t="s">
        <v>8467</v>
      </c>
      <c r="J11">
        <v>0</v>
      </c>
      <c r="K11">
        <v>6</v>
      </c>
      <c r="L11">
        <v>0</v>
      </c>
      <c r="M11">
        <v>379400</v>
      </c>
      <c r="N11">
        <v>294</v>
      </c>
      <c r="O11">
        <v>0</v>
      </c>
      <c r="P11">
        <v>5</v>
      </c>
      <c r="Q11">
        <v>0</v>
      </c>
      <c r="R11">
        <v>-97500</v>
      </c>
      <c r="S11">
        <v>259</v>
      </c>
      <c r="T11">
        <v>0</v>
      </c>
      <c r="U11">
        <v>0</v>
      </c>
      <c r="V11">
        <v>487</v>
      </c>
      <c r="W11" t="s">
        <v>8475</v>
      </c>
      <c r="X11">
        <v>0</v>
      </c>
      <c r="Y11">
        <v>51</v>
      </c>
      <c r="Z11">
        <v>0</v>
      </c>
      <c r="AA11">
        <v>32</v>
      </c>
      <c r="AB11">
        <v>0</v>
      </c>
      <c r="AC11">
        <v>19</v>
      </c>
      <c r="AD11">
        <v>0</v>
      </c>
      <c r="AE11">
        <v>8</v>
      </c>
      <c r="AF11">
        <v>0</v>
      </c>
      <c r="AG11">
        <v>0</v>
      </c>
      <c r="AH11">
        <v>0</v>
      </c>
      <c r="AI11">
        <v>-3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1</v>
      </c>
      <c r="AP11">
        <v>58.8</v>
      </c>
      <c r="AQ11">
        <v>2483</v>
      </c>
      <c r="AR11">
        <v>58.8</v>
      </c>
      <c r="AS11">
        <v>57.333300000000001</v>
      </c>
      <c r="AT11" t="s">
        <v>8465</v>
      </c>
      <c r="AU11">
        <v>84</v>
      </c>
      <c r="AV11">
        <v>0</v>
      </c>
      <c r="AW11" t="s">
        <v>8497</v>
      </c>
      <c r="AX11">
        <v>1</v>
      </c>
      <c r="AY11" t="s">
        <v>8451</v>
      </c>
      <c r="AZ11">
        <v>1</v>
      </c>
      <c r="BA11" t="s">
        <v>8492</v>
      </c>
      <c r="BB11">
        <v>0</v>
      </c>
      <c r="BC11" t="s">
        <v>8471</v>
      </c>
      <c r="BD11">
        <v>88</v>
      </c>
      <c r="BE11" t="s">
        <v>8472</v>
      </c>
      <c r="BF11" t="s">
        <v>8455</v>
      </c>
      <c r="BG11" t="s">
        <v>8498</v>
      </c>
      <c r="BH11">
        <v>56.431800000000003</v>
      </c>
      <c r="BJ11" s="1" t="s">
        <v>8499</v>
      </c>
      <c r="BK11" s="1" t="s">
        <v>8500</v>
      </c>
    </row>
    <row r="12" spans="1:64" x14ac:dyDescent="0.25">
      <c r="A12">
        <v>96</v>
      </c>
      <c r="B12">
        <v>473</v>
      </c>
      <c r="C12" t="s">
        <v>8445</v>
      </c>
      <c r="F12">
        <v>291902</v>
      </c>
      <c r="G12" t="s">
        <v>1127</v>
      </c>
      <c r="H12" t="s">
        <v>7643</v>
      </c>
      <c r="I12" t="s">
        <v>8501</v>
      </c>
      <c r="J12">
        <v>0</v>
      </c>
      <c r="K12">
        <v>6</v>
      </c>
      <c r="L12">
        <v>0</v>
      </c>
      <c r="M12">
        <v>386300</v>
      </c>
      <c r="N12">
        <v>326</v>
      </c>
      <c r="O12">
        <v>0</v>
      </c>
      <c r="P12">
        <v>5</v>
      </c>
      <c r="Q12">
        <v>0</v>
      </c>
      <c r="R12">
        <v>-87900</v>
      </c>
      <c r="S12">
        <v>215</v>
      </c>
      <c r="T12">
        <v>0</v>
      </c>
      <c r="U12">
        <v>0</v>
      </c>
      <c r="V12">
        <v>483</v>
      </c>
      <c r="W12" t="s">
        <v>8475</v>
      </c>
      <c r="X12">
        <v>0</v>
      </c>
      <c r="Y12">
        <v>56</v>
      </c>
      <c r="Z12">
        <v>0</v>
      </c>
      <c r="AA12">
        <v>53</v>
      </c>
      <c r="AB12">
        <v>0</v>
      </c>
      <c r="AC12">
        <v>11</v>
      </c>
      <c r="AD12">
        <v>0</v>
      </c>
      <c r="AE12">
        <v>16</v>
      </c>
      <c r="AF12">
        <v>0</v>
      </c>
      <c r="AG12">
        <v>7</v>
      </c>
      <c r="AH12">
        <v>0</v>
      </c>
      <c r="AI12">
        <v>-6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65.2</v>
      </c>
      <c r="AQ12">
        <v>1777</v>
      </c>
      <c r="AR12">
        <v>65.2</v>
      </c>
      <c r="AS12">
        <v>63</v>
      </c>
      <c r="AT12" t="s">
        <v>8502</v>
      </c>
      <c r="AU12">
        <v>100.61499999999999</v>
      </c>
      <c r="AV12">
        <v>0</v>
      </c>
      <c r="AW12" t="s">
        <v>8461</v>
      </c>
      <c r="AX12">
        <v>0</v>
      </c>
      <c r="AY12" t="s">
        <v>8483</v>
      </c>
      <c r="AZ12">
        <v>1</v>
      </c>
      <c r="BA12" t="s">
        <v>8459</v>
      </c>
      <c r="BB12">
        <v>0</v>
      </c>
      <c r="BC12" t="s">
        <v>8484</v>
      </c>
      <c r="BD12">
        <v>87.666700000000006</v>
      </c>
      <c r="BE12" t="s">
        <v>8464</v>
      </c>
      <c r="BF12" t="s">
        <v>8463</v>
      </c>
      <c r="BG12" t="s">
        <v>8464</v>
      </c>
      <c r="BH12">
        <v>40.386400000000002</v>
      </c>
      <c r="BJ12" s="1" t="s">
        <v>8503</v>
      </c>
      <c r="BK12" s="1" t="s">
        <v>8504</v>
      </c>
    </row>
    <row r="13" spans="1:64" x14ac:dyDescent="0.25">
      <c r="A13">
        <v>101</v>
      </c>
      <c r="B13">
        <v>114</v>
      </c>
      <c r="C13" t="s">
        <v>8445</v>
      </c>
      <c r="F13">
        <v>1000953</v>
      </c>
      <c r="G13" t="s">
        <v>2192</v>
      </c>
      <c r="H13" t="s">
        <v>7338</v>
      </c>
      <c r="I13" t="s">
        <v>8465</v>
      </c>
      <c r="J13">
        <v>0</v>
      </c>
      <c r="K13">
        <v>6</v>
      </c>
      <c r="L13">
        <v>0</v>
      </c>
      <c r="M13">
        <v>467200</v>
      </c>
      <c r="N13">
        <v>88</v>
      </c>
      <c r="O13">
        <v>0</v>
      </c>
      <c r="P13">
        <v>2</v>
      </c>
      <c r="Q13">
        <v>0</v>
      </c>
      <c r="R13">
        <v>0</v>
      </c>
      <c r="S13">
        <v>448</v>
      </c>
      <c r="T13">
        <v>0</v>
      </c>
      <c r="U13">
        <v>0</v>
      </c>
      <c r="V13">
        <v>140</v>
      </c>
      <c r="W13" t="s">
        <v>8505</v>
      </c>
      <c r="X13">
        <v>0</v>
      </c>
      <c r="Y13">
        <v>11</v>
      </c>
      <c r="Z13">
        <v>0</v>
      </c>
      <c r="AA13">
        <v>7</v>
      </c>
      <c r="AB13">
        <v>0</v>
      </c>
      <c r="AC13">
        <v>7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-2</v>
      </c>
      <c r="AJ13">
        <v>0</v>
      </c>
      <c r="AK13">
        <v>4</v>
      </c>
      <c r="AL13">
        <v>0</v>
      </c>
      <c r="AM13">
        <v>1</v>
      </c>
      <c r="AN13">
        <v>0</v>
      </c>
      <c r="AO13">
        <v>2</v>
      </c>
      <c r="AP13">
        <v>44</v>
      </c>
      <c r="AQ13">
        <v>2680</v>
      </c>
      <c r="AR13">
        <v>44</v>
      </c>
      <c r="AS13">
        <v>44</v>
      </c>
      <c r="AT13" t="s">
        <v>8467</v>
      </c>
      <c r="AU13">
        <v>90.2</v>
      </c>
      <c r="AV13">
        <v>1</v>
      </c>
      <c r="AW13" t="s">
        <v>8468</v>
      </c>
      <c r="AX13">
        <v>0</v>
      </c>
      <c r="AY13" t="s">
        <v>8469</v>
      </c>
      <c r="AZ13">
        <v>1</v>
      </c>
      <c r="BA13" t="s">
        <v>8470</v>
      </c>
      <c r="BB13">
        <v>1</v>
      </c>
      <c r="BC13" t="s">
        <v>8471</v>
      </c>
      <c r="BD13">
        <v>76.658500000000004</v>
      </c>
      <c r="BE13" t="s">
        <v>8464</v>
      </c>
      <c r="BF13" t="s">
        <v>8472</v>
      </c>
      <c r="BG13" t="s">
        <v>8464</v>
      </c>
      <c r="BH13">
        <v>60.909100000000002</v>
      </c>
      <c r="BJ13" s="1" t="s">
        <v>8506</v>
      </c>
      <c r="BK13" s="1" t="s">
        <v>8507</v>
      </c>
    </row>
    <row r="14" spans="1:64" x14ac:dyDescent="0.25">
      <c r="A14">
        <v>105</v>
      </c>
      <c r="B14">
        <v>463</v>
      </c>
      <c r="C14" t="s">
        <v>8445</v>
      </c>
      <c r="F14">
        <v>1009378</v>
      </c>
      <c r="G14" t="s">
        <v>4157</v>
      </c>
      <c r="H14" t="s">
        <v>7638</v>
      </c>
      <c r="I14" t="s">
        <v>8501</v>
      </c>
      <c r="J14">
        <v>0</v>
      </c>
      <c r="K14">
        <v>6</v>
      </c>
      <c r="L14">
        <v>0</v>
      </c>
      <c r="M14">
        <v>394100</v>
      </c>
      <c r="N14">
        <v>337</v>
      </c>
      <c r="O14">
        <v>0</v>
      </c>
      <c r="P14">
        <v>5</v>
      </c>
      <c r="Q14">
        <v>0</v>
      </c>
      <c r="R14">
        <v>-68800</v>
      </c>
      <c r="S14">
        <v>199</v>
      </c>
      <c r="T14">
        <v>0</v>
      </c>
      <c r="U14">
        <v>0</v>
      </c>
      <c r="V14">
        <v>491</v>
      </c>
      <c r="W14" t="s">
        <v>8475</v>
      </c>
      <c r="X14">
        <v>0</v>
      </c>
      <c r="Y14">
        <v>56</v>
      </c>
      <c r="Z14">
        <v>0</v>
      </c>
      <c r="AA14">
        <v>41</v>
      </c>
      <c r="AB14">
        <v>0</v>
      </c>
      <c r="AC14">
        <v>25</v>
      </c>
      <c r="AD14">
        <v>0</v>
      </c>
      <c r="AE14">
        <v>8</v>
      </c>
      <c r="AF14">
        <v>0</v>
      </c>
      <c r="AG14">
        <v>2</v>
      </c>
      <c r="AH14">
        <v>0</v>
      </c>
      <c r="AI14">
        <v>-5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67.400000000000006</v>
      </c>
      <c r="AQ14">
        <v>2499</v>
      </c>
      <c r="AR14">
        <v>67.400000000000006</v>
      </c>
      <c r="AS14">
        <v>71.666700000000006</v>
      </c>
      <c r="AT14" t="s">
        <v>8502</v>
      </c>
      <c r="AU14">
        <v>65.857100000000003</v>
      </c>
      <c r="AV14">
        <v>0</v>
      </c>
      <c r="AW14" t="s">
        <v>8461</v>
      </c>
      <c r="AX14">
        <v>0</v>
      </c>
      <c r="AY14" t="s">
        <v>8483</v>
      </c>
      <c r="AZ14">
        <v>1</v>
      </c>
      <c r="BA14" t="s">
        <v>8459</v>
      </c>
      <c r="BB14">
        <v>0</v>
      </c>
      <c r="BC14" t="s">
        <v>8484</v>
      </c>
      <c r="BD14">
        <v>76.400000000000006</v>
      </c>
      <c r="BE14" t="s">
        <v>8464</v>
      </c>
      <c r="BF14" t="s">
        <v>8463</v>
      </c>
      <c r="BG14" t="s">
        <v>8464</v>
      </c>
      <c r="BH14">
        <v>56.795499999999997</v>
      </c>
      <c r="BJ14" s="1" t="s">
        <v>8508</v>
      </c>
      <c r="BK14" s="1" t="s">
        <v>8509</v>
      </c>
    </row>
    <row r="15" spans="1:64" x14ac:dyDescent="0.25">
      <c r="A15">
        <v>107</v>
      </c>
      <c r="B15">
        <v>287</v>
      </c>
      <c r="C15" t="s">
        <v>8445</v>
      </c>
      <c r="F15">
        <v>1021013</v>
      </c>
      <c r="G15" t="s">
        <v>5352</v>
      </c>
      <c r="H15" t="s">
        <v>8510</v>
      </c>
      <c r="I15" t="s">
        <v>8489</v>
      </c>
      <c r="J15">
        <v>0</v>
      </c>
      <c r="K15">
        <v>6</v>
      </c>
      <c r="L15">
        <v>0</v>
      </c>
      <c r="M15">
        <v>462100</v>
      </c>
      <c r="N15">
        <v>0</v>
      </c>
      <c r="O15">
        <v>0</v>
      </c>
      <c r="P15">
        <v>0</v>
      </c>
      <c r="Q15">
        <v>0</v>
      </c>
      <c r="R15">
        <v>0</v>
      </c>
      <c r="S15">
        <v>510</v>
      </c>
      <c r="T15">
        <v>0</v>
      </c>
      <c r="U15">
        <v>0</v>
      </c>
      <c r="V15">
        <v>0</v>
      </c>
      <c r="W15" t="s">
        <v>8447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803</v>
      </c>
      <c r="AR15">
        <v>0</v>
      </c>
      <c r="AS15">
        <v>0</v>
      </c>
      <c r="AT15" t="s">
        <v>8490</v>
      </c>
      <c r="AU15">
        <v>0</v>
      </c>
      <c r="AV15">
        <v>1</v>
      </c>
      <c r="AW15" t="s">
        <v>8491</v>
      </c>
      <c r="AX15">
        <v>0</v>
      </c>
      <c r="AY15" t="s">
        <v>8492</v>
      </c>
      <c r="AZ15">
        <v>1</v>
      </c>
      <c r="BA15" t="s">
        <v>8493</v>
      </c>
      <c r="BB15">
        <v>0</v>
      </c>
      <c r="BC15" t="s">
        <v>8471</v>
      </c>
      <c r="BD15">
        <v>79.333299999999994</v>
      </c>
      <c r="BE15" t="s">
        <v>8453</v>
      </c>
      <c r="BF15" t="s">
        <v>8494</v>
      </c>
      <c r="BG15" t="s">
        <v>8495</v>
      </c>
      <c r="BH15">
        <v>18.25</v>
      </c>
    </row>
    <row r="16" spans="1:64" x14ac:dyDescent="0.25">
      <c r="A16">
        <v>110</v>
      </c>
      <c r="B16">
        <v>35</v>
      </c>
      <c r="C16" t="s">
        <v>8445</v>
      </c>
      <c r="F16">
        <v>1006136</v>
      </c>
      <c r="G16" t="s">
        <v>1658</v>
      </c>
      <c r="H16" t="s">
        <v>6765</v>
      </c>
      <c r="I16" t="s">
        <v>8511</v>
      </c>
      <c r="J16">
        <v>0</v>
      </c>
      <c r="K16">
        <v>6</v>
      </c>
      <c r="L16">
        <v>0</v>
      </c>
      <c r="M16">
        <v>325000</v>
      </c>
      <c r="N16">
        <v>260</v>
      </c>
      <c r="O16">
        <v>0</v>
      </c>
      <c r="P16">
        <v>5</v>
      </c>
      <c r="Q16">
        <v>0</v>
      </c>
      <c r="R16">
        <v>-133500</v>
      </c>
      <c r="S16">
        <v>293</v>
      </c>
      <c r="T16">
        <v>0</v>
      </c>
      <c r="U16">
        <v>0</v>
      </c>
      <c r="V16">
        <v>506</v>
      </c>
      <c r="W16" t="s">
        <v>8475</v>
      </c>
      <c r="X16">
        <v>0</v>
      </c>
      <c r="Y16">
        <v>42</v>
      </c>
      <c r="Z16">
        <v>0</v>
      </c>
      <c r="AA16">
        <v>28</v>
      </c>
      <c r="AB16">
        <v>0</v>
      </c>
      <c r="AC16">
        <v>22</v>
      </c>
      <c r="AD16">
        <v>0</v>
      </c>
      <c r="AE16">
        <v>4</v>
      </c>
      <c r="AF16">
        <v>0</v>
      </c>
      <c r="AG16">
        <v>1</v>
      </c>
      <c r="AH16">
        <v>0</v>
      </c>
      <c r="AI16">
        <v>-2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52</v>
      </c>
      <c r="AQ16">
        <v>990</v>
      </c>
      <c r="AR16">
        <v>52</v>
      </c>
      <c r="AS16">
        <v>32.333300000000001</v>
      </c>
      <c r="AT16" t="s">
        <v>8512</v>
      </c>
      <c r="AU16">
        <v>53</v>
      </c>
      <c r="AV16">
        <v>0</v>
      </c>
      <c r="AW16" t="s">
        <v>8513</v>
      </c>
      <c r="AX16">
        <v>1</v>
      </c>
      <c r="AY16" t="s">
        <v>8514</v>
      </c>
      <c r="AZ16">
        <v>0</v>
      </c>
      <c r="BA16" t="s">
        <v>8497</v>
      </c>
      <c r="BB16">
        <v>1</v>
      </c>
      <c r="BC16" t="s">
        <v>8515</v>
      </c>
      <c r="BD16">
        <v>70.866699999999994</v>
      </c>
      <c r="BE16" t="s">
        <v>8463</v>
      </c>
      <c r="BF16" t="s">
        <v>8472</v>
      </c>
      <c r="BG16" t="s">
        <v>8472</v>
      </c>
      <c r="BH16">
        <v>22.5</v>
      </c>
      <c r="BJ16" s="1" t="s">
        <v>8516</v>
      </c>
      <c r="BK16">
        <v>6250</v>
      </c>
    </row>
    <row r="17" spans="1:63" x14ac:dyDescent="0.25">
      <c r="A17">
        <v>111</v>
      </c>
      <c r="B17">
        <v>43</v>
      </c>
      <c r="C17" t="s">
        <v>8445</v>
      </c>
      <c r="F17">
        <v>1011981</v>
      </c>
      <c r="G17" t="s">
        <v>1318</v>
      </c>
      <c r="H17" t="s">
        <v>6746</v>
      </c>
      <c r="I17" t="s">
        <v>8511</v>
      </c>
      <c r="J17">
        <v>0</v>
      </c>
      <c r="K17">
        <v>6</v>
      </c>
      <c r="L17">
        <v>0</v>
      </c>
      <c r="M17">
        <v>402900</v>
      </c>
      <c r="N17">
        <v>385</v>
      </c>
      <c r="O17">
        <v>0</v>
      </c>
      <c r="P17">
        <v>5</v>
      </c>
      <c r="Q17">
        <v>0</v>
      </c>
      <c r="R17">
        <v>-55100</v>
      </c>
      <c r="S17">
        <v>125</v>
      </c>
      <c r="T17">
        <v>0</v>
      </c>
      <c r="U17">
        <v>0</v>
      </c>
      <c r="V17">
        <v>563</v>
      </c>
      <c r="W17" t="s">
        <v>8481</v>
      </c>
      <c r="X17">
        <v>0</v>
      </c>
      <c r="Y17">
        <v>60</v>
      </c>
      <c r="Z17">
        <v>0</v>
      </c>
      <c r="AA17">
        <v>33</v>
      </c>
      <c r="AB17">
        <v>0</v>
      </c>
      <c r="AC17">
        <v>25</v>
      </c>
      <c r="AD17">
        <v>0</v>
      </c>
      <c r="AE17">
        <v>10</v>
      </c>
      <c r="AF17">
        <v>0</v>
      </c>
      <c r="AG17">
        <v>2</v>
      </c>
      <c r="AH17">
        <v>0</v>
      </c>
      <c r="AI17">
        <v>-2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77</v>
      </c>
      <c r="AQ17">
        <v>2067</v>
      </c>
      <c r="AR17">
        <v>77</v>
      </c>
      <c r="AS17">
        <v>70</v>
      </c>
      <c r="AT17" t="s">
        <v>8512</v>
      </c>
      <c r="AU17">
        <v>82</v>
      </c>
      <c r="AV17">
        <v>0</v>
      </c>
      <c r="AW17" t="s">
        <v>8513</v>
      </c>
      <c r="AX17">
        <v>1</v>
      </c>
      <c r="AY17" t="s">
        <v>8514</v>
      </c>
      <c r="AZ17">
        <v>0</v>
      </c>
      <c r="BA17" t="s">
        <v>8497</v>
      </c>
      <c r="BB17">
        <v>1</v>
      </c>
      <c r="BC17" t="s">
        <v>8515</v>
      </c>
      <c r="BD17">
        <v>83.6</v>
      </c>
      <c r="BE17" t="s">
        <v>8463</v>
      </c>
      <c r="BF17" t="s">
        <v>8472</v>
      </c>
      <c r="BG17" t="s">
        <v>8472</v>
      </c>
      <c r="BH17">
        <v>46.9773</v>
      </c>
      <c r="BJ17" s="1" t="s">
        <v>8517</v>
      </c>
      <c r="BK17" s="1" t="s">
        <v>8518</v>
      </c>
    </row>
    <row r="18" spans="1:63" x14ac:dyDescent="0.25">
      <c r="A18">
        <v>115</v>
      </c>
      <c r="B18">
        <v>392</v>
      </c>
      <c r="C18" t="s">
        <v>8445</v>
      </c>
      <c r="F18">
        <v>998134</v>
      </c>
      <c r="G18" t="s">
        <v>1318</v>
      </c>
      <c r="H18" t="s">
        <v>8319</v>
      </c>
      <c r="I18" t="s">
        <v>8480</v>
      </c>
      <c r="J18">
        <v>0</v>
      </c>
      <c r="K18">
        <v>6</v>
      </c>
      <c r="L18">
        <v>0</v>
      </c>
      <c r="M18">
        <v>417100</v>
      </c>
      <c r="N18">
        <v>361</v>
      </c>
      <c r="O18">
        <v>0</v>
      </c>
      <c r="P18">
        <v>5</v>
      </c>
      <c r="Q18">
        <v>0</v>
      </c>
      <c r="R18">
        <v>-37200</v>
      </c>
      <c r="S18">
        <v>155</v>
      </c>
      <c r="T18">
        <v>0</v>
      </c>
      <c r="U18">
        <v>0</v>
      </c>
      <c r="V18">
        <v>599</v>
      </c>
      <c r="W18" t="s">
        <v>8481</v>
      </c>
      <c r="X18">
        <v>0</v>
      </c>
      <c r="Y18">
        <v>53</v>
      </c>
      <c r="Z18">
        <v>0</v>
      </c>
      <c r="AA18">
        <v>32</v>
      </c>
      <c r="AB18">
        <v>0</v>
      </c>
      <c r="AC18">
        <v>25</v>
      </c>
      <c r="AD18">
        <v>0</v>
      </c>
      <c r="AE18">
        <v>9</v>
      </c>
      <c r="AF18">
        <v>0</v>
      </c>
      <c r="AG18">
        <v>1</v>
      </c>
      <c r="AH18">
        <v>0</v>
      </c>
      <c r="AI18">
        <v>-2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72.2</v>
      </c>
      <c r="AQ18">
        <v>2012</v>
      </c>
      <c r="AR18">
        <v>72.2</v>
      </c>
      <c r="AS18">
        <v>74.666700000000006</v>
      </c>
      <c r="AT18" t="s">
        <v>8482</v>
      </c>
      <c r="AU18">
        <v>63.428600000000003</v>
      </c>
      <c r="AV18">
        <v>1</v>
      </c>
      <c r="AW18" t="s">
        <v>8483</v>
      </c>
      <c r="AX18">
        <v>0</v>
      </c>
      <c r="AY18" t="s">
        <v>8461</v>
      </c>
      <c r="AZ18">
        <v>0</v>
      </c>
      <c r="BA18" t="s">
        <v>8460</v>
      </c>
      <c r="BB18">
        <v>1</v>
      </c>
      <c r="BC18" t="s">
        <v>8484</v>
      </c>
      <c r="BD18">
        <v>79.461500000000001</v>
      </c>
      <c r="BE18" t="s">
        <v>8455</v>
      </c>
      <c r="BF18" t="s">
        <v>8464</v>
      </c>
      <c r="BG18" t="s">
        <v>8464</v>
      </c>
      <c r="BH18">
        <v>45.7273</v>
      </c>
      <c r="BJ18" s="1" t="s">
        <v>8519</v>
      </c>
      <c r="BK18" s="1" t="s">
        <v>8520</v>
      </c>
    </row>
    <row r="19" spans="1:63" x14ac:dyDescent="0.25">
      <c r="A19">
        <v>118</v>
      </c>
      <c r="B19">
        <v>391</v>
      </c>
      <c r="C19" t="s">
        <v>8445</v>
      </c>
      <c r="F19">
        <v>990290</v>
      </c>
      <c r="G19" t="s">
        <v>776</v>
      </c>
      <c r="H19" t="s">
        <v>8329</v>
      </c>
      <c r="I19" t="s">
        <v>8480</v>
      </c>
      <c r="J19">
        <v>0</v>
      </c>
      <c r="K19">
        <v>6</v>
      </c>
      <c r="L19">
        <v>0</v>
      </c>
      <c r="M19">
        <v>357200</v>
      </c>
      <c r="N19">
        <v>294</v>
      </c>
      <c r="O19">
        <v>0</v>
      </c>
      <c r="P19">
        <v>5</v>
      </c>
      <c r="Q19">
        <v>0</v>
      </c>
      <c r="R19">
        <v>-94800</v>
      </c>
      <c r="S19">
        <v>259</v>
      </c>
      <c r="T19">
        <v>0</v>
      </c>
      <c r="U19">
        <v>0</v>
      </c>
      <c r="V19">
        <v>580</v>
      </c>
      <c r="W19" t="s">
        <v>8475</v>
      </c>
      <c r="X19">
        <v>0</v>
      </c>
      <c r="Y19">
        <v>36</v>
      </c>
      <c r="Z19">
        <v>0</v>
      </c>
      <c r="AA19">
        <v>16</v>
      </c>
      <c r="AB19">
        <v>0</v>
      </c>
      <c r="AC19">
        <v>22</v>
      </c>
      <c r="AD19">
        <v>0</v>
      </c>
      <c r="AE19">
        <v>9</v>
      </c>
      <c r="AF19">
        <v>0</v>
      </c>
      <c r="AG19">
        <v>5</v>
      </c>
      <c r="AH19">
        <v>0</v>
      </c>
      <c r="AI19">
        <v>-3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58.8</v>
      </c>
      <c r="AQ19">
        <v>1073</v>
      </c>
      <c r="AR19">
        <v>58.8</v>
      </c>
      <c r="AS19">
        <v>58</v>
      </c>
      <c r="AT19" t="s">
        <v>8482</v>
      </c>
      <c r="AU19">
        <v>64.571399999999997</v>
      </c>
      <c r="AV19">
        <v>1</v>
      </c>
      <c r="AW19" t="s">
        <v>8483</v>
      </c>
      <c r="AX19">
        <v>0</v>
      </c>
      <c r="AY19" t="s">
        <v>8461</v>
      </c>
      <c r="AZ19">
        <v>0</v>
      </c>
      <c r="BA19" t="s">
        <v>8460</v>
      </c>
      <c r="BB19">
        <v>1</v>
      </c>
      <c r="BC19" t="s">
        <v>8484</v>
      </c>
      <c r="BD19">
        <v>75.666700000000006</v>
      </c>
      <c r="BE19" t="s">
        <v>8455</v>
      </c>
      <c r="BF19" t="s">
        <v>8464</v>
      </c>
      <c r="BG19" t="s">
        <v>8464</v>
      </c>
      <c r="BH19">
        <v>24.386399999999998</v>
      </c>
      <c r="BJ19">
        <v>0.50689655172413794</v>
      </c>
      <c r="BK19" s="1" t="s">
        <v>8521</v>
      </c>
    </row>
    <row r="20" spans="1:63" x14ac:dyDescent="0.25">
      <c r="A20">
        <v>121</v>
      </c>
      <c r="B20">
        <v>406</v>
      </c>
      <c r="C20" t="s">
        <v>8445</v>
      </c>
      <c r="F20">
        <v>296254</v>
      </c>
      <c r="G20" t="s">
        <v>8356</v>
      </c>
      <c r="H20" t="s">
        <v>8357</v>
      </c>
      <c r="I20" t="s">
        <v>8480</v>
      </c>
      <c r="J20">
        <v>0</v>
      </c>
      <c r="K20">
        <v>6</v>
      </c>
      <c r="L20">
        <v>0</v>
      </c>
      <c r="M20">
        <v>373500</v>
      </c>
      <c r="N20">
        <v>276</v>
      </c>
      <c r="O20">
        <v>0</v>
      </c>
      <c r="P20">
        <v>5</v>
      </c>
      <c r="Q20">
        <v>0</v>
      </c>
      <c r="R20">
        <v>-76500</v>
      </c>
      <c r="S20">
        <v>274</v>
      </c>
      <c r="T20">
        <v>0</v>
      </c>
      <c r="U20">
        <v>0</v>
      </c>
      <c r="V20">
        <v>524</v>
      </c>
      <c r="W20" t="s">
        <v>8475</v>
      </c>
      <c r="X20">
        <v>0</v>
      </c>
      <c r="Y20">
        <v>41</v>
      </c>
      <c r="Z20">
        <v>0</v>
      </c>
      <c r="AA20">
        <v>13</v>
      </c>
      <c r="AB20">
        <v>0</v>
      </c>
      <c r="AC20">
        <v>19</v>
      </c>
      <c r="AD20">
        <v>0</v>
      </c>
      <c r="AE20">
        <v>14</v>
      </c>
      <c r="AF20">
        <v>0</v>
      </c>
      <c r="AG20">
        <v>5</v>
      </c>
      <c r="AH20">
        <v>0</v>
      </c>
      <c r="AI20">
        <v>-3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55.2</v>
      </c>
      <c r="AQ20">
        <v>1026</v>
      </c>
      <c r="AR20">
        <v>55.2</v>
      </c>
      <c r="AS20">
        <v>57.666699999999999</v>
      </c>
      <c r="AT20" t="s">
        <v>8482</v>
      </c>
      <c r="AU20">
        <v>66.333299999999994</v>
      </c>
      <c r="AV20">
        <v>1</v>
      </c>
      <c r="AW20" t="s">
        <v>8483</v>
      </c>
      <c r="AX20">
        <v>0</v>
      </c>
      <c r="AY20" t="s">
        <v>8461</v>
      </c>
      <c r="AZ20">
        <v>0</v>
      </c>
      <c r="BA20" t="s">
        <v>8460</v>
      </c>
      <c r="BB20">
        <v>1</v>
      </c>
      <c r="BC20" t="s">
        <v>8484</v>
      </c>
      <c r="BD20">
        <v>76.345500000000001</v>
      </c>
      <c r="BE20" t="s">
        <v>8455</v>
      </c>
      <c r="BF20" t="s">
        <v>8464</v>
      </c>
      <c r="BG20" t="s">
        <v>8464</v>
      </c>
      <c r="BH20">
        <v>23.318200000000001</v>
      </c>
      <c r="BJ20" s="1" t="s">
        <v>8522</v>
      </c>
      <c r="BK20" s="1" t="s">
        <v>8523</v>
      </c>
    </row>
    <row r="21" spans="1:63" x14ac:dyDescent="0.25">
      <c r="A21">
        <v>122</v>
      </c>
      <c r="B21">
        <v>45</v>
      </c>
      <c r="C21" t="s">
        <v>8445</v>
      </c>
      <c r="F21">
        <v>996059</v>
      </c>
      <c r="G21" t="s">
        <v>7548</v>
      </c>
      <c r="H21" t="s">
        <v>7549</v>
      </c>
      <c r="I21" t="s">
        <v>8524</v>
      </c>
      <c r="J21">
        <v>0</v>
      </c>
      <c r="K21">
        <v>6</v>
      </c>
      <c r="L21">
        <v>0</v>
      </c>
      <c r="M21">
        <v>424400</v>
      </c>
      <c r="N21">
        <v>366</v>
      </c>
      <c r="O21">
        <v>0</v>
      </c>
      <c r="P21">
        <v>5</v>
      </c>
      <c r="Q21">
        <v>0</v>
      </c>
      <c r="R21">
        <v>-25000</v>
      </c>
      <c r="S21">
        <v>145</v>
      </c>
      <c r="T21">
        <v>0</v>
      </c>
      <c r="U21">
        <v>0</v>
      </c>
      <c r="V21">
        <v>614</v>
      </c>
      <c r="W21" t="s">
        <v>8481</v>
      </c>
      <c r="X21">
        <v>0</v>
      </c>
      <c r="Y21">
        <v>49</v>
      </c>
      <c r="Z21">
        <v>0</v>
      </c>
      <c r="AA21">
        <v>16</v>
      </c>
      <c r="AB21">
        <v>0</v>
      </c>
      <c r="AC21">
        <v>40</v>
      </c>
      <c r="AD21">
        <v>0</v>
      </c>
      <c r="AE21">
        <v>6</v>
      </c>
      <c r="AF21">
        <v>0</v>
      </c>
      <c r="AG21">
        <v>1</v>
      </c>
      <c r="AH21">
        <v>0</v>
      </c>
      <c r="AI21">
        <v>-3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73.2</v>
      </c>
      <c r="AQ21">
        <v>1994</v>
      </c>
      <c r="AR21">
        <v>73.2</v>
      </c>
      <c r="AS21">
        <v>77.333299999999994</v>
      </c>
      <c r="AT21" t="s">
        <v>8525</v>
      </c>
      <c r="AU21">
        <v>72</v>
      </c>
      <c r="AV21">
        <v>0</v>
      </c>
      <c r="AW21" t="s">
        <v>8470</v>
      </c>
      <c r="AX21">
        <v>1</v>
      </c>
      <c r="AY21" t="s">
        <v>8449</v>
      </c>
      <c r="AZ21">
        <v>0</v>
      </c>
      <c r="BA21" t="s">
        <v>8526</v>
      </c>
      <c r="BB21">
        <v>1</v>
      </c>
      <c r="BC21" t="s">
        <v>8527</v>
      </c>
      <c r="BD21">
        <v>81.142899999999997</v>
      </c>
      <c r="BE21" t="s">
        <v>8455</v>
      </c>
      <c r="BF21" t="s">
        <v>8494</v>
      </c>
      <c r="BG21" t="s">
        <v>8498</v>
      </c>
      <c r="BH21">
        <v>45.318199999999997</v>
      </c>
      <c r="BJ21" s="1" t="s">
        <v>8528</v>
      </c>
      <c r="BK21" s="1" t="s">
        <v>8529</v>
      </c>
    </row>
    <row r="22" spans="1:63" x14ac:dyDescent="0.25">
      <c r="A22">
        <v>125</v>
      </c>
      <c r="B22">
        <v>304</v>
      </c>
      <c r="C22" t="s">
        <v>8445</v>
      </c>
      <c r="F22">
        <v>998260</v>
      </c>
      <c r="G22" t="s">
        <v>1127</v>
      </c>
      <c r="H22" t="s">
        <v>6808</v>
      </c>
      <c r="I22" t="s">
        <v>8482</v>
      </c>
      <c r="J22">
        <v>0</v>
      </c>
      <c r="K22">
        <v>6</v>
      </c>
      <c r="L22">
        <v>0</v>
      </c>
      <c r="M22">
        <v>408200</v>
      </c>
      <c r="N22">
        <v>363</v>
      </c>
      <c r="O22">
        <v>0</v>
      </c>
      <c r="P22">
        <v>5</v>
      </c>
      <c r="Q22">
        <v>0</v>
      </c>
      <c r="R22">
        <v>-40900</v>
      </c>
      <c r="S22">
        <v>153</v>
      </c>
      <c r="T22">
        <v>0</v>
      </c>
      <c r="U22">
        <v>0</v>
      </c>
      <c r="V22">
        <v>475</v>
      </c>
      <c r="W22" t="s">
        <v>8481</v>
      </c>
      <c r="X22">
        <v>0</v>
      </c>
      <c r="Y22">
        <v>54</v>
      </c>
      <c r="Z22">
        <v>0</v>
      </c>
      <c r="AA22">
        <v>20</v>
      </c>
      <c r="AB22">
        <v>0</v>
      </c>
      <c r="AC22">
        <v>13</v>
      </c>
      <c r="AD22">
        <v>0</v>
      </c>
      <c r="AE22">
        <v>21</v>
      </c>
      <c r="AF22">
        <v>0</v>
      </c>
      <c r="AG22">
        <v>3</v>
      </c>
      <c r="AH22">
        <v>0</v>
      </c>
      <c r="AI22">
        <v>-9</v>
      </c>
      <c r="AJ22">
        <v>0</v>
      </c>
      <c r="AK22">
        <v>0</v>
      </c>
      <c r="AL22">
        <v>0</v>
      </c>
      <c r="AM22">
        <v>4</v>
      </c>
      <c r="AN22">
        <v>0</v>
      </c>
      <c r="AO22">
        <v>0</v>
      </c>
      <c r="AP22">
        <v>72.599999999999994</v>
      </c>
      <c r="AQ22">
        <v>1490</v>
      </c>
      <c r="AR22">
        <v>72.599999999999994</v>
      </c>
      <c r="AS22">
        <v>84.333299999999994</v>
      </c>
      <c r="AT22" t="s">
        <v>8480</v>
      </c>
      <c r="AU22">
        <v>56</v>
      </c>
      <c r="AV22">
        <v>0</v>
      </c>
      <c r="AW22" t="s">
        <v>8514</v>
      </c>
      <c r="AX22">
        <v>1</v>
      </c>
      <c r="AY22" t="s">
        <v>8530</v>
      </c>
      <c r="AZ22">
        <v>1</v>
      </c>
      <c r="BA22" t="s">
        <v>8450</v>
      </c>
      <c r="BB22">
        <v>0</v>
      </c>
      <c r="BC22" t="s">
        <v>8484</v>
      </c>
      <c r="BD22">
        <v>72.153800000000004</v>
      </c>
      <c r="BE22" t="s">
        <v>8464</v>
      </c>
      <c r="BF22" t="s">
        <v>8464</v>
      </c>
      <c r="BG22" t="s">
        <v>8531</v>
      </c>
      <c r="BH22">
        <v>33.863599999999998</v>
      </c>
      <c r="BJ22" s="1" t="s">
        <v>8532</v>
      </c>
      <c r="BK22" s="1" t="s">
        <v>8533</v>
      </c>
    </row>
    <row r="23" spans="1:63" x14ac:dyDescent="0.25">
      <c r="A23">
        <v>127</v>
      </c>
      <c r="B23">
        <v>555</v>
      </c>
      <c r="C23" t="s">
        <v>8445</v>
      </c>
      <c r="F23">
        <v>998529</v>
      </c>
      <c r="G23" t="s">
        <v>600</v>
      </c>
      <c r="H23" t="s">
        <v>6370</v>
      </c>
      <c r="I23" t="s">
        <v>8448</v>
      </c>
      <c r="J23">
        <v>0</v>
      </c>
      <c r="K23">
        <v>6</v>
      </c>
      <c r="L23">
        <v>0</v>
      </c>
      <c r="M23">
        <v>447900</v>
      </c>
      <c r="N23">
        <v>35</v>
      </c>
      <c r="O23">
        <v>0</v>
      </c>
      <c r="P23">
        <v>1</v>
      </c>
      <c r="Q23">
        <v>0</v>
      </c>
      <c r="R23">
        <v>0</v>
      </c>
      <c r="S23">
        <v>492</v>
      </c>
      <c r="T23">
        <v>0</v>
      </c>
      <c r="U23">
        <v>0</v>
      </c>
      <c r="V23">
        <v>70</v>
      </c>
      <c r="W23" t="s">
        <v>8466</v>
      </c>
      <c r="X23">
        <v>0</v>
      </c>
      <c r="Y23">
        <v>3</v>
      </c>
      <c r="Z23">
        <v>0</v>
      </c>
      <c r="AA23">
        <v>2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-1</v>
      </c>
      <c r="AJ23">
        <v>0</v>
      </c>
      <c r="AK23">
        <v>9</v>
      </c>
      <c r="AL23">
        <v>0</v>
      </c>
      <c r="AM23">
        <v>0</v>
      </c>
      <c r="AN23">
        <v>0</v>
      </c>
      <c r="AO23">
        <v>0</v>
      </c>
      <c r="AP23">
        <v>35</v>
      </c>
      <c r="AQ23">
        <v>607</v>
      </c>
      <c r="AR23">
        <v>35</v>
      </c>
      <c r="AS23">
        <v>35</v>
      </c>
      <c r="AT23" t="s">
        <v>8446</v>
      </c>
      <c r="AU23">
        <v>88</v>
      </c>
      <c r="AV23">
        <v>1</v>
      </c>
      <c r="AW23" t="s">
        <v>8526</v>
      </c>
      <c r="AX23">
        <v>0</v>
      </c>
      <c r="AY23" t="s">
        <v>8493</v>
      </c>
      <c r="AZ23">
        <v>1</v>
      </c>
      <c r="BA23" t="s">
        <v>8469</v>
      </c>
      <c r="BB23">
        <v>0</v>
      </c>
      <c r="BC23" t="s">
        <v>8452</v>
      </c>
      <c r="BD23">
        <v>59</v>
      </c>
      <c r="BE23" t="s">
        <v>8472</v>
      </c>
      <c r="BF23" t="s">
        <v>8534</v>
      </c>
      <c r="BG23" t="s">
        <v>8472</v>
      </c>
      <c r="BH23">
        <v>13.795500000000001</v>
      </c>
      <c r="BJ23">
        <v>0.5</v>
      </c>
      <c r="BK23" s="1" t="s">
        <v>8535</v>
      </c>
    </row>
    <row r="24" spans="1:63" x14ac:dyDescent="0.25">
      <c r="A24">
        <v>128</v>
      </c>
      <c r="B24">
        <v>775</v>
      </c>
      <c r="C24" t="s">
        <v>8445</v>
      </c>
      <c r="F24">
        <v>996554</v>
      </c>
      <c r="G24" t="s">
        <v>1235</v>
      </c>
      <c r="H24" t="s">
        <v>4176</v>
      </c>
      <c r="I24" t="s">
        <v>8456</v>
      </c>
      <c r="J24">
        <v>0</v>
      </c>
      <c r="K24">
        <v>6</v>
      </c>
      <c r="L24">
        <v>0</v>
      </c>
      <c r="M24">
        <v>447800</v>
      </c>
      <c r="N24">
        <v>91</v>
      </c>
      <c r="O24">
        <v>0</v>
      </c>
      <c r="P24">
        <v>2</v>
      </c>
      <c r="Q24">
        <v>0</v>
      </c>
      <c r="R24">
        <v>0</v>
      </c>
      <c r="S24">
        <v>444</v>
      </c>
      <c r="T24">
        <v>0</v>
      </c>
      <c r="U24">
        <v>0</v>
      </c>
      <c r="V24">
        <v>177</v>
      </c>
      <c r="W24" t="s">
        <v>8505</v>
      </c>
      <c r="X24">
        <v>0</v>
      </c>
      <c r="Y24">
        <v>12</v>
      </c>
      <c r="Z24">
        <v>0</v>
      </c>
      <c r="AA24">
        <v>5</v>
      </c>
      <c r="AB24">
        <v>0</v>
      </c>
      <c r="AC24">
        <v>15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-1</v>
      </c>
      <c r="AJ24">
        <v>0</v>
      </c>
      <c r="AK24">
        <v>0</v>
      </c>
      <c r="AL24">
        <v>0</v>
      </c>
      <c r="AM24">
        <v>2</v>
      </c>
      <c r="AN24">
        <v>0</v>
      </c>
      <c r="AO24">
        <v>3</v>
      </c>
      <c r="AP24">
        <v>45.5</v>
      </c>
      <c r="AQ24">
        <v>1952</v>
      </c>
      <c r="AR24">
        <v>45.5</v>
      </c>
      <c r="AS24">
        <v>45.5</v>
      </c>
      <c r="AT24" t="s">
        <v>8458</v>
      </c>
      <c r="AU24">
        <v>66.166700000000006</v>
      </c>
      <c r="AV24">
        <v>0</v>
      </c>
      <c r="AW24" t="s">
        <v>8459</v>
      </c>
      <c r="AX24">
        <v>1</v>
      </c>
      <c r="AY24" t="s">
        <v>8460</v>
      </c>
      <c r="AZ24">
        <v>0</v>
      </c>
      <c r="BA24" t="s">
        <v>8461</v>
      </c>
      <c r="BB24">
        <v>1</v>
      </c>
      <c r="BC24" t="s">
        <v>8462</v>
      </c>
      <c r="BD24">
        <v>66.396199999999993</v>
      </c>
      <c r="BE24" t="s">
        <v>8455</v>
      </c>
      <c r="BF24" t="s">
        <v>8463</v>
      </c>
      <c r="BG24" t="s">
        <v>8464</v>
      </c>
      <c r="BH24">
        <v>44.363599999999998</v>
      </c>
      <c r="BJ24" s="1" t="s">
        <v>8536</v>
      </c>
      <c r="BK24" s="1" t="s">
        <v>8537</v>
      </c>
    </row>
    <row r="25" spans="1:63" x14ac:dyDescent="0.25">
      <c r="A25">
        <v>131</v>
      </c>
      <c r="B25">
        <v>676</v>
      </c>
      <c r="C25" t="s">
        <v>8445</v>
      </c>
      <c r="F25">
        <v>295342</v>
      </c>
      <c r="G25" t="s">
        <v>1235</v>
      </c>
      <c r="H25" t="s">
        <v>3400</v>
      </c>
      <c r="I25" t="s">
        <v>8446</v>
      </c>
      <c r="J25">
        <v>0</v>
      </c>
      <c r="K25">
        <v>6</v>
      </c>
      <c r="L25">
        <v>0</v>
      </c>
      <c r="M25">
        <v>430300</v>
      </c>
      <c r="N25">
        <v>391</v>
      </c>
      <c r="O25">
        <v>0</v>
      </c>
      <c r="P25">
        <v>5</v>
      </c>
      <c r="Q25">
        <v>0</v>
      </c>
      <c r="R25">
        <v>-14100</v>
      </c>
      <c r="S25">
        <v>117</v>
      </c>
      <c r="T25">
        <v>0</v>
      </c>
      <c r="U25">
        <v>0</v>
      </c>
      <c r="V25">
        <v>545</v>
      </c>
      <c r="W25" t="s">
        <v>8481</v>
      </c>
      <c r="X25">
        <v>0</v>
      </c>
      <c r="Y25">
        <v>70</v>
      </c>
      <c r="Z25">
        <v>0</v>
      </c>
      <c r="AA25">
        <v>35</v>
      </c>
      <c r="AB25">
        <v>0</v>
      </c>
      <c r="AC25">
        <v>36</v>
      </c>
      <c r="AD25">
        <v>0</v>
      </c>
      <c r="AE25">
        <v>10</v>
      </c>
      <c r="AF25">
        <v>0</v>
      </c>
      <c r="AG25">
        <v>4</v>
      </c>
      <c r="AH25">
        <v>0</v>
      </c>
      <c r="AI25">
        <v>-2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3</v>
      </c>
      <c r="AP25">
        <v>78.2</v>
      </c>
      <c r="AQ25">
        <v>2592</v>
      </c>
      <c r="AR25">
        <v>78.2</v>
      </c>
      <c r="AS25">
        <v>80.666700000000006</v>
      </c>
      <c r="AT25" t="s">
        <v>8448</v>
      </c>
      <c r="AU25">
        <v>83.307699999999997</v>
      </c>
      <c r="AV25">
        <v>0</v>
      </c>
      <c r="AW25" t="s">
        <v>8449</v>
      </c>
      <c r="AX25">
        <v>1</v>
      </c>
      <c r="AY25" t="s">
        <v>8450</v>
      </c>
      <c r="AZ25">
        <v>0</v>
      </c>
      <c r="BA25" t="s">
        <v>8451</v>
      </c>
      <c r="BB25">
        <v>1</v>
      </c>
      <c r="BC25" t="s">
        <v>8452</v>
      </c>
      <c r="BD25">
        <v>93.576899999999995</v>
      </c>
      <c r="BE25" t="s">
        <v>8453</v>
      </c>
      <c r="BF25" t="s">
        <v>8454</v>
      </c>
      <c r="BG25" t="s">
        <v>8455</v>
      </c>
      <c r="BH25">
        <v>58.909100000000002</v>
      </c>
      <c r="BJ25" s="1" t="s">
        <v>8538</v>
      </c>
      <c r="BK25" s="1" t="s">
        <v>8539</v>
      </c>
    </row>
    <row r="26" spans="1:63" x14ac:dyDescent="0.25">
      <c r="A26">
        <v>133</v>
      </c>
      <c r="B26">
        <v>679</v>
      </c>
      <c r="C26" t="s">
        <v>8445</v>
      </c>
      <c r="F26">
        <v>1011936</v>
      </c>
      <c r="G26" t="s">
        <v>199</v>
      </c>
      <c r="H26" t="s">
        <v>6200</v>
      </c>
      <c r="I26" t="s">
        <v>8446</v>
      </c>
      <c r="J26">
        <v>0</v>
      </c>
      <c r="K26">
        <v>6</v>
      </c>
      <c r="L26">
        <v>0</v>
      </c>
      <c r="M26">
        <v>443700</v>
      </c>
      <c r="N26">
        <v>166</v>
      </c>
      <c r="O26">
        <v>0</v>
      </c>
      <c r="P26">
        <v>2</v>
      </c>
      <c r="Q26">
        <v>0</v>
      </c>
      <c r="R26">
        <v>0</v>
      </c>
      <c r="S26">
        <v>385</v>
      </c>
      <c r="T26">
        <v>0</v>
      </c>
      <c r="U26">
        <v>0</v>
      </c>
      <c r="V26">
        <v>217</v>
      </c>
      <c r="W26" t="s">
        <v>8505</v>
      </c>
      <c r="X26">
        <v>0</v>
      </c>
      <c r="Y26">
        <v>19</v>
      </c>
      <c r="Z26">
        <v>0</v>
      </c>
      <c r="AA26">
        <v>20</v>
      </c>
      <c r="AB26">
        <v>0</v>
      </c>
      <c r="AC26">
        <v>10</v>
      </c>
      <c r="AD26">
        <v>0</v>
      </c>
      <c r="AE26">
        <v>3</v>
      </c>
      <c r="AF26">
        <v>0</v>
      </c>
      <c r="AG26">
        <v>3</v>
      </c>
      <c r="AH26">
        <v>0</v>
      </c>
      <c r="AI26">
        <v>-6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83</v>
      </c>
      <c r="AQ26">
        <v>1273</v>
      </c>
      <c r="AR26">
        <v>83</v>
      </c>
      <c r="AS26">
        <v>83</v>
      </c>
      <c r="AT26" t="s">
        <v>8448</v>
      </c>
      <c r="AU26">
        <v>66.5</v>
      </c>
      <c r="AV26">
        <v>0</v>
      </c>
      <c r="AW26" t="s">
        <v>8449</v>
      </c>
      <c r="AX26">
        <v>1</v>
      </c>
      <c r="AY26" t="s">
        <v>8450</v>
      </c>
      <c r="AZ26">
        <v>0</v>
      </c>
      <c r="BA26" t="s">
        <v>8451</v>
      </c>
      <c r="BB26">
        <v>1</v>
      </c>
      <c r="BC26" t="s">
        <v>8452</v>
      </c>
      <c r="BD26">
        <v>75.526300000000006</v>
      </c>
      <c r="BE26" t="s">
        <v>8453</v>
      </c>
      <c r="BF26" t="s">
        <v>8454</v>
      </c>
      <c r="BG26" t="s">
        <v>8455</v>
      </c>
      <c r="BH26">
        <v>28.931799999999999</v>
      </c>
      <c r="BJ26" s="1" t="s">
        <v>8540</v>
      </c>
      <c r="BK26">
        <v>5345.7831325301204</v>
      </c>
    </row>
    <row r="27" spans="1:63" x14ac:dyDescent="0.25">
      <c r="A27">
        <v>137</v>
      </c>
      <c r="B27">
        <v>425</v>
      </c>
      <c r="C27" t="s">
        <v>8445</v>
      </c>
      <c r="F27">
        <v>998114</v>
      </c>
      <c r="G27" t="s">
        <v>1127</v>
      </c>
      <c r="H27" t="s">
        <v>6188</v>
      </c>
      <c r="I27" t="s">
        <v>8480</v>
      </c>
      <c r="J27">
        <v>0</v>
      </c>
      <c r="K27">
        <v>6</v>
      </c>
      <c r="L27">
        <v>0</v>
      </c>
      <c r="M27">
        <v>441800</v>
      </c>
      <c r="N27">
        <v>130</v>
      </c>
      <c r="O27">
        <v>0</v>
      </c>
      <c r="P27">
        <v>2</v>
      </c>
      <c r="Q27">
        <v>0</v>
      </c>
      <c r="R27">
        <v>0</v>
      </c>
      <c r="S27">
        <v>415</v>
      </c>
      <c r="T27">
        <v>0</v>
      </c>
      <c r="U27">
        <v>0</v>
      </c>
      <c r="V27">
        <v>134</v>
      </c>
      <c r="W27" t="s">
        <v>8505</v>
      </c>
      <c r="X27">
        <v>0</v>
      </c>
      <c r="Y27">
        <v>13</v>
      </c>
      <c r="Z27">
        <v>0</v>
      </c>
      <c r="AA27">
        <v>9</v>
      </c>
      <c r="AB27">
        <v>0</v>
      </c>
      <c r="AC27">
        <v>9</v>
      </c>
      <c r="AD27">
        <v>0</v>
      </c>
      <c r="AE27">
        <v>4</v>
      </c>
      <c r="AF27">
        <v>0</v>
      </c>
      <c r="AG27">
        <v>1</v>
      </c>
      <c r="AH27">
        <v>0</v>
      </c>
      <c r="AI27">
        <v>-1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65</v>
      </c>
      <c r="AQ27">
        <v>1229</v>
      </c>
      <c r="AR27">
        <v>65</v>
      </c>
      <c r="AS27">
        <v>65</v>
      </c>
      <c r="AT27" t="s">
        <v>8482</v>
      </c>
      <c r="AU27">
        <v>72.666700000000006</v>
      </c>
      <c r="AV27">
        <v>1</v>
      </c>
      <c r="AW27" t="s">
        <v>8483</v>
      </c>
      <c r="AX27">
        <v>0</v>
      </c>
      <c r="AY27" t="s">
        <v>8461</v>
      </c>
      <c r="AZ27">
        <v>0</v>
      </c>
      <c r="BA27" t="s">
        <v>8460</v>
      </c>
      <c r="BB27">
        <v>1</v>
      </c>
      <c r="BC27" t="s">
        <v>8484</v>
      </c>
      <c r="BD27">
        <v>77.897400000000005</v>
      </c>
      <c r="BE27" t="s">
        <v>8455</v>
      </c>
      <c r="BF27" t="s">
        <v>8464</v>
      </c>
      <c r="BG27" t="s">
        <v>8464</v>
      </c>
      <c r="BH27">
        <v>27.931799999999999</v>
      </c>
      <c r="BJ27" s="1" t="s">
        <v>8541</v>
      </c>
      <c r="BK27" s="1" t="s">
        <v>8542</v>
      </c>
    </row>
    <row r="28" spans="1:63" x14ac:dyDescent="0.25">
      <c r="A28">
        <v>142</v>
      </c>
      <c r="B28">
        <v>147</v>
      </c>
      <c r="C28" t="s">
        <v>8445</v>
      </c>
      <c r="F28">
        <v>291313</v>
      </c>
      <c r="G28" t="s">
        <v>1196</v>
      </c>
      <c r="H28" t="s">
        <v>4951</v>
      </c>
      <c r="I28" t="s">
        <v>8525</v>
      </c>
      <c r="J28">
        <v>0</v>
      </c>
      <c r="K28">
        <v>6</v>
      </c>
      <c r="L28">
        <v>0</v>
      </c>
      <c r="M28">
        <v>384100</v>
      </c>
      <c r="N28">
        <v>302</v>
      </c>
      <c r="O28">
        <v>0</v>
      </c>
      <c r="P28">
        <v>5</v>
      </c>
      <c r="Q28">
        <v>0</v>
      </c>
      <c r="R28">
        <v>-52600</v>
      </c>
      <c r="S28">
        <v>251</v>
      </c>
      <c r="T28">
        <v>0</v>
      </c>
      <c r="U28">
        <v>0</v>
      </c>
      <c r="V28">
        <v>516</v>
      </c>
      <c r="W28" t="s">
        <v>8475</v>
      </c>
      <c r="X28">
        <v>0</v>
      </c>
      <c r="Y28">
        <v>50</v>
      </c>
      <c r="Z28">
        <v>0</v>
      </c>
      <c r="AA28">
        <v>11</v>
      </c>
      <c r="AB28">
        <v>0</v>
      </c>
      <c r="AC28">
        <v>22</v>
      </c>
      <c r="AD28">
        <v>0</v>
      </c>
      <c r="AE28">
        <v>3</v>
      </c>
      <c r="AF28">
        <v>0</v>
      </c>
      <c r="AG28">
        <v>2</v>
      </c>
      <c r="AH28">
        <v>0</v>
      </c>
      <c r="AI28">
        <v>-1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60.4</v>
      </c>
      <c r="AQ28">
        <v>803</v>
      </c>
      <c r="AR28">
        <v>60.4</v>
      </c>
      <c r="AS28">
        <v>66</v>
      </c>
      <c r="AT28" t="s">
        <v>8524</v>
      </c>
      <c r="AU28">
        <v>90.6</v>
      </c>
      <c r="AV28">
        <v>1</v>
      </c>
      <c r="AW28" t="s">
        <v>8451</v>
      </c>
      <c r="AX28">
        <v>0</v>
      </c>
      <c r="AY28" t="s">
        <v>8468</v>
      </c>
      <c r="AZ28">
        <v>0</v>
      </c>
      <c r="BA28" t="s">
        <v>8513</v>
      </c>
      <c r="BB28">
        <v>1</v>
      </c>
      <c r="BC28" t="s">
        <v>8527</v>
      </c>
      <c r="BD28">
        <v>88.285700000000006</v>
      </c>
      <c r="BE28" t="s">
        <v>8464</v>
      </c>
      <c r="BF28" t="s">
        <v>8464</v>
      </c>
      <c r="BG28" t="s">
        <v>8463</v>
      </c>
      <c r="BH28">
        <v>18.25</v>
      </c>
      <c r="BJ28" s="1" t="s">
        <v>8543</v>
      </c>
      <c r="BK28" s="1" t="s">
        <v>8544</v>
      </c>
    </row>
    <row r="29" spans="1:63" x14ac:dyDescent="0.25">
      <c r="A29">
        <v>151</v>
      </c>
      <c r="B29">
        <v>684</v>
      </c>
      <c r="C29" t="s">
        <v>8445</v>
      </c>
      <c r="F29">
        <v>996765</v>
      </c>
      <c r="G29" t="s">
        <v>776</v>
      </c>
      <c r="H29" t="s">
        <v>6349</v>
      </c>
      <c r="I29" t="s">
        <v>8446</v>
      </c>
      <c r="J29">
        <v>0</v>
      </c>
      <c r="K29">
        <v>6</v>
      </c>
      <c r="L29">
        <v>0</v>
      </c>
      <c r="M29">
        <v>393500</v>
      </c>
      <c r="N29">
        <v>158</v>
      </c>
      <c r="O29">
        <v>0</v>
      </c>
      <c r="P29">
        <v>3</v>
      </c>
      <c r="Q29">
        <v>0</v>
      </c>
      <c r="R29">
        <v>-37600</v>
      </c>
      <c r="S29">
        <v>394</v>
      </c>
      <c r="T29">
        <v>0</v>
      </c>
      <c r="U29">
        <v>0</v>
      </c>
      <c r="V29">
        <v>312</v>
      </c>
      <c r="W29" t="s">
        <v>8505</v>
      </c>
      <c r="X29">
        <v>0</v>
      </c>
      <c r="Y29">
        <v>25</v>
      </c>
      <c r="Z29">
        <v>0</v>
      </c>
      <c r="AA29">
        <v>15</v>
      </c>
      <c r="AB29">
        <v>0</v>
      </c>
      <c r="AC29">
        <v>7</v>
      </c>
      <c r="AD29">
        <v>0</v>
      </c>
      <c r="AE29">
        <v>3</v>
      </c>
      <c r="AF29">
        <v>0</v>
      </c>
      <c r="AG29">
        <v>3</v>
      </c>
      <c r="AH29">
        <v>0</v>
      </c>
      <c r="AI29">
        <v>-7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3</v>
      </c>
      <c r="AP29">
        <v>52.666699999999999</v>
      </c>
      <c r="AQ29">
        <v>1267</v>
      </c>
      <c r="AR29">
        <v>52.666699999999999</v>
      </c>
      <c r="AS29">
        <v>52.666699999999999</v>
      </c>
      <c r="AT29" t="s">
        <v>8448</v>
      </c>
      <c r="AU29">
        <v>65.285700000000006</v>
      </c>
      <c r="AV29">
        <v>0</v>
      </c>
      <c r="AW29" t="s">
        <v>8449</v>
      </c>
      <c r="AX29">
        <v>1</v>
      </c>
      <c r="AY29" t="s">
        <v>8450</v>
      </c>
      <c r="AZ29">
        <v>0</v>
      </c>
      <c r="BA29" t="s">
        <v>8451</v>
      </c>
      <c r="BB29">
        <v>1</v>
      </c>
      <c r="BC29" t="s">
        <v>8452</v>
      </c>
      <c r="BD29">
        <v>78.220799999999997</v>
      </c>
      <c r="BE29" t="s">
        <v>8453</v>
      </c>
      <c r="BF29" t="s">
        <v>8454</v>
      </c>
      <c r="BG29" t="s">
        <v>8455</v>
      </c>
      <c r="BH29">
        <v>28.795500000000001</v>
      </c>
      <c r="BJ29" s="1" t="s">
        <v>8545</v>
      </c>
      <c r="BK29">
        <v>7471.5142585352796</v>
      </c>
    </row>
    <row r="30" spans="1:63" x14ac:dyDescent="0.25">
      <c r="A30">
        <v>155</v>
      </c>
      <c r="B30">
        <v>355</v>
      </c>
      <c r="C30" t="s">
        <v>8445</v>
      </c>
      <c r="F30">
        <v>291969</v>
      </c>
      <c r="G30" t="s">
        <v>3503</v>
      </c>
      <c r="H30" t="s">
        <v>6433</v>
      </c>
      <c r="I30" t="s">
        <v>8512</v>
      </c>
      <c r="J30">
        <v>0</v>
      </c>
      <c r="K30">
        <v>6</v>
      </c>
      <c r="L30">
        <v>0</v>
      </c>
      <c r="M30">
        <v>398300</v>
      </c>
      <c r="N30">
        <v>187</v>
      </c>
      <c r="O30">
        <v>0</v>
      </c>
      <c r="P30">
        <v>3</v>
      </c>
      <c r="Q30">
        <v>0</v>
      </c>
      <c r="R30">
        <v>-29500</v>
      </c>
      <c r="S30">
        <v>363</v>
      </c>
      <c r="T30">
        <v>0</v>
      </c>
      <c r="U30">
        <v>0</v>
      </c>
      <c r="V30">
        <v>318</v>
      </c>
      <c r="W30" t="s">
        <v>8505</v>
      </c>
      <c r="X30">
        <v>0</v>
      </c>
      <c r="Y30">
        <v>24</v>
      </c>
      <c r="Z30">
        <v>0</v>
      </c>
      <c r="AA30">
        <v>15</v>
      </c>
      <c r="AB30">
        <v>0</v>
      </c>
      <c r="AC30">
        <v>6</v>
      </c>
      <c r="AD30">
        <v>0</v>
      </c>
      <c r="AE30">
        <v>7</v>
      </c>
      <c r="AF30">
        <v>0</v>
      </c>
      <c r="AG30">
        <v>2</v>
      </c>
      <c r="AH30">
        <v>0</v>
      </c>
      <c r="AI30">
        <v>-3</v>
      </c>
      <c r="AJ30">
        <v>0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62.333300000000001</v>
      </c>
      <c r="AQ30">
        <v>1345</v>
      </c>
      <c r="AR30">
        <v>62.333300000000001</v>
      </c>
      <c r="AS30">
        <v>62.333300000000001</v>
      </c>
      <c r="AT30" t="s">
        <v>8511</v>
      </c>
      <c r="AU30">
        <v>88.785700000000006</v>
      </c>
      <c r="AV30">
        <v>1</v>
      </c>
      <c r="AW30" t="s">
        <v>8493</v>
      </c>
      <c r="AX30">
        <v>0</v>
      </c>
      <c r="AY30" t="s">
        <v>8491</v>
      </c>
      <c r="AZ30">
        <v>1</v>
      </c>
      <c r="BA30" t="s">
        <v>8468</v>
      </c>
      <c r="BB30">
        <v>1</v>
      </c>
      <c r="BC30" t="s">
        <v>8515</v>
      </c>
      <c r="BD30">
        <v>94.083299999999994</v>
      </c>
      <c r="BE30" t="s">
        <v>8546</v>
      </c>
      <c r="BF30" t="s">
        <v>8454</v>
      </c>
      <c r="BG30" t="s">
        <v>8531</v>
      </c>
      <c r="BH30">
        <v>30.568200000000001</v>
      </c>
      <c r="BJ30" s="1" t="s">
        <v>8547</v>
      </c>
      <c r="BK30">
        <v>6389.8429892208496</v>
      </c>
    </row>
    <row r="31" spans="1:63" x14ac:dyDescent="0.25">
      <c r="A31">
        <v>157</v>
      </c>
      <c r="B31">
        <v>714</v>
      </c>
      <c r="C31" t="s">
        <v>8445</v>
      </c>
      <c r="F31">
        <v>294101</v>
      </c>
      <c r="G31" t="s">
        <v>4434</v>
      </c>
      <c r="H31" t="s">
        <v>7489</v>
      </c>
      <c r="I31" t="s">
        <v>8548</v>
      </c>
      <c r="J31">
        <v>0</v>
      </c>
      <c r="K31">
        <v>6</v>
      </c>
      <c r="L31">
        <v>0</v>
      </c>
      <c r="M31">
        <v>426900</v>
      </c>
      <c r="N31">
        <v>26</v>
      </c>
      <c r="O31">
        <v>0</v>
      </c>
      <c r="P31">
        <v>1</v>
      </c>
      <c r="Q31">
        <v>0</v>
      </c>
      <c r="R31">
        <v>0</v>
      </c>
      <c r="S31">
        <v>501</v>
      </c>
      <c r="T31">
        <v>0</v>
      </c>
      <c r="U31">
        <v>0</v>
      </c>
      <c r="V31">
        <v>97</v>
      </c>
      <c r="W31" t="s">
        <v>8466</v>
      </c>
      <c r="X31">
        <v>0</v>
      </c>
      <c r="Y31">
        <v>7</v>
      </c>
      <c r="Z31">
        <v>0</v>
      </c>
      <c r="AA31">
        <v>2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26</v>
      </c>
      <c r="AQ31">
        <v>444</v>
      </c>
      <c r="AR31">
        <v>26</v>
      </c>
      <c r="AS31">
        <v>26</v>
      </c>
      <c r="AT31" t="s">
        <v>8549</v>
      </c>
      <c r="AU31">
        <v>94.333299999999994</v>
      </c>
      <c r="AV31">
        <v>0</v>
      </c>
      <c r="AW31" t="s">
        <v>8450</v>
      </c>
      <c r="AX31">
        <v>1</v>
      </c>
      <c r="AY31" t="s">
        <v>8497</v>
      </c>
      <c r="AZ31">
        <v>0</v>
      </c>
      <c r="BA31" t="s">
        <v>8449</v>
      </c>
      <c r="BB31">
        <v>1</v>
      </c>
      <c r="BC31" t="s">
        <v>8471</v>
      </c>
      <c r="BD31">
        <v>81.752700000000004</v>
      </c>
      <c r="BE31" t="s">
        <v>8546</v>
      </c>
      <c r="BF31" t="s">
        <v>8534</v>
      </c>
      <c r="BG31" t="s">
        <v>8495</v>
      </c>
      <c r="BH31">
        <v>10.0909</v>
      </c>
      <c r="BJ31" s="1" t="s">
        <v>8550</v>
      </c>
      <c r="BK31" s="1" t="s">
        <v>8551</v>
      </c>
    </row>
    <row r="32" spans="1:63" x14ac:dyDescent="0.25">
      <c r="A32">
        <v>159</v>
      </c>
      <c r="B32">
        <v>592</v>
      </c>
      <c r="C32" t="s">
        <v>8445</v>
      </c>
      <c r="F32">
        <v>290627</v>
      </c>
      <c r="G32" t="s">
        <v>5916</v>
      </c>
      <c r="H32" t="s">
        <v>5917</v>
      </c>
      <c r="I32" t="s">
        <v>8490</v>
      </c>
      <c r="J32">
        <v>0</v>
      </c>
      <c r="K32">
        <v>6</v>
      </c>
      <c r="L32">
        <v>0</v>
      </c>
      <c r="M32">
        <v>426100</v>
      </c>
      <c r="N32">
        <v>0</v>
      </c>
      <c r="O32">
        <v>0</v>
      </c>
      <c r="P32">
        <v>0</v>
      </c>
      <c r="Q32">
        <v>0</v>
      </c>
      <c r="R32">
        <v>0</v>
      </c>
      <c r="S32">
        <v>510</v>
      </c>
      <c r="T32">
        <v>0</v>
      </c>
      <c r="U32">
        <v>0</v>
      </c>
      <c r="V32">
        <v>0</v>
      </c>
      <c r="W32" t="s">
        <v>8447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523</v>
      </c>
      <c r="AR32">
        <v>0</v>
      </c>
      <c r="AS32">
        <v>0</v>
      </c>
      <c r="AT32" t="s">
        <v>8489</v>
      </c>
      <c r="AU32">
        <v>98.8</v>
      </c>
      <c r="AV32">
        <v>0</v>
      </c>
      <c r="AW32" t="s">
        <v>8460</v>
      </c>
      <c r="AX32">
        <v>1</v>
      </c>
      <c r="AY32" t="s">
        <v>8459</v>
      </c>
      <c r="AZ32">
        <v>1</v>
      </c>
      <c r="BA32" t="s">
        <v>8483</v>
      </c>
      <c r="BB32">
        <v>0</v>
      </c>
      <c r="BC32" t="s">
        <v>8471</v>
      </c>
      <c r="BD32">
        <v>87.615399999999994</v>
      </c>
      <c r="BE32" t="s">
        <v>8464</v>
      </c>
      <c r="BF32" t="s">
        <v>8464</v>
      </c>
      <c r="BG32" t="s">
        <v>8464</v>
      </c>
      <c r="BH32">
        <v>11.8864</v>
      </c>
    </row>
    <row r="33" spans="1:63" x14ac:dyDescent="0.25">
      <c r="A33">
        <v>160</v>
      </c>
      <c r="B33">
        <v>266</v>
      </c>
      <c r="C33" t="s">
        <v>8445</v>
      </c>
      <c r="F33">
        <v>295446</v>
      </c>
      <c r="G33" t="s">
        <v>958</v>
      </c>
      <c r="H33" t="s">
        <v>7216</v>
      </c>
      <c r="I33" t="s">
        <v>8489</v>
      </c>
      <c r="J33">
        <v>0</v>
      </c>
      <c r="K33">
        <v>6</v>
      </c>
      <c r="L33">
        <v>0</v>
      </c>
      <c r="M33">
        <v>389200</v>
      </c>
      <c r="N33">
        <v>270</v>
      </c>
      <c r="O33">
        <v>0</v>
      </c>
      <c r="P33">
        <v>4</v>
      </c>
      <c r="Q33">
        <v>0</v>
      </c>
      <c r="R33">
        <v>-36700</v>
      </c>
      <c r="S33">
        <v>281</v>
      </c>
      <c r="T33">
        <v>0</v>
      </c>
      <c r="U33">
        <v>0</v>
      </c>
      <c r="V33">
        <v>490</v>
      </c>
      <c r="W33" t="s">
        <v>8475</v>
      </c>
      <c r="X33">
        <v>0</v>
      </c>
      <c r="Y33">
        <v>26</v>
      </c>
      <c r="Z33">
        <v>0</v>
      </c>
      <c r="AA33">
        <v>15</v>
      </c>
      <c r="AB33">
        <v>0</v>
      </c>
      <c r="AC33">
        <v>19</v>
      </c>
      <c r="AD33">
        <v>0</v>
      </c>
      <c r="AE33">
        <v>5</v>
      </c>
      <c r="AF33">
        <v>0</v>
      </c>
      <c r="AG33">
        <v>3</v>
      </c>
      <c r="AH33">
        <v>0</v>
      </c>
      <c r="AI33">
        <v>-2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67.5</v>
      </c>
      <c r="AQ33">
        <v>691</v>
      </c>
      <c r="AR33">
        <v>67.5</v>
      </c>
      <c r="AS33">
        <v>65.666700000000006</v>
      </c>
      <c r="AT33" t="s">
        <v>8490</v>
      </c>
      <c r="AU33">
        <v>75</v>
      </c>
      <c r="AV33">
        <v>1</v>
      </c>
      <c r="AW33" t="s">
        <v>8491</v>
      </c>
      <c r="AX33">
        <v>0</v>
      </c>
      <c r="AY33" t="s">
        <v>8492</v>
      </c>
      <c r="AZ33">
        <v>1</v>
      </c>
      <c r="BA33" t="s">
        <v>8493</v>
      </c>
      <c r="BB33">
        <v>0</v>
      </c>
      <c r="BC33" t="s">
        <v>8471</v>
      </c>
      <c r="BD33">
        <v>75.789500000000004</v>
      </c>
      <c r="BE33" t="s">
        <v>8453</v>
      </c>
      <c r="BF33" t="s">
        <v>8494</v>
      </c>
      <c r="BG33" t="s">
        <v>8495</v>
      </c>
      <c r="BH33">
        <v>15.704499999999999</v>
      </c>
      <c r="BJ33" s="1" t="s">
        <v>8552</v>
      </c>
      <c r="BK33" s="1" t="s">
        <v>8553</v>
      </c>
    </row>
    <row r="34" spans="1:63" x14ac:dyDescent="0.25">
      <c r="A34">
        <v>161</v>
      </c>
      <c r="B34">
        <v>662</v>
      </c>
      <c r="C34" t="s">
        <v>8445</v>
      </c>
      <c r="F34">
        <v>998103</v>
      </c>
      <c r="G34" t="s">
        <v>3871</v>
      </c>
      <c r="H34" t="s">
        <v>6992</v>
      </c>
      <c r="I34" t="s">
        <v>8446</v>
      </c>
      <c r="J34">
        <v>0</v>
      </c>
      <c r="K34">
        <v>6</v>
      </c>
      <c r="L34">
        <v>0</v>
      </c>
      <c r="M34">
        <v>383300</v>
      </c>
      <c r="N34">
        <v>346</v>
      </c>
      <c r="O34">
        <v>0</v>
      </c>
      <c r="P34">
        <v>5</v>
      </c>
      <c r="Q34">
        <v>0</v>
      </c>
      <c r="R34">
        <v>-41900</v>
      </c>
      <c r="S34">
        <v>184</v>
      </c>
      <c r="T34">
        <v>0</v>
      </c>
      <c r="U34">
        <v>0</v>
      </c>
      <c r="V34">
        <v>529</v>
      </c>
      <c r="W34" t="s">
        <v>8475</v>
      </c>
      <c r="X34">
        <v>0</v>
      </c>
      <c r="Y34">
        <v>52</v>
      </c>
      <c r="Z34">
        <v>0</v>
      </c>
      <c r="AA34">
        <v>33</v>
      </c>
      <c r="AB34">
        <v>0</v>
      </c>
      <c r="AC34">
        <v>25</v>
      </c>
      <c r="AD34">
        <v>0</v>
      </c>
      <c r="AE34">
        <v>9</v>
      </c>
      <c r="AF34">
        <v>0</v>
      </c>
      <c r="AG34">
        <v>6</v>
      </c>
      <c r="AH34">
        <v>0</v>
      </c>
      <c r="AI34">
        <v>-2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4</v>
      </c>
      <c r="AP34">
        <v>69.2</v>
      </c>
      <c r="AQ34">
        <v>1002</v>
      </c>
      <c r="AR34">
        <v>69.2</v>
      </c>
      <c r="AS34">
        <v>70.666700000000006</v>
      </c>
      <c r="AT34" t="s">
        <v>8448</v>
      </c>
      <c r="AU34">
        <v>64.25</v>
      </c>
      <c r="AV34">
        <v>0</v>
      </c>
      <c r="AW34" t="s">
        <v>8449</v>
      </c>
      <c r="AX34">
        <v>1</v>
      </c>
      <c r="AY34" t="s">
        <v>8450</v>
      </c>
      <c r="AZ34">
        <v>0</v>
      </c>
      <c r="BA34" t="s">
        <v>8451</v>
      </c>
      <c r="BB34">
        <v>1</v>
      </c>
      <c r="BC34" t="s">
        <v>8452</v>
      </c>
      <c r="BD34">
        <v>69.337800000000001</v>
      </c>
      <c r="BE34" t="s">
        <v>8453</v>
      </c>
      <c r="BF34" t="s">
        <v>8454</v>
      </c>
      <c r="BG34" t="s">
        <v>8455</v>
      </c>
      <c r="BH34">
        <v>22.7727</v>
      </c>
      <c r="BJ34" s="1" t="s">
        <v>8554</v>
      </c>
      <c r="BK34" s="1" t="s">
        <v>8555</v>
      </c>
    </row>
    <row r="35" spans="1:63" x14ac:dyDescent="0.25">
      <c r="A35">
        <v>163</v>
      </c>
      <c r="B35">
        <v>315</v>
      </c>
      <c r="C35" t="s">
        <v>8445</v>
      </c>
      <c r="F35">
        <v>281065</v>
      </c>
      <c r="G35" t="s">
        <v>1718</v>
      </c>
      <c r="H35" t="s">
        <v>6128</v>
      </c>
      <c r="I35" t="s">
        <v>8482</v>
      </c>
      <c r="J35">
        <v>0</v>
      </c>
      <c r="K35">
        <v>6</v>
      </c>
      <c r="L35">
        <v>0</v>
      </c>
      <c r="M35">
        <v>423300</v>
      </c>
      <c r="N35">
        <v>0</v>
      </c>
      <c r="O35">
        <v>0</v>
      </c>
      <c r="P35">
        <v>0</v>
      </c>
      <c r="Q35">
        <v>0</v>
      </c>
      <c r="R35">
        <v>0</v>
      </c>
      <c r="S35">
        <v>510</v>
      </c>
      <c r="T35">
        <v>0</v>
      </c>
      <c r="U35">
        <v>0</v>
      </c>
      <c r="V35">
        <v>0</v>
      </c>
      <c r="W35" t="s">
        <v>8447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417</v>
      </c>
      <c r="AR35">
        <v>0</v>
      </c>
      <c r="AS35">
        <v>0</v>
      </c>
      <c r="AT35" t="s">
        <v>8480</v>
      </c>
      <c r="AU35">
        <v>94.347800000000007</v>
      </c>
      <c r="AV35">
        <v>0</v>
      </c>
      <c r="AW35" t="s">
        <v>8514</v>
      </c>
      <c r="AX35">
        <v>1</v>
      </c>
      <c r="AY35" t="s">
        <v>8530</v>
      </c>
      <c r="AZ35">
        <v>1</v>
      </c>
      <c r="BA35" t="s">
        <v>8450</v>
      </c>
      <c r="BB35">
        <v>0</v>
      </c>
      <c r="BC35" t="s">
        <v>8484</v>
      </c>
      <c r="BD35">
        <v>91.555599999999998</v>
      </c>
      <c r="BE35" t="s">
        <v>8464</v>
      </c>
      <c r="BF35" t="s">
        <v>8464</v>
      </c>
      <c r="BG35" t="s">
        <v>8531</v>
      </c>
      <c r="BH35">
        <v>9.4772700000000007</v>
      </c>
    </row>
    <row r="36" spans="1:63" x14ac:dyDescent="0.25">
      <c r="A36">
        <v>165</v>
      </c>
      <c r="B36">
        <v>193</v>
      </c>
      <c r="C36" t="s">
        <v>8445</v>
      </c>
      <c r="F36">
        <v>298630</v>
      </c>
      <c r="G36" t="s">
        <v>2354</v>
      </c>
      <c r="H36" t="s">
        <v>2116</v>
      </c>
      <c r="I36" t="s">
        <v>8458</v>
      </c>
      <c r="J36">
        <v>0</v>
      </c>
      <c r="K36">
        <v>6</v>
      </c>
      <c r="L36">
        <v>0</v>
      </c>
      <c r="M36">
        <v>422200</v>
      </c>
      <c r="N36">
        <v>53</v>
      </c>
      <c r="O36">
        <v>0</v>
      </c>
      <c r="P36">
        <v>1</v>
      </c>
      <c r="Q36">
        <v>0</v>
      </c>
      <c r="R36">
        <v>0</v>
      </c>
      <c r="S36">
        <v>477</v>
      </c>
      <c r="T36">
        <v>0</v>
      </c>
      <c r="U36">
        <v>0</v>
      </c>
      <c r="V36">
        <v>81</v>
      </c>
      <c r="W36" t="s">
        <v>8505</v>
      </c>
      <c r="X36">
        <v>0</v>
      </c>
      <c r="Y36">
        <v>5</v>
      </c>
      <c r="Z36">
        <v>0</v>
      </c>
      <c r="AA36">
        <v>6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-1</v>
      </c>
      <c r="AJ36">
        <v>0</v>
      </c>
      <c r="AK36">
        <v>0</v>
      </c>
      <c r="AL36">
        <v>0</v>
      </c>
      <c r="AM36">
        <v>2</v>
      </c>
      <c r="AN36">
        <v>0</v>
      </c>
      <c r="AO36">
        <v>0</v>
      </c>
      <c r="AP36">
        <v>53</v>
      </c>
      <c r="AQ36">
        <v>1231</v>
      </c>
      <c r="AR36">
        <v>53</v>
      </c>
      <c r="AS36">
        <v>53</v>
      </c>
      <c r="AT36" t="s">
        <v>8456</v>
      </c>
      <c r="AU36">
        <v>91</v>
      </c>
      <c r="AV36">
        <v>1</v>
      </c>
      <c r="AW36" t="s">
        <v>8530</v>
      </c>
      <c r="AX36">
        <v>1</v>
      </c>
      <c r="AY36" t="s">
        <v>8526</v>
      </c>
      <c r="AZ36">
        <v>0</v>
      </c>
      <c r="BA36" t="s">
        <v>8491</v>
      </c>
      <c r="BB36">
        <v>0</v>
      </c>
      <c r="BC36" t="s">
        <v>8462</v>
      </c>
      <c r="BD36">
        <v>78.8</v>
      </c>
      <c r="BE36" t="s">
        <v>8464</v>
      </c>
      <c r="BF36" t="s">
        <v>8455</v>
      </c>
      <c r="BG36" t="s">
        <v>8455</v>
      </c>
      <c r="BH36">
        <v>27.9773</v>
      </c>
      <c r="BJ36">
        <v>0.65432098765432101</v>
      </c>
      <c r="BK36" s="1" t="s">
        <v>8556</v>
      </c>
    </row>
    <row r="37" spans="1:63" x14ac:dyDescent="0.25">
      <c r="A37">
        <v>166</v>
      </c>
      <c r="B37">
        <v>182</v>
      </c>
      <c r="C37" t="s">
        <v>8445</v>
      </c>
      <c r="F37">
        <v>1006096</v>
      </c>
      <c r="G37" t="s">
        <v>580</v>
      </c>
      <c r="H37" t="s">
        <v>7782</v>
      </c>
      <c r="I37" t="s">
        <v>8458</v>
      </c>
      <c r="J37">
        <v>0</v>
      </c>
      <c r="K37">
        <v>6</v>
      </c>
      <c r="L37">
        <v>0</v>
      </c>
      <c r="M37">
        <v>422700</v>
      </c>
      <c r="N37">
        <v>341</v>
      </c>
      <c r="O37">
        <v>0</v>
      </c>
      <c r="P37">
        <v>4</v>
      </c>
      <c r="Q37">
        <v>0</v>
      </c>
      <c r="R37">
        <v>600</v>
      </c>
      <c r="S37">
        <v>191</v>
      </c>
      <c r="T37">
        <v>0</v>
      </c>
      <c r="U37">
        <v>0</v>
      </c>
      <c r="V37">
        <v>414</v>
      </c>
      <c r="W37" t="s">
        <v>8475</v>
      </c>
      <c r="X37">
        <v>0</v>
      </c>
      <c r="Y37">
        <v>37</v>
      </c>
      <c r="Z37">
        <v>0</v>
      </c>
      <c r="AA37">
        <v>41</v>
      </c>
      <c r="AB37">
        <v>0</v>
      </c>
      <c r="AC37">
        <v>20</v>
      </c>
      <c r="AD37">
        <v>0</v>
      </c>
      <c r="AE37">
        <v>13</v>
      </c>
      <c r="AF37">
        <v>0</v>
      </c>
      <c r="AG37">
        <v>8</v>
      </c>
      <c r="AH37">
        <v>0</v>
      </c>
      <c r="AI37">
        <v>-4</v>
      </c>
      <c r="AJ37">
        <v>0</v>
      </c>
      <c r="AK37">
        <v>0</v>
      </c>
      <c r="AL37">
        <v>0</v>
      </c>
      <c r="AM37">
        <v>3</v>
      </c>
      <c r="AN37">
        <v>0</v>
      </c>
      <c r="AO37">
        <v>1</v>
      </c>
      <c r="AP37">
        <v>85.25</v>
      </c>
      <c r="AQ37">
        <v>1839</v>
      </c>
      <c r="AR37">
        <v>85.25</v>
      </c>
      <c r="AS37">
        <v>76</v>
      </c>
      <c r="AT37" t="s">
        <v>8456</v>
      </c>
      <c r="AU37">
        <v>80.8</v>
      </c>
      <c r="AV37">
        <v>1</v>
      </c>
      <c r="AW37" t="s">
        <v>8530</v>
      </c>
      <c r="AX37">
        <v>1</v>
      </c>
      <c r="AY37" t="s">
        <v>8526</v>
      </c>
      <c r="AZ37">
        <v>0</v>
      </c>
      <c r="BA37" t="s">
        <v>8491</v>
      </c>
      <c r="BB37">
        <v>0</v>
      </c>
      <c r="BC37" t="s">
        <v>8462</v>
      </c>
      <c r="BD37">
        <v>80.599999999999994</v>
      </c>
      <c r="BE37" t="s">
        <v>8464</v>
      </c>
      <c r="BF37" t="s">
        <v>8455</v>
      </c>
      <c r="BG37" t="s">
        <v>8455</v>
      </c>
      <c r="BH37">
        <v>41.795499999999997</v>
      </c>
      <c r="BJ37" s="1" t="s">
        <v>8557</v>
      </c>
      <c r="BK37" s="1" t="s">
        <v>8558</v>
      </c>
    </row>
    <row r="38" spans="1:63" x14ac:dyDescent="0.25">
      <c r="A38">
        <v>168</v>
      </c>
      <c r="B38">
        <v>154</v>
      </c>
      <c r="C38" t="s">
        <v>8445</v>
      </c>
      <c r="F38">
        <v>992010</v>
      </c>
      <c r="G38" t="s">
        <v>3687</v>
      </c>
      <c r="H38" t="s">
        <v>6954</v>
      </c>
      <c r="I38" t="s">
        <v>8525</v>
      </c>
      <c r="J38">
        <v>0</v>
      </c>
      <c r="K38">
        <v>6</v>
      </c>
      <c r="L38">
        <v>0</v>
      </c>
      <c r="M38">
        <v>403700</v>
      </c>
      <c r="N38">
        <v>366</v>
      </c>
      <c r="O38">
        <v>0</v>
      </c>
      <c r="P38">
        <v>5</v>
      </c>
      <c r="Q38">
        <v>0</v>
      </c>
      <c r="R38">
        <v>-16600</v>
      </c>
      <c r="S38">
        <v>145</v>
      </c>
      <c r="T38">
        <v>0</v>
      </c>
      <c r="U38">
        <v>0</v>
      </c>
      <c r="V38">
        <v>514</v>
      </c>
      <c r="W38" t="s">
        <v>8481</v>
      </c>
      <c r="X38">
        <v>0</v>
      </c>
      <c r="Y38">
        <v>51</v>
      </c>
      <c r="Z38">
        <v>0</v>
      </c>
      <c r="AA38">
        <v>18</v>
      </c>
      <c r="AB38">
        <v>0</v>
      </c>
      <c r="AC38">
        <v>18</v>
      </c>
      <c r="AD38">
        <v>0</v>
      </c>
      <c r="AE38">
        <v>12</v>
      </c>
      <c r="AF38">
        <v>0</v>
      </c>
      <c r="AG38">
        <v>1</v>
      </c>
      <c r="AH38">
        <v>0</v>
      </c>
      <c r="AI38">
        <v>-8</v>
      </c>
      <c r="AJ38">
        <v>0</v>
      </c>
      <c r="AK38">
        <v>0</v>
      </c>
      <c r="AL38">
        <v>0</v>
      </c>
      <c r="AM38">
        <v>3</v>
      </c>
      <c r="AN38">
        <v>0</v>
      </c>
      <c r="AO38">
        <v>0</v>
      </c>
      <c r="AP38">
        <v>73.2</v>
      </c>
      <c r="AQ38">
        <v>1075</v>
      </c>
      <c r="AR38">
        <v>73.2</v>
      </c>
      <c r="AS38">
        <v>75.333299999999994</v>
      </c>
      <c r="AT38" t="s">
        <v>8524</v>
      </c>
      <c r="AU38">
        <v>78.333299999999994</v>
      </c>
      <c r="AV38">
        <v>1</v>
      </c>
      <c r="AW38" t="s">
        <v>8451</v>
      </c>
      <c r="AX38">
        <v>0</v>
      </c>
      <c r="AY38" t="s">
        <v>8468</v>
      </c>
      <c r="AZ38">
        <v>0</v>
      </c>
      <c r="BA38" t="s">
        <v>8513</v>
      </c>
      <c r="BB38">
        <v>1</v>
      </c>
      <c r="BC38" t="s">
        <v>8527</v>
      </c>
      <c r="BD38">
        <v>86.692300000000003</v>
      </c>
      <c r="BE38" t="s">
        <v>8464</v>
      </c>
      <c r="BF38" t="s">
        <v>8464</v>
      </c>
      <c r="BG38" t="s">
        <v>8463</v>
      </c>
      <c r="BH38">
        <v>24.431799999999999</v>
      </c>
      <c r="BJ38" s="1" t="s">
        <v>8559</v>
      </c>
      <c r="BK38" s="1" t="s">
        <v>8560</v>
      </c>
    </row>
    <row r="39" spans="1:63" x14ac:dyDescent="0.25">
      <c r="A39">
        <v>169</v>
      </c>
      <c r="B39">
        <v>352</v>
      </c>
      <c r="C39" t="s">
        <v>8445</v>
      </c>
      <c r="F39">
        <v>1009708</v>
      </c>
      <c r="G39" t="s">
        <v>1127</v>
      </c>
      <c r="H39" t="s">
        <v>2049</v>
      </c>
      <c r="I39" t="s">
        <v>8512</v>
      </c>
      <c r="J39">
        <v>0</v>
      </c>
      <c r="K39">
        <v>6</v>
      </c>
      <c r="L39">
        <v>0</v>
      </c>
      <c r="M39">
        <v>371800</v>
      </c>
      <c r="N39">
        <v>341</v>
      </c>
      <c r="O39">
        <v>0</v>
      </c>
      <c r="P39">
        <v>5</v>
      </c>
      <c r="Q39">
        <v>0</v>
      </c>
      <c r="R39">
        <v>-48500</v>
      </c>
      <c r="S39">
        <v>191</v>
      </c>
      <c r="T39">
        <v>0</v>
      </c>
      <c r="U39">
        <v>0</v>
      </c>
      <c r="V39">
        <v>567</v>
      </c>
      <c r="W39" t="s">
        <v>8475</v>
      </c>
      <c r="X39">
        <v>0</v>
      </c>
      <c r="Y39">
        <v>35</v>
      </c>
      <c r="Z39">
        <v>0</v>
      </c>
      <c r="AA39">
        <v>18</v>
      </c>
      <c r="AB39">
        <v>0</v>
      </c>
      <c r="AC39">
        <v>26</v>
      </c>
      <c r="AD39">
        <v>0</v>
      </c>
      <c r="AE39">
        <v>10</v>
      </c>
      <c r="AF39">
        <v>0</v>
      </c>
      <c r="AG39">
        <v>4</v>
      </c>
      <c r="AH39">
        <v>0</v>
      </c>
      <c r="AI39">
        <v>-3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68.2</v>
      </c>
      <c r="AQ39">
        <v>535</v>
      </c>
      <c r="AR39">
        <v>68.2</v>
      </c>
      <c r="AS39">
        <v>69</v>
      </c>
      <c r="AT39" t="s">
        <v>8511</v>
      </c>
      <c r="AU39">
        <v>69.25</v>
      </c>
      <c r="AV39">
        <v>1</v>
      </c>
      <c r="AW39" t="s">
        <v>8493</v>
      </c>
      <c r="AX39">
        <v>0</v>
      </c>
      <c r="AY39" t="s">
        <v>8491</v>
      </c>
      <c r="AZ39">
        <v>1</v>
      </c>
      <c r="BA39" t="s">
        <v>8468</v>
      </c>
      <c r="BB39">
        <v>1</v>
      </c>
      <c r="BC39" t="s">
        <v>8515</v>
      </c>
      <c r="BD39">
        <v>67.5</v>
      </c>
      <c r="BE39" t="s">
        <v>8546</v>
      </c>
      <c r="BF39" t="s">
        <v>8454</v>
      </c>
      <c r="BG39" t="s">
        <v>8531</v>
      </c>
      <c r="BH39">
        <v>12.1591</v>
      </c>
      <c r="BJ39" s="1" t="s">
        <v>8561</v>
      </c>
      <c r="BK39" s="1" t="s">
        <v>8562</v>
      </c>
    </row>
    <row r="40" spans="1:63" x14ac:dyDescent="0.25">
      <c r="A40">
        <v>170</v>
      </c>
      <c r="B40">
        <v>18</v>
      </c>
      <c r="C40" t="s">
        <v>8445</v>
      </c>
      <c r="F40">
        <v>1013974</v>
      </c>
      <c r="G40" t="s">
        <v>2555</v>
      </c>
      <c r="H40" t="s">
        <v>6678</v>
      </c>
      <c r="I40" t="s">
        <v>8511</v>
      </c>
      <c r="J40">
        <v>0</v>
      </c>
      <c r="K40">
        <v>6</v>
      </c>
      <c r="L40">
        <v>0</v>
      </c>
      <c r="M40">
        <v>324500</v>
      </c>
      <c r="N40">
        <v>304</v>
      </c>
      <c r="O40">
        <v>0</v>
      </c>
      <c r="P40">
        <v>5</v>
      </c>
      <c r="Q40">
        <v>0</v>
      </c>
      <c r="R40">
        <v>-95300</v>
      </c>
      <c r="S40">
        <v>248</v>
      </c>
      <c r="T40">
        <v>0</v>
      </c>
      <c r="U40">
        <v>0</v>
      </c>
      <c r="V40">
        <v>615</v>
      </c>
      <c r="W40" t="s">
        <v>8475</v>
      </c>
      <c r="X40">
        <v>0</v>
      </c>
      <c r="Y40">
        <v>47</v>
      </c>
      <c r="Z40">
        <v>0</v>
      </c>
      <c r="AA40">
        <v>21</v>
      </c>
      <c r="AB40">
        <v>0</v>
      </c>
      <c r="AC40">
        <v>19</v>
      </c>
      <c r="AD40">
        <v>0</v>
      </c>
      <c r="AE40">
        <v>3</v>
      </c>
      <c r="AF40">
        <v>0</v>
      </c>
      <c r="AG40">
        <v>2</v>
      </c>
      <c r="AH40">
        <v>0</v>
      </c>
      <c r="AI40">
        <v>-6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60.8</v>
      </c>
      <c r="AQ40">
        <v>394</v>
      </c>
      <c r="AR40">
        <v>60.8</v>
      </c>
      <c r="AS40">
        <v>63</v>
      </c>
      <c r="AT40" t="s">
        <v>8512</v>
      </c>
      <c r="AU40">
        <v>63</v>
      </c>
      <c r="AV40">
        <v>0</v>
      </c>
      <c r="AW40" t="s">
        <v>8513</v>
      </c>
      <c r="AX40">
        <v>1</v>
      </c>
      <c r="AY40" t="s">
        <v>8514</v>
      </c>
      <c r="AZ40">
        <v>0</v>
      </c>
      <c r="BA40" t="s">
        <v>8497</v>
      </c>
      <c r="BB40">
        <v>1</v>
      </c>
      <c r="BC40" t="s">
        <v>8515</v>
      </c>
      <c r="BD40">
        <v>75.263199999999998</v>
      </c>
      <c r="BE40" t="s">
        <v>8463</v>
      </c>
      <c r="BF40" t="s">
        <v>8472</v>
      </c>
      <c r="BG40" t="s">
        <v>8472</v>
      </c>
      <c r="BH40">
        <v>8.9545499999999993</v>
      </c>
      <c r="BJ40" s="1" t="s">
        <v>8563</v>
      </c>
      <c r="BK40" s="1" t="s">
        <v>8564</v>
      </c>
    </row>
    <row r="41" spans="1:63" x14ac:dyDescent="0.25">
      <c r="A41">
        <v>173</v>
      </c>
      <c r="B41">
        <v>164</v>
      </c>
      <c r="C41" t="s">
        <v>8473</v>
      </c>
      <c r="D41">
        <v>116859</v>
      </c>
      <c r="E41" t="s">
        <v>8474</v>
      </c>
      <c r="F41">
        <v>998205</v>
      </c>
      <c r="G41" t="s">
        <v>2192</v>
      </c>
      <c r="H41" t="s">
        <v>6900</v>
      </c>
      <c r="I41" t="s">
        <v>8525</v>
      </c>
      <c r="J41">
        <v>0</v>
      </c>
      <c r="K41">
        <v>6</v>
      </c>
      <c r="L41">
        <v>0</v>
      </c>
      <c r="M41">
        <v>389200</v>
      </c>
      <c r="N41">
        <v>375</v>
      </c>
      <c r="O41">
        <v>0</v>
      </c>
      <c r="P41">
        <v>5</v>
      </c>
      <c r="Q41">
        <v>0</v>
      </c>
      <c r="R41">
        <v>-28300</v>
      </c>
      <c r="S41">
        <v>136</v>
      </c>
      <c r="T41">
        <v>0</v>
      </c>
      <c r="U41">
        <v>0</v>
      </c>
      <c r="V41">
        <v>509</v>
      </c>
      <c r="W41" t="s">
        <v>8481</v>
      </c>
      <c r="X41">
        <v>0</v>
      </c>
      <c r="Y41">
        <v>50</v>
      </c>
      <c r="Z41">
        <v>0</v>
      </c>
      <c r="AA41">
        <v>39</v>
      </c>
      <c r="AB41">
        <v>0</v>
      </c>
      <c r="AC41">
        <v>16</v>
      </c>
      <c r="AD41">
        <v>0</v>
      </c>
      <c r="AE41">
        <v>18</v>
      </c>
      <c r="AF41">
        <v>0</v>
      </c>
      <c r="AG41">
        <v>3</v>
      </c>
      <c r="AH41">
        <v>0</v>
      </c>
      <c r="AI41">
        <v>-2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3</v>
      </c>
      <c r="AP41">
        <v>75</v>
      </c>
      <c r="AQ41">
        <v>2309</v>
      </c>
      <c r="AR41">
        <v>75</v>
      </c>
      <c r="AS41">
        <v>73.333299999999994</v>
      </c>
      <c r="AT41" t="s">
        <v>8524</v>
      </c>
      <c r="AU41">
        <v>80.833299999999994</v>
      </c>
      <c r="AV41">
        <v>1</v>
      </c>
      <c r="AW41" t="s">
        <v>8451</v>
      </c>
      <c r="AX41">
        <v>0</v>
      </c>
      <c r="AY41" t="s">
        <v>8468</v>
      </c>
      <c r="AZ41">
        <v>0</v>
      </c>
      <c r="BA41" t="s">
        <v>8513</v>
      </c>
      <c r="BB41">
        <v>1</v>
      </c>
      <c r="BC41" t="s">
        <v>8527</v>
      </c>
      <c r="BD41">
        <v>98.75</v>
      </c>
      <c r="BE41" t="s">
        <v>8464</v>
      </c>
      <c r="BF41" t="s">
        <v>8464</v>
      </c>
      <c r="BG41" t="s">
        <v>8463</v>
      </c>
      <c r="BH41">
        <v>52.4773</v>
      </c>
      <c r="BJ41" s="1" t="s">
        <v>8565</v>
      </c>
      <c r="BK41" s="1" t="s">
        <v>8566</v>
      </c>
    </row>
    <row r="42" spans="1:63" x14ac:dyDescent="0.25">
      <c r="A42">
        <v>174</v>
      </c>
      <c r="B42">
        <v>385</v>
      </c>
      <c r="C42" t="s">
        <v>8445</v>
      </c>
      <c r="F42">
        <v>280109</v>
      </c>
      <c r="G42" t="s">
        <v>8091</v>
      </c>
      <c r="H42" t="s">
        <v>8092</v>
      </c>
      <c r="I42" t="s">
        <v>8512</v>
      </c>
      <c r="J42">
        <v>0</v>
      </c>
      <c r="K42">
        <v>6</v>
      </c>
      <c r="L42">
        <v>0</v>
      </c>
      <c r="M42">
        <v>341600</v>
      </c>
      <c r="N42">
        <v>351</v>
      </c>
      <c r="O42">
        <v>0</v>
      </c>
      <c r="P42">
        <v>5</v>
      </c>
      <c r="Q42">
        <v>0</v>
      </c>
      <c r="R42">
        <v>-75400</v>
      </c>
      <c r="S42">
        <v>177</v>
      </c>
      <c r="T42">
        <v>0</v>
      </c>
      <c r="U42">
        <v>0</v>
      </c>
      <c r="V42">
        <v>513</v>
      </c>
      <c r="W42" t="s">
        <v>8475</v>
      </c>
      <c r="X42">
        <v>0</v>
      </c>
      <c r="Y42">
        <v>39</v>
      </c>
      <c r="Z42">
        <v>0</v>
      </c>
      <c r="AA42">
        <v>47</v>
      </c>
      <c r="AB42">
        <v>0</v>
      </c>
      <c r="AC42">
        <v>20</v>
      </c>
      <c r="AD42">
        <v>0</v>
      </c>
      <c r="AE42">
        <v>6</v>
      </c>
      <c r="AF42">
        <v>0</v>
      </c>
      <c r="AG42">
        <v>3</v>
      </c>
      <c r="AH42">
        <v>0</v>
      </c>
      <c r="AI42">
        <v>-4</v>
      </c>
      <c r="AJ42">
        <v>0</v>
      </c>
      <c r="AK42">
        <v>0</v>
      </c>
      <c r="AL42">
        <v>0</v>
      </c>
      <c r="AM42">
        <v>3</v>
      </c>
      <c r="AN42">
        <v>0</v>
      </c>
      <c r="AO42">
        <v>0</v>
      </c>
      <c r="AP42">
        <v>70.2</v>
      </c>
      <c r="AQ42">
        <v>690</v>
      </c>
      <c r="AR42">
        <v>70.2</v>
      </c>
      <c r="AS42">
        <v>64</v>
      </c>
      <c r="AT42" t="s">
        <v>8511</v>
      </c>
      <c r="AU42">
        <v>101.938</v>
      </c>
      <c r="AV42">
        <v>1</v>
      </c>
      <c r="AW42" t="s">
        <v>8493</v>
      </c>
      <c r="AX42">
        <v>0</v>
      </c>
      <c r="AY42" t="s">
        <v>8491</v>
      </c>
      <c r="AZ42">
        <v>1</v>
      </c>
      <c r="BA42" t="s">
        <v>8468</v>
      </c>
      <c r="BB42">
        <v>1</v>
      </c>
      <c r="BC42" t="s">
        <v>8515</v>
      </c>
      <c r="BD42">
        <v>91.230800000000002</v>
      </c>
      <c r="BE42" t="s">
        <v>8546</v>
      </c>
      <c r="BF42" t="s">
        <v>8454</v>
      </c>
      <c r="BG42" t="s">
        <v>8531</v>
      </c>
      <c r="BH42">
        <v>15.681800000000001</v>
      </c>
      <c r="BJ42" s="1" t="s">
        <v>8567</v>
      </c>
      <c r="BK42" s="1" t="s">
        <v>8568</v>
      </c>
    </row>
    <row r="43" spans="1:63" x14ac:dyDescent="0.25">
      <c r="A43">
        <v>175</v>
      </c>
      <c r="B43">
        <v>250</v>
      </c>
      <c r="C43" t="s">
        <v>8445</v>
      </c>
      <c r="F43">
        <v>992059</v>
      </c>
      <c r="G43" t="s">
        <v>958</v>
      </c>
      <c r="H43" t="s">
        <v>7980</v>
      </c>
      <c r="I43" t="s">
        <v>8502</v>
      </c>
      <c r="J43">
        <v>0</v>
      </c>
      <c r="K43">
        <v>6</v>
      </c>
      <c r="L43">
        <v>0</v>
      </c>
      <c r="M43">
        <v>416500</v>
      </c>
      <c r="N43">
        <v>65</v>
      </c>
      <c r="O43">
        <v>0</v>
      </c>
      <c r="P43">
        <v>2</v>
      </c>
      <c r="Q43">
        <v>0</v>
      </c>
      <c r="R43">
        <v>0</v>
      </c>
      <c r="S43">
        <v>467</v>
      </c>
      <c r="T43">
        <v>0</v>
      </c>
      <c r="U43">
        <v>0</v>
      </c>
      <c r="V43">
        <v>142</v>
      </c>
      <c r="W43" t="s">
        <v>8505</v>
      </c>
      <c r="X43">
        <v>0</v>
      </c>
      <c r="Y43">
        <v>8</v>
      </c>
      <c r="Z43">
        <v>0</v>
      </c>
      <c r="AA43">
        <v>5</v>
      </c>
      <c r="AB43">
        <v>0</v>
      </c>
      <c r="AC43">
        <v>2</v>
      </c>
      <c r="AD43">
        <v>0</v>
      </c>
      <c r="AE43">
        <v>6</v>
      </c>
      <c r="AF43">
        <v>0</v>
      </c>
      <c r="AG43">
        <v>0</v>
      </c>
      <c r="AH43">
        <v>0</v>
      </c>
      <c r="AI43">
        <v>-1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32.5</v>
      </c>
      <c r="AQ43">
        <v>1021</v>
      </c>
      <c r="AR43">
        <v>32.5</v>
      </c>
      <c r="AS43">
        <v>32.5</v>
      </c>
      <c r="AT43" t="s">
        <v>8501</v>
      </c>
      <c r="AU43">
        <v>82.2</v>
      </c>
      <c r="AV43">
        <v>1</v>
      </c>
      <c r="AW43" t="s">
        <v>8469</v>
      </c>
      <c r="AX43">
        <v>0</v>
      </c>
      <c r="AY43" t="s">
        <v>8470</v>
      </c>
      <c r="AZ43">
        <v>1</v>
      </c>
      <c r="BA43" t="s">
        <v>8530</v>
      </c>
      <c r="BB43">
        <v>0</v>
      </c>
      <c r="BC43" t="s">
        <v>8484</v>
      </c>
      <c r="BD43">
        <v>66.5</v>
      </c>
      <c r="BE43" t="s">
        <v>8463</v>
      </c>
      <c r="BF43" t="s">
        <v>8455</v>
      </c>
      <c r="BG43" t="s">
        <v>8463</v>
      </c>
      <c r="BH43">
        <v>23.204499999999999</v>
      </c>
      <c r="BJ43" s="1" t="s">
        <v>8569</v>
      </c>
      <c r="BK43" s="1" t="s">
        <v>8570</v>
      </c>
    </row>
    <row r="44" spans="1:63" x14ac:dyDescent="0.25">
      <c r="A44">
        <v>178</v>
      </c>
      <c r="B44">
        <v>735</v>
      </c>
      <c r="C44" t="s">
        <v>8445</v>
      </c>
      <c r="F44">
        <v>992351</v>
      </c>
      <c r="G44" t="s">
        <v>6558</v>
      </c>
      <c r="H44" t="s">
        <v>3370</v>
      </c>
      <c r="I44" t="s">
        <v>8548</v>
      </c>
      <c r="J44">
        <v>0</v>
      </c>
      <c r="K44">
        <v>6</v>
      </c>
      <c r="L44">
        <v>0</v>
      </c>
      <c r="M44">
        <v>412200</v>
      </c>
      <c r="N44">
        <v>382</v>
      </c>
      <c r="O44">
        <v>0</v>
      </c>
      <c r="P44">
        <v>5</v>
      </c>
      <c r="Q44">
        <v>0</v>
      </c>
      <c r="R44">
        <v>-2500</v>
      </c>
      <c r="S44">
        <v>128</v>
      </c>
      <c r="T44">
        <v>0</v>
      </c>
      <c r="U44">
        <v>0</v>
      </c>
      <c r="V44">
        <v>544</v>
      </c>
      <c r="W44" t="s">
        <v>8481</v>
      </c>
      <c r="X44">
        <v>0</v>
      </c>
      <c r="Y44">
        <v>45</v>
      </c>
      <c r="Z44">
        <v>0</v>
      </c>
      <c r="AA44">
        <v>50</v>
      </c>
      <c r="AB44">
        <v>0</v>
      </c>
      <c r="AC44">
        <v>25</v>
      </c>
      <c r="AD44">
        <v>0</v>
      </c>
      <c r="AE44">
        <v>10</v>
      </c>
      <c r="AF44">
        <v>0</v>
      </c>
      <c r="AG44">
        <v>3</v>
      </c>
      <c r="AH44">
        <v>0</v>
      </c>
      <c r="AI44">
        <v>-4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2</v>
      </c>
      <c r="AP44">
        <v>76.400000000000006</v>
      </c>
      <c r="AQ44">
        <v>1010</v>
      </c>
      <c r="AR44">
        <v>76.400000000000006</v>
      </c>
      <c r="AS44">
        <v>86.666700000000006</v>
      </c>
      <c r="AT44" t="s">
        <v>8549</v>
      </c>
      <c r="AU44">
        <v>62</v>
      </c>
      <c r="AV44">
        <v>0</v>
      </c>
      <c r="AW44" t="s">
        <v>8450</v>
      </c>
      <c r="AX44">
        <v>1</v>
      </c>
      <c r="AY44" t="s">
        <v>8497</v>
      </c>
      <c r="AZ44">
        <v>0</v>
      </c>
      <c r="BA44" t="s">
        <v>8449</v>
      </c>
      <c r="BB44">
        <v>1</v>
      </c>
      <c r="BC44" t="s">
        <v>8471</v>
      </c>
      <c r="BD44">
        <v>69.055599999999998</v>
      </c>
      <c r="BE44" t="s">
        <v>8546</v>
      </c>
      <c r="BF44" t="s">
        <v>8534</v>
      </c>
      <c r="BG44" t="s">
        <v>8495</v>
      </c>
      <c r="BH44">
        <v>22.954499999999999</v>
      </c>
      <c r="BJ44" s="1" t="s">
        <v>8571</v>
      </c>
      <c r="BK44" s="1" t="s">
        <v>8572</v>
      </c>
    </row>
    <row r="45" spans="1:63" x14ac:dyDescent="0.25">
      <c r="A45">
        <v>181</v>
      </c>
      <c r="B45">
        <v>614</v>
      </c>
      <c r="C45" t="s">
        <v>8445</v>
      </c>
      <c r="F45">
        <v>1002264</v>
      </c>
      <c r="G45" t="s">
        <v>5335</v>
      </c>
      <c r="H45" t="s">
        <v>6320</v>
      </c>
      <c r="I45" t="s">
        <v>8549</v>
      </c>
      <c r="J45">
        <v>0</v>
      </c>
      <c r="K45">
        <v>6</v>
      </c>
      <c r="L45">
        <v>0</v>
      </c>
      <c r="M45">
        <v>412000</v>
      </c>
      <c r="N45">
        <v>48</v>
      </c>
      <c r="O45">
        <v>0</v>
      </c>
      <c r="P45">
        <v>2</v>
      </c>
      <c r="Q45">
        <v>0</v>
      </c>
      <c r="R45">
        <v>0</v>
      </c>
      <c r="S45">
        <v>481</v>
      </c>
      <c r="T45">
        <v>0</v>
      </c>
      <c r="U45">
        <v>0</v>
      </c>
      <c r="V45">
        <v>77</v>
      </c>
      <c r="W45" t="s">
        <v>8466</v>
      </c>
      <c r="X45">
        <v>0</v>
      </c>
      <c r="Y45">
        <v>10</v>
      </c>
      <c r="Z45">
        <v>0</v>
      </c>
      <c r="AA45">
        <v>7</v>
      </c>
      <c r="AB45">
        <v>0</v>
      </c>
      <c r="AC45">
        <v>2</v>
      </c>
      <c r="AD45">
        <v>0</v>
      </c>
      <c r="AE45">
        <v>5</v>
      </c>
      <c r="AF45">
        <v>0</v>
      </c>
      <c r="AG45">
        <v>0</v>
      </c>
      <c r="AH45">
        <v>0</v>
      </c>
      <c r="AI45">
        <v>-3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24</v>
      </c>
      <c r="AQ45">
        <v>294</v>
      </c>
      <c r="AR45">
        <v>24</v>
      </c>
      <c r="AS45">
        <v>24</v>
      </c>
      <c r="AT45" t="s">
        <v>8548</v>
      </c>
      <c r="AU45">
        <v>72.8</v>
      </c>
      <c r="AV45">
        <v>1</v>
      </c>
      <c r="AW45" t="s">
        <v>8492</v>
      </c>
      <c r="AX45">
        <v>0</v>
      </c>
      <c r="AY45" t="s">
        <v>8513</v>
      </c>
      <c r="AZ45">
        <v>0</v>
      </c>
      <c r="BA45" t="s">
        <v>8514</v>
      </c>
      <c r="BB45">
        <v>0</v>
      </c>
      <c r="BC45" t="s">
        <v>8471</v>
      </c>
      <c r="BD45">
        <v>67.358500000000006</v>
      </c>
      <c r="BE45" t="s">
        <v>8455</v>
      </c>
      <c r="BF45" t="s">
        <v>8455</v>
      </c>
      <c r="BG45" t="s">
        <v>8464</v>
      </c>
      <c r="BH45">
        <v>6.6818200000000001</v>
      </c>
      <c r="BJ45" s="1" t="s">
        <v>8573</v>
      </c>
      <c r="BK45" s="1" t="s">
        <v>8574</v>
      </c>
    </row>
    <row r="46" spans="1:63" x14ac:dyDescent="0.25">
      <c r="A46">
        <v>182</v>
      </c>
      <c r="B46">
        <v>419</v>
      </c>
      <c r="C46" t="s">
        <v>8473</v>
      </c>
      <c r="D46">
        <v>118554</v>
      </c>
      <c r="E46" t="s">
        <v>8474</v>
      </c>
      <c r="F46">
        <v>1007124</v>
      </c>
      <c r="G46" t="s">
        <v>3352</v>
      </c>
      <c r="H46" t="s">
        <v>6427</v>
      </c>
      <c r="I46" t="s">
        <v>8480</v>
      </c>
      <c r="J46">
        <v>0</v>
      </c>
      <c r="K46">
        <v>6</v>
      </c>
      <c r="L46">
        <v>0</v>
      </c>
      <c r="M46">
        <v>379500</v>
      </c>
      <c r="N46">
        <v>357</v>
      </c>
      <c r="O46">
        <v>0</v>
      </c>
      <c r="P46">
        <v>5</v>
      </c>
      <c r="Q46">
        <v>0</v>
      </c>
      <c r="R46">
        <v>-32400</v>
      </c>
      <c r="S46">
        <v>167</v>
      </c>
      <c r="T46">
        <v>0</v>
      </c>
      <c r="U46">
        <v>0</v>
      </c>
      <c r="V46">
        <v>454</v>
      </c>
      <c r="W46" t="s">
        <v>8481</v>
      </c>
      <c r="X46">
        <v>0</v>
      </c>
      <c r="Y46">
        <v>39</v>
      </c>
      <c r="Z46">
        <v>0</v>
      </c>
      <c r="AA46">
        <v>40</v>
      </c>
      <c r="AB46">
        <v>0</v>
      </c>
      <c r="AC46">
        <v>12</v>
      </c>
      <c r="AD46">
        <v>0</v>
      </c>
      <c r="AE46">
        <v>32</v>
      </c>
      <c r="AF46">
        <v>0</v>
      </c>
      <c r="AG46">
        <v>2</v>
      </c>
      <c r="AH46">
        <v>0</v>
      </c>
      <c r="AI46">
        <v>-5</v>
      </c>
      <c r="AJ46">
        <v>0</v>
      </c>
      <c r="AK46">
        <v>5</v>
      </c>
      <c r="AL46">
        <v>0</v>
      </c>
      <c r="AM46">
        <v>1</v>
      </c>
      <c r="AN46">
        <v>0</v>
      </c>
      <c r="AO46">
        <v>1</v>
      </c>
      <c r="AP46">
        <v>71.400000000000006</v>
      </c>
      <c r="AQ46">
        <v>1234</v>
      </c>
      <c r="AR46">
        <v>71.400000000000006</v>
      </c>
      <c r="AS46">
        <v>56.666699999999999</v>
      </c>
      <c r="AT46" t="s">
        <v>8482</v>
      </c>
      <c r="AU46">
        <v>49.142899999999997</v>
      </c>
      <c r="AV46">
        <v>1</v>
      </c>
      <c r="AW46" t="s">
        <v>8483</v>
      </c>
      <c r="AX46">
        <v>0</v>
      </c>
      <c r="AY46" t="s">
        <v>8461</v>
      </c>
      <c r="AZ46">
        <v>0</v>
      </c>
      <c r="BA46" t="s">
        <v>8460</v>
      </c>
      <c r="BB46">
        <v>1</v>
      </c>
      <c r="BC46" t="s">
        <v>8484</v>
      </c>
      <c r="BD46">
        <v>65.025599999999997</v>
      </c>
      <c r="BE46" t="s">
        <v>8455</v>
      </c>
      <c r="BF46" t="s">
        <v>8464</v>
      </c>
      <c r="BG46" t="s">
        <v>8464</v>
      </c>
      <c r="BH46">
        <v>28.045500000000001</v>
      </c>
      <c r="BJ46" s="1" t="s">
        <v>8575</v>
      </c>
      <c r="BK46" s="1" t="s">
        <v>8576</v>
      </c>
    </row>
    <row r="47" spans="1:63" x14ac:dyDescent="0.25">
      <c r="A47">
        <v>183</v>
      </c>
      <c r="B47">
        <v>113</v>
      </c>
      <c r="C47" t="s">
        <v>8445</v>
      </c>
      <c r="F47">
        <v>297255</v>
      </c>
      <c r="G47" t="s">
        <v>1718</v>
      </c>
      <c r="H47" t="s">
        <v>6464</v>
      </c>
      <c r="I47" t="s">
        <v>8465</v>
      </c>
      <c r="J47">
        <v>0</v>
      </c>
      <c r="K47">
        <v>6</v>
      </c>
      <c r="L47">
        <v>0</v>
      </c>
      <c r="M47">
        <v>348800</v>
      </c>
      <c r="N47">
        <v>330</v>
      </c>
      <c r="O47">
        <v>0</v>
      </c>
      <c r="P47">
        <v>5</v>
      </c>
      <c r="Q47">
        <v>0</v>
      </c>
      <c r="R47">
        <v>-62900</v>
      </c>
      <c r="S47">
        <v>212</v>
      </c>
      <c r="T47">
        <v>0</v>
      </c>
      <c r="U47">
        <v>0</v>
      </c>
      <c r="V47">
        <v>525</v>
      </c>
      <c r="W47" t="s">
        <v>8475</v>
      </c>
      <c r="X47">
        <v>0</v>
      </c>
      <c r="Y47">
        <v>63</v>
      </c>
      <c r="Z47">
        <v>0</v>
      </c>
      <c r="AA47">
        <v>14</v>
      </c>
      <c r="AB47">
        <v>0</v>
      </c>
      <c r="AC47">
        <v>26</v>
      </c>
      <c r="AD47">
        <v>0</v>
      </c>
      <c r="AE47">
        <v>7</v>
      </c>
      <c r="AF47">
        <v>0</v>
      </c>
      <c r="AG47">
        <v>4</v>
      </c>
      <c r="AH47">
        <v>0</v>
      </c>
      <c r="AI47">
        <v>-5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66</v>
      </c>
      <c r="AQ47">
        <v>564</v>
      </c>
      <c r="AR47">
        <v>66</v>
      </c>
      <c r="AS47">
        <v>75.333299999999994</v>
      </c>
      <c r="AT47" t="s">
        <v>8467</v>
      </c>
      <c r="AU47">
        <v>73.5</v>
      </c>
      <c r="AV47">
        <v>1</v>
      </c>
      <c r="AW47" t="s">
        <v>8468</v>
      </c>
      <c r="AX47">
        <v>0</v>
      </c>
      <c r="AY47" t="s">
        <v>8469</v>
      </c>
      <c r="AZ47">
        <v>1</v>
      </c>
      <c r="BA47" t="s">
        <v>8470</v>
      </c>
      <c r="BB47">
        <v>1</v>
      </c>
      <c r="BC47" t="s">
        <v>8471</v>
      </c>
      <c r="BD47">
        <v>63.4</v>
      </c>
      <c r="BE47" t="s">
        <v>8464</v>
      </c>
      <c r="BF47" t="s">
        <v>8472</v>
      </c>
      <c r="BG47" t="s">
        <v>8464</v>
      </c>
      <c r="BH47">
        <v>12.818199999999999</v>
      </c>
      <c r="BJ47" s="1" t="s">
        <v>8506</v>
      </c>
      <c r="BK47" s="1" t="s">
        <v>8577</v>
      </c>
    </row>
    <row r="48" spans="1:63" x14ac:dyDescent="0.25">
      <c r="A48">
        <v>184</v>
      </c>
      <c r="B48">
        <v>479</v>
      </c>
      <c r="C48" t="s">
        <v>8445</v>
      </c>
      <c r="F48">
        <v>1015781</v>
      </c>
      <c r="G48" t="s">
        <v>5306</v>
      </c>
      <c r="H48" t="s">
        <v>7126</v>
      </c>
      <c r="I48" t="s">
        <v>8467</v>
      </c>
      <c r="J48">
        <v>0</v>
      </c>
      <c r="K48">
        <v>6</v>
      </c>
      <c r="L48">
        <v>0</v>
      </c>
      <c r="M48">
        <v>370500</v>
      </c>
      <c r="N48">
        <v>308</v>
      </c>
      <c r="O48">
        <v>0</v>
      </c>
      <c r="P48">
        <v>5</v>
      </c>
      <c r="Q48">
        <v>0</v>
      </c>
      <c r="R48">
        <v>-39900</v>
      </c>
      <c r="S48">
        <v>244</v>
      </c>
      <c r="T48">
        <v>0</v>
      </c>
      <c r="U48">
        <v>0</v>
      </c>
      <c r="V48">
        <v>585</v>
      </c>
      <c r="W48" t="s">
        <v>8475</v>
      </c>
      <c r="X48">
        <v>0</v>
      </c>
      <c r="Y48">
        <v>41</v>
      </c>
      <c r="Z48">
        <v>0</v>
      </c>
      <c r="AA48">
        <v>21</v>
      </c>
      <c r="AB48">
        <v>0</v>
      </c>
      <c r="AC48">
        <v>30</v>
      </c>
      <c r="AD48">
        <v>0</v>
      </c>
      <c r="AE48">
        <v>6</v>
      </c>
      <c r="AF48">
        <v>0</v>
      </c>
      <c r="AG48">
        <v>1</v>
      </c>
      <c r="AH48">
        <v>0</v>
      </c>
      <c r="AI48">
        <v>-11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61.6</v>
      </c>
      <c r="AQ48">
        <v>597</v>
      </c>
      <c r="AR48">
        <v>61.6</v>
      </c>
      <c r="AS48">
        <v>62.333300000000001</v>
      </c>
      <c r="AT48" t="s">
        <v>8465</v>
      </c>
      <c r="AU48">
        <v>48.5</v>
      </c>
      <c r="AV48">
        <v>0</v>
      </c>
      <c r="AW48" t="s">
        <v>8497</v>
      </c>
      <c r="AX48">
        <v>1</v>
      </c>
      <c r="AY48" t="s">
        <v>8451</v>
      </c>
      <c r="AZ48">
        <v>1</v>
      </c>
      <c r="BA48" t="s">
        <v>8492</v>
      </c>
      <c r="BB48">
        <v>0</v>
      </c>
      <c r="BC48" t="s">
        <v>8471</v>
      </c>
      <c r="BD48">
        <v>65.3125</v>
      </c>
      <c r="BE48" t="s">
        <v>8472</v>
      </c>
      <c r="BF48" t="s">
        <v>8455</v>
      </c>
      <c r="BG48" t="s">
        <v>8498</v>
      </c>
      <c r="BH48">
        <v>13.568199999999999</v>
      </c>
      <c r="BJ48" s="1" t="s">
        <v>8578</v>
      </c>
      <c r="BK48">
        <v>6014.6103896103896</v>
      </c>
    </row>
    <row r="49" spans="1:63" x14ac:dyDescent="0.25">
      <c r="A49">
        <v>186</v>
      </c>
      <c r="B49">
        <v>314</v>
      </c>
      <c r="C49" t="s">
        <v>8445</v>
      </c>
      <c r="F49">
        <v>1025034</v>
      </c>
      <c r="G49" t="s">
        <v>3871</v>
      </c>
      <c r="H49" t="s">
        <v>905</v>
      </c>
      <c r="I49" t="s">
        <v>8482</v>
      </c>
      <c r="J49">
        <v>0</v>
      </c>
      <c r="K49">
        <v>6</v>
      </c>
      <c r="L49">
        <v>0</v>
      </c>
      <c r="M49">
        <v>383200</v>
      </c>
      <c r="N49">
        <v>383</v>
      </c>
      <c r="O49">
        <v>0</v>
      </c>
      <c r="P49">
        <v>5</v>
      </c>
      <c r="Q49">
        <v>0</v>
      </c>
      <c r="R49">
        <v>-24900</v>
      </c>
      <c r="S49">
        <v>126</v>
      </c>
      <c r="T49">
        <v>0</v>
      </c>
      <c r="U49">
        <v>0</v>
      </c>
      <c r="V49">
        <v>557</v>
      </c>
      <c r="W49" t="s">
        <v>8481</v>
      </c>
      <c r="X49">
        <v>0</v>
      </c>
      <c r="Y49">
        <v>44</v>
      </c>
      <c r="Z49">
        <v>0</v>
      </c>
      <c r="AA49">
        <v>41</v>
      </c>
      <c r="AB49">
        <v>0</v>
      </c>
      <c r="AC49">
        <v>21</v>
      </c>
      <c r="AD49">
        <v>0</v>
      </c>
      <c r="AE49">
        <v>14</v>
      </c>
      <c r="AF49">
        <v>0</v>
      </c>
      <c r="AG49">
        <v>2</v>
      </c>
      <c r="AH49">
        <v>0</v>
      </c>
      <c r="AI49">
        <v>-4</v>
      </c>
      <c r="AJ49">
        <v>0</v>
      </c>
      <c r="AK49">
        <v>0</v>
      </c>
      <c r="AL49">
        <v>0</v>
      </c>
      <c r="AM49">
        <v>7</v>
      </c>
      <c r="AN49">
        <v>0</v>
      </c>
      <c r="AO49">
        <v>4</v>
      </c>
      <c r="AP49">
        <v>76.599999999999994</v>
      </c>
      <c r="AQ49">
        <v>1256</v>
      </c>
      <c r="AR49">
        <v>76.599999999999994</v>
      </c>
      <c r="AS49">
        <v>82.666700000000006</v>
      </c>
      <c r="AT49" t="s">
        <v>8480</v>
      </c>
      <c r="AU49">
        <v>91</v>
      </c>
      <c r="AV49">
        <v>0</v>
      </c>
      <c r="AW49" t="s">
        <v>8514</v>
      </c>
      <c r="AX49">
        <v>1</v>
      </c>
      <c r="AY49" t="s">
        <v>8530</v>
      </c>
      <c r="AZ49">
        <v>1</v>
      </c>
      <c r="BA49" t="s">
        <v>8450</v>
      </c>
      <c r="BB49">
        <v>0</v>
      </c>
      <c r="BC49" t="s">
        <v>8484</v>
      </c>
      <c r="BD49">
        <v>77.714299999999994</v>
      </c>
      <c r="BE49" t="s">
        <v>8464</v>
      </c>
      <c r="BF49" t="s">
        <v>8464</v>
      </c>
      <c r="BG49" t="s">
        <v>8531</v>
      </c>
      <c r="BH49">
        <v>28.545500000000001</v>
      </c>
      <c r="BJ49" s="1" t="s">
        <v>8579</v>
      </c>
      <c r="BK49" s="1" t="s">
        <v>8580</v>
      </c>
    </row>
    <row r="50" spans="1:63" x14ac:dyDescent="0.25">
      <c r="A50">
        <v>188</v>
      </c>
      <c r="B50">
        <v>403</v>
      </c>
      <c r="C50" t="s">
        <v>8473</v>
      </c>
      <c r="D50">
        <v>116859</v>
      </c>
      <c r="E50" t="s">
        <v>8474</v>
      </c>
      <c r="F50">
        <v>993794</v>
      </c>
      <c r="G50" t="s">
        <v>6512</v>
      </c>
      <c r="H50" t="s">
        <v>8369</v>
      </c>
      <c r="I50" t="s">
        <v>8480</v>
      </c>
      <c r="J50">
        <v>0</v>
      </c>
      <c r="K50">
        <v>6</v>
      </c>
      <c r="L50">
        <v>0</v>
      </c>
      <c r="M50">
        <v>416500</v>
      </c>
      <c r="N50">
        <v>373</v>
      </c>
      <c r="O50">
        <v>0</v>
      </c>
      <c r="P50">
        <v>5</v>
      </c>
      <c r="Q50">
        <v>0</v>
      </c>
      <c r="R50">
        <v>10000</v>
      </c>
      <c r="S50">
        <v>140</v>
      </c>
      <c r="T50">
        <v>0</v>
      </c>
      <c r="U50">
        <v>0</v>
      </c>
      <c r="V50">
        <v>573</v>
      </c>
      <c r="W50" t="s">
        <v>8481</v>
      </c>
      <c r="X50">
        <v>0</v>
      </c>
      <c r="Y50">
        <v>44</v>
      </c>
      <c r="Z50">
        <v>0</v>
      </c>
      <c r="AA50">
        <v>17</v>
      </c>
      <c r="AB50">
        <v>0</v>
      </c>
      <c r="AC50">
        <v>26</v>
      </c>
      <c r="AD50">
        <v>0</v>
      </c>
      <c r="AE50">
        <v>13</v>
      </c>
      <c r="AF50">
        <v>0</v>
      </c>
      <c r="AG50">
        <v>4</v>
      </c>
      <c r="AH50">
        <v>0</v>
      </c>
      <c r="AI50">
        <v>-2</v>
      </c>
      <c r="AJ50">
        <v>0</v>
      </c>
      <c r="AK50">
        <v>0</v>
      </c>
      <c r="AL50">
        <v>0</v>
      </c>
      <c r="AM50">
        <v>5</v>
      </c>
      <c r="AN50">
        <v>0</v>
      </c>
      <c r="AO50">
        <v>3</v>
      </c>
      <c r="AP50">
        <v>74.599999999999994</v>
      </c>
      <c r="AQ50">
        <v>1495</v>
      </c>
      <c r="AR50">
        <v>74.599999999999994</v>
      </c>
      <c r="AS50">
        <v>77.333299999999994</v>
      </c>
      <c r="AT50" t="s">
        <v>8482</v>
      </c>
      <c r="AU50">
        <v>67.416700000000006</v>
      </c>
      <c r="AV50">
        <v>1</v>
      </c>
      <c r="AW50" t="s">
        <v>8483</v>
      </c>
      <c r="AX50">
        <v>0</v>
      </c>
      <c r="AY50" t="s">
        <v>8461</v>
      </c>
      <c r="AZ50">
        <v>0</v>
      </c>
      <c r="BA50" t="s">
        <v>8460</v>
      </c>
      <c r="BB50">
        <v>1</v>
      </c>
      <c r="BC50" t="s">
        <v>8484</v>
      </c>
      <c r="BD50">
        <v>75.538499999999999</v>
      </c>
      <c r="BE50" t="s">
        <v>8455</v>
      </c>
      <c r="BF50" t="s">
        <v>8464</v>
      </c>
      <c r="BG50" t="s">
        <v>8464</v>
      </c>
      <c r="BH50">
        <v>33.9773</v>
      </c>
      <c r="BJ50" s="1" t="s">
        <v>8581</v>
      </c>
      <c r="BK50" s="1" t="s">
        <v>8582</v>
      </c>
    </row>
    <row r="51" spans="1:63" x14ac:dyDescent="0.25">
      <c r="A51">
        <v>190</v>
      </c>
      <c r="B51">
        <v>520</v>
      </c>
      <c r="C51" t="s">
        <v>8445</v>
      </c>
      <c r="F51">
        <v>294469</v>
      </c>
      <c r="G51" t="s">
        <v>8254</v>
      </c>
      <c r="H51" t="s">
        <v>8254</v>
      </c>
      <c r="I51" t="s">
        <v>8448</v>
      </c>
      <c r="J51">
        <v>0</v>
      </c>
      <c r="K51">
        <v>6</v>
      </c>
      <c r="L51">
        <v>0</v>
      </c>
      <c r="M51">
        <v>383200</v>
      </c>
      <c r="N51">
        <v>365</v>
      </c>
      <c r="O51">
        <v>0</v>
      </c>
      <c r="P51">
        <v>5</v>
      </c>
      <c r="Q51">
        <v>0</v>
      </c>
      <c r="R51">
        <v>-22600</v>
      </c>
      <c r="S51">
        <v>147</v>
      </c>
      <c r="T51">
        <v>0</v>
      </c>
      <c r="U51">
        <v>0</v>
      </c>
      <c r="V51">
        <v>634</v>
      </c>
      <c r="W51" t="s">
        <v>8481</v>
      </c>
      <c r="X51">
        <v>0</v>
      </c>
      <c r="Y51">
        <v>49</v>
      </c>
      <c r="Z51">
        <v>0</v>
      </c>
      <c r="AA51">
        <v>25</v>
      </c>
      <c r="AB51">
        <v>0</v>
      </c>
      <c r="AC51">
        <v>36</v>
      </c>
      <c r="AD51">
        <v>0</v>
      </c>
      <c r="AE51">
        <v>6</v>
      </c>
      <c r="AF51">
        <v>0</v>
      </c>
      <c r="AG51">
        <v>1</v>
      </c>
      <c r="AH51">
        <v>0</v>
      </c>
      <c r="AI51">
        <v>-8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73</v>
      </c>
      <c r="AQ51">
        <v>744</v>
      </c>
      <c r="AR51">
        <v>73</v>
      </c>
      <c r="AS51">
        <v>70</v>
      </c>
      <c r="AT51" t="s">
        <v>8446</v>
      </c>
      <c r="AU51">
        <v>80</v>
      </c>
      <c r="AV51">
        <v>1</v>
      </c>
      <c r="AW51" t="s">
        <v>8526</v>
      </c>
      <c r="AX51">
        <v>0</v>
      </c>
      <c r="AY51" t="s">
        <v>8493</v>
      </c>
      <c r="AZ51">
        <v>1</v>
      </c>
      <c r="BA51" t="s">
        <v>8469</v>
      </c>
      <c r="BB51">
        <v>0</v>
      </c>
      <c r="BC51" t="s">
        <v>8452</v>
      </c>
      <c r="BD51">
        <v>77.481499999999997</v>
      </c>
      <c r="BE51" t="s">
        <v>8472</v>
      </c>
      <c r="BF51" t="s">
        <v>8534</v>
      </c>
      <c r="BG51" t="s">
        <v>8472</v>
      </c>
      <c r="BH51">
        <v>16.909099999999999</v>
      </c>
      <c r="BJ51" s="1" t="s">
        <v>8583</v>
      </c>
      <c r="BK51" s="1" t="s">
        <v>8584</v>
      </c>
    </row>
    <row r="52" spans="1:63" x14ac:dyDescent="0.25">
      <c r="A52">
        <v>191</v>
      </c>
      <c r="B52">
        <v>327</v>
      </c>
      <c r="C52" t="s">
        <v>8473</v>
      </c>
      <c r="D52">
        <v>116793</v>
      </c>
      <c r="E52" t="s">
        <v>8474</v>
      </c>
      <c r="F52">
        <v>993878</v>
      </c>
      <c r="G52" t="s">
        <v>917</v>
      </c>
      <c r="H52" t="s">
        <v>8585</v>
      </c>
      <c r="I52" t="s">
        <v>8482</v>
      </c>
      <c r="J52">
        <v>0</v>
      </c>
      <c r="K52">
        <v>6</v>
      </c>
      <c r="L52">
        <v>0</v>
      </c>
      <c r="M52">
        <v>405200</v>
      </c>
      <c r="N52">
        <v>126</v>
      </c>
      <c r="O52">
        <v>0</v>
      </c>
      <c r="P52">
        <v>2</v>
      </c>
      <c r="Q52">
        <v>0</v>
      </c>
      <c r="R52">
        <v>0</v>
      </c>
      <c r="S52">
        <v>423</v>
      </c>
      <c r="T52">
        <v>0</v>
      </c>
      <c r="U52">
        <v>0</v>
      </c>
      <c r="V52">
        <v>197</v>
      </c>
      <c r="W52" t="s">
        <v>8505</v>
      </c>
      <c r="X52">
        <v>0</v>
      </c>
      <c r="Y52">
        <v>23</v>
      </c>
      <c r="Z52">
        <v>0</v>
      </c>
      <c r="AA52">
        <v>8</v>
      </c>
      <c r="AB52">
        <v>0</v>
      </c>
      <c r="AC52">
        <v>7</v>
      </c>
      <c r="AD52">
        <v>0</v>
      </c>
      <c r="AE52">
        <v>9</v>
      </c>
      <c r="AF52">
        <v>0</v>
      </c>
      <c r="AG52">
        <v>1</v>
      </c>
      <c r="AH52">
        <v>0</v>
      </c>
      <c r="AI52">
        <v>-2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2</v>
      </c>
      <c r="AP52">
        <v>63</v>
      </c>
      <c r="AQ52">
        <v>1408</v>
      </c>
      <c r="AR52">
        <v>63</v>
      </c>
      <c r="AS52">
        <v>63</v>
      </c>
      <c r="AT52" t="s">
        <v>8480</v>
      </c>
      <c r="AU52">
        <v>118</v>
      </c>
      <c r="AV52">
        <v>0</v>
      </c>
      <c r="AW52" t="s">
        <v>8514</v>
      </c>
      <c r="AX52">
        <v>1</v>
      </c>
      <c r="AY52" t="s">
        <v>8530</v>
      </c>
      <c r="AZ52">
        <v>1</v>
      </c>
      <c r="BA52" t="s">
        <v>8450</v>
      </c>
      <c r="BB52">
        <v>0</v>
      </c>
      <c r="BC52" t="s">
        <v>8484</v>
      </c>
      <c r="BD52">
        <v>75</v>
      </c>
      <c r="BE52" t="s">
        <v>8464</v>
      </c>
      <c r="BF52" t="s">
        <v>8464</v>
      </c>
      <c r="BG52" t="s">
        <v>8531</v>
      </c>
      <c r="BH52">
        <v>32</v>
      </c>
      <c r="BJ52" s="1" t="s">
        <v>8586</v>
      </c>
      <c r="BK52" s="1" t="s">
        <v>8587</v>
      </c>
    </row>
    <row r="53" spans="1:63" x14ac:dyDescent="0.25">
      <c r="A53">
        <v>193</v>
      </c>
      <c r="B53">
        <v>161</v>
      </c>
      <c r="C53" t="s">
        <v>8445</v>
      </c>
      <c r="F53">
        <v>298288</v>
      </c>
      <c r="G53" t="s">
        <v>3105</v>
      </c>
      <c r="H53" t="s">
        <v>6944</v>
      </c>
      <c r="I53" t="s">
        <v>8525</v>
      </c>
      <c r="J53">
        <v>0</v>
      </c>
      <c r="K53">
        <v>6</v>
      </c>
      <c r="L53">
        <v>0</v>
      </c>
      <c r="M53">
        <v>412300</v>
      </c>
      <c r="N53">
        <v>401</v>
      </c>
      <c r="O53">
        <v>0</v>
      </c>
      <c r="P53">
        <v>5</v>
      </c>
      <c r="Q53">
        <v>0</v>
      </c>
      <c r="R53">
        <v>9100</v>
      </c>
      <c r="S53">
        <v>113</v>
      </c>
      <c r="T53">
        <v>0</v>
      </c>
      <c r="U53">
        <v>0</v>
      </c>
      <c r="V53">
        <v>607</v>
      </c>
      <c r="W53" t="s">
        <v>8481</v>
      </c>
      <c r="X53">
        <v>0</v>
      </c>
      <c r="Y53">
        <v>37</v>
      </c>
      <c r="Z53">
        <v>0</v>
      </c>
      <c r="AA53">
        <v>32</v>
      </c>
      <c r="AB53">
        <v>0</v>
      </c>
      <c r="AC53">
        <v>21</v>
      </c>
      <c r="AD53">
        <v>0</v>
      </c>
      <c r="AE53">
        <v>13</v>
      </c>
      <c r="AF53">
        <v>0</v>
      </c>
      <c r="AG53">
        <v>7</v>
      </c>
      <c r="AH53">
        <v>0</v>
      </c>
      <c r="AI53">
        <v>-4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80.2</v>
      </c>
      <c r="AQ53">
        <v>1282</v>
      </c>
      <c r="AR53">
        <v>80.2</v>
      </c>
      <c r="AS53">
        <v>82.333299999999994</v>
      </c>
      <c r="AT53" t="s">
        <v>8524</v>
      </c>
      <c r="AU53">
        <v>69.5</v>
      </c>
      <c r="AV53">
        <v>1</v>
      </c>
      <c r="AW53" t="s">
        <v>8451</v>
      </c>
      <c r="AX53">
        <v>0</v>
      </c>
      <c r="AY53" t="s">
        <v>8468</v>
      </c>
      <c r="AZ53">
        <v>0</v>
      </c>
      <c r="BA53" t="s">
        <v>8513</v>
      </c>
      <c r="BB53">
        <v>1</v>
      </c>
      <c r="BC53" t="s">
        <v>8527</v>
      </c>
      <c r="BD53">
        <v>73.461500000000001</v>
      </c>
      <c r="BE53" t="s">
        <v>8464</v>
      </c>
      <c r="BF53" t="s">
        <v>8464</v>
      </c>
      <c r="BG53" t="s">
        <v>8463</v>
      </c>
      <c r="BH53">
        <v>29.136399999999998</v>
      </c>
      <c r="BJ53" s="1" t="s">
        <v>8588</v>
      </c>
      <c r="BK53" s="1" t="s">
        <v>8589</v>
      </c>
    </row>
    <row r="54" spans="1:63" x14ac:dyDescent="0.25">
      <c r="A54">
        <v>194</v>
      </c>
      <c r="B54">
        <v>295</v>
      </c>
      <c r="C54" t="s">
        <v>8445</v>
      </c>
      <c r="F54">
        <v>294643</v>
      </c>
      <c r="G54" t="s">
        <v>1450</v>
      </c>
      <c r="H54" t="s">
        <v>5953</v>
      </c>
      <c r="I54" t="s">
        <v>8489</v>
      </c>
      <c r="J54">
        <v>0</v>
      </c>
      <c r="K54">
        <v>6</v>
      </c>
      <c r="L54">
        <v>0</v>
      </c>
      <c r="M54">
        <v>402000</v>
      </c>
      <c r="N54">
        <v>18</v>
      </c>
      <c r="O54">
        <v>0</v>
      </c>
      <c r="P54">
        <v>1</v>
      </c>
      <c r="Q54">
        <v>0</v>
      </c>
      <c r="R54">
        <v>0</v>
      </c>
      <c r="S54">
        <v>504</v>
      </c>
      <c r="T54">
        <v>0</v>
      </c>
      <c r="U54">
        <v>0</v>
      </c>
      <c r="V54">
        <v>53</v>
      </c>
      <c r="W54" t="s">
        <v>8466</v>
      </c>
      <c r="X54">
        <v>0</v>
      </c>
      <c r="Y54">
        <v>2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2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18</v>
      </c>
      <c r="AQ54">
        <v>188</v>
      </c>
      <c r="AR54">
        <v>18</v>
      </c>
      <c r="AS54">
        <v>18</v>
      </c>
      <c r="AT54" t="s">
        <v>8490</v>
      </c>
      <c r="AU54">
        <v>48.1111</v>
      </c>
      <c r="AV54">
        <v>1</v>
      </c>
      <c r="AW54" t="s">
        <v>8491</v>
      </c>
      <c r="AX54">
        <v>0</v>
      </c>
      <c r="AY54" t="s">
        <v>8492</v>
      </c>
      <c r="AZ54">
        <v>1</v>
      </c>
      <c r="BA54" t="s">
        <v>8493</v>
      </c>
      <c r="BB54">
        <v>0</v>
      </c>
      <c r="BC54" t="s">
        <v>8471</v>
      </c>
      <c r="BD54">
        <v>52.370399999999997</v>
      </c>
      <c r="BE54" t="s">
        <v>8453</v>
      </c>
      <c r="BF54" t="s">
        <v>8494</v>
      </c>
      <c r="BG54" t="s">
        <v>8495</v>
      </c>
      <c r="BH54">
        <v>4.2727300000000001</v>
      </c>
      <c r="BJ54" s="1" t="s">
        <v>8590</v>
      </c>
      <c r="BK54" s="1" t="s">
        <v>8591</v>
      </c>
    </row>
    <row r="55" spans="1:63" x14ac:dyDescent="0.25">
      <c r="A55">
        <v>196</v>
      </c>
      <c r="B55">
        <v>745</v>
      </c>
      <c r="C55" t="s">
        <v>8445</v>
      </c>
      <c r="F55">
        <v>290826</v>
      </c>
      <c r="G55" t="s">
        <v>3229</v>
      </c>
      <c r="H55" t="s">
        <v>7280</v>
      </c>
      <c r="I55" t="s">
        <v>8456</v>
      </c>
      <c r="J55">
        <v>0</v>
      </c>
      <c r="K55">
        <v>6</v>
      </c>
      <c r="L55">
        <v>0</v>
      </c>
      <c r="M55">
        <v>366700</v>
      </c>
      <c r="N55">
        <v>321</v>
      </c>
      <c r="O55">
        <v>0</v>
      </c>
      <c r="P55">
        <v>5</v>
      </c>
      <c r="Q55">
        <v>0</v>
      </c>
      <c r="R55">
        <v>-33200</v>
      </c>
      <c r="S55">
        <v>227</v>
      </c>
      <c r="T55">
        <v>0</v>
      </c>
      <c r="U55">
        <v>0</v>
      </c>
      <c r="V55">
        <v>560</v>
      </c>
      <c r="W55" t="s">
        <v>8475</v>
      </c>
      <c r="X55">
        <v>0</v>
      </c>
      <c r="Y55">
        <v>42</v>
      </c>
      <c r="Z55">
        <v>0</v>
      </c>
      <c r="AA55">
        <v>16</v>
      </c>
      <c r="AB55">
        <v>0</v>
      </c>
      <c r="AC55">
        <v>17</v>
      </c>
      <c r="AD55">
        <v>0</v>
      </c>
      <c r="AE55">
        <v>11</v>
      </c>
      <c r="AF55">
        <v>0</v>
      </c>
      <c r="AG55">
        <v>6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6</v>
      </c>
      <c r="AN55">
        <v>0</v>
      </c>
      <c r="AO55">
        <v>2</v>
      </c>
      <c r="AP55">
        <v>64.2</v>
      </c>
      <c r="AQ55">
        <v>947</v>
      </c>
      <c r="AR55">
        <v>64.2</v>
      </c>
      <c r="AS55">
        <v>70.333299999999994</v>
      </c>
      <c r="AT55" t="s">
        <v>8458</v>
      </c>
      <c r="AU55">
        <v>82.666700000000006</v>
      </c>
      <c r="AV55">
        <v>0</v>
      </c>
      <c r="AW55" t="s">
        <v>8459</v>
      </c>
      <c r="AX55">
        <v>1</v>
      </c>
      <c r="AY55" t="s">
        <v>8460</v>
      </c>
      <c r="AZ55">
        <v>0</v>
      </c>
      <c r="BA55" t="s">
        <v>8461</v>
      </c>
      <c r="BB55">
        <v>1</v>
      </c>
      <c r="BC55" t="s">
        <v>8462</v>
      </c>
      <c r="BD55">
        <v>74.915499999999994</v>
      </c>
      <c r="BE55" t="s">
        <v>8455</v>
      </c>
      <c r="BF55" t="s">
        <v>8463</v>
      </c>
      <c r="BG55" t="s">
        <v>8464</v>
      </c>
      <c r="BH55">
        <v>21.5227</v>
      </c>
      <c r="BJ55" s="1" t="s">
        <v>8592</v>
      </c>
      <c r="BK55">
        <v>5711.8380062305296</v>
      </c>
    </row>
    <row r="56" spans="1:63" x14ac:dyDescent="0.25">
      <c r="A56">
        <v>197</v>
      </c>
      <c r="B56">
        <v>508</v>
      </c>
      <c r="C56" t="s">
        <v>8445</v>
      </c>
      <c r="F56">
        <v>1006058</v>
      </c>
      <c r="G56" t="s">
        <v>6558</v>
      </c>
      <c r="H56" t="s">
        <v>1394</v>
      </c>
      <c r="I56" t="s">
        <v>8467</v>
      </c>
      <c r="J56">
        <v>0</v>
      </c>
      <c r="K56">
        <v>6</v>
      </c>
      <c r="L56">
        <v>0</v>
      </c>
      <c r="M56">
        <v>357000</v>
      </c>
      <c r="N56">
        <v>252</v>
      </c>
      <c r="O56">
        <v>0</v>
      </c>
      <c r="P56">
        <v>4</v>
      </c>
      <c r="Q56">
        <v>0</v>
      </c>
      <c r="R56">
        <v>-40100</v>
      </c>
      <c r="S56">
        <v>304</v>
      </c>
      <c r="T56">
        <v>0</v>
      </c>
      <c r="U56">
        <v>0</v>
      </c>
      <c r="V56">
        <v>423</v>
      </c>
      <c r="W56" t="s">
        <v>8475</v>
      </c>
      <c r="X56">
        <v>0</v>
      </c>
      <c r="Y56">
        <v>36</v>
      </c>
      <c r="Z56">
        <v>0</v>
      </c>
      <c r="AA56">
        <v>23</v>
      </c>
      <c r="AB56">
        <v>0</v>
      </c>
      <c r="AC56">
        <v>21</v>
      </c>
      <c r="AD56">
        <v>0</v>
      </c>
      <c r="AE56">
        <v>7</v>
      </c>
      <c r="AF56">
        <v>0</v>
      </c>
      <c r="AG56">
        <v>2</v>
      </c>
      <c r="AH56">
        <v>0</v>
      </c>
      <c r="AI56">
        <v>-4</v>
      </c>
      <c r="AJ56">
        <v>0</v>
      </c>
      <c r="AK56">
        <v>0</v>
      </c>
      <c r="AL56">
        <v>0</v>
      </c>
      <c r="AM56">
        <v>2</v>
      </c>
      <c r="AN56">
        <v>0</v>
      </c>
      <c r="AO56">
        <v>1</v>
      </c>
      <c r="AP56">
        <v>63</v>
      </c>
      <c r="AQ56">
        <v>493</v>
      </c>
      <c r="AR56">
        <v>63</v>
      </c>
      <c r="AS56">
        <v>51.333300000000001</v>
      </c>
      <c r="AT56" t="s">
        <v>8465</v>
      </c>
      <c r="AU56">
        <v>88.333299999999994</v>
      </c>
      <c r="AV56">
        <v>0</v>
      </c>
      <c r="AW56" t="s">
        <v>8497</v>
      </c>
      <c r="AX56">
        <v>1</v>
      </c>
      <c r="AY56" t="s">
        <v>8451</v>
      </c>
      <c r="AZ56">
        <v>1</v>
      </c>
      <c r="BA56" t="s">
        <v>8492</v>
      </c>
      <c r="BB56">
        <v>0</v>
      </c>
      <c r="BC56" t="s">
        <v>8471</v>
      </c>
      <c r="BD56">
        <v>75.255799999999994</v>
      </c>
      <c r="BE56" t="s">
        <v>8472</v>
      </c>
      <c r="BF56" t="s">
        <v>8455</v>
      </c>
      <c r="BG56" t="s">
        <v>8498</v>
      </c>
      <c r="BH56">
        <v>11.204499999999999</v>
      </c>
      <c r="BJ56" s="1" t="s">
        <v>8593</v>
      </c>
      <c r="BK56" s="1" t="s">
        <v>8594</v>
      </c>
    </row>
    <row r="57" spans="1:63" x14ac:dyDescent="0.25">
      <c r="A57">
        <v>198</v>
      </c>
      <c r="B57">
        <v>260</v>
      </c>
      <c r="C57" t="s">
        <v>8445</v>
      </c>
      <c r="F57">
        <v>1017396</v>
      </c>
      <c r="G57" t="s">
        <v>7226</v>
      </c>
      <c r="H57" t="s">
        <v>247</v>
      </c>
      <c r="I57" t="s">
        <v>8489</v>
      </c>
      <c r="J57">
        <v>0</v>
      </c>
      <c r="K57">
        <v>6</v>
      </c>
      <c r="L57">
        <v>0</v>
      </c>
      <c r="M57">
        <v>365100</v>
      </c>
      <c r="N57">
        <v>165</v>
      </c>
      <c r="O57">
        <v>0</v>
      </c>
      <c r="P57">
        <v>3</v>
      </c>
      <c r="Q57">
        <v>0</v>
      </c>
      <c r="R57">
        <v>-31800</v>
      </c>
      <c r="S57">
        <v>389</v>
      </c>
      <c r="T57">
        <v>0</v>
      </c>
      <c r="U57">
        <v>0</v>
      </c>
      <c r="V57">
        <v>346</v>
      </c>
      <c r="W57" t="s">
        <v>8505</v>
      </c>
      <c r="X57">
        <v>0</v>
      </c>
      <c r="Y57">
        <v>18</v>
      </c>
      <c r="Z57">
        <v>0</v>
      </c>
      <c r="AA57">
        <v>14</v>
      </c>
      <c r="AB57">
        <v>0</v>
      </c>
      <c r="AC57">
        <v>9</v>
      </c>
      <c r="AD57">
        <v>0</v>
      </c>
      <c r="AE57">
        <v>1</v>
      </c>
      <c r="AF57">
        <v>0</v>
      </c>
      <c r="AG57">
        <v>5</v>
      </c>
      <c r="AH57">
        <v>0</v>
      </c>
      <c r="AI57">
        <v>-1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55</v>
      </c>
      <c r="AQ57">
        <v>821</v>
      </c>
      <c r="AR57">
        <v>55</v>
      </c>
      <c r="AS57">
        <v>55</v>
      </c>
      <c r="AT57" t="s">
        <v>8490</v>
      </c>
      <c r="AU57">
        <v>53</v>
      </c>
      <c r="AV57">
        <v>1</v>
      </c>
      <c r="AW57" t="s">
        <v>8491</v>
      </c>
      <c r="AX57">
        <v>0</v>
      </c>
      <c r="AY57" t="s">
        <v>8492</v>
      </c>
      <c r="AZ57">
        <v>1</v>
      </c>
      <c r="BA57" t="s">
        <v>8493</v>
      </c>
      <c r="BB57">
        <v>0</v>
      </c>
      <c r="BC57" t="s">
        <v>8471</v>
      </c>
      <c r="BD57">
        <v>73.166700000000006</v>
      </c>
      <c r="BE57" t="s">
        <v>8453</v>
      </c>
      <c r="BF57" t="s">
        <v>8494</v>
      </c>
      <c r="BG57" t="s">
        <v>8495</v>
      </c>
      <c r="BH57">
        <v>18.659099999999999</v>
      </c>
      <c r="BJ57">
        <v>0.47687861271676302</v>
      </c>
      <c r="BK57" s="1" t="s">
        <v>8595</v>
      </c>
    </row>
    <row r="58" spans="1:63" x14ac:dyDescent="0.25">
      <c r="A58">
        <v>200</v>
      </c>
      <c r="B58">
        <v>160</v>
      </c>
      <c r="C58" t="s">
        <v>8445</v>
      </c>
      <c r="F58">
        <v>291856</v>
      </c>
      <c r="G58" t="s">
        <v>776</v>
      </c>
      <c r="H58" t="s">
        <v>1812</v>
      </c>
      <c r="I58" t="s">
        <v>8525</v>
      </c>
      <c r="J58">
        <v>0</v>
      </c>
      <c r="K58">
        <v>6</v>
      </c>
      <c r="L58">
        <v>0</v>
      </c>
      <c r="M58">
        <v>395200</v>
      </c>
      <c r="N58">
        <v>0</v>
      </c>
      <c r="O58">
        <v>0</v>
      </c>
      <c r="P58">
        <v>0</v>
      </c>
      <c r="Q58">
        <v>0</v>
      </c>
      <c r="R58">
        <v>0</v>
      </c>
      <c r="S58">
        <v>510</v>
      </c>
      <c r="T58">
        <v>0</v>
      </c>
      <c r="U58">
        <v>0</v>
      </c>
      <c r="V58">
        <v>0</v>
      </c>
      <c r="W58" t="s">
        <v>8466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337</v>
      </c>
      <c r="AR58">
        <v>0</v>
      </c>
      <c r="AS58">
        <v>0</v>
      </c>
      <c r="AT58" t="s">
        <v>8524</v>
      </c>
      <c r="AU58">
        <v>118.727</v>
      </c>
      <c r="AV58">
        <v>1</v>
      </c>
      <c r="AW58" t="s">
        <v>8451</v>
      </c>
      <c r="AX58">
        <v>0</v>
      </c>
      <c r="AY58" t="s">
        <v>8468</v>
      </c>
      <c r="AZ58">
        <v>0</v>
      </c>
      <c r="BA58" t="s">
        <v>8513</v>
      </c>
      <c r="BB58">
        <v>1</v>
      </c>
      <c r="BC58" t="s">
        <v>8527</v>
      </c>
      <c r="BD58">
        <v>110.4</v>
      </c>
      <c r="BE58" t="s">
        <v>8464</v>
      </c>
      <c r="BF58" t="s">
        <v>8464</v>
      </c>
      <c r="BG58" t="s">
        <v>8463</v>
      </c>
      <c r="BH58">
        <v>7.65909</v>
      </c>
    </row>
    <row r="59" spans="1:63" x14ac:dyDescent="0.25">
      <c r="A59">
        <v>201</v>
      </c>
      <c r="B59">
        <v>431</v>
      </c>
      <c r="C59" t="s">
        <v>8445</v>
      </c>
      <c r="F59">
        <v>1027935</v>
      </c>
      <c r="G59" t="s">
        <v>1318</v>
      </c>
      <c r="H59" t="s">
        <v>8310</v>
      </c>
      <c r="I59" t="s">
        <v>8480</v>
      </c>
      <c r="J59">
        <v>0</v>
      </c>
      <c r="K59">
        <v>6</v>
      </c>
      <c r="L59">
        <v>0</v>
      </c>
      <c r="M59">
        <v>384000</v>
      </c>
      <c r="N59">
        <v>373</v>
      </c>
      <c r="O59">
        <v>0</v>
      </c>
      <c r="P59">
        <v>5</v>
      </c>
      <c r="Q59">
        <v>0</v>
      </c>
      <c r="R59">
        <v>-10300</v>
      </c>
      <c r="S59">
        <v>140</v>
      </c>
      <c r="T59">
        <v>0</v>
      </c>
      <c r="U59">
        <v>0</v>
      </c>
      <c r="V59">
        <v>547</v>
      </c>
      <c r="W59" t="s">
        <v>8481</v>
      </c>
      <c r="X59">
        <v>0</v>
      </c>
      <c r="Y59">
        <v>38</v>
      </c>
      <c r="Z59">
        <v>0</v>
      </c>
      <c r="AA59">
        <v>28</v>
      </c>
      <c r="AB59">
        <v>0</v>
      </c>
      <c r="AC59">
        <v>22</v>
      </c>
      <c r="AD59">
        <v>0</v>
      </c>
      <c r="AE59">
        <v>12</v>
      </c>
      <c r="AF59">
        <v>0</v>
      </c>
      <c r="AG59">
        <v>4</v>
      </c>
      <c r="AH59">
        <v>0</v>
      </c>
      <c r="AI59">
        <v>-1</v>
      </c>
      <c r="AJ59">
        <v>0</v>
      </c>
      <c r="AK59">
        <v>14</v>
      </c>
      <c r="AL59">
        <v>0</v>
      </c>
      <c r="AM59">
        <v>2</v>
      </c>
      <c r="AN59">
        <v>0</v>
      </c>
      <c r="AO59">
        <v>1</v>
      </c>
      <c r="AP59">
        <v>74.599999999999994</v>
      </c>
      <c r="AQ59">
        <v>1302</v>
      </c>
      <c r="AR59">
        <v>74.599999999999994</v>
      </c>
      <c r="AS59">
        <v>84.333299999999994</v>
      </c>
      <c r="AT59" t="s">
        <v>8482</v>
      </c>
      <c r="AU59">
        <v>39</v>
      </c>
      <c r="AV59">
        <v>1</v>
      </c>
      <c r="AW59" t="s">
        <v>8483</v>
      </c>
      <c r="AX59">
        <v>0</v>
      </c>
      <c r="AY59" t="s">
        <v>8461</v>
      </c>
      <c r="AZ59">
        <v>0</v>
      </c>
      <c r="BA59" t="s">
        <v>8460</v>
      </c>
      <c r="BB59">
        <v>1</v>
      </c>
      <c r="BC59" t="s">
        <v>8484</v>
      </c>
      <c r="BD59">
        <v>69.222200000000001</v>
      </c>
      <c r="BE59" t="s">
        <v>8455</v>
      </c>
      <c r="BF59" t="s">
        <v>8464</v>
      </c>
      <c r="BG59" t="s">
        <v>8464</v>
      </c>
      <c r="BH59">
        <v>29.590900000000001</v>
      </c>
      <c r="BJ59" s="1" t="s">
        <v>8596</v>
      </c>
      <c r="BK59">
        <v>5147.45308310992</v>
      </c>
    </row>
    <row r="60" spans="1:63" x14ac:dyDescent="0.25">
      <c r="A60">
        <v>202</v>
      </c>
      <c r="B60">
        <v>271</v>
      </c>
      <c r="C60" t="s">
        <v>8445</v>
      </c>
      <c r="F60">
        <v>993799</v>
      </c>
      <c r="G60" t="s">
        <v>3687</v>
      </c>
      <c r="H60" t="s">
        <v>5630</v>
      </c>
      <c r="I60" t="s">
        <v>8489</v>
      </c>
      <c r="J60">
        <v>0</v>
      </c>
      <c r="K60">
        <v>6</v>
      </c>
      <c r="L60">
        <v>0</v>
      </c>
      <c r="M60">
        <v>393800</v>
      </c>
      <c r="N60">
        <v>0</v>
      </c>
      <c r="O60">
        <v>0</v>
      </c>
      <c r="P60">
        <v>0</v>
      </c>
      <c r="Q60">
        <v>0</v>
      </c>
      <c r="R60">
        <v>0</v>
      </c>
      <c r="S60">
        <v>510</v>
      </c>
      <c r="T60">
        <v>0</v>
      </c>
      <c r="U60">
        <v>0</v>
      </c>
      <c r="V60">
        <v>0</v>
      </c>
      <c r="W60" t="s">
        <v>8466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174</v>
      </c>
      <c r="AR60">
        <v>0</v>
      </c>
      <c r="AS60">
        <v>0</v>
      </c>
      <c r="AT60" t="s">
        <v>8490</v>
      </c>
      <c r="AU60">
        <v>80.625</v>
      </c>
      <c r="AV60">
        <v>1</v>
      </c>
      <c r="AW60" t="s">
        <v>8491</v>
      </c>
      <c r="AX60">
        <v>0</v>
      </c>
      <c r="AY60" t="s">
        <v>8492</v>
      </c>
      <c r="AZ60">
        <v>1</v>
      </c>
      <c r="BA60" t="s">
        <v>8493</v>
      </c>
      <c r="BB60">
        <v>0</v>
      </c>
      <c r="BC60" t="s">
        <v>8471</v>
      </c>
      <c r="BD60">
        <v>85.055599999999998</v>
      </c>
      <c r="BE60" t="s">
        <v>8453</v>
      </c>
      <c r="BF60" t="s">
        <v>8494</v>
      </c>
      <c r="BG60" t="s">
        <v>8495</v>
      </c>
      <c r="BH60">
        <v>3.9545499999999998</v>
      </c>
    </row>
    <row r="61" spans="1:63" x14ac:dyDescent="0.25">
      <c r="A61">
        <v>203</v>
      </c>
      <c r="B61">
        <v>305</v>
      </c>
      <c r="C61" t="s">
        <v>8445</v>
      </c>
      <c r="F61">
        <v>1012805</v>
      </c>
      <c r="G61" t="s">
        <v>6109</v>
      </c>
      <c r="H61" t="s">
        <v>6110</v>
      </c>
      <c r="I61" t="s">
        <v>8482</v>
      </c>
      <c r="J61">
        <v>0</v>
      </c>
      <c r="K61">
        <v>6</v>
      </c>
      <c r="L61">
        <v>0</v>
      </c>
      <c r="M61">
        <v>393700</v>
      </c>
      <c r="N61">
        <v>0</v>
      </c>
      <c r="O61">
        <v>0</v>
      </c>
      <c r="P61">
        <v>0</v>
      </c>
      <c r="Q61">
        <v>0</v>
      </c>
      <c r="R61">
        <v>0</v>
      </c>
      <c r="S61">
        <v>510</v>
      </c>
      <c r="T61">
        <v>0</v>
      </c>
      <c r="U61">
        <v>0</v>
      </c>
      <c r="V61">
        <v>0</v>
      </c>
      <c r="W61" t="s">
        <v>8447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294</v>
      </c>
      <c r="AR61">
        <v>0</v>
      </c>
      <c r="AS61">
        <v>0</v>
      </c>
      <c r="AT61" t="s">
        <v>8480</v>
      </c>
      <c r="AU61">
        <v>69.5</v>
      </c>
      <c r="AV61">
        <v>0</v>
      </c>
      <c r="AW61" t="s">
        <v>8514</v>
      </c>
      <c r="AX61">
        <v>1</v>
      </c>
      <c r="AY61" t="s">
        <v>8530</v>
      </c>
      <c r="AZ61">
        <v>1</v>
      </c>
      <c r="BA61" t="s">
        <v>8450</v>
      </c>
      <c r="BB61">
        <v>0</v>
      </c>
      <c r="BC61" t="s">
        <v>8484</v>
      </c>
      <c r="BD61">
        <v>63.545499999999997</v>
      </c>
      <c r="BE61" t="s">
        <v>8464</v>
      </c>
      <c r="BF61" t="s">
        <v>8464</v>
      </c>
      <c r="BG61" t="s">
        <v>8531</v>
      </c>
      <c r="BH61">
        <v>6.6818200000000001</v>
      </c>
    </row>
    <row r="62" spans="1:63" x14ac:dyDescent="0.25">
      <c r="A62">
        <v>204</v>
      </c>
      <c r="B62">
        <v>297</v>
      </c>
      <c r="C62" t="s">
        <v>8445</v>
      </c>
      <c r="F62">
        <v>1017665</v>
      </c>
      <c r="G62" t="s">
        <v>7220</v>
      </c>
      <c r="H62" t="s">
        <v>7221</v>
      </c>
      <c r="I62" t="s">
        <v>8489</v>
      </c>
      <c r="J62">
        <v>0</v>
      </c>
      <c r="K62">
        <v>6</v>
      </c>
      <c r="L62">
        <v>0</v>
      </c>
      <c r="M62">
        <v>355100</v>
      </c>
      <c r="N62">
        <v>237</v>
      </c>
      <c r="O62">
        <v>0</v>
      </c>
      <c r="P62">
        <v>4</v>
      </c>
      <c r="Q62">
        <v>0</v>
      </c>
      <c r="R62">
        <v>-38000</v>
      </c>
      <c r="S62">
        <v>322</v>
      </c>
      <c r="T62">
        <v>0</v>
      </c>
      <c r="U62">
        <v>0</v>
      </c>
      <c r="V62">
        <v>442</v>
      </c>
      <c r="W62" t="s">
        <v>8475</v>
      </c>
      <c r="X62">
        <v>0</v>
      </c>
      <c r="Y62">
        <v>31</v>
      </c>
      <c r="Z62">
        <v>0</v>
      </c>
      <c r="AA62">
        <v>24</v>
      </c>
      <c r="AB62">
        <v>0</v>
      </c>
      <c r="AC62">
        <v>10</v>
      </c>
      <c r="AD62">
        <v>0</v>
      </c>
      <c r="AE62">
        <v>8</v>
      </c>
      <c r="AF62">
        <v>0</v>
      </c>
      <c r="AG62">
        <v>4</v>
      </c>
      <c r="AH62">
        <v>0</v>
      </c>
      <c r="AI62">
        <v>-4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59.25</v>
      </c>
      <c r="AQ62">
        <v>354</v>
      </c>
      <c r="AR62">
        <v>59.25</v>
      </c>
      <c r="AS62">
        <v>59.333300000000001</v>
      </c>
      <c r="AT62" t="s">
        <v>8490</v>
      </c>
      <c r="AU62">
        <v>65</v>
      </c>
      <c r="AV62">
        <v>1</v>
      </c>
      <c r="AW62" t="s">
        <v>8491</v>
      </c>
      <c r="AX62">
        <v>0</v>
      </c>
      <c r="AY62" t="s">
        <v>8492</v>
      </c>
      <c r="AZ62">
        <v>1</v>
      </c>
      <c r="BA62" t="s">
        <v>8493</v>
      </c>
      <c r="BB62">
        <v>0</v>
      </c>
      <c r="BC62" t="s">
        <v>8471</v>
      </c>
      <c r="BD62">
        <v>78.2</v>
      </c>
      <c r="BE62" t="s">
        <v>8453</v>
      </c>
      <c r="BF62" t="s">
        <v>8494</v>
      </c>
      <c r="BG62" t="s">
        <v>8495</v>
      </c>
      <c r="BH62">
        <v>8.0454500000000007</v>
      </c>
      <c r="BJ62" s="1" t="s">
        <v>8597</v>
      </c>
      <c r="BK62" s="1" t="s">
        <v>8598</v>
      </c>
    </row>
    <row r="63" spans="1:63" x14ac:dyDescent="0.25">
      <c r="A63">
        <v>205</v>
      </c>
      <c r="B63">
        <v>590</v>
      </c>
      <c r="C63" t="s">
        <v>8445</v>
      </c>
      <c r="F63">
        <v>1002403</v>
      </c>
      <c r="G63" t="s">
        <v>670</v>
      </c>
      <c r="H63" t="s">
        <v>7155</v>
      </c>
      <c r="I63" t="s">
        <v>8490</v>
      </c>
      <c r="J63">
        <v>0</v>
      </c>
      <c r="K63">
        <v>6</v>
      </c>
      <c r="L63">
        <v>0</v>
      </c>
      <c r="M63">
        <v>356200</v>
      </c>
      <c r="N63">
        <v>351</v>
      </c>
      <c r="O63">
        <v>0</v>
      </c>
      <c r="P63">
        <v>5</v>
      </c>
      <c r="Q63">
        <v>0</v>
      </c>
      <c r="R63">
        <v>-36100</v>
      </c>
      <c r="S63">
        <v>177</v>
      </c>
      <c r="T63">
        <v>0</v>
      </c>
      <c r="U63">
        <v>0</v>
      </c>
      <c r="V63">
        <v>609</v>
      </c>
      <c r="W63" t="s">
        <v>8475</v>
      </c>
      <c r="X63">
        <v>0</v>
      </c>
      <c r="Y63">
        <v>52</v>
      </c>
      <c r="Z63">
        <v>0</v>
      </c>
      <c r="AA63">
        <v>14</v>
      </c>
      <c r="AB63">
        <v>0</v>
      </c>
      <c r="AC63">
        <v>37</v>
      </c>
      <c r="AD63">
        <v>0</v>
      </c>
      <c r="AE63">
        <v>7</v>
      </c>
      <c r="AF63">
        <v>0</v>
      </c>
      <c r="AG63">
        <v>1</v>
      </c>
      <c r="AH63">
        <v>0</v>
      </c>
      <c r="AI63">
        <v>-2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70.2</v>
      </c>
      <c r="AQ63">
        <v>542</v>
      </c>
      <c r="AR63">
        <v>70.2</v>
      </c>
      <c r="AS63">
        <v>58.333300000000001</v>
      </c>
      <c r="AT63" t="s">
        <v>8489</v>
      </c>
      <c r="AU63">
        <v>50.333300000000001</v>
      </c>
      <c r="AV63">
        <v>0</v>
      </c>
      <c r="AW63" t="s">
        <v>8460</v>
      </c>
      <c r="AX63">
        <v>1</v>
      </c>
      <c r="AY63" t="s">
        <v>8459</v>
      </c>
      <c r="AZ63">
        <v>1</v>
      </c>
      <c r="BA63" t="s">
        <v>8483</v>
      </c>
      <c r="BB63">
        <v>0</v>
      </c>
      <c r="BC63" t="s">
        <v>8471</v>
      </c>
      <c r="BD63">
        <v>55.833300000000001</v>
      </c>
      <c r="BE63" t="s">
        <v>8464</v>
      </c>
      <c r="BF63" t="s">
        <v>8464</v>
      </c>
      <c r="BG63" t="s">
        <v>8464</v>
      </c>
      <c r="BH63">
        <v>12.318199999999999</v>
      </c>
      <c r="BJ63" s="1" t="s">
        <v>8599</v>
      </c>
      <c r="BK63" s="1" t="s">
        <v>8600</v>
      </c>
    </row>
    <row r="64" spans="1:63" x14ac:dyDescent="0.25">
      <c r="A64">
        <v>206</v>
      </c>
      <c r="B64">
        <v>341</v>
      </c>
      <c r="C64" t="s">
        <v>8445</v>
      </c>
      <c r="F64">
        <v>997230</v>
      </c>
      <c r="G64" t="s">
        <v>2542</v>
      </c>
      <c r="H64" t="s">
        <v>6858</v>
      </c>
      <c r="I64" t="s">
        <v>8482</v>
      </c>
      <c r="J64">
        <v>0</v>
      </c>
      <c r="K64">
        <v>6</v>
      </c>
      <c r="L64">
        <v>0</v>
      </c>
      <c r="M64">
        <v>310600</v>
      </c>
      <c r="N64">
        <v>277</v>
      </c>
      <c r="O64">
        <v>0</v>
      </c>
      <c r="P64">
        <v>5</v>
      </c>
      <c r="Q64">
        <v>0</v>
      </c>
      <c r="R64">
        <v>-81600</v>
      </c>
      <c r="S64">
        <v>271</v>
      </c>
      <c r="T64">
        <v>0</v>
      </c>
      <c r="U64">
        <v>0</v>
      </c>
      <c r="V64">
        <v>499</v>
      </c>
      <c r="W64" t="s">
        <v>8475</v>
      </c>
      <c r="X64">
        <v>0</v>
      </c>
      <c r="Y64">
        <v>30</v>
      </c>
      <c r="Z64">
        <v>0</v>
      </c>
      <c r="AA64">
        <v>14</v>
      </c>
      <c r="AB64">
        <v>0</v>
      </c>
      <c r="AC64">
        <v>14</v>
      </c>
      <c r="AD64">
        <v>0</v>
      </c>
      <c r="AE64">
        <v>18</v>
      </c>
      <c r="AF64">
        <v>0</v>
      </c>
      <c r="AG64">
        <v>1</v>
      </c>
      <c r="AH64">
        <v>0</v>
      </c>
      <c r="AI64">
        <v>-5</v>
      </c>
      <c r="AJ64">
        <v>0</v>
      </c>
      <c r="AK64">
        <v>0</v>
      </c>
      <c r="AL64">
        <v>0</v>
      </c>
      <c r="AM64">
        <v>7</v>
      </c>
      <c r="AN64">
        <v>0</v>
      </c>
      <c r="AO64">
        <v>4</v>
      </c>
      <c r="AP64">
        <v>55.4</v>
      </c>
      <c r="AQ64">
        <v>1260</v>
      </c>
      <c r="AR64">
        <v>55.4</v>
      </c>
      <c r="AS64">
        <v>39</v>
      </c>
      <c r="AT64" t="s">
        <v>8480</v>
      </c>
      <c r="AU64">
        <v>64.2</v>
      </c>
      <c r="AV64">
        <v>0</v>
      </c>
      <c r="AW64" t="s">
        <v>8514</v>
      </c>
      <c r="AX64">
        <v>1</v>
      </c>
      <c r="AY64" t="s">
        <v>8530</v>
      </c>
      <c r="AZ64">
        <v>1</v>
      </c>
      <c r="BA64" t="s">
        <v>8450</v>
      </c>
      <c r="BB64">
        <v>0</v>
      </c>
      <c r="BC64" t="s">
        <v>8484</v>
      </c>
      <c r="BD64">
        <v>71.5625</v>
      </c>
      <c r="BE64" t="s">
        <v>8464</v>
      </c>
      <c r="BF64" t="s">
        <v>8464</v>
      </c>
      <c r="BG64" t="s">
        <v>8531</v>
      </c>
      <c r="BH64">
        <v>28.636399999999998</v>
      </c>
      <c r="BJ64" s="1" t="s">
        <v>8601</v>
      </c>
      <c r="BK64" s="1" t="s">
        <v>8602</v>
      </c>
    </row>
    <row r="65" spans="1:63" x14ac:dyDescent="0.25">
      <c r="A65">
        <v>208</v>
      </c>
      <c r="B65">
        <v>696</v>
      </c>
      <c r="C65" t="s">
        <v>8445</v>
      </c>
      <c r="F65">
        <v>1000864</v>
      </c>
      <c r="G65" t="s">
        <v>1658</v>
      </c>
      <c r="H65" t="s">
        <v>7433</v>
      </c>
      <c r="I65" t="s">
        <v>8548</v>
      </c>
      <c r="J65">
        <v>0</v>
      </c>
      <c r="K65">
        <v>6</v>
      </c>
      <c r="L65">
        <v>0</v>
      </c>
      <c r="M65">
        <v>342300</v>
      </c>
      <c r="N65">
        <v>323</v>
      </c>
      <c r="O65">
        <v>0</v>
      </c>
      <c r="P65">
        <v>5</v>
      </c>
      <c r="Q65">
        <v>0</v>
      </c>
      <c r="R65">
        <v>-49600</v>
      </c>
      <c r="S65">
        <v>220</v>
      </c>
      <c r="T65">
        <v>0</v>
      </c>
      <c r="U65">
        <v>0</v>
      </c>
      <c r="V65">
        <v>535</v>
      </c>
      <c r="W65" t="s">
        <v>8475</v>
      </c>
      <c r="X65">
        <v>0</v>
      </c>
      <c r="Y65">
        <v>56</v>
      </c>
      <c r="Z65">
        <v>0</v>
      </c>
      <c r="AA65">
        <v>29</v>
      </c>
      <c r="AB65">
        <v>0</v>
      </c>
      <c r="AC65">
        <v>14</v>
      </c>
      <c r="AD65">
        <v>0</v>
      </c>
      <c r="AE65">
        <v>9</v>
      </c>
      <c r="AF65">
        <v>0</v>
      </c>
      <c r="AG65">
        <v>7</v>
      </c>
      <c r="AH65">
        <v>0</v>
      </c>
      <c r="AI65">
        <v>-3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64.599999999999994</v>
      </c>
      <c r="AQ65">
        <v>356</v>
      </c>
      <c r="AR65">
        <v>64.599999999999994</v>
      </c>
      <c r="AS65">
        <v>71</v>
      </c>
      <c r="AT65" t="s">
        <v>8549</v>
      </c>
      <c r="AU65">
        <v>62.333300000000001</v>
      </c>
      <c r="AV65">
        <v>0</v>
      </c>
      <c r="AW65" t="s">
        <v>8450</v>
      </c>
      <c r="AX65">
        <v>1</v>
      </c>
      <c r="AY65" t="s">
        <v>8497</v>
      </c>
      <c r="AZ65">
        <v>0</v>
      </c>
      <c r="BA65" t="s">
        <v>8449</v>
      </c>
      <c r="BB65">
        <v>1</v>
      </c>
      <c r="BC65" t="s">
        <v>8471</v>
      </c>
      <c r="BD65">
        <v>74.05</v>
      </c>
      <c r="BE65" t="s">
        <v>8546</v>
      </c>
      <c r="BF65" t="s">
        <v>8534</v>
      </c>
      <c r="BG65" t="s">
        <v>8495</v>
      </c>
      <c r="BH65">
        <v>8.0909099999999992</v>
      </c>
      <c r="BJ65" s="1" t="s">
        <v>8603</v>
      </c>
      <c r="BK65" s="1" t="s">
        <v>8604</v>
      </c>
    </row>
    <row r="66" spans="1:63" x14ac:dyDescent="0.25">
      <c r="A66">
        <v>210</v>
      </c>
      <c r="B66">
        <v>625</v>
      </c>
      <c r="C66" t="s">
        <v>8445</v>
      </c>
      <c r="F66">
        <v>295584</v>
      </c>
      <c r="G66" t="s">
        <v>8034</v>
      </c>
      <c r="H66" t="s">
        <v>1378</v>
      </c>
      <c r="I66" t="s">
        <v>8549</v>
      </c>
      <c r="J66">
        <v>0</v>
      </c>
      <c r="K66">
        <v>6</v>
      </c>
      <c r="L66">
        <v>0</v>
      </c>
      <c r="M66">
        <v>394700</v>
      </c>
      <c r="N66">
        <v>336</v>
      </c>
      <c r="O66">
        <v>0</v>
      </c>
      <c r="P66">
        <v>5</v>
      </c>
      <c r="Q66">
        <v>0</v>
      </c>
      <c r="R66">
        <v>6200</v>
      </c>
      <c r="S66">
        <v>201</v>
      </c>
      <c r="T66">
        <v>0</v>
      </c>
      <c r="U66">
        <v>0</v>
      </c>
      <c r="V66">
        <v>548</v>
      </c>
      <c r="W66" t="s">
        <v>8475</v>
      </c>
      <c r="X66">
        <v>0</v>
      </c>
      <c r="Y66">
        <v>52</v>
      </c>
      <c r="Z66">
        <v>0</v>
      </c>
      <c r="AA66">
        <v>29</v>
      </c>
      <c r="AB66">
        <v>0</v>
      </c>
      <c r="AC66">
        <v>17</v>
      </c>
      <c r="AD66">
        <v>0</v>
      </c>
      <c r="AE66">
        <v>5</v>
      </c>
      <c r="AF66">
        <v>0</v>
      </c>
      <c r="AG66">
        <v>0</v>
      </c>
      <c r="AH66">
        <v>0</v>
      </c>
      <c r="AI66">
        <v>-3</v>
      </c>
      <c r="AJ66">
        <v>0</v>
      </c>
      <c r="AK66">
        <v>0</v>
      </c>
      <c r="AL66">
        <v>0</v>
      </c>
      <c r="AM66">
        <v>2</v>
      </c>
      <c r="AN66">
        <v>0</v>
      </c>
      <c r="AO66">
        <v>3</v>
      </c>
      <c r="AP66">
        <v>67.2</v>
      </c>
      <c r="AQ66">
        <v>1660</v>
      </c>
      <c r="AR66">
        <v>67.2</v>
      </c>
      <c r="AS66">
        <v>88.666700000000006</v>
      </c>
      <c r="AT66" t="s">
        <v>8548</v>
      </c>
      <c r="AU66">
        <v>67.599999999999994</v>
      </c>
      <c r="AV66">
        <v>1</v>
      </c>
      <c r="AW66" t="s">
        <v>8492</v>
      </c>
      <c r="AX66">
        <v>0</v>
      </c>
      <c r="AY66" t="s">
        <v>8513</v>
      </c>
      <c r="AZ66">
        <v>0</v>
      </c>
      <c r="BA66" t="s">
        <v>8514</v>
      </c>
      <c r="BB66">
        <v>0</v>
      </c>
      <c r="BC66" t="s">
        <v>8471</v>
      </c>
      <c r="BD66">
        <v>70.736099999999993</v>
      </c>
      <c r="BE66" t="s">
        <v>8455</v>
      </c>
      <c r="BF66" t="s">
        <v>8455</v>
      </c>
      <c r="BG66" t="s">
        <v>8464</v>
      </c>
      <c r="BH66">
        <v>37.7273</v>
      </c>
      <c r="BJ66" s="1" t="s">
        <v>8605</v>
      </c>
      <c r="BK66" s="1" t="s">
        <v>8606</v>
      </c>
    </row>
    <row r="67" spans="1:63" x14ac:dyDescent="0.25">
      <c r="A67">
        <v>211</v>
      </c>
      <c r="B67">
        <v>528</v>
      </c>
      <c r="C67" t="s">
        <v>8445</v>
      </c>
      <c r="F67">
        <v>992128</v>
      </c>
      <c r="G67" t="s">
        <v>1332</v>
      </c>
      <c r="H67" t="s">
        <v>6309</v>
      </c>
      <c r="I67" t="s">
        <v>8448</v>
      </c>
      <c r="J67">
        <v>0</v>
      </c>
      <c r="K67">
        <v>6</v>
      </c>
      <c r="L67">
        <v>0</v>
      </c>
      <c r="M67">
        <v>387500</v>
      </c>
      <c r="N67">
        <v>107</v>
      </c>
      <c r="O67">
        <v>0</v>
      </c>
      <c r="P67">
        <v>2</v>
      </c>
      <c r="Q67">
        <v>0</v>
      </c>
      <c r="R67">
        <v>0</v>
      </c>
      <c r="S67">
        <v>438</v>
      </c>
      <c r="T67">
        <v>0</v>
      </c>
      <c r="U67">
        <v>0</v>
      </c>
      <c r="V67">
        <v>136</v>
      </c>
      <c r="W67" t="s">
        <v>8505</v>
      </c>
      <c r="X67">
        <v>0</v>
      </c>
      <c r="Y67">
        <v>18</v>
      </c>
      <c r="Z67">
        <v>0</v>
      </c>
      <c r="AA67">
        <v>12</v>
      </c>
      <c r="AB67">
        <v>0</v>
      </c>
      <c r="AC67">
        <v>10</v>
      </c>
      <c r="AD67">
        <v>0</v>
      </c>
      <c r="AE67">
        <v>1</v>
      </c>
      <c r="AF67">
        <v>0</v>
      </c>
      <c r="AG67">
        <v>2</v>
      </c>
      <c r="AH67">
        <v>0</v>
      </c>
      <c r="AI67">
        <v>-1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53.5</v>
      </c>
      <c r="AQ67">
        <v>238</v>
      </c>
      <c r="AR67">
        <v>53.5</v>
      </c>
      <c r="AS67">
        <v>53.5</v>
      </c>
      <c r="AT67" t="s">
        <v>8446</v>
      </c>
      <c r="AU67">
        <v>73.142899999999997</v>
      </c>
      <c r="AV67">
        <v>1</v>
      </c>
      <c r="AW67" t="s">
        <v>8526</v>
      </c>
      <c r="AX67">
        <v>0</v>
      </c>
      <c r="AY67" t="s">
        <v>8493</v>
      </c>
      <c r="AZ67">
        <v>1</v>
      </c>
      <c r="BA67" t="s">
        <v>8469</v>
      </c>
      <c r="BB67">
        <v>0</v>
      </c>
      <c r="BC67" t="s">
        <v>8452</v>
      </c>
      <c r="BD67">
        <v>65.5</v>
      </c>
      <c r="BE67" t="s">
        <v>8472</v>
      </c>
      <c r="BF67" t="s">
        <v>8534</v>
      </c>
      <c r="BG67" t="s">
        <v>8472</v>
      </c>
      <c r="BH67">
        <v>5.40909</v>
      </c>
      <c r="BJ67" s="1" t="s">
        <v>8607</v>
      </c>
      <c r="BK67" s="1" t="s">
        <v>8608</v>
      </c>
    </row>
    <row r="68" spans="1:63" x14ac:dyDescent="0.25">
      <c r="A68">
        <v>212</v>
      </c>
      <c r="B68">
        <v>401</v>
      </c>
      <c r="C68" t="s">
        <v>8445</v>
      </c>
      <c r="F68">
        <v>1012857</v>
      </c>
      <c r="G68" t="s">
        <v>1127</v>
      </c>
      <c r="H68" t="s">
        <v>8372</v>
      </c>
      <c r="I68" t="s">
        <v>8480</v>
      </c>
      <c r="J68">
        <v>0</v>
      </c>
      <c r="K68">
        <v>6</v>
      </c>
      <c r="L68">
        <v>0</v>
      </c>
      <c r="M68">
        <v>310300</v>
      </c>
      <c r="N68">
        <v>268</v>
      </c>
      <c r="O68">
        <v>0</v>
      </c>
      <c r="P68">
        <v>5</v>
      </c>
      <c r="Q68">
        <v>0</v>
      </c>
      <c r="R68">
        <v>-76600</v>
      </c>
      <c r="S68">
        <v>283</v>
      </c>
      <c r="T68">
        <v>0</v>
      </c>
      <c r="U68">
        <v>0</v>
      </c>
      <c r="V68">
        <v>488</v>
      </c>
      <c r="W68" t="s">
        <v>8475</v>
      </c>
      <c r="X68">
        <v>0</v>
      </c>
      <c r="Y68">
        <v>30</v>
      </c>
      <c r="Z68">
        <v>0</v>
      </c>
      <c r="AA68">
        <v>35</v>
      </c>
      <c r="AB68">
        <v>0</v>
      </c>
      <c r="AC68">
        <v>7</v>
      </c>
      <c r="AD68">
        <v>0</v>
      </c>
      <c r="AE68">
        <v>10</v>
      </c>
      <c r="AF68">
        <v>0</v>
      </c>
      <c r="AG68">
        <v>3</v>
      </c>
      <c r="AH68">
        <v>0</v>
      </c>
      <c r="AI68">
        <v>-1</v>
      </c>
      <c r="AJ68">
        <v>0</v>
      </c>
      <c r="AK68">
        <v>0</v>
      </c>
      <c r="AL68">
        <v>0</v>
      </c>
      <c r="AM68">
        <v>2</v>
      </c>
      <c r="AN68">
        <v>0</v>
      </c>
      <c r="AO68">
        <v>2</v>
      </c>
      <c r="AP68">
        <v>53.6</v>
      </c>
      <c r="AQ68">
        <v>972</v>
      </c>
      <c r="AR68">
        <v>53.6</v>
      </c>
      <c r="AS68">
        <v>45.666699999999999</v>
      </c>
      <c r="AT68" t="s">
        <v>8482</v>
      </c>
      <c r="AU68">
        <v>45</v>
      </c>
      <c r="AV68">
        <v>1</v>
      </c>
      <c r="AW68" t="s">
        <v>8483</v>
      </c>
      <c r="AX68">
        <v>0</v>
      </c>
      <c r="AY68" t="s">
        <v>8461</v>
      </c>
      <c r="AZ68">
        <v>0</v>
      </c>
      <c r="BA68" t="s">
        <v>8460</v>
      </c>
      <c r="BB68">
        <v>1</v>
      </c>
      <c r="BC68" t="s">
        <v>8484</v>
      </c>
      <c r="BD68">
        <v>58</v>
      </c>
      <c r="BE68" t="s">
        <v>8455</v>
      </c>
      <c r="BF68" t="s">
        <v>8464</v>
      </c>
      <c r="BG68" t="s">
        <v>8464</v>
      </c>
      <c r="BH68">
        <v>22.090900000000001</v>
      </c>
      <c r="BJ68" s="1" t="s">
        <v>8609</v>
      </c>
      <c r="BK68" s="1" t="s">
        <v>8610</v>
      </c>
    </row>
    <row r="69" spans="1:63" x14ac:dyDescent="0.25">
      <c r="A69">
        <v>214</v>
      </c>
      <c r="B69">
        <v>65</v>
      </c>
      <c r="C69" t="s">
        <v>8445</v>
      </c>
      <c r="F69">
        <v>291548</v>
      </c>
      <c r="G69" t="s">
        <v>1332</v>
      </c>
      <c r="H69" t="s">
        <v>7593</v>
      </c>
      <c r="I69" t="s">
        <v>8524</v>
      </c>
      <c r="J69">
        <v>0</v>
      </c>
      <c r="K69">
        <v>6</v>
      </c>
      <c r="L69">
        <v>0</v>
      </c>
      <c r="M69">
        <v>355400</v>
      </c>
      <c r="N69">
        <v>336</v>
      </c>
      <c r="O69">
        <v>0</v>
      </c>
      <c r="P69">
        <v>5</v>
      </c>
      <c r="Q69">
        <v>0</v>
      </c>
      <c r="R69">
        <v>-29300</v>
      </c>
      <c r="S69">
        <v>201</v>
      </c>
      <c r="T69">
        <v>0</v>
      </c>
      <c r="U69">
        <v>0</v>
      </c>
      <c r="V69">
        <v>573</v>
      </c>
      <c r="W69" t="s">
        <v>8475</v>
      </c>
      <c r="X69">
        <v>0</v>
      </c>
      <c r="Y69">
        <v>49</v>
      </c>
      <c r="Z69">
        <v>0</v>
      </c>
      <c r="AA69">
        <v>21</v>
      </c>
      <c r="AB69">
        <v>0</v>
      </c>
      <c r="AC69">
        <v>23</v>
      </c>
      <c r="AD69">
        <v>0</v>
      </c>
      <c r="AE69">
        <v>8</v>
      </c>
      <c r="AF69">
        <v>0</v>
      </c>
      <c r="AG69">
        <v>3</v>
      </c>
      <c r="AH69">
        <v>0</v>
      </c>
      <c r="AI69">
        <v>-3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67.2</v>
      </c>
      <c r="AQ69">
        <v>502</v>
      </c>
      <c r="AR69">
        <v>67.2</v>
      </c>
      <c r="AS69">
        <v>55</v>
      </c>
      <c r="AT69" t="s">
        <v>8525</v>
      </c>
      <c r="AU69">
        <v>61.4</v>
      </c>
      <c r="AV69">
        <v>0</v>
      </c>
      <c r="AW69" t="s">
        <v>8470</v>
      </c>
      <c r="AX69">
        <v>1</v>
      </c>
      <c r="AY69" t="s">
        <v>8449</v>
      </c>
      <c r="AZ69">
        <v>0</v>
      </c>
      <c r="BA69" t="s">
        <v>8526</v>
      </c>
      <c r="BB69">
        <v>1</v>
      </c>
      <c r="BC69" t="s">
        <v>8527</v>
      </c>
      <c r="BD69">
        <v>69.530600000000007</v>
      </c>
      <c r="BE69" t="s">
        <v>8455</v>
      </c>
      <c r="BF69" t="s">
        <v>8494</v>
      </c>
      <c r="BG69" t="s">
        <v>8498</v>
      </c>
      <c r="BH69">
        <v>11.4091</v>
      </c>
      <c r="BJ69" s="1" t="s">
        <v>8611</v>
      </c>
      <c r="BK69" s="1" t="s">
        <v>8612</v>
      </c>
    </row>
    <row r="70" spans="1:63" x14ac:dyDescent="0.25">
      <c r="A70">
        <v>215</v>
      </c>
      <c r="B70">
        <v>187</v>
      </c>
      <c r="C70" t="s">
        <v>8445</v>
      </c>
      <c r="F70">
        <v>996232</v>
      </c>
      <c r="G70" t="s">
        <v>889</v>
      </c>
      <c r="H70" t="s">
        <v>5501</v>
      </c>
      <c r="I70" t="s">
        <v>8458</v>
      </c>
      <c r="J70">
        <v>0</v>
      </c>
      <c r="K70">
        <v>6</v>
      </c>
      <c r="L70">
        <v>0</v>
      </c>
      <c r="M70">
        <v>384600</v>
      </c>
      <c r="N70">
        <v>0</v>
      </c>
      <c r="O70">
        <v>0</v>
      </c>
      <c r="P70">
        <v>0</v>
      </c>
      <c r="Q70">
        <v>0</v>
      </c>
      <c r="R70">
        <v>0</v>
      </c>
      <c r="S70">
        <v>510</v>
      </c>
      <c r="T70">
        <v>0</v>
      </c>
      <c r="U70">
        <v>0</v>
      </c>
      <c r="V70">
        <v>0</v>
      </c>
      <c r="W70" t="s">
        <v>8466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361</v>
      </c>
      <c r="AR70">
        <v>0</v>
      </c>
      <c r="AS70">
        <v>0</v>
      </c>
      <c r="AT70" t="s">
        <v>8456</v>
      </c>
      <c r="AU70">
        <v>58.333300000000001</v>
      </c>
      <c r="AV70">
        <v>1</v>
      </c>
      <c r="AW70" t="s">
        <v>8530</v>
      </c>
      <c r="AX70">
        <v>1</v>
      </c>
      <c r="AY70" t="s">
        <v>8526</v>
      </c>
      <c r="AZ70">
        <v>0</v>
      </c>
      <c r="BA70" t="s">
        <v>8491</v>
      </c>
      <c r="BB70">
        <v>0</v>
      </c>
      <c r="BC70" t="s">
        <v>8462</v>
      </c>
      <c r="BD70">
        <v>49.375</v>
      </c>
      <c r="BE70" t="s">
        <v>8464</v>
      </c>
      <c r="BF70" t="s">
        <v>8455</v>
      </c>
      <c r="BG70" t="s">
        <v>8455</v>
      </c>
      <c r="BH70">
        <v>8.2045499999999993</v>
      </c>
    </row>
    <row r="71" spans="1:63" x14ac:dyDescent="0.25">
      <c r="A71">
        <v>217</v>
      </c>
      <c r="B71">
        <v>26</v>
      </c>
      <c r="C71" t="s">
        <v>8445</v>
      </c>
      <c r="F71">
        <v>1021031</v>
      </c>
      <c r="G71" t="s">
        <v>176</v>
      </c>
      <c r="H71" t="s">
        <v>6715</v>
      </c>
      <c r="I71" t="s">
        <v>8511</v>
      </c>
      <c r="J71">
        <v>0</v>
      </c>
      <c r="K71">
        <v>6</v>
      </c>
      <c r="L71">
        <v>0</v>
      </c>
      <c r="M71">
        <v>382600</v>
      </c>
      <c r="N71">
        <v>99</v>
      </c>
      <c r="O71">
        <v>0</v>
      </c>
      <c r="P71">
        <v>2</v>
      </c>
      <c r="Q71">
        <v>0</v>
      </c>
      <c r="R71">
        <v>0</v>
      </c>
      <c r="S71">
        <v>440</v>
      </c>
      <c r="T71">
        <v>0</v>
      </c>
      <c r="U71">
        <v>0</v>
      </c>
      <c r="V71">
        <v>140</v>
      </c>
      <c r="W71" t="s">
        <v>8505</v>
      </c>
      <c r="X71">
        <v>0</v>
      </c>
      <c r="Y71">
        <v>10</v>
      </c>
      <c r="Z71">
        <v>0</v>
      </c>
      <c r="AA71">
        <v>14</v>
      </c>
      <c r="AB71">
        <v>0</v>
      </c>
      <c r="AC71">
        <v>4</v>
      </c>
      <c r="AD71">
        <v>0</v>
      </c>
      <c r="AE71">
        <v>5</v>
      </c>
      <c r="AF71">
        <v>0</v>
      </c>
      <c r="AG71">
        <v>2</v>
      </c>
      <c r="AH71">
        <v>0</v>
      </c>
      <c r="AI71">
        <v>-2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49.5</v>
      </c>
      <c r="AQ71">
        <v>233</v>
      </c>
      <c r="AR71">
        <v>49.5</v>
      </c>
      <c r="AS71">
        <v>49.5</v>
      </c>
      <c r="AT71" t="s">
        <v>8512</v>
      </c>
      <c r="AU71">
        <v>63</v>
      </c>
      <c r="AV71">
        <v>0</v>
      </c>
      <c r="AW71" t="s">
        <v>8513</v>
      </c>
      <c r="AX71">
        <v>1</v>
      </c>
      <c r="AY71" t="s">
        <v>8514</v>
      </c>
      <c r="AZ71">
        <v>0</v>
      </c>
      <c r="BA71" t="s">
        <v>8497</v>
      </c>
      <c r="BB71">
        <v>1</v>
      </c>
      <c r="BC71" t="s">
        <v>8515</v>
      </c>
      <c r="BD71">
        <v>71.533299999999997</v>
      </c>
      <c r="BE71" t="s">
        <v>8463</v>
      </c>
      <c r="BF71" t="s">
        <v>8472</v>
      </c>
      <c r="BG71" t="s">
        <v>8472</v>
      </c>
      <c r="BH71">
        <v>5.2954499999999998</v>
      </c>
      <c r="BJ71" s="1" t="s">
        <v>8613</v>
      </c>
      <c r="BK71" s="1" t="s">
        <v>8614</v>
      </c>
    </row>
    <row r="72" spans="1:63" x14ac:dyDescent="0.25">
      <c r="A72">
        <v>218</v>
      </c>
      <c r="B72">
        <v>110</v>
      </c>
      <c r="C72" t="s">
        <v>8445</v>
      </c>
      <c r="F72">
        <v>1009241</v>
      </c>
      <c r="G72" t="s">
        <v>4649</v>
      </c>
      <c r="H72" t="s">
        <v>7330</v>
      </c>
      <c r="I72" t="s">
        <v>8465</v>
      </c>
      <c r="J72">
        <v>0</v>
      </c>
      <c r="K72">
        <v>6</v>
      </c>
      <c r="L72">
        <v>0</v>
      </c>
      <c r="M72">
        <v>315100</v>
      </c>
      <c r="N72">
        <v>237</v>
      </c>
      <c r="O72">
        <v>0</v>
      </c>
      <c r="P72">
        <v>5</v>
      </c>
      <c r="Q72">
        <v>0</v>
      </c>
      <c r="R72">
        <v>-66400</v>
      </c>
      <c r="S72">
        <v>322</v>
      </c>
      <c r="T72">
        <v>0</v>
      </c>
      <c r="U72">
        <v>0</v>
      </c>
      <c r="V72">
        <v>527</v>
      </c>
      <c r="W72" t="s">
        <v>8475</v>
      </c>
      <c r="X72">
        <v>0</v>
      </c>
      <c r="Y72">
        <v>28</v>
      </c>
      <c r="Z72">
        <v>0</v>
      </c>
      <c r="AA72">
        <v>15</v>
      </c>
      <c r="AB72">
        <v>0</v>
      </c>
      <c r="AC72">
        <v>15</v>
      </c>
      <c r="AD72">
        <v>0</v>
      </c>
      <c r="AE72">
        <v>11</v>
      </c>
      <c r="AF72">
        <v>0</v>
      </c>
      <c r="AG72">
        <v>7</v>
      </c>
      <c r="AH72">
        <v>0</v>
      </c>
      <c r="AI72">
        <v>-6</v>
      </c>
      <c r="AJ72">
        <v>0</v>
      </c>
      <c r="AK72">
        <v>0</v>
      </c>
      <c r="AL72">
        <v>0</v>
      </c>
      <c r="AM72">
        <v>7</v>
      </c>
      <c r="AN72">
        <v>0</v>
      </c>
      <c r="AO72">
        <v>4</v>
      </c>
      <c r="AP72">
        <v>47.4</v>
      </c>
      <c r="AQ72">
        <v>193</v>
      </c>
      <c r="AR72">
        <v>47.4</v>
      </c>
      <c r="AS72">
        <v>58.666699999999999</v>
      </c>
      <c r="AT72" t="s">
        <v>8467</v>
      </c>
      <c r="AU72">
        <v>0</v>
      </c>
      <c r="AV72">
        <v>1</v>
      </c>
      <c r="AW72" t="s">
        <v>8468</v>
      </c>
      <c r="AX72">
        <v>0</v>
      </c>
      <c r="AY72" t="s">
        <v>8469</v>
      </c>
      <c r="AZ72">
        <v>1</v>
      </c>
      <c r="BA72" t="s">
        <v>8470</v>
      </c>
      <c r="BB72">
        <v>1</v>
      </c>
      <c r="BC72" t="s">
        <v>8471</v>
      </c>
      <c r="BD72">
        <v>69.933300000000003</v>
      </c>
      <c r="BE72" t="s">
        <v>8464</v>
      </c>
      <c r="BF72" t="s">
        <v>8472</v>
      </c>
      <c r="BG72" t="s">
        <v>8464</v>
      </c>
      <c r="BH72">
        <v>4.3863599999999998</v>
      </c>
      <c r="BJ72" s="1" t="s">
        <v>8615</v>
      </c>
      <c r="BK72" s="1" t="s">
        <v>8616</v>
      </c>
    </row>
    <row r="73" spans="1:63" x14ac:dyDescent="0.25">
      <c r="A73">
        <v>219</v>
      </c>
      <c r="B73">
        <v>624</v>
      </c>
      <c r="C73" t="s">
        <v>8445</v>
      </c>
      <c r="F73">
        <v>1002227</v>
      </c>
      <c r="G73" t="s">
        <v>1127</v>
      </c>
      <c r="H73" t="s">
        <v>4251</v>
      </c>
      <c r="I73" t="s">
        <v>8549</v>
      </c>
      <c r="J73">
        <v>0</v>
      </c>
      <c r="K73">
        <v>6</v>
      </c>
      <c r="L73">
        <v>0</v>
      </c>
      <c r="M73">
        <v>375800</v>
      </c>
      <c r="N73">
        <v>360</v>
      </c>
      <c r="O73">
        <v>0</v>
      </c>
      <c r="P73">
        <v>5</v>
      </c>
      <c r="Q73">
        <v>0</v>
      </c>
      <c r="R73">
        <v>-5700</v>
      </c>
      <c r="S73">
        <v>162</v>
      </c>
      <c r="T73">
        <v>0</v>
      </c>
      <c r="U73">
        <v>0</v>
      </c>
      <c r="V73">
        <v>536</v>
      </c>
      <c r="W73" t="s">
        <v>8481</v>
      </c>
      <c r="X73">
        <v>0</v>
      </c>
      <c r="Y73">
        <v>32</v>
      </c>
      <c r="Z73">
        <v>0</v>
      </c>
      <c r="AA73">
        <v>18</v>
      </c>
      <c r="AB73">
        <v>0</v>
      </c>
      <c r="AC73">
        <v>11</v>
      </c>
      <c r="AD73">
        <v>0</v>
      </c>
      <c r="AE73">
        <v>14</v>
      </c>
      <c r="AF73">
        <v>0</v>
      </c>
      <c r="AG73">
        <v>4</v>
      </c>
      <c r="AH73">
        <v>0</v>
      </c>
      <c r="AI73">
        <v>-2</v>
      </c>
      <c r="AJ73">
        <v>0</v>
      </c>
      <c r="AK73">
        <v>0</v>
      </c>
      <c r="AL73">
        <v>0</v>
      </c>
      <c r="AM73">
        <v>14</v>
      </c>
      <c r="AN73">
        <v>0</v>
      </c>
      <c r="AO73">
        <v>4</v>
      </c>
      <c r="AP73">
        <v>72</v>
      </c>
      <c r="AQ73">
        <v>1260</v>
      </c>
      <c r="AR73">
        <v>72</v>
      </c>
      <c r="AS73">
        <v>70.333299999999994</v>
      </c>
      <c r="AT73" t="s">
        <v>8548</v>
      </c>
      <c r="AU73">
        <v>58.142899999999997</v>
      </c>
      <c r="AV73">
        <v>1</v>
      </c>
      <c r="AW73" t="s">
        <v>8492</v>
      </c>
      <c r="AX73">
        <v>0</v>
      </c>
      <c r="AY73" t="s">
        <v>8513</v>
      </c>
      <c r="AZ73">
        <v>0</v>
      </c>
      <c r="BA73" t="s">
        <v>8514</v>
      </c>
      <c r="BB73">
        <v>0</v>
      </c>
      <c r="BC73" t="s">
        <v>8471</v>
      </c>
      <c r="BD73">
        <v>65.592600000000004</v>
      </c>
      <c r="BE73" t="s">
        <v>8455</v>
      </c>
      <c r="BF73" t="s">
        <v>8455</v>
      </c>
      <c r="BG73" t="s">
        <v>8464</v>
      </c>
      <c r="BH73">
        <v>28.636399999999998</v>
      </c>
      <c r="BJ73" s="1" t="s">
        <v>8617</v>
      </c>
      <c r="BK73" s="1" t="s">
        <v>8618</v>
      </c>
    </row>
    <row r="74" spans="1:63" x14ac:dyDescent="0.25">
      <c r="A74">
        <v>220</v>
      </c>
      <c r="B74">
        <v>455</v>
      </c>
      <c r="C74" t="s">
        <v>8445</v>
      </c>
      <c r="F74">
        <v>1017703</v>
      </c>
      <c r="G74" t="s">
        <v>5907</v>
      </c>
      <c r="H74" t="s">
        <v>5908</v>
      </c>
      <c r="I74" t="s">
        <v>8501</v>
      </c>
      <c r="J74">
        <v>0</v>
      </c>
      <c r="K74">
        <v>6</v>
      </c>
      <c r="L74">
        <v>0</v>
      </c>
      <c r="M74">
        <v>381400</v>
      </c>
      <c r="N74">
        <v>0</v>
      </c>
      <c r="O74">
        <v>0</v>
      </c>
      <c r="P74">
        <v>0</v>
      </c>
      <c r="Q74">
        <v>0</v>
      </c>
      <c r="R74">
        <v>0</v>
      </c>
      <c r="S74">
        <v>510</v>
      </c>
      <c r="T74">
        <v>0</v>
      </c>
      <c r="U74">
        <v>0</v>
      </c>
      <c r="V74">
        <v>0</v>
      </c>
      <c r="W74" t="s">
        <v>8447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261</v>
      </c>
      <c r="AR74">
        <v>0</v>
      </c>
      <c r="AS74">
        <v>0</v>
      </c>
      <c r="AT74" t="s">
        <v>8502</v>
      </c>
      <c r="AU74">
        <v>65</v>
      </c>
      <c r="AV74">
        <v>0</v>
      </c>
      <c r="AW74" t="s">
        <v>8461</v>
      </c>
      <c r="AX74">
        <v>0</v>
      </c>
      <c r="AY74" t="s">
        <v>8483</v>
      </c>
      <c r="AZ74">
        <v>1</v>
      </c>
      <c r="BA74" t="s">
        <v>8459</v>
      </c>
      <c r="BB74">
        <v>0</v>
      </c>
      <c r="BC74" t="s">
        <v>8484</v>
      </c>
      <c r="BD74">
        <v>63.666699999999999</v>
      </c>
      <c r="BE74" t="s">
        <v>8464</v>
      </c>
      <c r="BF74" t="s">
        <v>8463</v>
      </c>
      <c r="BG74" t="s">
        <v>8464</v>
      </c>
      <c r="BH74">
        <v>5.9318200000000001</v>
      </c>
    </row>
    <row r="75" spans="1:63" x14ac:dyDescent="0.25">
      <c r="A75">
        <v>221</v>
      </c>
      <c r="B75">
        <v>222</v>
      </c>
      <c r="C75" t="s">
        <v>8445</v>
      </c>
      <c r="F75">
        <v>1013224</v>
      </c>
      <c r="G75" t="s">
        <v>2566</v>
      </c>
      <c r="H75" t="s">
        <v>7912</v>
      </c>
      <c r="I75" t="s">
        <v>8502</v>
      </c>
      <c r="J75">
        <v>0</v>
      </c>
      <c r="K75">
        <v>6</v>
      </c>
      <c r="L75">
        <v>0</v>
      </c>
      <c r="M75">
        <v>356600</v>
      </c>
      <c r="N75">
        <v>303</v>
      </c>
      <c r="O75">
        <v>0</v>
      </c>
      <c r="P75">
        <v>5</v>
      </c>
      <c r="Q75">
        <v>0</v>
      </c>
      <c r="R75">
        <v>-24300</v>
      </c>
      <c r="S75">
        <v>249</v>
      </c>
      <c r="T75">
        <v>0</v>
      </c>
      <c r="U75">
        <v>0</v>
      </c>
      <c r="V75">
        <v>464</v>
      </c>
      <c r="W75" t="s">
        <v>8475</v>
      </c>
      <c r="X75">
        <v>0</v>
      </c>
      <c r="Y75">
        <v>47</v>
      </c>
      <c r="Z75">
        <v>0</v>
      </c>
      <c r="AA75">
        <v>24</v>
      </c>
      <c r="AB75">
        <v>0</v>
      </c>
      <c r="AC75">
        <v>26</v>
      </c>
      <c r="AD75">
        <v>0</v>
      </c>
      <c r="AE75">
        <v>6</v>
      </c>
      <c r="AF75">
        <v>0</v>
      </c>
      <c r="AG75">
        <v>5</v>
      </c>
      <c r="AH75">
        <v>0</v>
      </c>
      <c r="AI75">
        <v>-3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60.6</v>
      </c>
      <c r="AQ75">
        <v>392</v>
      </c>
      <c r="AR75">
        <v>60.6</v>
      </c>
      <c r="AS75">
        <v>78</v>
      </c>
      <c r="AT75" t="s">
        <v>8501</v>
      </c>
      <c r="AU75">
        <v>60.25</v>
      </c>
      <c r="AV75">
        <v>1</v>
      </c>
      <c r="AW75" t="s">
        <v>8469</v>
      </c>
      <c r="AX75">
        <v>0</v>
      </c>
      <c r="AY75" t="s">
        <v>8470</v>
      </c>
      <c r="AZ75">
        <v>1</v>
      </c>
      <c r="BA75" t="s">
        <v>8530</v>
      </c>
      <c r="BB75">
        <v>0</v>
      </c>
      <c r="BC75" t="s">
        <v>8484</v>
      </c>
      <c r="BD75">
        <v>72</v>
      </c>
      <c r="BE75" t="s">
        <v>8463</v>
      </c>
      <c r="BF75" t="s">
        <v>8455</v>
      </c>
      <c r="BG75" t="s">
        <v>8463</v>
      </c>
      <c r="BH75">
        <v>8.9090900000000008</v>
      </c>
      <c r="BJ75" s="1" t="s">
        <v>8619</v>
      </c>
      <c r="BK75" s="1" t="s">
        <v>8620</v>
      </c>
    </row>
    <row r="76" spans="1:63" x14ac:dyDescent="0.25">
      <c r="A76">
        <v>222</v>
      </c>
      <c r="B76">
        <v>711</v>
      </c>
      <c r="C76" t="s">
        <v>8445</v>
      </c>
      <c r="F76">
        <v>297899</v>
      </c>
      <c r="G76" t="s">
        <v>617</v>
      </c>
      <c r="H76" t="s">
        <v>7496</v>
      </c>
      <c r="I76" t="s">
        <v>8548</v>
      </c>
      <c r="J76">
        <v>0</v>
      </c>
      <c r="K76">
        <v>6</v>
      </c>
      <c r="L76">
        <v>0</v>
      </c>
      <c r="M76">
        <v>368400</v>
      </c>
      <c r="N76">
        <v>321</v>
      </c>
      <c r="O76">
        <v>0</v>
      </c>
      <c r="P76">
        <v>5</v>
      </c>
      <c r="Q76">
        <v>0</v>
      </c>
      <c r="R76">
        <v>-12200</v>
      </c>
      <c r="S76">
        <v>227</v>
      </c>
      <c r="T76">
        <v>0</v>
      </c>
      <c r="U76">
        <v>0</v>
      </c>
      <c r="V76">
        <v>401</v>
      </c>
      <c r="W76" t="s">
        <v>8475</v>
      </c>
      <c r="X76">
        <v>0</v>
      </c>
      <c r="Y76">
        <v>35</v>
      </c>
      <c r="Z76">
        <v>0</v>
      </c>
      <c r="AA76">
        <v>41</v>
      </c>
      <c r="AB76">
        <v>0</v>
      </c>
      <c r="AC76">
        <v>13</v>
      </c>
      <c r="AD76">
        <v>0</v>
      </c>
      <c r="AE76">
        <v>14</v>
      </c>
      <c r="AF76">
        <v>0</v>
      </c>
      <c r="AG76">
        <v>4</v>
      </c>
      <c r="AH76">
        <v>0</v>
      </c>
      <c r="AI76">
        <v>-3</v>
      </c>
      <c r="AJ76">
        <v>0</v>
      </c>
      <c r="AK76">
        <v>0</v>
      </c>
      <c r="AL76">
        <v>0</v>
      </c>
      <c r="AM76">
        <v>3</v>
      </c>
      <c r="AN76">
        <v>0</v>
      </c>
      <c r="AO76">
        <v>1</v>
      </c>
      <c r="AP76">
        <v>64.2</v>
      </c>
      <c r="AQ76">
        <v>1406</v>
      </c>
      <c r="AR76">
        <v>64.2</v>
      </c>
      <c r="AS76">
        <v>64</v>
      </c>
      <c r="AT76" t="s">
        <v>8549</v>
      </c>
      <c r="AU76">
        <v>84.4</v>
      </c>
      <c r="AV76">
        <v>0</v>
      </c>
      <c r="AW76" t="s">
        <v>8450</v>
      </c>
      <c r="AX76">
        <v>1</v>
      </c>
      <c r="AY76" t="s">
        <v>8497</v>
      </c>
      <c r="AZ76">
        <v>0</v>
      </c>
      <c r="BA76" t="s">
        <v>8449</v>
      </c>
      <c r="BB76">
        <v>1</v>
      </c>
      <c r="BC76" t="s">
        <v>8471</v>
      </c>
      <c r="BD76">
        <v>79.714299999999994</v>
      </c>
      <c r="BE76" t="s">
        <v>8546</v>
      </c>
      <c r="BF76" t="s">
        <v>8534</v>
      </c>
      <c r="BG76" t="s">
        <v>8495</v>
      </c>
      <c r="BH76">
        <v>31.954499999999999</v>
      </c>
      <c r="BJ76">
        <v>0.80049875311720697</v>
      </c>
      <c r="BK76" s="1" t="s">
        <v>8621</v>
      </c>
    </row>
    <row r="77" spans="1:63" x14ac:dyDescent="0.25">
      <c r="A77">
        <v>223</v>
      </c>
      <c r="B77">
        <v>723</v>
      </c>
      <c r="C77" t="s">
        <v>8445</v>
      </c>
      <c r="F77">
        <v>1002404</v>
      </c>
      <c r="G77" t="s">
        <v>2456</v>
      </c>
      <c r="H77" t="s">
        <v>7470</v>
      </c>
      <c r="I77" t="s">
        <v>8548</v>
      </c>
      <c r="J77">
        <v>0</v>
      </c>
      <c r="K77">
        <v>6</v>
      </c>
      <c r="L77">
        <v>0</v>
      </c>
      <c r="M77">
        <v>325100</v>
      </c>
      <c r="N77">
        <v>316</v>
      </c>
      <c r="O77">
        <v>0</v>
      </c>
      <c r="P77">
        <v>5</v>
      </c>
      <c r="Q77">
        <v>0</v>
      </c>
      <c r="R77">
        <v>-55200</v>
      </c>
      <c r="S77">
        <v>234</v>
      </c>
      <c r="T77">
        <v>0</v>
      </c>
      <c r="U77">
        <v>0</v>
      </c>
      <c r="V77">
        <v>542</v>
      </c>
      <c r="W77" t="s">
        <v>8475</v>
      </c>
      <c r="X77">
        <v>0</v>
      </c>
      <c r="Y77">
        <v>29</v>
      </c>
      <c r="Z77">
        <v>0</v>
      </c>
      <c r="AA77">
        <v>22</v>
      </c>
      <c r="AB77">
        <v>0</v>
      </c>
      <c r="AC77">
        <v>25</v>
      </c>
      <c r="AD77">
        <v>0</v>
      </c>
      <c r="AE77">
        <v>8</v>
      </c>
      <c r="AF77">
        <v>0</v>
      </c>
      <c r="AG77">
        <v>3</v>
      </c>
      <c r="AH77">
        <v>0</v>
      </c>
      <c r="AI77">
        <v>-2</v>
      </c>
      <c r="AJ77">
        <v>0</v>
      </c>
      <c r="AK77">
        <v>1</v>
      </c>
      <c r="AL77">
        <v>0</v>
      </c>
      <c r="AM77">
        <v>8</v>
      </c>
      <c r="AN77">
        <v>0</v>
      </c>
      <c r="AO77">
        <v>4</v>
      </c>
      <c r="AP77">
        <v>63.2</v>
      </c>
      <c r="AQ77">
        <v>1148</v>
      </c>
      <c r="AR77">
        <v>63.2</v>
      </c>
      <c r="AS77">
        <v>56.666699999999999</v>
      </c>
      <c r="AT77" t="s">
        <v>8549</v>
      </c>
      <c r="AU77">
        <v>75.166700000000006</v>
      </c>
      <c r="AV77">
        <v>0</v>
      </c>
      <c r="AW77" t="s">
        <v>8450</v>
      </c>
      <c r="AX77">
        <v>1</v>
      </c>
      <c r="AY77" t="s">
        <v>8497</v>
      </c>
      <c r="AZ77">
        <v>0</v>
      </c>
      <c r="BA77" t="s">
        <v>8449</v>
      </c>
      <c r="BB77">
        <v>1</v>
      </c>
      <c r="BC77" t="s">
        <v>8471</v>
      </c>
      <c r="BD77">
        <v>70.880600000000001</v>
      </c>
      <c r="BE77" t="s">
        <v>8546</v>
      </c>
      <c r="BF77" t="s">
        <v>8534</v>
      </c>
      <c r="BG77" t="s">
        <v>8495</v>
      </c>
      <c r="BH77">
        <v>26.090900000000001</v>
      </c>
      <c r="BJ77" s="1" t="s">
        <v>8622</v>
      </c>
      <c r="BK77" s="1" t="s">
        <v>8623</v>
      </c>
    </row>
    <row r="78" spans="1:63" x14ac:dyDescent="0.25">
      <c r="A78">
        <v>225</v>
      </c>
      <c r="B78">
        <v>67</v>
      </c>
      <c r="C78" t="s">
        <v>8445</v>
      </c>
      <c r="F78">
        <v>1014026</v>
      </c>
      <c r="G78" t="s">
        <v>6153</v>
      </c>
      <c r="H78" t="s">
        <v>6154</v>
      </c>
      <c r="I78" t="s">
        <v>8524</v>
      </c>
      <c r="J78">
        <v>0</v>
      </c>
      <c r="K78">
        <v>6</v>
      </c>
      <c r="L78">
        <v>0</v>
      </c>
      <c r="M78">
        <v>379800</v>
      </c>
      <c r="N78">
        <v>22</v>
      </c>
      <c r="O78">
        <v>0</v>
      </c>
      <c r="P78">
        <v>2</v>
      </c>
      <c r="Q78">
        <v>0</v>
      </c>
      <c r="R78">
        <v>0</v>
      </c>
      <c r="S78">
        <v>502</v>
      </c>
      <c r="T78">
        <v>0</v>
      </c>
      <c r="U78">
        <v>0</v>
      </c>
      <c r="V78">
        <v>78</v>
      </c>
      <c r="W78" t="s">
        <v>8466</v>
      </c>
      <c r="X78">
        <v>0</v>
      </c>
      <c r="Y78">
        <v>3</v>
      </c>
      <c r="Z78">
        <v>0</v>
      </c>
      <c r="AA78">
        <v>3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11</v>
      </c>
      <c r="AQ78">
        <v>700</v>
      </c>
      <c r="AR78">
        <v>11</v>
      </c>
      <c r="AS78">
        <v>11</v>
      </c>
      <c r="AT78" t="s">
        <v>8525</v>
      </c>
      <c r="AU78">
        <v>37</v>
      </c>
      <c r="AV78">
        <v>0</v>
      </c>
      <c r="AW78" t="s">
        <v>8470</v>
      </c>
      <c r="AX78">
        <v>1</v>
      </c>
      <c r="AY78" t="s">
        <v>8449</v>
      </c>
      <c r="AZ78">
        <v>0</v>
      </c>
      <c r="BA78" t="s">
        <v>8526</v>
      </c>
      <c r="BB78">
        <v>1</v>
      </c>
      <c r="BC78" t="s">
        <v>8527</v>
      </c>
      <c r="BD78">
        <v>56.176499999999997</v>
      </c>
      <c r="BE78" t="s">
        <v>8455</v>
      </c>
      <c r="BF78" t="s">
        <v>8494</v>
      </c>
      <c r="BG78" t="s">
        <v>8498</v>
      </c>
      <c r="BH78">
        <v>15.9091</v>
      </c>
      <c r="BJ78" s="1" t="s">
        <v>8624</v>
      </c>
      <c r="BK78" s="1" t="s">
        <v>8625</v>
      </c>
    </row>
    <row r="79" spans="1:63" x14ac:dyDescent="0.25">
      <c r="A79">
        <v>227</v>
      </c>
      <c r="B79">
        <v>716</v>
      </c>
      <c r="C79" t="s">
        <v>8445</v>
      </c>
      <c r="F79">
        <v>281078</v>
      </c>
      <c r="G79" t="s">
        <v>1464</v>
      </c>
      <c r="H79" t="s">
        <v>890</v>
      </c>
      <c r="I79" t="s">
        <v>8548</v>
      </c>
      <c r="J79">
        <v>0</v>
      </c>
      <c r="K79">
        <v>6</v>
      </c>
      <c r="L79">
        <v>0</v>
      </c>
      <c r="M79">
        <v>349500</v>
      </c>
      <c r="N79">
        <v>160</v>
      </c>
      <c r="O79">
        <v>0</v>
      </c>
      <c r="P79">
        <v>3</v>
      </c>
      <c r="Q79">
        <v>0</v>
      </c>
      <c r="R79">
        <v>-29300</v>
      </c>
      <c r="S79">
        <v>391</v>
      </c>
      <c r="T79">
        <v>0</v>
      </c>
      <c r="U79">
        <v>0</v>
      </c>
      <c r="V79">
        <v>353</v>
      </c>
      <c r="W79" t="s">
        <v>8505</v>
      </c>
      <c r="X79">
        <v>0</v>
      </c>
      <c r="Y79">
        <v>20</v>
      </c>
      <c r="Z79">
        <v>0</v>
      </c>
      <c r="AA79">
        <v>9</v>
      </c>
      <c r="AB79">
        <v>0</v>
      </c>
      <c r="AC79">
        <v>11</v>
      </c>
      <c r="AD79">
        <v>0</v>
      </c>
      <c r="AE79">
        <v>3</v>
      </c>
      <c r="AF79">
        <v>0</v>
      </c>
      <c r="AG79">
        <v>1</v>
      </c>
      <c r="AH79">
        <v>0</v>
      </c>
      <c r="AI79">
        <v>-1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53.333300000000001</v>
      </c>
      <c r="AQ79">
        <v>146</v>
      </c>
      <c r="AR79">
        <v>53.333300000000001</v>
      </c>
      <c r="AS79">
        <v>53.333300000000001</v>
      </c>
      <c r="AT79" t="s">
        <v>8549</v>
      </c>
      <c r="AU79">
        <v>63.3</v>
      </c>
      <c r="AV79">
        <v>0</v>
      </c>
      <c r="AW79" t="s">
        <v>8450</v>
      </c>
      <c r="AX79">
        <v>1</v>
      </c>
      <c r="AY79" t="s">
        <v>8497</v>
      </c>
      <c r="AZ79">
        <v>0</v>
      </c>
      <c r="BA79" t="s">
        <v>8449</v>
      </c>
      <c r="BB79">
        <v>1</v>
      </c>
      <c r="BC79" t="s">
        <v>8471</v>
      </c>
      <c r="BD79">
        <v>59.831499999999998</v>
      </c>
      <c r="BE79" t="s">
        <v>8546</v>
      </c>
      <c r="BF79" t="s">
        <v>8534</v>
      </c>
      <c r="BG79" t="s">
        <v>8495</v>
      </c>
      <c r="BH79">
        <v>3.3181799999999999</v>
      </c>
      <c r="BJ79" s="1" t="s">
        <v>8626</v>
      </c>
      <c r="BK79" s="1" t="s">
        <v>8627</v>
      </c>
    </row>
    <row r="80" spans="1:63" x14ac:dyDescent="0.25">
      <c r="A80">
        <v>228</v>
      </c>
      <c r="B80">
        <v>450</v>
      </c>
      <c r="C80" t="s">
        <v>8445</v>
      </c>
      <c r="F80">
        <v>298281</v>
      </c>
      <c r="G80" t="s">
        <v>1235</v>
      </c>
      <c r="H80" t="s">
        <v>6334</v>
      </c>
      <c r="I80" t="s">
        <v>8501</v>
      </c>
      <c r="J80">
        <v>0</v>
      </c>
      <c r="K80">
        <v>6</v>
      </c>
      <c r="L80">
        <v>0</v>
      </c>
      <c r="M80">
        <v>378400</v>
      </c>
      <c r="N80">
        <v>159</v>
      </c>
      <c r="O80">
        <v>0</v>
      </c>
      <c r="P80">
        <v>2</v>
      </c>
      <c r="Q80">
        <v>0</v>
      </c>
      <c r="R80">
        <v>0</v>
      </c>
      <c r="S80">
        <v>392</v>
      </c>
      <c r="T80">
        <v>0</v>
      </c>
      <c r="U80">
        <v>0</v>
      </c>
      <c r="V80">
        <v>218</v>
      </c>
      <c r="W80" t="s">
        <v>8505</v>
      </c>
      <c r="X80">
        <v>0</v>
      </c>
      <c r="Y80">
        <v>19</v>
      </c>
      <c r="Z80">
        <v>0</v>
      </c>
      <c r="AA80">
        <v>13</v>
      </c>
      <c r="AB80">
        <v>0</v>
      </c>
      <c r="AC80">
        <v>14</v>
      </c>
      <c r="AD80">
        <v>0</v>
      </c>
      <c r="AE80">
        <v>4</v>
      </c>
      <c r="AF80">
        <v>0</v>
      </c>
      <c r="AG80">
        <v>1</v>
      </c>
      <c r="AH80">
        <v>0</v>
      </c>
      <c r="AI80">
        <v>-3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79.5</v>
      </c>
      <c r="AQ80">
        <v>412</v>
      </c>
      <c r="AR80">
        <v>79.5</v>
      </c>
      <c r="AS80">
        <v>79.5</v>
      </c>
      <c r="AT80" t="s">
        <v>8502</v>
      </c>
      <c r="AU80">
        <v>78.8</v>
      </c>
      <c r="AV80">
        <v>0</v>
      </c>
      <c r="AW80" t="s">
        <v>8461</v>
      </c>
      <c r="AX80">
        <v>0</v>
      </c>
      <c r="AY80" t="s">
        <v>8483</v>
      </c>
      <c r="AZ80">
        <v>1</v>
      </c>
      <c r="BA80" t="s">
        <v>8459</v>
      </c>
      <c r="BB80">
        <v>0</v>
      </c>
      <c r="BC80" t="s">
        <v>8484</v>
      </c>
      <c r="BD80">
        <v>79.305099999999996</v>
      </c>
      <c r="BE80" t="s">
        <v>8464</v>
      </c>
      <c r="BF80" t="s">
        <v>8463</v>
      </c>
      <c r="BG80" t="s">
        <v>8464</v>
      </c>
      <c r="BH80">
        <v>9.3636400000000002</v>
      </c>
      <c r="BJ80" s="1" t="s">
        <v>8628</v>
      </c>
      <c r="BK80" s="1" t="s">
        <v>8629</v>
      </c>
    </row>
    <row r="81" spans="1:63" x14ac:dyDescent="0.25">
      <c r="A81">
        <v>229</v>
      </c>
      <c r="B81">
        <v>214</v>
      </c>
      <c r="C81" t="s">
        <v>8445</v>
      </c>
      <c r="F81">
        <v>298289</v>
      </c>
      <c r="G81" t="s">
        <v>5596</v>
      </c>
      <c r="H81" t="s">
        <v>2161</v>
      </c>
      <c r="I81" t="s">
        <v>8458</v>
      </c>
      <c r="J81">
        <v>0</v>
      </c>
      <c r="K81">
        <v>6</v>
      </c>
      <c r="L81">
        <v>0</v>
      </c>
      <c r="M81">
        <v>378300</v>
      </c>
      <c r="N81">
        <v>0</v>
      </c>
      <c r="O81">
        <v>0</v>
      </c>
      <c r="P81">
        <v>0</v>
      </c>
      <c r="Q81">
        <v>0</v>
      </c>
      <c r="R81">
        <v>0</v>
      </c>
      <c r="S81">
        <v>510</v>
      </c>
      <c r="T81">
        <v>0</v>
      </c>
      <c r="U81">
        <v>0</v>
      </c>
      <c r="V81">
        <v>0</v>
      </c>
      <c r="W81" t="s">
        <v>8466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347</v>
      </c>
      <c r="AR81">
        <v>0</v>
      </c>
      <c r="AS81">
        <v>0</v>
      </c>
      <c r="AT81" t="s">
        <v>8456</v>
      </c>
      <c r="AU81">
        <v>79.571399999999997</v>
      </c>
      <c r="AV81">
        <v>1</v>
      </c>
      <c r="AW81" t="s">
        <v>8530</v>
      </c>
      <c r="AX81">
        <v>1</v>
      </c>
      <c r="AY81" t="s">
        <v>8526</v>
      </c>
      <c r="AZ81">
        <v>0</v>
      </c>
      <c r="BA81" t="s">
        <v>8491</v>
      </c>
      <c r="BB81">
        <v>0</v>
      </c>
      <c r="BC81" t="s">
        <v>8462</v>
      </c>
      <c r="BD81">
        <v>76.75</v>
      </c>
      <c r="BE81" t="s">
        <v>8464</v>
      </c>
      <c r="BF81" t="s">
        <v>8455</v>
      </c>
      <c r="BG81" t="s">
        <v>8455</v>
      </c>
      <c r="BH81">
        <v>7.8863599999999998</v>
      </c>
    </row>
    <row r="82" spans="1:63" x14ac:dyDescent="0.25">
      <c r="A82">
        <v>230</v>
      </c>
      <c r="B82">
        <v>537</v>
      </c>
      <c r="C82" t="s">
        <v>8445</v>
      </c>
      <c r="F82">
        <v>1010174</v>
      </c>
      <c r="G82" t="s">
        <v>1718</v>
      </c>
      <c r="H82" t="s">
        <v>8216</v>
      </c>
      <c r="I82" t="s">
        <v>8448</v>
      </c>
      <c r="J82">
        <v>0</v>
      </c>
      <c r="K82">
        <v>6</v>
      </c>
      <c r="L82">
        <v>0</v>
      </c>
      <c r="M82">
        <v>415700</v>
      </c>
      <c r="N82">
        <v>397</v>
      </c>
      <c r="O82">
        <v>0</v>
      </c>
      <c r="P82">
        <v>5</v>
      </c>
      <c r="Q82">
        <v>0</v>
      </c>
      <c r="R82">
        <v>37600</v>
      </c>
      <c r="S82">
        <v>116</v>
      </c>
      <c r="T82">
        <v>0</v>
      </c>
      <c r="U82">
        <v>0</v>
      </c>
      <c r="V82">
        <v>557</v>
      </c>
      <c r="W82" t="s">
        <v>8481</v>
      </c>
      <c r="X82">
        <v>0</v>
      </c>
      <c r="Y82">
        <v>45</v>
      </c>
      <c r="Z82">
        <v>0</v>
      </c>
      <c r="AA82">
        <v>20</v>
      </c>
      <c r="AB82">
        <v>0</v>
      </c>
      <c r="AC82">
        <v>32</v>
      </c>
      <c r="AD82">
        <v>0</v>
      </c>
      <c r="AE82">
        <v>8</v>
      </c>
      <c r="AF82">
        <v>0</v>
      </c>
      <c r="AG82">
        <v>3</v>
      </c>
      <c r="AH82">
        <v>0</v>
      </c>
      <c r="AI82">
        <v>-4</v>
      </c>
      <c r="AJ82">
        <v>0</v>
      </c>
      <c r="AK82">
        <v>0</v>
      </c>
      <c r="AL82">
        <v>0</v>
      </c>
      <c r="AM82">
        <v>12</v>
      </c>
      <c r="AN82">
        <v>0</v>
      </c>
      <c r="AO82">
        <v>9</v>
      </c>
      <c r="AP82">
        <v>79.400000000000006</v>
      </c>
      <c r="AQ82">
        <v>1724</v>
      </c>
      <c r="AR82">
        <v>79.400000000000006</v>
      </c>
      <c r="AS82">
        <v>87.666700000000006</v>
      </c>
      <c r="AT82" t="s">
        <v>8446</v>
      </c>
      <c r="AU82">
        <v>67.333299999999994</v>
      </c>
      <c r="AV82">
        <v>1</v>
      </c>
      <c r="AW82" t="s">
        <v>8526</v>
      </c>
      <c r="AX82">
        <v>0</v>
      </c>
      <c r="AY82" t="s">
        <v>8493</v>
      </c>
      <c r="AZ82">
        <v>1</v>
      </c>
      <c r="BA82" t="s">
        <v>8469</v>
      </c>
      <c r="BB82">
        <v>0</v>
      </c>
      <c r="BC82" t="s">
        <v>8452</v>
      </c>
      <c r="BD82">
        <v>86</v>
      </c>
      <c r="BE82" t="s">
        <v>8472</v>
      </c>
      <c r="BF82" t="s">
        <v>8534</v>
      </c>
      <c r="BG82" t="s">
        <v>8472</v>
      </c>
      <c r="BH82">
        <v>39.181800000000003</v>
      </c>
      <c r="BJ82" s="1" t="s">
        <v>8630</v>
      </c>
      <c r="BK82">
        <v>5235.5163727959698</v>
      </c>
    </row>
    <row r="83" spans="1:63" x14ac:dyDescent="0.25">
      <c r="A83">
        <v>231</v>
      </c>
      <c r="B83">
        <v>185</v>
      </c>
      <c r="C83" t="s">
        <v>8445</v>
      </c>
      <c r="F83">
        <v>271129</v>
      </c>
      <c r="G83" t="s">
        <v>5493</v>
      </c>
      <c r="H83" t="s">
        <v>5494</v>
      </c>
      <c r="I83" t="s">
        <v>8458</v>
      </c>
      <c r="J83">
        <v>0</v>
      </c>
      <c r="K83">
        <v>6</v>
      </c>
      <c r="L83">
        <v>0</v>
      </c>
      <c r="M83">
        <v>377200</v>
      </c>
      <c r="N83">
        <v>0</v>
      </c>
      <c r="O83">
        <v>0</v>
      </c>
      <c r="P83">
        <v>0</v>
      </c>
      <c r="Q83">
        <v>0</v>
      </c>
      <c r="R83">
        <v>0</v>
      </c>
      <c r="S83">
        <v>510</v>
      </c>
      <c r="T83">
        <v>0</v>
      </c>
      <c r="U83">
        <v>0</v>
      </c>
      <c r="V83">
        <v>0</v>
      </c>
      <c r="W83" t="s">
        <v>8466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363</v>
      </c>
      <c r="AR83">
        <v>0</v>
      </c>
      <c r="AS83">
        <v>0</v>
      </c>
      <c r="AT83" t="s">
        <v>8456</v>
      </c>
      <c r="AU83">
        <v>94.6</v>
      </c>
      <c r="AV83">
        <v>1</v>
      </c>
      <c r="AW83" t="s">
        <v>8530</v>
      </c>
      <c r="AX83">
        <v>1</v>
      </c>
      <c r="AY83" t="s">
        <v>8526</v>
      </c>
      <c r="AZ83">
        <v>0</v>
      </c>
      <c r="BA83" t="s">
        <v>8491</v>
      </c>
      <c r="BB83">
        <v>0</v>
      </c>
      <c r="BC83" t="s">
        <v>8462</v>
      </c>
      <c r="BD83">
        <v>104.444</v>
      </c>
      <c r="BE83" t="s">
        <v>8464</v>
      </c>
      <c r="BF83" t="s">
        <v>8455</v>
      </c>
      <c r="BG83" t="s">
        <v>8455</v>
      </c>
      <c r="BH83">
        <v>8.25</v>
      </c>
    </row>
    <row r="84" spans="1:63" x14ac:dyDescent="0.25">
      <c r="A84">
        <v>232</v>
      </c>
      <c r="B84">
        <v>247</v>
      </c>
      <c r="C84" t="s">
        <v>8445</v>
      </c>
      <c r="F84">
        <v>1009380</v>
      </c>
      <c r="G84" t="s">
        <v>1196</v>
      </c>
      <c r="H84" t="s">
        <v>7702</v>
      </c>
      <c r="I84" t="s">
        <v>8502</v>
      </c>
      <c r="J84">
        <v>0</v>
      </c>
      <c r="K84">
        <v>6</v>
      </c>
      <c r="L84">
        <v>0</v>
      </c>
      <c r="M84">
        <v>323500</v>
      </c>
      <c r="N84">
        <v>318</v>
      </c>
      <c r="O84">
        <v>0</v>
      </c>
      <c r="P84">
        <v>5</v>
      </c>
      <c r="Q84">
        <v>0</v>
      </c>
      <c r="R84">
        <v>-53400</v>
      </c>
      <c r="S84">
        <v>232</v>
      </c>
      <c r="T84">
        <v>0</v>
      </c>
      <c r="U84">
        <v>0</v>
      </c>
      <c r="V84">
        <v>554</v>
      </c>
      <c r="W84" t="s">
        <v>8475</v>
      </c>
      <c r="X84">
        <v>0</v>
      </c>
      <c r="Y84">
        <v>44</v>
      </c>
      <c r="Z84">
        <v>0</v>
      </c>
      <c r="AA84">
        <v>44</v>
      </c>
      <c r="AB84">
        <v>0</v>
      </c>
      <c r="AC84">
        <v>21</v>
      </c>
      <c r="AD84">
        <v>0</v>
      </c>
      <c r="AE84">
        <v>4</v>
      </c>
      <c r="AF84">
        <v>0</v>
      </c>
      <c r="AG84">
        <v>0</v>
      </c>
      <c r="AH84">
        <v>0</v>
      </c>
      <c r="AI84">
        <v>-4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63.6</v>
      </c>
      <c r="AQ84">
        <v>425</v>
      </c>
      <c r="AR84">
        <v>63.6</v>
      </c>
      <c r="AS84">
        <v>59.666699999999999</v>
      </c>
      <c r="AT84" t="s">
        <v>8501</v>
      </c>
      <c r="AU84">
        <v>51</v>
      </c>
      <c r="AV84">
        <v>1</v>
      </c>
      <c r="AW84" t="s">
        <v>8469</v>
      </c>
      <c r="AX84">
        <v>0</v>
      </c>
      <c r="AY84" t="s">
        <v>8470</v>
      </c>
      <c r="AZ84">
        <v>1</v>
      </c>
      <c r="BA84" t="s">
        <v>8530</v>
      </c>
      <c r="BB84">
        <v>0</v>
      </c>
      <c r="BC84" t="s">
        <v>8484</v>
      </c>
      <c r="BD84">
        <v>48.333300000000001</v>
      </c>
      <c r="BE84" t="s">
        <v>8463</v>
      </c>
      <c r="BF84" t="s">
        <v>8455</v>
      </c>
      <c r="BG84" t="s">
        <v>8463</v>
      </c>
      <c r="BH84">
        <v>9.6590900000000008</v>
      </c>
      <c r="BJ84" s="1" t="s">
        <v>8631</v>
      </c>
      <c r="BK84" s="1" t="s">
        <v>8632</v>
      </c>
    </row>
    <row r="85" spans="1:63" x14ac:dyDescent="0.25">
      <c r="A85">
        <v>233</v>
      </c>
      <c r="B85">
        <v>721</v>
      </c>
      <c r="C85" t="s">
        <v>8445</v>
      </c>
      <c r="F85">
        <v>990740</v>
      </c>
      <c r="G85" t="s">
        <v>4099</v>
      </c>
      <c r="H85" t="s">
        <v>7452</v>
      </c>
      <c r="I85" t="s">
        <v>8548</v>
      </c>
      <c r="J85">
        <v>0</v>
      </c>
      <c r="K85">
        <v>6</v>
      </c>
      <c r="L85">
        <v>0</v>
      </c>
      <c r="M85">
        <v>377000</v>
      </c>
      <c r="N85">
        <v>365</v>
      </c>
      <c r="O85">
        <v>0</v>
      </c>
      <c r="P85">
        <v>5</v>
      </c>
      <c r="Q85">
        <v>0</v>
      </c>
      <c r="R85">
        <v>200</v>
      </c>
      <c r="S85">
        <v>147</v>
      </c>
      <c r="T85">
        <v>0</v>
      </c>
      <c r="U85">
        <v>0</v>
      </c>
      <c r="V85">
        <v>646</v>
      </c>
      <c r="W85" t="s">
        <v>8481</v>
      </c>
      <c r="X85">
        <v>0</v>
      </c>
      <c r="Y85">
        <v>42</v>
      </c>
      <c r="Z85">
        <v>0</v>
      </c>
      <c r="AA85">
        <v>26</v>
      </c>
      <c r="AB85">
        <v>0</v>
      </c>
      <c r="AC85">
        <v>25</v>
      </c>
      <c r="AD85">
        <v>0</v>
      </c>
      <c r="AE85">
        <v>12</v>
      </c>
      <c r="AF85">
        <v>0</v>
      </c>
      <c r="AG85">
        <v>4</v>
      </c>
      <c r="AH85">
        <v>0</v>
      </c>
      <c r="AI85">
        <v>-5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</v>
      </c>
      <c r="AP85">
        <v>73</v>
      </c>
      <c r="AQ85">
        <v>655</v>
      </c>
      <c r="AR85">
        <v>73</v>
      </c>
      <c r="AS85">
        <v>80.333299999999994</v>
      </c>
      <c r="AT85" t="s">
        <v>8549</v>
      </c>
      <c r="AU85">
        <v>81.555599999999998</v>
      </c>
      <c r="AV85">
        <v>0</v>
      </c>
      <c r="AW85" t="s">
        <v>8450</v>
      </c>
      <c r="AX85">
        <v>1</v>
      </c>
      <c r="AY85" t="s">
        <v>8497</v>
      </c>
      <c r="AZ85">
        <v>0</v>
      </c>
      <c r="BA85" t="s">
        <v>8449</v>
      </c>
      <c r="BB85">
        <v>1</v>
      </c>
      <c r="BC85" t="s">
        <v>8471</v>
      </c>
      <c r="BD85">
        <v>71.6571</v>
      </c>
      <c r="BE85" t="s">
        <v>8546</v>
      </c>
      <c r="BF85" t="s">
        <v>8534</v>
      </c>
      <c r="BG85" t="s">
        <v>8495</v>
      </c>
      <c r="BH85">
        <v>14.8864</v>
      </c>
      <c r="BJ85">
        <v>0.56501547987616096</v>
      </c>
      <c r="BK85" s="1" t="s">
        <v>8633</v>
      </c>
    </row>
    <row r="86" spans="1:63" x14ac:dyDescent="0.25">
      <c r="A86">
        <v>234</v>
      </c>
      <c r="B86">
        <v>106</v>
      </c>
      <c r="C86" t="s">
        <v>8445</v>
      </c>
      <c r="F86">
        <v>295265</v>
      </c>
      <c r="G86" t="s">
        <v>740</v>
      </c>
      <c r="H86" t="s">
        <v>7263</v>
      </c>
      <c r="I86" t="s">
        <v>8465</v>
      </c>
      <c r="J86">
        <v>0</v>
      </c>
      <c r="K86">
        <v>6</v>
      </c>
      <c r="L86">
        <v>0</v>
      </c>
      <c r="M86">
        <v>357000</v>
      </c>
      <c r="N86">
        <v>341</v>
      </c>
      <c r="O86">
        <v>0</v>
      </c>
      <c r="P86">
        <v>5</v>
      </c>
      <c r="Q86">
        <v>0</v>
      </c>
      <c r="R86">
        <v>-19500</v>
      </c>
      <c r="S86">
        <v>191</v>
      </c>
      <c r="T86">
        <v>0</v>
      </c>
      <c r="U86">
        <v>0</v>
      </c>
      <c r="V86">
        <v>516</v>
      </c>
      <c r="W86" t="s">
        <v>8475</v>
      </c>
      <c r="X86">
        <v>0</v>
      </c>
      <c r="Y86">
        <v>58</v>
      </c>
      <c r="Z86">
        <v>0</v>
      </c>
      <c r="AA86">
        <v>18</v>
      </c>
      <c r="AB86">
        <v>0</v>
      </c>
      <c r="AC86">
        <v>36</v>
      </c>
      <c r="AD86">
        <v>0</v>
      </c>
      <c r="AE86">
        <v>3</v>
      </c>
      <c r="AF86">
        <v>0</v>
      </c>
      <c r="AG86">
        <v>5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68.2</v>
      </c>
      <c r="AQ86">
        <v>331</v>
      </c>
      <c r="AR86">
        <v>68.2</v>
      </c>
      <c r="AS86">
        <v>77.666700000000006</v>
      </c>
      <c r="AT86" t="s">
        <v>8467</v>
      </c>
      <c r="AU86">
        <v>72.5</v>
      </c>
      <c r="AV86">
        <v>1</v>
      </c>
      <c r="AW86" t="s">
        <v>8468</v>
      </c>
      <c r="AX86">
        <v>0</v>
      </c>
      <c r="AY86" t="s">
        <v>8469</v>
      </c>
      <c r="AZ86">
        <v>1</v>
      </c>
      <c r="BA86" t="s">
        <v>8470</v>
      </c>
      <c r="BB86">
        <v>1</v>
      </c>
      <c r="BC86" t="s">
        <v>8471</v>
      </c>
      <c r="BD86">
        <v>75.090900000000005</v>
      </c>
      <c r="BE86" t="s">
        <v>8464</v>
      </c>
      <c r="BF86" t="s">
        <v>8472</v>
      </c>
      <c r="BG86" t="s">
        <v>8464</v>
      </c>
      <c r="BH86">
        <v>7.5227300000000001</v>
      </c>
      <c r="BJ86" s="1" t="s">
        <v>8634</v>
      </c>
      <c r="BK86" s="1" t="s">
        <v>8635</v>
      </c>
    </row>
    <row r="87" spans="1:63" x14ac:dyDescent="0.25">
      <c r="A87">
        <v>235</v>
      </c>
      <c r="B87">
        <v>733</v>
      </c>
      <c r="C87" t="s">
        <v>8445</v>
      </c>
      <c r="F87">
        <v>1011803</v>
      </c>
      <c r="G87" t="s">
        <v>6030</v>
      </c>
      <c r="H87" t="s">
        <v>6031</v>
      </c>
      <c r="I87" t="s">
        <v>8548</v>
      </c>
      <c r="J87">
        <v>0</v>
      </c>
      <c r="K87">
        <v>6</v>
      </c>
      <c r="L87">
        <v>0</v>
      </c>
      <c r="M87">
        <v>376200</v>
      </c>
      <c r="N87">
        <v>0</v>
      </c>
      <c r="O87">
        <v>0</v>
      </c>
      <c r="P87">
        <v>0</v>
      </c>
      <c r="Q87">
        <v>0</v>
      </c>
      <c r="R87">
        <v>0</v>
      </c>
      <c r="S87">
        <v>510</v>
      </c>
      <c r="T87">
        <v>0</v>
      </c>
      <c r="U87">
        <v>0</v>
      </c>
      <c r="V87">
        <v>0</v>
      </c>
      <c r="W87" t="s">
        <v>8457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311</v>
      </c>
      <c r="AR87">
        <v>0</v>
      </c>
      <c r="AS87">
        <v>0</v>
      </c>
      <c r="AT87" t="s">
        <v>8549</v>
      </c>
      <c r="AU87">
        <v>74.333299999999994</v>
      </c>
      <c r="AV87">
        <v>0</v>
      </c>
      <c r="AW87" t="s">
        <v>8450</v>
      </c>
      <c r="AX87">
        <v>1</v>
      </c>
      <c r="AY87" t="s">
        <v>8497</v>
      </c>
      <c r="AZ87">
        <v>0</v>
      </c>
      <c r="BA87" t="s">
        <v>8449</v>
      </c>
      <c r="BB87">
        <v>1</v>
      </c>
      <c r="BC87" t="s">
        <v>8471</v>
      </c>
      <c r="BD87">
        <v>64.424199999999999</v>
      </c>
      <c r="BE87" t="s">
        <v>8546</v>
      </c>
      <c r="BF87" t="s">
        <v>8534</v>
      </c>
      <c r="BG87" t="s">
        <v>8495</v>
      </c>
      <c r="BH87">
        <v>7.0681799999999999</v>
      </c>
    </row>
    <row r="88" spans="1:63" x14ac:dyDescent="0.25">
      <c r="A88">
        <v>237</v>
      </c>
      <c r="B88">
        <v>265</v>
      </c>
      <c r="C88" t="s">
        <v>8445</v>
      </c>
      <c r="F88">
        <v>1013257</v>
      </c>
      <c r="G88" t="s">
        <v>958</v>
      </c>
      <c r="H88" t="s">
        <v>7190</v>
      </c>
      <c r="I88" t="s">
        <v>8489</v>
      </c>
      <c r="J88">
        <v>0</v>
      </c>
      <c r="K88">
        <v>6</v>
      </c>
      <c r="L88">
        <v>0</v>
      </c>
      <c r="M88">
        <v>320100</v>
      </c>
      <c r="N88">
        <v>198</v>
      </c>
      <c r="O88">
        <v>0</v>
      </c>
      <c r="P88">
        <v>4</v>
      </c>
      <c r="Q88">
        <v>0</v>
      </c>
      <c r="R88">
        <v>-55500</v>
      </c>
      <c r="S88">
        <v>354</v>
      </c>
      <c r="T88">
        <v>0</v>
      </c>
      <c r="U88">
        <v>0</v>
      </c>
      <c r="V88">
        <v>409</v>
      </c>
      <c r="W88" t="s">
        <v>8505</v>
      </c>
      <c r="X88">
        <v>0</v>
      </c>
      <c r="Y88">
        <v>37</v>
      </c>
      <c r="Z88">
        <v>0</v>
      </c>
      <c r="AA88">
        <v>19</v>
      </c>
      <c r="AB88">
        <v>0</v>
      </c>
      <c r="AC88">
        <v>15</v>
      </c>
      <c r="AD88">
        <v>0</v>
      </c>
      <c r="AE88">
        <v>6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2</v>
      </c>
      <c r="AP88">
        <v>49.5</v>
      </c>
      <c r="AQ88">
        <v>283</v>
      </c>
      <c r="AR88">
        <v>49.5</v>
      </c>
      <c r="AS88">
        <v>53</v>
      </c>
      <c r="AT88" t="s">
        <v>8490</v>
      </c>
      <c r="AU88">
        <v>66</v>
      </c>
      <c r="AV88">
        <v>1</v>
      </c>
      <c r="AW88" t="s">
        <v>8491</v>
      </c>
      <c r="AX88">
        <v>0</v>
      </c>
      <c r="AY88" t="s">
        <v>8492</v>
      </c>
      <c r="AZ88">
        <v>1</v>
      </c>
      <c r="BA88" t="s">
        <v>8493</v>
      </c>
      <c r="BB88">
        <v>0</v>
      </c>
      <c r="BC88" t="s">
        <v>8471</v>
      </c>
      <c r="BD88">
        <v>75</v>
      </c>
      <c r="BE88" t="s">
        <v>8453</v>
      </c>
      <c r="BF88" t="s">
        <v>8494</v>
      </c>
      <c r="BG88" t="s">
        <v>8495</v>
      </c>
      <c r="BH88">
        <v>6.4318200000000001</v>
      </c>
      <c r="BJ88" s="1" t="s">
        <v>8636</v>
      </c>
      <c r="BK88" s="1" t="s">
        <v>8637</v>
      </c>
    </row>
    <row r="89" spans="1:63" x14ac:dyDescent="0.25">
      <c r="A89">
        <v>238</v>
      </c>
      <c r="B89">
        <v>326</v>
      </c>
      <c r="C89" t="s">
        <v>8445</v>
      </c>
      <c r="F89">
        <v>296291</v>
      </c>
      <c r="G89" t="s">
        <v>1235</v>
      </c>
      <c r="H89" t="s">
        <v>2618</v>
      </c>
      <c r="I89" t="s">
        <v>8482</v>
      </c>
      <c r="J89">
        <v>0</v>
      </c>
      <c r="K89">
        <v>6</v>
      </c>
      <c r="L89">
        <v>0</v>
      </c>
      <c r="M89">
        <v>374200</v>
      </c>
      <c r="N89">
        <v>0</v>
      </c>
      <c r="O89">
        <v>0</v>
      </c>
      <c r="P89">
        <v>0</v>
      </c>
      <c r="Q89">
        <v>0</v>
      </c>
      <c r="R89">
        <v>0</v>
      </c>
      <c r="S89">
        <v>510</v>
      </c>
      <c r="T89">
        <v>0</v>
      </c>
      <c r="U89">
        <v>0</v>
      </c>
      <c r="V89">
        <v>0</v>
      </c>
      <c r="W89" t="s">
        <v>8447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117</v>
      </c>
      <c r="AR89">
        <v>0</v>
      </c>
      <c r="AS89">
        <v>0</v>
      </c>
      <c r="AT89" t="s">
        <v>8480</v>
      </c>
      <c r="AU89">
        <v>56.916699999999999</v>
      </c>
      <c r="AV89">
        <v>0</v>
      </c>
      <c r="AW89" t="s">
        <v>8514</v>
      </c>
      <c r="AX89">
        <v>1</v>
      </c>
      <c r="AY89" t="s">
        <v>8530</v>
      </c>
      <c r="AZ89">
        <v>1</v>
      </c>
      <c r="BA89" t="s">
        <v>8450</v>
      </c>
      <c r="BB89">
        <v>0</v>
      </c>
      <c r="BC89" t="s">
        <v>8484</v>
      </c>
      <c r="BD89">
        <v>58.268300000000004</v>
      </c>
      <c r="BE89" t="s">
        <v>8464</v>
      </c>
      <c r="BF89" t="s">
        <v>8464</v>
      </c>
      <c r="BG89" t="s">
        <v>8531</v>
      </c>
      <c r="BH89">
        <v>2.65909</v>
      </c>
    </row>
    <row r="90" spans="1:63" x14ac:dyDescent="0.25">
      <c r="A90">
        <v>239</v>
      </c>
      <c r="B90">
        <v>751</v>
      </c>
      <c r="C90" t="s">
        <v>8445</v>
      </c>
      <c r="F90">
        <v>1023025</v>
      </c>
      <c r="G90" t="s">
        <v>7385</v>
      </c>
      <c r="H90" t="s">
        <v>7386</v>
      </c>
      <c r="I90" t="s">
        <v>8456</v>
      </c>
      <c r="J90">
        <v>0</v>
      </c>
      <c r="K90">
        <v>6</v>
      </c>
      <c r="L90">
        <v>0</v>
      </c>
      <c r="M90">
        <v>368200</v>
      </c>
      <c r="N90">
        <v>351</v>
      </c>
      <c r="O90">
        <v>0</v>
      </c>
      <c r="P90">
        <v>5</v>
      </c>
      <c r="Q90">
        <v>0</v>
      </c>
      <c r="R90">
        <v>-5700</v>
      </c>
      <c r="S90">
        <v>177</v>
      </c>
      <c r="T90">
        <v>0</v>
      </c>
      <c r="U90">
        <v>0</v>
      </c>
      <c r="V90">
        <v>574</v>
      </c>
      <c r="W90" t="s">
        <v>8475</v>
      </c>
      <c r="X90">
        <v>0</v>
      </c>
      <c r="Y90">
        <v>46</v>
      </c>
      <c r="Z90">
        <v>0</v>
      </c>
      <c r="AA90">
        <v>20</v>
      </c>
      <c r="AB90">
        <v>0</v>
      </c>
      <c r="AC90">
        <v>19</v>
      </c>
      <c r="AD90">
        <v>0</v>
      </c>
      <c r="AE90">
        <v>15</v>
      </c>
      <c r="AF90">
        <v>0</v>
      </c>
      <c r="AG90">
        <v>4</v>
      </c>
      <c r="AH90">
        <v>0</v>
      </c>
      <c r="AI90">
        <v>-3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70.2</v>
      </c>
      <c r="AQ90">
        <v>794</v>
      </c>
      <c r="AR90">
        <v>70.2</v>
      </c>
      <c r="AS90">
        <v>70.333299999999994</v>
      </c>
      <c r="AT90" t="s">
        <v>8458</v>
      </c>
      <c r="AU90">
        <v>68.666700000000006</v>
      </c>
      <c r="AV90">
        <v>0</v>
      </c>
      <c r="AW90" t="s">
        <v>8459</v>
      </c>
      <c r="AX90">
        <v>1</v>
      </c>
      <c r="AY90" t="s">
        <v>8460</v>
      </c>
      <c r="AZ90">
        <v>0</v>
      </c>
      <c r="BA90" t="s">
        <v>8461</v>
      </c>
      <c r="BB90">
        <v>1</v>
      </c>
      <c r="BC90" t="s">
        <v>8462</v>
      </c>
      <c r="BD90">
        <v>72.434799999999996</v>
      </c>
      <c r="BE90" t="s">
        <v>8455</v>
      </c>
      <c r="BF90" t="s">
        <v>8463</v>
      </c>
      <c r="BG90" t="s">
        <v>8464</v>
      </c>
      <c r="BH90">
        <v>18.045500000000001</v>
      </c>
      <c r="BJ90" s="1" t="s">
        <v>8638</v>
      </c>
      <c r="BK90" s="1" t="s">
        <v>8639</v>
      </c>
    </row>
    <row r="91" spans="1:63" x14ac:dyDescent="0.25">
      <c r="A91">
        <v>240</v>
      </c>
      <c r="B91">
        <v>231</v>
      </c>
      <c r="C91" t="s">
        <v>8445</v>
      </c>
      <c r="F91">
        <v>291570</v>
      </c>
      <c r="G91" t="s">
        <v>5986</v>
      </c>
      <c r="H91" t="s">
        <v>5987</v>
      </c>
      <c r="I91" t="s">
        <v>8502</v>
      </c>
      <c r="J91">
        <v>0</v>
      </c>
      <c r="K91">
        <v>6</v>
      </c>
      <c r="L91">
        <v>0</v>
      </c>
      <c r="M91">
        <v>372800</v>
      </c>
      <c r="N91">
        <v>0</v>
      </c>
      <c r="O91">
        <v>0</v>
      </c>
      <c r="P91">
        <v>0</v>
      </c>
      <c r="Q91">
        <v>0</v>
      </c>
      <c r="R91">
        <v>0</v>
      </c>
      <c r="S91">
        <v>510</v>
      </c>
      <c r="T91">
        <v>0</v>
      </c>
      <c r="U91">
        <v>0</v>
      </c>
      <c r="V91">
        <v>0</v>
      </c>
      <c r="W91" t="s">
        <v>8466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205</v>
      </c>
      <c r="AR91">
        <v>0</v>
      </c>
      <c r="AS91">
        <v>0</v>
      </c>
      <c r="AT91" t="s">
        <v>8501</v>
      </c>
      <c r="AU91">
        <v>99.928600000000003</v>
      </c>
      <c r="AV91">
        <v>1</v>
      </c>
      <c r="AW91" t="s">
        <v>8469</v>
      </c>
      <c r="AX91">
        <v>0</v>
      </c>
      <c r="AY91" t="s">
        <v>8470</v>
      </c>
      <c r="AZ91">
        <v>1</v>
      </c>
      <c r="BA91" t="s">
        <v>8530</v>
      </c>
      <c r="BB91">
        <v>0</v>
      </c>
      <c r="BC91" t="s">
        <v>8484</v>
      </c>
      <c r="BD91">
        <v>98.444400000000002</v>
      </c>
      <c r="BE91" t="s">
        <v>8463</v>
      </c>
      <c r="BF91" t="s">
        <v>8455</v>
      </c>
      <c r="BG91" t="s">
        <v>8463</v>
      </c>
      <c r="BH91">
        <v>4.65909</v>
      </c>
    </row>
    <row r="92" spans="1:63" x14ac:dyDescent="0.25">
      <c r="A92">
        <v>241</v>
      </c>
      <c r="B92">
        <v>519</v>
      </c>
      <c r="C92" t="s">
        <v>8445</v>
      </c>
      <c r="F92">
        <v>998484</v>
      </c>
      <c r="G92" t="s">
        <v>271</v>
      </c>
      <c r="H92" t="s">
        <v>7109</v>
      </c>
      <c r="I92" t="s">
        <v>8467</v>
      </c>
      <c r="J92">
        <v>0</v>
      </c>
      <c r="K92">
        <v>6</v>
      </c>
      <c r="L92">
        <v>0</v>
      </c>
      <c r="M92">
        <v>340300</v>
      </c>
      <c r="N92">
        <v>346</v>
      </c>
      <c r="O92">
        <v>0</v>
      </c>
      <c r="P92">
        <v>5</v>
      </c>
      <c r="Q92">
        <v>0</v>
      </c>
      <c r="R92">
        <v>-31500</v>
      </c>
      <c r="S92">
        <v>184</v>
      </c>
      <c r="T92">
        <v>0</v>
      </c>
      <c r="U92">
        <v>0</v>
      </c>
      <c r="V92">
        <v>556</v>
      </c>
      <c r="W92" t="s">
        <v>8475</v>
      </c>
      <c r="X92">
        <v>0</v>
      </c>
      <c r="Y92">
        <v>45</v>
      </c>
      <c r="Z92">
        <v>0</v>
      </c>
      <c r="AA92">
        <v>21</v>
      </c>
      <c r="AB92">
        <v>0</v>
      </c>
      <c r="AC92">
        <v>25</v>
      </c>
      <c r="AD92">
        <v>0</v>
      </c>
      <c r="AE92">
        <v>12</v>
      </c>
      <c r="AF92">
        <v>0</v>
      </c>
      <c r="AG92">
        <v>4</v>
      </c>
      <c r="AH92">
        <v>0</v>
      </c>
      <c r="AI92">
        <v>-5</v>
      </c>
      <c r="AJ92">
        <v>0</v>
      </c>
      <c r="AK92">
        <v>0</v>
      </c>
      <c r="AL92">
        <v>0</v>
      </c>
      <c r="AM92">
        <v>8</v>
      </c>
      <c r="AN92">
        <v>0</v>
      </c>
      <c r="AO92">
        <v>5</v>
      </c>
      <c r="AP92">
        <v>69.2</v>
      </c>
      <c r="AQ92">
        <v>1132</v>
      </c>
      <c r="AR92">
        <v>69.2</v>
      </c>
      <c r="AS92">
        <v>57.666699999999999</v>
      </c>
      <c r="AT92" t="s">
        <v>8465</v>
      </c>
      <c r="AU92">
        <v>69.142899999999997</v>
      </c>
      <c r="AV92">
        <v>0</v>
      </c>
      <c r="AW92" t="s">
        <v>8497</v>
      </c>
      <c r="AX92">
        <v>1</v>
      </c>
      <c r="AY92" t="s">
        <v>8451</v>
      </c>
      <c r="AZ92">
        <v>1</v>
      </c>
      <c r="BA92" t="s">
        <v>8492</v>
      </c>
      <c r="BB92">
        <v>0</v>
      </c>
      <c r="BC92" t="s">
        <v>8471</v>
      </c>
      <c r="BD92">
        <v>66.438599999999994</v>
      </c>
      <c r="BE92" t="s">
        <v>8472</v>
      </c>
      <c r="BF92" t="s">
        <v>8455</v>
      </c>
      <c r="BG92" t="s">
        <v>8498</v>
      </c>
      <c r="BH92">
        <v>25.7273</v>
      </c>
      <c r="BJ92" s="1" t="s">
        <v>8640</v>
      </c>
      <c r="BK92" s="1" t="s">
        <v>8641</v>
      </c>
    </row>
    <row r="93" spans="1:63" x14ac:dyDescent="0.25">
      <c r="A93">
        <v>242</v>
      </c>
      <c r="B93">
        <v>534</v>
      </c>
      <c r="C93" t="s">
        <v>8445</v>
      </c>
      <c r="F93">
        <v>1019938</v>
      </c>
      <c r="G93" t="s">
        <v>6149</v>
      </c>
      <c r="H93" t="s">
        <v>6385</v>
      </c>
      <c r="I93" t="s">
        <v>8448</v>
      </c>
      <c r="J93">
        <v>0</v>
      </c>
      <c r="K93">
        <v>6</v>
      </c>
      <c r="L93">
        <v>0</v>
      </c>
      <c r="M93">
        <v>330100</v>
      </c>
      <c r="N93">
        <v>197</v>
      </c>
      <c r="O93">
        <v>0</v>
      </c>
      <c r="P93">
        <v>4</v>
      </c>
      <c r="Q93">
        <v>0</v>
      </c>
      <c r="R93">
        <v>-41200</v>
      </c>
      <c r="S93">
        <v>355</v>
      </c>
      <c r="T93">
        <v>0</v>
      </c>
      <c r="U93">
        <v>0</v>
      </c>
      <c r="V93">
        <v>358</v>
      </c>
      <c r="W93" t="s">
        <v>8505</v>
      </c>
      <c r="X93">
        <v>0</v>
      </c>
      <c r="Y93">
        <v>37</v>
      </c>
      <c r="Z93">
        <v>0</v>
      </c>
      <c r="AA93">
        <v>13</v>
      </c>
      <c r="AB93">
        <v>0</v>
      </c>
      <c r="AC93">
        <v>16</v>
      </c>
      <c r="AD93">
        <v>0</v>
      </c>
      <c r="AE93">
        <v>2</v>
      </c>
      <c r="AF93">
        <v>0</v>
      </c>
      <c r="AG93">
        <v>3</v>
      </c>
      <c r="AH93">
        <v>0</v>
      </c>
      <c r="AI93">
        <v>-4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49.25</v>
      </c>
      <c r="AQ93">
        <v>309</v>
      </c>
      <c r="AR93">
        <v>49.25</v>
      </c>
      <c r="AS93">
        <v>53.666699999999999</v>
      </c>
      <c r="AT93" t="s">
        <v>8446</v>
      </c>
      <c r="AU93">
        <v>41</v>
      </c>
      <c r="AV93">
        <v>1</v>
      </c>
      <c r="AW93" t="s">
        <v>8526</v>
      </c>
      <c r="AX93">
        <v>0</v>
      </c>
      <c r="AY93" t="s">
        <v>8493</v>
      </c>
      <c r="AZ93">
        <v>1</v>
      </c>
      <c r="BA93" t="s">
        <v>8469</v>
      </c>
      <c r="BB93">
        <v>0</v>
      </c>
      <c r="BC93" t="s">
        <v>8452</v>
      </c>
      <c r="BD93">
        <v>0</v>
      </c>
      <c r="BE93" t="s">
        <v>8472</v>
      </c>
      <c r="BF93" t="s">
        <v>8534</v>
      </c>
      <c r="BG93" t="s">
        <v>8472</v>
      </c>
      <c r="BH93">
        <v>7.0227300000000001</v>
      </c>
      <c r="BJ93" s="1" t="s">
        <v>8642</v>
      </c>
      <c r="BK93">
        <v>6702.5380710659902</v>
      </c>
    </row>
    <row r="94" spans="1:63" x14ac:dyDescent="0.25">
      <c r="A94">
        <v>245</v>
      </c>
      <c r="B94">
        <v>650</v>
      </c>
      <c r="C94" t="s">
        <v>8445</v>
      </c>
      <c r="F94">
        <v>291776</v>
      </c>
      <c r="G94" t="s">
        <v>1422</v>
      </c>
      <c r="H94" t="s">
        <v>4385</v>
      </c>
      <c r="I94" t="s">
        <v>8446</v>
      </c>
      <c r="J94">
        <v>0</v>
      </c>
      <c r="K94">
        <v>6</v>
      </c>
      <c r="L94">
        <v>0</v>
      </c>
      <c r="M94">
        <v>370100</v>
      </c>
      <c r="N94">
        <v>36</v>
      </c>
      <c r="O94">
        <v>0</v>
      </c>
      <c r="P94">
        <v>1</v>
      </c>
      <c r="Q94">
        <v>0</v>
      </c>
      <c r="R94">
        <v>0</v>
      </c>
      <c r="S94">
        <v>491</v>
      </c>
      <c r="T94">
        <v>0</v>
      </c>
      <c r="U94">
        <v>0</v>
      </c>
      <c r="V94">
        <v>69</v>
      </c>
      <c r="W94" t="s">
        <v>8466</v>
      </c>
      <c r="X94">
        <v>0</v>
      </c>
      <c r="Y94">
        <v>4</v>
      </c>
      <c r="Z94">
        <v>0</v>
      </c>
      <c r="AA94">
        <v>4</v>
      </c>
      <c r="AB94">
        <v>0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-1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36</v>
      </c>
      <c r="AQ94">
        <v>315</v>
      </c>
      <c r="AR94">
        <v>36</v>
      </c>
      <c r="AS94">
        <v>36</v>
      </c>
      <c r="AT94" t="s">
        <v>8448</v>
      </c>
      <c r="AU94">
        <v>92.7333</v>
      </c>
      <c r="AV94">
        <v>0</v>
      </c>
      <c r="AW94" t="s">
        <v>8449</v>
      </c>
      <c r="AX94">
        <v>1</v>
      </c>
      <c r="AY94" t="s">
        <v>8450</v>
      </c>
      <c r="AZ94">
        <v>0</v>
      </c>
      <c r="BA94" t="s">
        <v>8451</v>
      </c>
      <c r="BB94">
        <v>1</v>
      </c>
      <c r="BC94" t="s">
        <v>8452</v>
      </c>
      <c r="BD94">
        <v>78.857100000000003</v>
      </c>
      <c r="BE94" t="s">
        <v>8453</v>
      </c>
      <c r="BF94" t="s">
        <v>8454</v>
      </c>
      <c r="BG94" t="s">
        <v>8455</v>
      </c>
      <c r="BH94">
        <v>7.15909</v>
      </c>
      <c r="BJ94" s="1" t="s">
        <v>8643</v>
      </c>
      <c r="BK94" s="1" t="s">
        <v>8644</v>
      </c>
    </row>
    <row r="95" spans="1:63" x14ac:dyDescent="0.25">
      <c r="A95">
        <v>246</v>
      </c>
      <c r="B95">
        <v>776</v>
      </c>
      <c r="C95" t="s">
        <v>8445</v>
      </c>
      <c r="F95">
        <v>1006114</v>
      </c>
      <c r="G95" t="s">
        <v>7408</v>
      </c>
      <c r="H95" t="s">
        <v>3370</v>
      </c>
      <c r="I95" t="s">
        <v>8456</v>
      </c>
      <c r="J95">
        <v>0</v>
      </c>
      <c r="K95">
        <v>6</v>
      </c>
      <c r="L95">
        <v>0</v>
      </c>
      <c r="M95">
        <v>327800</v>
      </c>
      <c r="N95">
        <v>190</v>
      </c>
      <c r="O95">
        <v>0</v>
      </c>
      <c r="P95">
        <v>4</v>
      </c>
      <c r="Q95">
        <v>0</v>
      </c>
      <c r="R95">
        <v>-41900</v>
      </c>
      <c r="S95">
        <v>358</v>
      </c>
      <c r="T95">
        <v>0</v>
      </c>
      <c r="U95">
        <v>0</v>
      </c>
      <c r="V95">
        <v>359</v>
      </c>
      <c r="W95" t="s">
        <v>8505</v>
      </c>
      <c r="X95">
        <v>0</v>
      </c>
      <c r="Y95">
        <v>16</v>
      </c>
      <c r="Z95">
        <v>0</v>
      </c>
      <c r="AA95">
        <v>19</v>
      </c>
      <c r="AB95">
        <v>0</v>
      </c>
      <c r="AC95">
        <v>4</v>
      </c>
      <c r="AD95">
        <v>0</v>
      </c>
      <c r="AE95">
        <v>10</v>
      </c>
      <c r="AF95">
        <v>0</v>
      </c>
      <c r="AG95">
        <v>7</v>
      </c>
      <c r="AH95">
        <v>0</v>
      </c>
      <c r="AI95">
        <v>-4</v>
      </c>
      <c r="AJ95">
        <v>0</v>
      </c>
      <c r="AK95">
        <v>90</v>
      </c>
      <c r="AL95">
        <v>0</v>
      </c>
      <c r="AM95">
        <v>0</v>
      </c>
      <c r="AN95">
        <v>0</v>
      </c>
      <c r="AO95">
        <v>0</v>
      </c>
      <c r="AP95">
        <v>47.5</v>
      </c>
      <c r="AQ95">
        <v>772</v>
      </c>
      <c r="AR95">
        <v>47.5</v>
      </c>
      <c r="AS95">
        <v>52.666699999999999</v>
      </c>
      <c r="AT95" t="s">
        <v>8458</v>
      </c>
      <c r="AU95">
        <v>58.571399999999997</v>
      </c>
      <c r="AV95">
        <v>0</v>
      </c>
      <c r="AW95" t="s">
        <v>8459</v>
      </c>
      <c r="AX95">
        <v>1</v>
      </c>
      <c r="AY95" t="s">
        <v>8460</v>
      </c>
      <c r="AZ95">
        <v>0</v>
      </c>
      <c r="BA95" t="s">
        <v>8461</v>
      </c>
      <c r="BB95">
        <v>1</v>
      </c>
      <c r="BC95" t="s">
        <v>8462</v>
      </c>
      <c r="BD95">
        <v>67.666700000000006</v>
      </c>
      <c r="BE95" t="s">
        <v>8455</v>
      </c>
      <c r="BF95" t="s">
        <v>8463</v>
      </c>
      <c r="BG95" t="s">
        <v>8464</v>
      </c>
      <c r="BH95">
        <v>17.545500000000001</v>
      </c>
      <c r="BJ95" s="1" t="s">
        <v>8645</v>
      </c>
      <c r="BK95" s="1" t="s">
        <v>8646</v>
      </c>
    </row>
    <row r="96" spans="1:63" x14ac:dyDescent="0.25">
      <c r="A96">
        <v>247</v>
      </c>
      <c r="B96">
        <v>680</v>
      </c>
      <c r="C96" t="s">
        <v>8445</v>
      </c>
      <c r="F96">
        <v>1003203</v>
      </c>
      <c r="G96" t="s">
        <v>2868</v>
      </c>
      <c r="H96" t="s">
        <v>4984</v>
      </c>
      <c r="I96" t="s">
        <v>8446</v>
      </c>
      <c r="J96">
        <v>0</v>
      </c>
      <c r="K96">
        <v>6</v>
      </c>
      <c r="L96">
        <v>0</v>
      </c>
      <c r="M96">
        <v>352700</v>
      </c>
      <c r="N96">
        <v>184</v>
      </c>
      <c r="O96">
        <v>0</v>
      </c>
      <c r="P96">
        <v>3</v>
      </c>
      <c r="Q96">
        <v>0</v>
      </c>
      <c r="R96">
        <v>-16000</v>
      </c>
      <c r="S96">
        <v>367</v>
      </c>
      <c r="T96">
        <v>0</v>
      </c>
      <c r="U96">
        <v>0</v>
      </c>
      <c r="V96">
        <v>280</v>
      </c>
      <c r="W96" t="s">
        <v>8505</v>
      </c>
      <c r="X96">
        <v>0</v>
      </c>
      <c r="Y96">
        <v>17</v>
      </c>
      <c r="Z96">
        <v>0</v>
      </c>
      <c r="AA96">
        <v>10</v>
      </c>
      <c r="AB96">
        <v>0</v>
      </c>
      <c r="AC96">
        <v>10</v>
      </c>
      <c r="AD96">
        <v>0</v>
      </c>
      <c r="AE96">
        <v>7</v>
      </c>
      <c r="AF96">
        <v>0</v>
      </c>
      <c r="AG96">
        <v>1</v>
      </c>
      <c r="AH96">
        <v>0</v>
      </c>
      <c r="AI96">
        <v>-1</v>
      </c>
      <c r="AJ96">
        <v>0</v>
      </c>
      <c r="AK96">
        <v>5</v>
      </c>
      <c r="AL96">
        <v>0</v>
      </c>
      <c r="AM96">
        <v>6</v>
      </c>
      <c r="AN96">
        <v>0</v>
      </c>
      <c r="AO96">
        <v>1</v>
      </c>
      <c r="AP96">
        <v>61.333300000000001</v>
      </c>
      <c r="AQ96">
        <v>289</v>
      </c>
      <c r="AR96">
        <v>61.333300000000001</v>
      </c>
      <c r="AS96">
        <v>61.333300000000001</v>
      </c>
      <c r="AT96" t="s">
        <v>8448</v>
      </c>
      <c r="AU96">
        <v>46</v>
      </c>
      <c r="AV96">
        <v>0</v>
      </c>
      <c r="AW96" t="s">
        <v>8449</v>
      </c>
      <c r="AX96">
        <v>1</v>
      </c>
      <c r="AY96" t="s">
        <v>8450</v>
      </c>
      <c r="AZ96">
        <v>0</v>
      </c>
      <c r="BA96" t="s">
        <v>8451</v>
      </c>
      <c r="BB96">
        <v>1</v>
      </c>
      <c r="BC96" t="s">
        <v>8452</v>
      </c>
      <c r="BD96">
        <v>67.900000000000006</v>
      </c>
      <c r="BE96" t="s">
        <v>8453</v>
      </c>
      <c r="BF96" t="s">
        <v>8454</v>
      </c>
      <c r="BG96" t="s">
        <v>8455</v>
      </c>
      <c r="BH96">
        <v>6.5681799999999999</v>
      </c>
      <c r="BJ96" s="1" t="s">
        <v>8647</v>
      </c>
      <c r="BK96" s="1" t="s">
        <v>8648</v>
      </c>
    </row>
    <row r="97" spans="1:63" x14ac:dyDescent="0.25">
      <c r="A97">
        <v>248</v>
      </c>
      <c r="B97">
        <v>709</v>
      </c>
      <c r="C97" t="s">
        <v>8445</v>
      </c>
      <c r="F97">
        <v>1006533</v>
      </c>
      <c r="G97" t="s">
        <v>3189</v>
      </c>
      <c r="H97" t="s">
        <v>5714</v>
      </c>
      <c r="I97" t="s">
        <v>8548</v>
      </c>
      <c r="J97">
        <v>0</v>
      </c>
      <c r="K97">
        <v>6</v>
      </c>
      <c r="L97">
        <v>0</v>
      </c>
      <c r="M97">
        <v>368400</v>
      </c>
      <c r="N97">
        <v>0</v>
      </c>
      <c r="O97">
        <v>0</v>
      </c>
      <c r="P97">
        <v>0</v>
      </c>
      <c r="Q97">
        <v>0</v>
      </c>
      <c r="R97">
        <v>0</v>
      </c>
      <c r="S97">
        <v>510</v>
      </c>
      <c r="T97">
        <v>0</v>
      </c>
      <c r="U97">
        <v>0</v>
      </c>
      <c r="V97">
        <v>0</v>
      </c>
      <c r="W97" t="s">
        <v>8457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203</v>
      </c>
      <c r="AR97">
        <v>0</v>
      </c>
      <c r="AS97">
        <v>0</v>
      </c>
      <c r="AT97" t="s">
        <v>8549</v>
      </c>
      <c r="AU97">
        <v>67.333299999999994</v>
      </c>
      <c r="AV97">
        <v>0</v>
      </c>
      <c r="AW97" t="s">
        <v>8450</v>
      </c>
      <c r="AX97">
        <v>1</v>
      </c>
      <c r="AY97" t="s">
        <v>8497</v>
      </c>
      <c r="AZ97">
        <v>0</v>
      </c>
      <c r="BA97" t="s">
        <v>8449</v>
      </c>
      <c r="BB97">
        <v>1</v>
      </c>
      <c r="BC97" t="s">
        <v>8471</v>
      </c>
      <c r="BD97">
        <v>52.5</v>
      </c>
      <c r="BE97" t="s">
        <v>8546</v>
      </c>
      <c r="BF97" t="s">
        <v>8534</v>
      </c>
      <c r="BG97" t="s">
        <v>8495</v>
      </c>
      <c r="BH97">
        <v>4.6136400000000002</v>
      </c>
    </row>
    <row r="98" spans="1:63" x14ac:dyDescent="0.25">
      <c r="A98">
        <v>249</v>
      </c>
      <c r="B98">
        <v>241</v>
      </c>
      <c r="C98" t="s">
        <v>8445</v>
      </c>
      <c r="F98">
        <v>298409</v>
      </c>
      <c r="G98" t="s">
        <v>1450</v>
      </c>
      <c r="H98" t="s">
        <v>477</v>
      </c>
      <c r="I98" t="s">
        <v>8502</v>
      </c>
      <c r="J98">
        <v>0</v>
      </c>
      <c r="K98">
        <v>6</v>
      </c>
      <c r="L98">
        <v>0</v>
      </c>
      <c r="M98">
        <v>369200</v>
      </c>
      <c r="N98">
        <v>389</v>
      </c>
      <c r="O98">
        <v>0</v>
      </c>
      <c r="P98">
        <v>5</v>
      </c>
      <c r="Q98">
        <v>0</v>
      </c>
      <c r="R98">
        <v>1000</v>
      </c>
      <c r="S98">
        <v>119</v>
      </c>
      <c r="T98">
        <v>0</v>
      </c>
      <c r="U98">
        <v>0</v>
      </c>
      <c r="V98">
        <v>578</v>
      </c>
      <c r="W98" t="s">
        <v>8481</v>
      </c>
      <c r="X98">
        <v>0</v>
      </c>
      <c r="Y98">
        <v>37</v>
      </c>
      <c r="Z98">
        <v>0</v>
      </c>
      <c r="AA98">
        <v>20</v>
      </c>
      <c r="AB98">
        <v>0</v>
      </c>
      <c r="AC98">
        <v>26</v>
      </c>
      <c r="AD98">
        <v>0</v>
      </c>
      <c r="AE98">
        <v>7</v>
      </c>
      <c r="AF98">
        <v>0</v>
      </c>
      <c r="AG98">
        <v>5</v>
      </c>
      <c r="AH98">
        <v>0</v>
      </c>
      <c r="AI98">
        <v>-6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77.8</v>
      </c>
      <c r="AQ98">
        <v>512</v>
      </c>
      <c r="AR98">
        <v>77.8</v>
      </c>
      <c r="AS98">
        <v>76.333299999999994</v>
      </c>
      <c r="AT98" t="s">
        <v>8501</v>
      </c>
      <c r="AU98">
        <v>58</v>
      </c>
      <c r="AV98">
        <v>1</v>
      </c>
      <c r="AW98" t="s">
        <v>8469</v>
      </c>
      <c r="AX98">
        <v>0</v>
      </c>
      <c r="AY98" t="s">
        <v>8470</v>
      </c>
      <c r="AZ98">
        <v>1</v>
      </c>
      <c r="BA98" t="s">
        <v>8530</v>
      </c>
      <c r="BB98">
        <v>0</v>
      </c>
      <c r="BC98" t="s">
        <v>8484</v>
      </c>
      <c r="BD98">
        <v>47.636400000000002</v>
      </c>
      <c r="BE98" t="s">
        <v>8463</v>
      </c>
      <c r="BF98" t="s">
        <v>8455</v>
      </c>
      <c r="BG98" t="s">
        <v>8463</v>
      </c>
      <c r="BH98">
        <v>11.6364</v>
      </c>
      <c r="BJ98" s="1" t="s">
        <v>8649</v>
      </c>
      <c r="BK98" s="1" t="s">
        <v>8650</v>
      </c>
    </row>
    <row r="99" spans="1:63" x14ac:dyDescent="0.25">
      <c r="A99">
        <v>251</v>
      </c>
      <c r="B99">
        <v>127</v>
      </c>
      <c r="C99" t="s">
        <v>8445</v>
      </c>
      <c r="F99">
        <v>294685</v>
      </c>
      <c r="G99" t="s">
        <v>1139</v>
      </c>
      <c r="H99" t="s">
        <v>3370</v>
      </c>
      <c r="I99" t="s">
        <v>8465</v>
      </c>
      <c r="J99">
        <v>0</v>
      </c>
      <c r="K99">
        <v>6</v>
      </c>
      <c r="L99">
        <v>0</v>
      </c>
      <c r="M99">
        <v>297200</v>
      </c>
      <c r="N99">
        <v>260</v>
      </c>
      <c r="O99">
        <v>0</v>
      </c>
      <c r="P99">
        <v>5</v>
      </c>
      <c r="Q99">
        <v>0</v>
      </c>
      <c r="R99">
        <v>-69200</v>
      </c>
      <c r="S99">
        <v>293</v>
      </c>
      <c r="T99">
        <v>0</v>
      </c>
      <c r="U99">
        <v>0</v>
      </c>
      <c r="V99">
        <v>396</v>
      </c>
      <c r="W99" t="s">
        <v>8475</v>
      </c>
      <c r="X99">
        <v>0</v>
      </c>
      <c r="Y99">
        <v>38</v>
      </c>
      <c r="Z99">
        <v>0</v>
      </c>
      <c r="AA99">
        <v>26</v>
      </c>
      <c r="AB99">
        <v>0</v>
      </c>
      <c r="AC99">
        <v>17</v>
      </c>
      <c r="AD99">
        <v>0</v>
      </c>
      <c r="AE99">
        <v>6</v>
      </c>
      <c r="AF99">
        <v>0</v>
      </c>
      <c r="AG99">
        <v>2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</v>
      </c>
      <c r="AN99">
        <v>0</v>
      </c>
      <c r="AO99">
        <v>3</v>
      </c>
      <c r="AP99">
        <v>52</v>
      </c>
      <c r="AQ99">
        <v>693</v>
      </c>
      <c r="AR99">
        <v>52</v>
      </c>
      <c r="AS99">
        <v>50</v>
      </c>
      <c r="AT99" t="s">
        <v>8467</v>
      </c>
      <c r="AU99">
        <v>77.777799999999999</v>
      </c>
      <c r="AV99">
        <v>1</v>
      </c>
      <c r="AW99" t="s">
        <v>8468</v>
      </c>
      <c r="AX99">
        <v>0</v>
      </c>
      <c r="AY99" t="s">
        <v>8469</v>
      </c>
      <c r="AZ99">
        <v>1</v>
      </c>
      <c r="BA99" t="s">
        <v>8470</v>
      </c>
      <c r="BB99">
        <v>1</v>
      </c>
      <c r="BC99" t="s">
        <v>8471</v>
      </c>
      <c r="BD99">
        <v>70.115399999999994</v>
      </c>
      <c r="BE99" t="s">
        <v>8464</v>
      </c>
      <c r="BF99" t="s">
        <v>8472</v>
      </c>
      <c r="BG99" t="s">
        <v>8464</v>
      </c>
      <c r="BH99">
        <v>15.75</v>
      </c>
      <c r="BJ99" s="1" t="s">
        <v>8651</v>
      </c>
      <c r="BK99" s="1" t="s">
        <v>8652</v>
      </c>
    </row>
    <row r="100" spans="1:63" x14ac:dyDescent="0.25">
      <c r="A100">
        <v>252</v>
      </c>
      <c r="B100">
        <v>672</v>
      </c>
      <c r="C100" t="s">
        <v>8445</v>
      </c>
      <c r="F100">
        <v>1013409</v>
      </c>
      <c r="G100" t="s">
        <v>617</v>
      </c>
      <c r="H100" t="s">
        <v>5512</v>
      </c>
      <c r="I100" t="s">
        <v>8446</v>
      </c>
      <c r="J100">
        <v>0</v>
      </c>
      <c r="K100">
        <v>6</v>
      </c>
      <c r="L100">
        <v>0</v>
      </c>
      <c r="M100">
        <v>346700</v>
      </c>
      <c r="N100">
        <v>321</v>
      </c>
      <c r="O100">
        <v>0</v>
      </c>
      <c r="P100">
        <v>5</v>
      </c>
      <c r="Q100">
        <v>0</v>
      </c>
      <c r="R100">
        <v>-19000</v>
      </c>
      <c r="S100">
        <v>227</v>
      </c>
      <c r="T100">
        <v>0</v>
      </c>
      <c r="U100">
        <v>0</v>
      </c>
      <c r="V100">
        <v>526</v>
      </c>
      <c r="W100" t="s">
        <v>8475</v>
      </c>
      <c r="X100">
        <v>0</v>
      </c>
      <c r="Y100">
        <v>37</v>
      </c>
      <c r="Z100">
        <v>0</v>
      </c>
      <c r="AA100">
        <v>58</v>
      </c>
      <c r="AB100">
        <v>0</v>
      </c>
      <c r="AC100">
        <v>10</v>
      </c>
      <c r="AD100">
        <v>0</v>
      </c>
      <c r="AE100">
        <v>20</v>
      </c>
      <c r="AF100">
        <v>0</v>
      </c>
      <c r="AG100">
        <v>3</v>
      </c>
      <c r="AH100">
        <v>0</v>
      </c>
      <c r="AI100">
        <v>-10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64.2</v>
      </c>
      <c r="AQ100">
        <v>988</v>
      </c>
      <c r="AR100">
        <v>64.2</v>
      </c>
      <c r="AS100">
        <v>63</v>
      </c>
      <c r="AT100" t="s">
        <v>8448</v>
      </c>
      <c r="AU100">
        <v>58</v>
      </c>
      <c r="AV100">
        <v>0</v>
      </c>
      <c r="AW100" t="s">
        <v>8449</v>
      </c>
      <c r="AX100">
        <v>1</v>
      </c>
      <c r="AY100" t="s">
        <v>8450</v>
      </c>
      <c r="AZ100">
        <v>0</v>
      </c>
      <c r="BA100" t="s">
        <v>8451</v>
      </c>
      <c r="BB100">
        <v>1</v>
      </c>
      <c r="BC100" t="s">
        <v>8452</v>
      </c>
      <c r="BD100">
        <v>75.428600000000003</v>
      </c>
      <c r="BE100" t="s">
        <v>8453</v>
      </c>
      <c r="BF100" t="s">
        <v>8454</v>
      </c>
      <c r="BG100" t="s">
        <v>8455</v>
      </c>
      <c r="BH100">
        <v>22.454499999999999</v>
      </c>
      <c r="BJ100" s="1" t="s">
        <v>8653</v>
      </c>
      <c r="BK100" s="1" t="s">
        <v>8654</v>
      </c>
    </row>
    <row r="101" spans="1:63" x14ac:dyDescent="0.25">
      <c r="A101">
        <v>253</v>
      </c>
      <c r="B101">
        <v>198</v>
      </c>
      <c r="C101" t="s">
        <v>8445</v>
      </c>
      <c r="F101">
        <v>1002143</v>
      </c>
      <c r="G101" t="s">
        <v>670</v>
      </c>
      <c r="H101" t="s">
        <v>7338</v>
      </c>
      <c r="I101" t="s">
        <v>8458</v>
      </c>
      <c r="J101">
        <v>0</v>
      </c>
      <c r="K101">
        <v>6</v>
      </c>
      <c r="L101">
        <v>0</v>
      </c>
      <c r="M101">
        <v>302400</v>
      </c>
      <c r="N101">
        <v>181</v>
      </c>
      <c r="O101">
        <v>0</v>
      </c>
      <c r="P101">
        <v>4</v>
      </c>
      <c r="Q101">
        <v>0</v>
      </c>
      <c r="R101">
        <v>-62600</v>
      </c>
      <c r="S101">
        <v>373</v>
      </c>
      <c r="T101">
        <v>0</v>
      </c>
      <c r="U101">
        <v>0</v>
      </c>
      <c r="V101">
        <v>505</v>
      </c>
      <c r="W101" t="s">
        <v>8505</v>
      </c>
      <c r="X101">
        <v>0</v>
      </c>
      <c r="Y101">
        <v>22</v>
      </c>
      <c r="Z101">
        <v>0</v>
      </c>
      <c r="AA101">
        <v>16</v>
      </c>
      <c r="AB101">
        <v>0</v>
      </c>
      <c r="AC101">
        <v>16</v>
      </c>
      <c r="AD101">
        <v>0</v>
      </c>
      <c r="AE101">
        <v>5</v>
      </c>
      <c r="AF101">
        <v>0</v>
      </c>
      <c r="AG101">
        <v>3</v>
      </c>
      <c r="AH101">
        <v>0</v>
      </c>
      <c r="AI101">
        <v>-3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45.25</v>
      </c>
      <c r="AQ101">
        <v>132</v>
      </c>
      <c r="AR101">
        <v>45.25</v>
      </c>
      <c r="AS101">
        <v>48.333300000000001</v>
      </c>
      <c r="AT101" t="s">
        <v>8456</v>
      </c>
      <c r="AU101">
        <v>65.400000000000006</v>
      </c>
      <c r="AV101">
        <v>1</v>
      </c>
      <c r="AW101" t="s">
        <v>8530</v>
      </c>
      <c r="AX101">
        <v>1</v>
      </c>
      <c r="AY101" t="s">
        <v>8526</v>
      </c>
      <c r="AZ101">
        <v>0</v>
      </c>
      <c r="BA101" t="s">
        <v>8491</v>
      </c>
      <c r="BB101">
        <v>0</v>
      </c>
      <c r="BC101" t="s">
        <v>8462</v>
      </c>
      <c r="BD101">
        <v>72.833299999999994</v>
      </c>
      <c r="BE101" t="s">
        <v>8464</v>
      </c>
      <c r="BF101" t="s">
        <v>8455</v>
      </c>
      <c r="BG101" t="s">
        <v>8455</v>
      </c>
      <c r="BH101">
        <v>3</v>
      </c>
      <c r="BJ101" s="1" t="s">
        <v>8655</v>
      </c>
      <c r="BK101" s="1" t="s">
        <v>8656</v>
      </c>
    </row>
    <row r="102" spans="1:63" x14ac:dyDescent="0.25">
      <c r="A102">
        <v>254</v>
      </c>
      <c r="B102">
        <v>14</v>
      </c>
      <c r="C102" t="s">
        <v>8445</v>
      </c>
      <c r="F102">
        <v>999331</v>
      </c>
      <c r="G102" t="s">
        <v>3105</v>
      </c>
      <c r="H102" t="s">
        <v>6710</v>
      </c>
      <c r="I102" t="s">
        <v>8511</v>
      </c>
      <c r="J102">
        <v>0</v>
      </c>
      <c r="K102">
        <v>6</v>
      </c>
      <c r="L102">
        <v>0</v>
      </c>
      <c r="M102">
        <v>352700</v>
      </c>
      <c r="N102">
        <v>370</v>
      </c>
      <c r="O102">
        <v>0</v>
      </c>
      <c r="P102">
        <v>5</v>
      </c>
      <c r="Q102">
        <v>0</v>
      </c>
      <c r="R102">
        <v>-11100</v>
      </c>
      <c r="S102">
        <v>142</v>
      </c>
      <c r="T102">
        <v>0</v>
      </c>
      <c r="U102">
        <v>0</v>
      </c>
      <c r="V102">
        <v>549</v>
      </c>
      <c r="W102" t="s">
        <v>8481</v>
      </c>
      <c r="X102">
        <v>0</v>
      </c>
      <c r="Y102">
        <v>42</v>
      </c>
      <c r="Z102">
        <v>0</v>
      </c>
      <c r="AA102">
        <v>16</v>
      </c>
      <c r="AB102">
        <v>0</v>
      </c>
      <c r="AC102">
        <v>28</v>
      </c>
      <c r="AD102">
        <v>0</v>
      </c>
      <c r="AE102">
        <v>3</v>
      </c>
      <c r="AF102">
        <v>0</v>
      </c>
      <c r="AG102">
        <v>2</v>
      </c>
      <c r="AH102">
        <v>0</v>
      </c>
      <c r="AI102">
        <v>-6</v>
      </c>
      <c r="AJ102">
        <v>0</v>
      </c>
      <c r="AK102">
        <v>0</v>
      </c>
      <c r="AL102">
        <v>0</v>
      </c>
      <c r="AM102">
        <v>16</v>
      </c>
      <c r="AN102">
        <v>0</v>
      </c>
      <c r="AO102">
        <v>3</v>
      </c>
      <c r="AP102">
        <v>74</v>
      </c>
      <c r="AQ102">
        <v>956</v>
      </c>
      <c r="AR102">
        <v>74</v>
      </c>
      <c r="AS102">
        <v>75</v>
      </c>
      <c r="AT102" t="s">
        <v>8512</v>
      </c>
      <c r="AU102">
        <v>59.8</v>
      </c>
      <c r="AV102">
        <v>0</v>
      </c>
      <c r="AW102" t="s">
        <v>8513</v>
      </c>
      <c r="AX102">
        <v>1</v>
      </c>
      <c r="AY102" t="s">
        <v>8514</v>
      </c>
      <c r="AZ102">
        <v>0</v>
      </c>
      <c r="BA102" t="s">
        <v>8497</v>
      </c>
      <c r="BB102">
        <v>1</v>
      </c>
      <c r="BC102" t="s">
        <v>8515</v>
      </c>
      <c r="BD102">
        <v>64.0167</v>
      </c>
      <c r="BE102" t="s">
        <v>8463</v>
      </c>
      <c r="BF102" t="s">
        <v>8472</v>
      </c>
      <c r="BG102" t="s">
        <v>8472</v>
      </c>
      <c r="BH102">
        <v>21.7273</v>
      </c>
      <c r="BJ102" s="1" t="s">
        <v>8657</v>
      </c>
      <c r="BK102" s="1" t="s">
        <v>8658</v>
      </c>
    </row>
    <row r="103" spans="1:63" x14ac:dyDescent="0.25">
      <c r="A103">
        <v>255</v>
      </c>
      <c r="B103">
        <v>543</v>
      </c>
      <c r="C103" t="s">
        <v>8445</v>
      </c>
      <c r="F103">
        <v>1004095</v>
      </c>
      <c r="G103" t="s">
        <v>1127</v>
      </c>
      <c r="H103" t="s">
        <v>6313</v>
      </c>
      <c r="I103" t="s">
        <v>8448</v>
      </c>
      <c r="J103">
        <v>0</v>
      </c>
      <c r="K103">
        <v>6</v>
      </c>
      <c r="L103">
        <v>0</v>
      </c>
      <c r="M103">
        <v>363100</v>
      </c>
      <c r="N103">
        <v>43</v>
      </c>
      <c r="O103">
        <v>0</v>
      </c>
      <c r="P103">
        <v>2</v>
      </c>
      <c r="Q103">
        <v>0</v>
      </c>
      <c r="R103">
        <v>0</v>
      </c>
      <c r="S103">
        <v>486</v>
      </c>
      <c r="T103">
        <v>0</v>
      </c>
      <c r="U103">
        <v>0</v>
      </c>
      <c r="V103">
        <v>113</v>
      </c>
      <c r="W103" t="s">
        <v>8466</v>
      </c>
      <c r="X103">
        <v>0</v>
      </c>
      <c r="Y103">
        <v>8</v>
      </c>
      <c r="Z103">
        <v>0</v>
      </c>
      <c r="AA103">
        <v>3</v>
      </c>
      <c r="AB103">
        <v>0</v>
      </c>
      <c r="AC103">
        <v>4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-2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21.5</v>
      </c>
      <c r="AQ103">
        <v>324</v>
      </c>
      <c r="AR103">
        <v>21.5</v>
      </c>
      <c r="AS103">
        <v>21.5</v>
      </c>
      <c r="AT103" t="s">
        <v>8446</v>
      </c>
      <c r="AU103">
        <v>73.375</v>
      </c>
      <c r="AV103">
        <v>1</v>
      </c>
      <c r="AW103" t="s">
        <v>8526</v>
      </c>
      <c r="AX103">
        <v>0</v>
      </c>
      <c r="AY103" t="s">
        <v>8493</v>
      </c>
      <c r="AZ103">
        <v>1</v>
      </c>
      <c r="BA103" t="s">
        <v>8469</v>
      </c>
      <c r="BB103">
        <v>0</v>
      </c>
      <c r="BC103" t="s">
        <v>8452</v>
      </c>
      <c r="BD103">
        <v>86.666700000000006</v>
      </c>
      <c r="BE103" t="s">
        <v>8472</v>
      </c>
      <c r="BF103" t="s">
        <v>8534</v>
      </c>
      <c r="BG103" t="s">
        <v>8472</v>
      </c>
      <c r="BH103">
        <v>7.3636400000000002</v>
      </c>
      <c r="BJ103" s="1" t="s">
        <v>8659</v>
      </c>
      <c r="BK103" s="1" t="s">
        <v>8660</v>
      </c>
    </row>
    <row r="104" spans="1:63" x14ac:dyDescent="0.25">
      <c r="A104">
        <v>256</v>
      </c>
      <c r="B104">
        <v>670</v>
      </c>
      <c r="C104" t="s">
        <v>8445</v>
      </c>
      <c r="F104">
        <v>997100</v>
      </c>
      <c r="G104" t="s">
        <v>2115</v>
      </c>
      <c r="H104" t="s">
        <v>7020</v>
      </c>
      <c r="I104" t="s">
        <v>8446</v>
      </c>
      <c r="J104">
        <v>0</v>
      </c>
      <c r="K104">
        <v>6</v>
      </c>
      <c r="L104">
        <v>0</v>
      </c>
      <c r="M104">
        <v>342900</v>
      </c>
      <c r="N104">
        <v>317</v>
      </c>
      <c r="O104">
        <v>0</v>
      </c>
      <c r="P104">
        <v>5</v>
      </c>
      <c r="Q104">
        <v>0</v>
      </c>
      <c r="R104">
        <v>-20000</v>
      </c>
      <c r="S104">
        <v>233</v>
      </c>
      <c r="T104">
        <v>0</v>
      </c>
      <c r="U104">
        <v>0</v>
      </c>
      <c r="V104">
        <v>515</v>
      </c>
      <c r="W104" t="s">
        <v>8475</v>
      </c>
      <c r="X104">
        <v>0</v>
      </c>
      <c r="Y104">
        <v>37</v>
      </c>
      <c r="Z104">
        <v>0</v>
      </c>
      <c r="AA104">
        <v>14</v>
      </c>
      <c r="AB104">
        <v>0</v>
      </c>
      <c r="AC104">
        <v>14</v>
      </c>
      <c r="AD104">
        <v>0</v>
      </c>
      <c r="AE104">
        <v>12</v>
      </c>
      <c r="AF104">
        <v>0</v>
      </c>
      <c r="AG104">
        <v>3</v>
      </c>
      <c r="AH104">
        <v>0</v>
      </c>
      <c r="AI104">
        <v>-1</v>
      </c>
      <c r="AJ104">
        <v>0</v>
      </c>
      <c r="AK104">
        <v>0</v>
      </c>
      <c r="AL104">
        <v>0</v>
      </c>
      <c r="AM104">
        <v>8</v>
      </c>
      <c r="AN104">
        <v>0</v>
      </c>
      <c r="AO104">
        <v>5</v>
      </c>
      <c r="AP104">
        <v>63.4</v>
      </c>
      <c r="AQ104">
        <v>472</v>
      </c>
      <c r="AR104">
        <v>63.4</v>
      </c>
      <c r="AS104">
        <v>70.333299999999994</v>
      </c>
      <c r="AT104" t="s">
        <v>8448</v>
      </c>
      <c r="AU104">
        <v>42.333300000000001</v>
      </c>
      <c r="AV104">
        <v>0</v>
      </c>
      <c r="AW104" t="s">
        <v>8449</v>
      </c>
      <c r="AX104">
        <v>1</v>
      </c>
      <c r="AY104" t="s">
        <v>8450</v>
      </c>
      <c r="AZ104">
        <v>0</v>
      </c>
      <c r="BA104" t="s">
        <v>8451</v>
      </c>
      <c r="BB104">
        <v>1</v>
      </c>
      <c r="BC104" t="s">
        <v>8452</v>
      </c>
      <c r="BD104">
        <v>63.5</v>
      </c>
      <c r="BE104" t="s">
        <v>8453</v>
      </c>
      <c r="BF104" t="s">
        <v>8454</v>
      </c>
      <c r="BG104" t="s">
        <v>8455</v>
      </c>
      <c r="BH104">
        <v>10.7273</v>
      </c>
      <c r="BJ104" s="1" t="s">
        <v>8661</v>
      </c>
      <c r="BK104" s="1" t="s">
        <v>8662</v>
      </c>
    </row>
    <row r="105" spans="1:63" x14ac:dyDescent="0.25">
      <c r="A105">
        <v>257</v>
      </c>
      <c r="B105">
        <v>194</v>
      </c>
      <c r="C105" t="s">
        <v>8445</v>
      </c>
      <c r="F105">
        <v>298280</v>
      </c>
      <c r="G105" t="s">
        <v>5806</v>
      </c>
      <c r="H105" t="s">
        <v>5807</v>
      </c>
      <c r="I105" t="s">
        <v>8458</v>
      </c>
      <c r="J105">
        <v>0</v>
      </c>
      <c r="K105">
        <v>6</v>
      </c>
      <c r="L105">
        <v>0</v>
      </c>
      <c r="M105">
        <v>362800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510</v>
      </c>
      <c r="T105">
        <v>0</v>
      </c>
      <c r="U105">
        <v>0</v>
      </c>
      <c r="V105">
        <v>0</v>
      </c>
      <c r="W105" t="s">
        <v>8466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105</v>
      </c>
      <c r="AR105">
        <v>0</v>
      </c>
      <c r="AS105">
        <v>0</v>
      </c>
      <c r="AT105" t="s">
        <v>8456</v>
      </c>
      <c r="AU105">
        <v>85.285700000000006</v>
      </c>
      <c r="AV105">
        <v>1</v>
      </c>
      <c r="AW105" t="s">
        <v>8530</v>
      </c>
      <c r="AX105">
        <v>1</v>
      </c>
      <c r="AY105" t="s">
        <v>8526</v>
      </c>
      <c r="AZ105">
        <v>0</v>
      </c>
      <c r="BA105" t="s">
        <v>8491</v>
      </c>
      <c r="BB105">
        <v>0</v>
      </c>
      <c r="BC105" t="s">
        <v>8462</v>
      </c>
      <c r="BD105">
        <v>73.857100000000003</v>
      </c>
      <c r="BE105" t="s">
        <v>8464</v>
      </c>
      <c r="BF105" t="s">
        <v>8455</v>
      </c>
      <c r="BG105" t="s">
        <v>8455</v>
      </c>
      <c r="BH105">
        <v>2.3863599999999998</v>
      </c>
    </row>
    <row r="106" spans="1:63" x14ac:dyDescent="0.25">
      <c r="A106">
        <v>258</v>
      </c>
      <c r="B106">
        <v>313</v>
      </c>
      <c r="C106" t="s">
        <v>8445</v>
      </c>
      <c r="F106">
        <v>1009229</v>
      </c>
      <c r="G106" t="s">
        <v>958</v>
      </c>
      <c r="H106" t="s">
        <v>6840</v>
      </c>
      <c r="I106" t="s">
        <v>8482</v>
      </c>
      <c r="J106">
        <v>0</v>
      </c>
      <c r="K106">
        <v>6</v>
      </c>
      <c r="L106">
        <v>0</v>
      </c>
      <c r="M106">
        <v>358400</v>
      </c>
      <c r="N106">
        <v>382</v>
      </c>
      <c r="O106">
        <v>0</v>
      </c>
      <c r="P106">
        <v>5</v>
      </c>
      <c r="Q106">
        <v>0</v>
      </c>
      <c r="R106">
        <v>-3500</v>
      </c>
      <c r="S106">
        <v>128</v>
      </c>
      <c r="T106">
        <v>0</v>
      </c>
      <c r="U106">
        <v>0</v>
      </c>
      <c r="V106">
        <v>488</v>
      </c>
      <c r="W106" t="s">
        <v>8481</v>
      </c>
      <c r="X106">
        <v>0</v>
      </c>
      <c r="Y106">
        <v>52</v>
      </c>
      <c r="Z106">
        <v>0</v>
      </c>
      <c r="AA106">
        <v>37</v>
      </c>
      <c r="AB106">
        <v>0</v>
      </c>
      <c r="AC106">
        <v>27</v>
      </c>
      <c r="AD106">
        <v>0</v>
      </c>
      <c r="AE106">
        <v>6</v>
      </c>
      <c r="AF106">
        <v>0</v>
      </c>
      <c r="AG106">
        <v>9</v>
      </c>
      <c r="AH106">
        <v>0</v>
      </c>
      <c r="AI106">
        <v>-5</v>
      </c>
      <c r="AJ106">
        <v>0</v>
      </c>
      <c r="AK106">
        <v>61</v>
      </c>
      <c r="AL106">
        <v>0</v>
      </c>
      <c r="AM106">
        <v>2</v>
      </c>
      <c r="AN106">
        <v>0</v>
      </c>
      <c r="AO106">
        <v>0</v>
      </c>
      <c r="AP106">
        <v>76.400000000000006</v>
      </c>
      <c r="AQ106">
        <v>2616</v>
      </c>
      <c r="AR106">
        <v>76.400000000000006</v>
      </c>
      <c r="AS106">
        <v>66.333299999999994</v>
      </c>
      <c r="AT106" t="s">
        <v>8480</v>
      </c>
      <c r="AU106">
        <v>80</v>
      </c>
      <c r="AV106">
        <v>0</v>
      </c>
      <c r="AW106" t="s">
        <v>8514</v>
      </c>
      <c r="AX106">
        <v>1</v>
      </c>
      <c r="AY106" t="s">
        <v>8530</v>
      </c>
      <c r="AZ106">
        <v>1</v>
      </c>
      <c r="BA106" t="s">
        <v>8450</v>
      </c>
      <c r="BB106">
        <v>0</v>
      </c>
      <c r="BC106" t="s">
        <v>8484</v>
      </c>
      <c r="BD106">
        <v>65.333299999999994</v>
      </c>
      <c r="BE106" t="s">
        <v>8464</v>
      </c>
      <c r="BF106" t="s">
        <v>8464</v>
      </c>
      <c r="BG106" t="s">
        <v>8531</v>
      </c>
      <c r="BH106">
        <v>59.454500000000003</v>
      </c>
      <c r="BJ106" s="1" t="s">
        <v>8663</v>
      </c>
      <c r="BK106">
        <v>4691.0994764397901</v>
      </c>
    </row>
    <row r="107" spans="1:63" x14ac:dyDescent="0.25">
      <c r="A107">
        <v>259</v>
      </c>
      <c r="B107">
        <v>569</v>
      </c>
      <c r="C107" t="s">
        <v>8445</v>
      </c>
      <c r="F107">
        <v>295203</v>
      </c>
      <c r="G107" t="s">
        <v>508</v>
      </c>
      <c r="H107" t="s">
        <v>7821</v>
      </c>
      <c r="I107" t="s">
        <v>8490</v>
      </c>
      <c r="J107">
        <v>0</v>
      </c>
      <c r="K107">
        <v>6</v>
      </c>
      <c r="L107">
        <v>0</v>
      </c>
      <c r="M107">
        <v>346100</v>
      </c>
      <c r="N107">
        <v>330</v>
      </c>
      <c r="O107">
        <v>0</v>
      </c>
      <c r="P107">
        <v>5</v>
      </c>
      <c r="Q107">
        <v>0</v>
      </c>
      <c r="R107">
        <v>-15700</v>
      </c>
      <c r="S107">
        <v>212</v>
      </c>
      <c r="T107">
        <v>0</v>
      </c>
      <c r="U107">
        <v>0</v>
      </c>
      <c r="V107">
        <v>577</v>
      </c>
      <c r="W107" t="s">
        <v>8475</v>
      </c>
      <c r="X107">
        <v>0</v>
      </c>
      <c r="Y107">
        <v>58</v>
      </c>
      <c r="Z107">
        <v>0</v>
      </c>
      <c r="AA107">
        <v>17</v>
      </c>
      <c r="AB107">
        <v>0</v>
      </c>
      <c r="AC107">
        <v>34</v>
      </c>
      <c r="AD107">
        <v>0</v>
      </c>
      <c r="AE107">
        <v>7</v>
      </c>
      <c r="AF107">
        <v>0</v>
      </c>
      <c r="AG107">
        <v>4</v>
      </c>
      <c r="AH107">
        <v>0</v>
      </c>
      <c r="AI107">
        <v>-4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66</v>
      </c>
      <c r="AQ107">
        <v>195</v>
      </c>
      <c r="AR107">
        <v>66</v>
      </c>
      <c r="AS107">
        <v>80.666700000000006</v>
      </c>
      <c r="AT107" t="s">
        <v>8489</v>
      </c>
      <c r="AU107">
        <v>62.5</v>
      </c>
      <c r="AV107">
        <v>0</v>
      </c>
      <c r="AW107" t="s">
        <v>8460</v>
      </c>
      <c r="AX107">
        <v>1</v>
      </c>
      <c r="AY107" t="s">
        <v>8459</v>
      </c>
      <c r="AZ107">
        <v>1</v>
      </c>
      <c r="BA107" t="s">
        <v>8483</v>
      </c>
      <c r="BB107">
        <v>0</v>
      </c>
      <c r="BC107" t="s">
        <v>8471</v>
      </c>
      <c r="BD107">
        <v>64.599999999999994</v>
      </c>
      <c r="BE107" t="s">
        <v>8464</v>
      </c>
      <c r="BF107" t="s">
        <v>8464</v>
      </c>
      <c r="BG107" t="s">
        <v>8464</v>
      </c>
      <c r="BH107">
        <v>4.4318200000000001</v>
      </c>
      <c r="BJ107" s="1" t="s">
        <v>8664</v>
      </c>
      <c r="BK107" s="1" t="s">
        <v>8665</v>
      </c>
    </row>
    <row r="108" spans="1:63" x14ac:dyDescent="0.25">
      <c r="A108">
        <v>260</v>
      </c>
      <c r="B108">
        <v>744</v>
      </c>
      <c r="C108" t="s">
        <v>8445</v>
      </c>
      <c r="F108">
        <v>993820</v>
      </c>
      <c r="G108" t="s">
        <v>776</v>
      </c>
      <c r="H108" t="s">
        <v>6594</v>
      </c>
      <c r="I108" t="s">
        <v>8456</v>
      </c>
      <c r="J108">
        <v>0</v>
      </c>
      <c r="K108">
        <v>6</v>
      </c>
      <c r="L108">
        <v>0</v>
      </c>
      <c r="M108">
        <v>307800</v>
      </c>
      <c r="N108">
        <v>211</v>
      </c>
      <c r="O108">
        <v>0</v>
      </c>
      <c r="P108">
        <v>4</v>
      </c>
      <c r="Q108">
        <v>0</v>
      </c>
      <c r="R108">
        <v>-53900</v>
      </c>
      <c r="S108">
        <v>343</v>
      </c>
      <c r="T108">
        <v>0</v>
      </c>
      <c r="U108">
        <v>0</v>
      </c>
      <c r="V108">
        <v>418</v>
      </c>
      <c r="W108" t="s">
        <v>8505</v>
      </c>
      <c r="X108">
        <v>0</v>
      </c>
      <c r="Y108">
        <v>25</v>
      </c>
      <c r="Z108">
        <v>0</v>
      </c>
      <c r="AA108">
        <v>31</v>
      </c>
      <c r="AB108">
        <v>0</v>
      </c>
      <c r="AC108">
        <v>18</v>
      </c>
      <c r="AD108">
        <v>0</v>
      </c>
      <c r="AE108">
        <v>10</v>
      </c>
      <c r="AF108">
        <v>0</v>
      </c>
      <c r="AG108">
        <v>1</v>
      </c>
      <c r="AH108">
        <v>0</v>
      </c>
      <c r="AI108">
        <v>-3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52.75</v>
      </c>
      <c r="AQ108">
        <v>129</v>
      </c>
      <c r="AR108">
        <v>52.75</v>
      </c>
      <c r="AS108">
        <v>38</v>
      </c>
      <c r="AT108" t="s">
        <v>8458</v>
      </c>
      <c r="AU108">
        <v>57</v>
      </c>
      <c r="AV108">
        <v>0</v>
      </c>
      <c r="AW108" t="s">
        <v>8459</v>
      </c>
      <c r="AX108">
        <v>1</v>
      </c>
      <c r="AY108" t="s">
        <v>8460</v>
      </c>
      <c r="AZ108">
        <v>0</v>
      </c>
      <c r="BA108" t="s">
        <v>8461</v>
      </c>
      <c r="BB108">
        <v>1</v>
      </c>
      <c r="BC108" t="s">
        <v>8462</v>
      </c>
      <c r="BD108">
        <v>65.327299999999994</v>
      </c>
      <c r="BE108" t="s">
        <v>8455</v>
      </c>
      <c r="BF108" t="s">
        <v>8463</v>
      </c>
      <c r="BG108" t="s">
        <v>8464</v>
      </c>
      <c r="BH108">
        <v>2.9318200000000001</v>
      </c>
      <c r="BJ108" s="1" t="s">
        <v>8666</v>
      </c>
      <c r="BK108" s="1" t="s">
        <v>8667</v>
      </c>
    </row>
    <row r="109" spans="1:63" x14ac:dyDescent="0.25">
      <c r="A109">
        <v>262</v>
      </c>
      <c r="B109">
        <v>11</v>
      </c>
      <c r="C109" t="s">
        <v>8445</v>
      </c>
      <c r="F109">
        <v>1015329</v>
      </c>
      <c r="G109" t="s">
        <v>2130</v>
      </c>
      <c r="H109" t="s">
        <v>8668</v>
      </c>
      <c r="I109" t="s">
        <v>8511</v>
      </c>
      <c r="J109">
        <v>0</v>
      </c>
      <c r="K109">
        <v>6</v>
      </c>
      <c r="L109">
        <v>0</v>
      </c>
      <c r="M109">
        <v>359800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510</v>
      </c>
      <c r="T109">
        <v>0</v>
      </c>
      <c r="U109">
        <v>0</v>
      </c>
      <c r="V109">
        <v>0</v>
      </c>
      <c r="W109" t="s">
        <v>8466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119</v>
      </c>
      <c r="AR109">
        <v>0</v>
      </c>
      <c r="AS109">
        <v>0</v>
      </c>
      <c r="AT109" t="s">
        <v>8512</v>
      </c>
      <c r="AU109">
        <v>57</v>
      </c>
      <c r="AV109">
        <v>0</v>
      </c>
      <c r="AW109" t="s">
        <v>8513</v>
      </c>
      <c r="AX109">
        <v>1</v>
      </c>
      <c r="AY109" t="s">
        <v>8514</v>
      </c>
      <c r="AZ109">
        <v>0</v>
      </c>
      <c r="BA109" t="s">
        <v>8497</v>
      </c>
      <c r="BB109">
        <v>1</v>
      </c>
      <c r="BC109" t="s">
        <v>8515</v>
      </c>
      <c r="BD109">
        <v>69</v>
      </c>
      <c r="BE109" t="s">
        <v>8463</v>
      </c>
      <c r="BF109" t="s">
        <v>8472</v>
      </c>
      <c r="BG109" t="s">
        <v>8472</v>
      </c>
      <c r="BH109">
        <v>2.7045499999999998</v>
      </c>
    </row>
    <row r="110" spans="1:63" x14ac:dyDescent="0.25">
      <c r="A110">
        <v>263</v>
      </c>
      <c r="B110">
        <v>758</v>
      </c>
      <c r="C110" t="s">
        <v>8445</v>
      </c>
      <c r="F110">
        <v>994385</v>
      </c>
      <c r="G110" t="s">
        <v>5806</v>
      </c>
      <c r="H110" t="s">
        <v>1423</v>
      </c>
      <c r="I110" t="s">
        <v>8456</v>
      </c>
      <c r="J110">
        <v>0</v>
      </c>
      <c r="K110">
        <v>6</v>
      </c>
      <c r="L110">
        <v>0</v>
      </c>
      <c r="M110">
        <v>279200</v>
      </c>
      <c r="N110">
        <v>218</v>
      </c>
      <c r="O110">
        <v>0</v>
      </c>
      <c r="P110">
        <v>5</v>
      </c>
      <c r="Q110">
        <v>0</v>
      </c>
      <c r="R110">
        <v>-79900</v>
      </c>
      <c r="S110">
        <v>339</v>
      </c>
      <c r="T110">
        <v>0</v>
      </c>
      <c r="U110">
        <v>0</v>
      </c>
      <c r="V110">
        <v>532</v>
      </c>
      <c r="W110" t="s">
        <v>8505</v>
      </c>
      <c r="X110">
        <v>0</v>
      </c>
      <c r="Y110">
        <v>38</v>
      </c>
      <c r="Z110">
        <v>0</v>
      </c>
      <c r="AA110">
        <v>30</v>
      </c>
      <c r="AB110">
        <v>0</v>
      </c>
      <c r="AC110">
        <v>14</v>
      </c>
      <c r="AD110">
        <v>0</v>
      </c>
      <c r="AE110">
        <v>6</v>
      </c>
      <c r="AF110">
        <v>0</v>
      </c>
      <c r="AG110">
        <v>1</v>
      </c>
      <c r="AH110">
        <v>0</v>
      </c>
      <c r="AI110">
        <v>-7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2</v>
      </c>
      <c r="AP110">
        <v>43.6</v>
      </c>
      <c r="AQ110">
        <v>206</v>
      </c>
      <c r="AR110">
        <v>43.6</v>
      </c>
      <c r="AS110">
        <v>45.333300000000001</v>
      </c>
      <c r="AT110" t="s">
        <v>8458</v>
      </c>
      <c r="AU110">
        <v>74.666700000000006</v>
      </c>
      <c r="AV110">
        <v>0</v>
      </c>
      <c r="AW110" t="s">
        <v>8459</v>
      </c>
      <c r="AX110">
        <v>1</v>
      </c>
      <c r="AY110" t="s">
        <v>8460</v>
      </c>
      <c r="AZ110">
        <v>0</v>
      </c>
      <c r="BA110" t="s">
        <v>8461</v>
      </c>
      <c r="BB110">
        <v>1</v>
      </c>
      <c r="BC110" t="s">
        <v>8462</v>
      </c>
      <c r="BD110">
        <v>68.481499999999997</v>
      </c>
      <c r="BE110" t="s">
        <v>8455</v>
      </c>
      <c r="BF110" t="s">
        <v>8463</v>
      </c>
      <c r="BG110" t="s">
        <v>8464</v>
      </c>
      <c r="BH110">
        <v>4.6818200000000001</v>
      </c>
      <c r="BJ110" s="1" t="s">
        <v>8669</v>
      </c>
      <c r="BK110" s="1" t="s">
        <v>8670</v>
      </c>
    </row>
    <row r="111" spans="1:63" x14ac:dyDescent="0.25">
      <c r="A111">
        <v>264</v>
      </c>
      <c r="B111">
        <v>500</v>
      </c>
      <c r="C111" t="s">
        <v>8445</v>
      </c>
      <c r="F111">
        <v>296355</v>
      </c>
      <c r="G111" t="s">
        <v>176</v>
      </c>
      <c r="H111" t="s">
        <v>5142</v>
      </c>
      <c r="I111" t="s">
        <v>8467</v>
      </c>
      <c r="J111">
        <v>0</v>
      </c>
      <c r="K111">
        <v>6</v>
      </c>
      <c r="L111">
        <v>0</v>
      </c>
      <c r="M111">
        <v>382300</v>
      </c>
      <c r="N111">
        <v>374</v>
      </c>
      <c r="O111">
        <v>0</v>
      </c>
      <c r="P111">
        <v>5</v>
      </c>
      <c r="Q111">
        <v>0</v>
      </c>
      <c r="R111">
        <v>24700</v>
      </c>
      <c r="S111">
        <v>138</v>
      </c>
      <c r="T111">
        <v>0</v>
      </c>
      <c r="U111">
        <v>0</v>
      </c>
      <c r="V111">
        <v>542</v>
      </c>
      <c r="W111" t="s">
        <v>8481</v>
      </c>
      <c r="X111">
        <v>0</v>
      </c>
      <c r="Y111">
        <v>44</v>
      </c>
      <c r="Z111">
        <v>0</v>
      </c>
      <c r="AA111">
        <v>36</v>
      </c>
      <c r="AB111">
        <v>0</v>
      </c>
      <c r="AC111">
        <v>24</v>
      </c>
      <c r="AD111">
        <v>0</v>
      </c>
      <c r="AE111">
        <v>10</v>
      </c>
      <c r="AF111">
        <v>0</v>
      </c>
      <c r="AG111">
        <v>3</v>
      </c>
      <c r="AH111">
        <v>0</v>
      </c>
      <c r="AI111">
        <v>-2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74.8</v>
      </c>
      <c r="AQ111">
        <v>878</v>
      </c>
      <c r="AR111">
        <v>74.8</v>
      </c>
      <c r="AS111">
        <v>74.666700000000006</v>
      </c>
      <c r="AT111" t="s">
        <v>8465</v>
      </c>
      <c r="AU111">
        <v>89.909099999999995</v>
      </c>
      <c r="AV111">
        <v>0</v>
      </c>
      <c r="AW111" t="s">
        <v>8497</v>
      </c>
      <c r="AX111">
        <v>1</v>
      </c>
      <c r="AY111" t="s">
        <v>8451</v>
      </c>
      <c r="AZ111">
        <v>1</v>
      </c>
      <c r="BA111" t="s">
        <v>8492</v>
      </c>
      <c r="BB111">
        <v>0</v>
      </c>
      <c r="BC111" t="s">
        <v>8471</v>
      </c>
      <c r="BD111">
        <v>71.309299999999993</v>
      </c>
      <c r="BE111" t="s">
        <v>8472</v>
      </c>
      <c r="BF111" t="s">
        <v>8455</v>
      </c>
      <c r="BG111" t="s">
        <v>8498</v>
      </c>
      <c r="BH111">
        <v>19.954499999999999</v>
      </c>
      <c r="BJ111" s="1" t="s">
        <v>8671</v>
      </c>
      <c r="BK111">
        <v>5110.9625668449198</v>
      </c>
    </row>
    <row r="112" spans="1:63" x14ac:dyDescent="0.25">
      <c r="A112">
        <v>267</v>
      </c>
      <c r="B112">
        <v>21</v>
      </c>
      <c r="C112" t="s">
        <v>8445</v>
      </c>
      <c r="F112">
        <v>1015370</v>
      </c>
      <c r="G112" t="s">
        <v>5439</v>
      </c>
      <c r="H112" t="s">
        <v>6760</v>
      </c>
      <c r="I112" t="s">
        <v>8511</v>
      </c>
      <c r="J112">
        <v>0</v>
      </c>
      <c r="K112">
        <v>6</v>
      </c>
      <c r="L112">
        <v>0</v>
      </c>
      <c r="M112">
        <v>323300</v>
      </c>
      <c r="N112">
        <v>295</v>
      </c>
      <c r="O112">
        <v>0</v>
      </c>
      <c r="P112">
        <v>5</v>
      </c>
      <c r="Q112">
        <v>0</v>
      </c>
      <c r="R112">
        <v>-32100</v>
      </c>
      <c r="S112">
        <v>255</v>
      </c>
      <c r="T112">
        <v>0</v>
      </c>
      <c r="U112">
        <v>0</v>
      </c>
      <c r="V112">
        <v>605</v>
      </c>
      <c r="W112" t="s">
        <v>8475</v>
      </c>
      <c r="X112">
        <v>0</v>
      </c>
      <c r="Y112">
        <v>45</v>
      </c>
      <c r="Z112">
        <v>0</v>
      </c>
      <c r="AA112">
        <v>13</v>
      </c>
      <c r="AB112">
        <v>0</v>
      </c>
      <c r="AC112">
        <v>20</v>
      </c>
      <c r="AD112">
        <v>0</v>
      </c>
      <c r="AE112">
        <v>7</v>
      </c>
      <c r="AF112">
        <v>0</v>
      </c>
      <c r="AG112">
        <v>7</v>
      </c>
      <c r="AH112">
        <v>0</v>
      </c>
      <c r="AI112">
        <v>-2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59</v>
      </c>
      <c r="AQ112">
        <v>281</v>
      </c>
      <c r="AR112">
        <v>59</v>
      </c>
      <c r="AS112">
        <v>52.333300000000001</v>
      </c>
      <c r="AT112" t="s">
        <v>8512</v>
      </c>
      <c r="AU112">
        <v>55.666699999999999</v>
      </c>
      <c r="AV112">
        <v>0</v>
      </c>
      <c r="AW112" t="s">
        <v>8513</v>
      </c>
      <c r="AX112">
        <v>1</v>
      </c>
      <c r="AY112" t="s">
        <v>8514</v>
      </c>
      <c r="AZ112">
        <v>0</v>
      </c>
      <c r="BA112" t="s">
        <v>8497</v>
      </c>
      <c r="BB112">
        <v>1</v>
      </c>
      <c r="BC112" t="s">
        <v>8515</v>
      </c>
      <c r="BD112">
        <v>62.862099999999998</v>
      </c>
      <c r="BE112" t="s">
        <v>8463</v>
      </c>
      <c r="BF112" t="s">
        <v>8472</v>
      </c>
      <c r="BG112" t="s">
        <v>8472</v>
      </c>
      <c r="BH112">
        <v>6.3863599999999998</v>
      </c>
      <c r="BJ112" s="1" t="s">
        <v>8672</v>
      </c>
      <c r="BK112" s="1" t="s">
        <v>8673</v>
      </c>
    </row>
    <row r="113" spans="1:63" x14ac:dyDescent="0.25">
      <c r="A113">
        <v>268</v>
      </c>
      <c r="B113">
        <v>514</v>
      </c>
      <c r="C113" t="s">
        <v>8445</v>
      </c>
      <c r="F113">
        <v>993816</v>
      </c>
      <c r="G113" t="s">
        <v>3105</v>
      </c>
      <c r="H113" t="s">
        <v>7090</v>
      </c>
      <c r="I113" t="s">
        <v>8467</v>
      </c>
      <c r="J113">
        <v>0</v>
      </c>
      <c r="K113">
        <v>6</v>
      </c>
      <c r="L113">
        <v>0</v>
      </c>
      <c r="M113">
        <v>343400</v>
      </c>
      <c r="N113">
        <v>283</v>
      </c>
      <c r="O113">
        <v>0</v>
      </c>
      <c r="P113">
        <v>5</v>
      </c>
      <c r="Q113">
        <v>0</v>
      </c>
      <c r="R113">
        <v>-12000</v>
      </c>
      <c r="S113">
        <v>265</v>
      </c>
      <c r="T113">
        <v>0</v>
      </c>
      <c r="U113">
        <v>0</v>
      </c>
      <c r="V113">
        <v>468</v>
      </c>
      <c r="W113" t="s">
        <v>8475</v>
      </c>
      <c r="X113">
        <v>0</v>
      </c>
      <c r="Y113">
        <v>47</v>
      </c>
      <c r="Z113">
        <v>0</v>
      </c>
      <c r="AA113">
        <v>31</v>
      </c>
      <c r="AB113">
        <v>0</v>
      </c>
      <c r="AC113">
        <v>22</v>
      </c>
      <c r="AD113">
        <v>0</v>
      </c>
      <c r="AE113">
        <v>6</v>
      </c>
      <c r="AF113">
        <v>0</v>
      </c>
      <c r="AG113">
        <v>6</v>
      </c>
      <c r="AH113">
        <v>0</v>
      </c>
      <c r="AI113">
        <v>-1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56.6</v>
      </c>
      <c r="AQ113">
        <v>251</v>
      </c>
      <c r="AR113">
        <v>56.6</v>
      </c>
      <c r="AS113">
        <v>72</v>
      </c>
      <c r="AT113" t="s">
        <v>8465</v>
      </c>
      <c r="AU113">
        <v>60.25</v>
      </c>
      <c r="AV113">
        <v>0</v>
      </c>
      <c r="AW113" t="s">
        <v>8497</v>
      </c>
      <c r="AX113">
        <v>1</v>
      </c>
      <c r="AY113" t="s">
        <v>8451</v>
      </c>
      <c r="AZ113">
        <v>1</v>
      </c>
      <c r="BA113" t="s">
        <v>8492</v>
      </c>
      <c r="BB113">
        <v>0</v>
      </c>
      <c r="BC113" t="s">
        <v>8471</v>
      </c>
      <c r="BD113">
        <v>66.645200000000003</v>
      </c>
      <c r="BE113" t="s">
        <v>8472</v>
      </c>
      <c r="BF113" t="s">
        <v>8455</v>
      </c>
      <c r="BG113" t="s">
        <v>8498</v>
      </c>
      <c r="BH113">
        <v>5.7045500000000002</v>
      </c>
      <c r="BJ113" s="1" t="s">
        <v>8674</v>
      </c>
      <c r="BK113" s="1" t="s">
        <v>8675</v>
      </c>
    </row>
    <row r="114" spans="1:63" x14ac:dyDescent="0.25">
      <c r="A114">
        <v>269</v>
      </c>
      <c r="B114">
        <v>731</v>
      </c>
      <c r="C114" t="s">
        <v>8445</v>
      </c>
      <c r="F114">
        <v>1009301</v>
      </c>
      <c r="G114" t="s">
        <v>6038</v>
      </c>
      <c r="H114" t="s">
        <v>6039</v>
      </c>
      <c r="I114" t="s">
        <v>8548</v>
      </c>
      <c r="J114">
        <v>0</v>
      </c>
      <c r="K114">
        <v>6</v>
      </c>
      <c r="L114">
        <v>0</v>
      </c>
      <c r="M114">
        <v>355400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510</v>
      </c>
      <c r="T114">
        <v>0</v>
      </c>
      <c r="U114">
        <v>0</v>
      </c>
      <c r="V114">
        <v>0</v>
      </c>
      <c r="W114" t="s">
        <v>8457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257</v>
      </c>
      <c r="AR114">
        <v>0</v>
      </c>
      <c r="AS114">
        <v>0</v>
      </c>
      <c r="AT114" t="s">
        <v>8549</v>
      </c>
      <c r="AU114">
        <v>39</v>
      </c>
      <c r="AV114">
        <v>0</v>
      </c>
      <c r="AW114" t="s">
        <v>8450</v>
      </c>
      <c r="AX114">
        <v>1</v>
      </c>
      <c r="AY114" t="s">
        <v>8497</v>
      </c>
      <c r="AZ114">
        <v>0</v>
      </c>
      <c r="BA114" t="s">
        <v>8449</v>
      </c>
      <c r="BB114">
        <v>1</v>
      </c>
      <c r="BC114" t="s">
        <v>8471</v>
      </c>
      <c r="BD114">
        <v>64.121200000000002</v>
      </c>
      <c r="BE114" t="s">
        <v>8546</v>
      </c>
      <c r="BF114" t="s">
        <v>8534</v>
      </c>
      <c r="BG114" t="s">
        <v>8495</v>
      </c>
      <c r="BH114">
        <v>5.84091</v>
      </c>
    </row>
    <row r="115" spans="1:63" x14ac:dyDescent="0.25">
      <c r="A115">
        <v>270</v>
      </c>
      <c r="B115">
        <v>145</v>
      </c>
      <c r="C115" t="s">
        <v>8445</v>
      </c>
      <c r="F115">
        <v>291720</v>
      </c>
      <c r="G115" t="s">
        <v>2115</v>
      </c>
      <c r="H115" t="s">
        <v>6915</v>
      </c>
      <c r="I115" t="s">
        <v>8525</v>
      </c>
      <c r="J115">
        <v>0</v>
      </c>
      <c r="K115">
        <v>6</v>
      </c>
      <c r="L115">
        <v>0</v>
      </c>
      <c r="M115">
        <v>353500</v>
      </c>
      <c r="N115">
        <v>124</v>
      </c>
      <c r="O115">
        <v>0</v>
      </c>
      <c r="P115">
        <v>2</v>
      </c>
      <c r="Q115">
        <v>0</v>
      </c>
      <c r="R115">
        <v>0</v>
      </c>
      <c r="S115">
        <v>425</v>
      </c>
      <c r="T115">
        <v>0</v>
      </c>
      <c r="U115">
        <v>0</v>
      </c>
      <c r="V115">
        <v>176</v>
      </c>
      <c r="W115" t="s">
        <v>8505</v>
      </c>
      <c r="X115">
        <v>0</v>
      </c>
      <c r="Y115">
        <v>15</v>
      </c>
      <c r="Z115">
        <v>0</v>
      </c>
      <c r="AA115">
        <v>9</v>
      </c>
      <c r="AB115">
        <v>0</v>
      </c>
      <c r="AC115">
        <v>7</v>
      </c>
      <c r="AD115">
        <v>0</v>
      </c>
      <c r="AE115">
        <v>4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3</v>
      </c>
      <c r="AP115">
        <v>62</v>
      </c>
      <c r="AQ115">
        <v>149</v>
      </c>
      <c r="AR115">
        <v>62</v>
      </c>
      <c r="AS115">
        <v>62</v>
      </c>
      <c r="AT115" t="s">
        <v>8524</v>
      </c>
      <c r="AU115">
        <v>49.714300000000001</v>
      </c>
      <c r="AV115">
        <v>1</v>
      </c>
      <c r="AW115" t="s">
        <v>8451</v>
      </c>
      <c r="AX115">
        <v>0</v>
      </c>
      <c r="AY115" t="s">
        <v>8468</v>
      </c>
      <c r="AZ115">
        <v>0</v>
      </c>
      <c r="BA115" t="s">
        <v>8513</v>
      </c>
      <c r="BB115">
        <v>1</v>
      </c>
      <c r="BC115" t="s">
        <v>8527</v>
      </c>
      <c r="BD115">
        <v>57.571399999999997</v>
      </c>
      <c r="BE115" t="s">
        <v>8464</v>
      </c>
      <c r="BF115" t="s">
        <v>8464</v>
      </c>
      <c r="BG115" t="s">
        <v>8463</v>
      </c>
      <c r="BH115">
        <v>3.3863599999999998</v>
      </c>
      <c r="BJ115" s="1" t="s">
        <v>8676</v>
      </c>
      <c r="BK115" s="1" t="s">
        <v>8677</v>
      </c>
    </row>
    <row r="116" spans="1:63" x14ac:dyDescent="0.25">
      <c r="A116">
        <v>271</v>
      </c>
      <c r="B116">
        <v>279</v>
      </c>
      <c r="C116" t="s">
        <v>8445</v>
      </c>
      <c r="F116">
        <v>1005992</v>
      </c>
      <c r="G116" t="s">
        <v>1087</v>
      </c>
      <c r="H116" t="s">
        <v>7137</v>
      </c>
      <c r="I116" t="s">
        <v>8489</v>
      </c>
      <c r="J116">
        <v>0</v>
      </c>
      <c r="K116">
        <v>6</v>
      </c>
      <c r="L116">
        <v>0</v>
      </c>
      <c r="M116">
        <v>371600</v>
      </c>
      <c r="N116">
        <v>334</v>
      </c>
      <c r="O116">
        <v>0</v>
      </c>
      <c r="P116">
        <v>4</v>
      </c>
      <c r="Q116">
        <v>0</v>
      </c>
      <c r="R116">
        <v>18200</v>
      </c>
      <c r="S116">
        <v>204</v>
      </c>
      <c r="T116">
        <v>0</v>
      </c>
      <c r="U116">
        <v>0</v>
      </c>
      <c r="V116">
        <v>410</v>
      </c>
      <c r="W116" t="s">
        <v>8475</v>
      </c>
      <c r="X116">
        <v>0</v>
      </c>
      <c r="Y116">
        <v>46</v>
      </c>
      <c r="Z116">
        <v>0</v>
      </c>
      <c r="AA116">
        <v>25</v>
      </c>
      <c r="AB116">
        <v>0</v>
      </c>
      <c r="AC116">
        <v>20</v>
      </c>
      <c r="AD116">
        <v>0</v>
      </c>
      <c r="AE116">
        <v>12</v>
      </c>
      <c r="AF116">
        <v>0</v>
      </c>
      <c r="AG116">
        <v>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2</v>
      </c>
      <c r="AP116">
        <v>83.5</v>
      </c>
      <c r="AQ116">
        <v>926</v>
      </c>
      <c r="AR116">
        <v>83.5</v>
      </c>
      <c r="AS116">
        <v>79.666700000000006</v>
      </c>
      <c r="AT116" t="s">
        <v>8490</v>
      </c>
      <c r="AU116">
        <v>0</v>
      </c>
      <c r="AV116">
        <v>1</v>
      </c>
      <c r="AW116" t="s">
        <v>8491</v>
      </c>
      <c r="AX116">
        <v>0</v>
      </c>
      <c r="AY116" t="s">
        <v>8492</v>
      </c>
      <c r="AZ116">
        <v>1</v>
      </c>
      <c r="BA116" t="s">
        <v>8493</v>
      </c>
      <c r="BB116">
        <v>0</v>
      </c>
      <c r="BC116" t="s">
        <v>8471</v>
      </c>
      <c r="BD116">
        <v>55.75</v>
      </c>
      <c r="BE116" t="s">
        <v>8453</v>
      </c>
      <c r="BF116" t="s">
        <v>8494</v>
      </c>
      <c r="BG116" t="s">
        <v>8495</v>
      </c>
      <c r="BH116">
        <v>21.045500000000001</v>
      </c>
      <c r="BJ116" s="1" t="s">
        <v>8678</v>
      </c>
      <c r="BK116" s="1" t="s">
        <v>8679</v>
      </c>
    </row>
    <row r="117" spans="1:63" x14ac:dyDescent="0.25">
      <c r="A117">
        <v>272</v>
      </c>
      <c r="B117">
        <v>430</v>
      </c>
      <c r="C117" t="s">
        <v>8473</v>
      </c>
      <c r="D117">
        <v>116970</v>
      </c>
      <c r="E117" t="s">
        <v>8474</v>
      </c>
      <c r="F117">
        <v>1023473</v>
      </c>
      <c r="G117" t="s">
        <v>740</v>
      </c>
      <c r="H117" t="s">
        <v>1797</v>
      </c>
      <c r="I117" t="s">
        <v>8480</v>
      </c>
      <c r="J117">
        <v>0</v>
      </c>
      <c r="K117">
        <v>6</v>
      </c>
      <c r="L117">
        <v>0</v>
      </c>
      <c r="M117">
        <v>401100</v>
      </c>
      <c r="N117">
        <v>361</v>
      </c>
      <c r="O117">
        <v>0</v>
      </c>
      <c r="P117">
        <v>5</v>
      </c>
      <c r="Q117">
        <v>0</v>
      </c>
      <c r="R117">
        <v>48200</v>
      </c>
      <c r="S117">
        <v>155</v>
      </c>
      <c r="T117">
        <v>0</v>
      </c>
      <c r="U117">
        <v>0</v>
      </c>
      <c r="V117">
        <v>496</v>
      </c>
      <c r="W117" t="s">
        <v>8481</v>
      </c>
      <c r="X117">
        <v>0</v>
      </c>
      <c r="Y117">
        <v>34</v>
      </c>
      <c r="Z117">
        <v>0</v>
      </c>
      <c r="AA117">
        <v>29</v>
      </c>
      <c r="AB117">
        <v>0</v>
      </c>
      <c r="AC117">
        <v>13</v>
      </c>
      <c r="AD117">
        <v>0</v>
      </c>
      <c r="AE117">
        <v>14</v>
      </c>
      <c r="AF117">
        <v>0</v>
      </c>
      <c r="AG117">
        <v>10</v>
      </c>
      <c r="AH117">
        <v>0</v>
      </c>
      <c r="AI117">
        <v>-6</v>
      </c>
      <c r="AJ117">
        <v>0</v>
      </c>
      <c r="AK117">
        <v>0</v>
      </c>
      <c r="AL117">
        <v>0</v>
      </c>
      <c r="AM117">
        <v>6</v>
      </c>
      <c r="AN117">
        <v>0</v>
      </c>
      <c r="AO117">
        <v>3</v>
      </c>
      <c r="AP117">
        <v>72.2</v>
      </c>
      <c r="AQ117">
        <v>2227</v>
      </c>
      <c r="AR117">
        <v>72.2</v>
      </c>
      <c r="AS117">
        <v>82</v>
      </c>
      <c r="AT117" t="s">
        <v>8482</v>
      </c>
      <c r="AU117">
        <v>59.5</v>
      </c>
      <c r="AV117">
        <v>1</v>
      </c>
      <c r="AW117" t="s">
        <v>8483</v>
      </c>
      <c r="AX117">
        <v>0</v>
      </c>
      <c r="AY117" t="s">
        <v>8461</v>
      </c>
      <c r="AZ117">
        <v>0</v>
      </c>
      <c r="BA117" t="s">
        <v>8460</v>
      </c>
      <c r="BB117">
        <v>1</v>
      </c>
      <c r="BC117" t="s">
        <v>8484</v>
      </c>
      <c r="BD117">
        <v>74.444400000000002</v>
      </c>
      <c r="BE117" t="s">
        <v>8455</v>
      </c>
      <c r="BF117" t="s">
        <v>8464</v>
      </c>
      <c r="BG117" t="s">
        <v>8464</v>
      </c>
      <c r="BH117">
        <v>50.613599999999998</v>
      </c>
      <c r="BJ117" s="1" t="s">
        <v>8680</v>
      </c>
      <c r="BK117" s="1" t="s">
        <v>8681</v>
      </c>
    </row>
    <row r="118" spans="1:63" x14ac:dyDescent="0.25">
      <c r="A118">
        <v>274</v>
      </c>
      <c r="B118">
        <v>647</v>
      </c>
      <c r="C118" t="s">
        <v>8445</v>
      </c>
      <c r="F118">
        <v>1027875</v>
      </c>
      <c r="G118" t="s">
        <v>3105</v>
      </c>
      <c r="H118" t="s">
        <v>4614</v>
      </c>
      <c r="I118" t="s">
        <v>8549</v>
      </c>
      <c r="J118">
        <v>0</v>
      </c>
      <c r="K118">
        <v>6</v>
      </c>
      <c r="L118">
        <v>0</v>
      </c>
      <c r="M118">
        <v>310900</v>
      </c>
      <c r="N118">
        <v>311</v>
      </c>
      <c r="O118">
        <v>0</v>
      </c>
      <c r="P118">
        <v>5</v>
      </c>
      <c r="Q118">
        <v>0</v>
      </c>
      <c r="R118">
        <v>-41000</v>
      </c>
      <c r="S118">
        <v>239</v>
      </c>
      <c r="T118">
        <v>0</v>
      </c>
      <c r="U118">
        <v>0</v>
      </c>
      <c r="V118">
        <v>545</v>
      </c>
      <c r="W118" t="s">
        <v>8475</v>
      </c>
      <c r="X118">
        <v>0</v>
      </c>
      <c r="Y118">
        <v>62</v>
      </c>
      <c r="Z118">
        <v>0</v>
      </c>
      <c r="AA118">
        <v>30</v>
      </c>
      <c r="AB118">
        <v>0</v>
      </c>
      <c r="AC118">
        <v>21</v>
      </c>
      <c r="AD118">
        <v>0</v>
      </c>
      <c r="AE118">
        <v>13</v>
      </c>
      <c r="AF118">
        <v>0</v>
      </c>
      <c r="AG118">
        <v>4</v>
      </c>
      <c r="AH118">
        <v>0</v>
      </c>
      <c r="AI118">
        <v>-2</v>
      </c>
      <c r="AJ118">
        <v>0</v>
      </c>
      <c r="AK118">
        <v>0</v>
      </c>
      <c r="AL118">
        <v>0</v>
      </c>
      <c r="AM118">
        <v>2</v>
      </c>
      <c r="AN118">
        <v>0</v>
      </c>
      <c r="AO118">
        <v>2</v>
      </c>
      <c r="AP118">
        <v>62.2</v>
      </c>
      <c r="AQ118">
        <v>1327</v>
      </c>
      <c r="AR118">
        <v>62.2</v>
      </c>
      <c r="AS118">
        <v>56.666699999999999</v>
      </c>
      <c r="AT118" t="s">
        <v>8548</v>
      </c>
      <c r="AU118">
        <v>69</v>
      </c>
      <c r="AV118">
        <v>1</v>
      </c>
      <c r="AW118" t="s">
        <v>8492</v>
      </c>
      <c r="AX118">
        <v>0</v>
      </c>
      <c r="AY118" t="s">
        <v>8513</v>
      </c>
      <c r="AZ118">
        <v>0</v>
      </c>
      <c r="BA118" t="s">
        <v>8514</v>
      </c>
      <c r="BB118">
        <v>0</v>
      </c>
      <c r="BC118" t="s">
        <v>8471</v>
      </c>
      <c r="BD118">
        <v>60.866700000000002</v>
      </c>
      <c r="BE118" t="s">
        <v>8455</v>
      </c>
      <c r="BF118" t="s">
        <v>8455</v>
      </c>
      <c r="BG118" t="s">
        <v>8464</v>
      </c>
      <c r="BH118">
        <v>30.159099999999999</v>
      </c>
      <c r="BJ118" s="1" t="s">
        <v>8682</v>
      </c>
      <c r="BK118" s="1" t="s">
        <v>8683</v>
      </c>
    </row>
    <row r="119" spans="1:63" x14ac:dyDescent="0.25">
      <c r="A119">
        <v>277</v>
      </c>
      <c r="B119">
        <v>734</v>
      </c>
      <c r="C119" t="s">
        <v>8445</v>
      </c>
      <c r="F119">
        <v>1006127</v>
      </c>
      <c r="G119" t="s">
        <v>7437</v>
      </c>
      <c r="H119" t="s">
        <v>4699</v>
      </c>
      <c r="I119" t="s">
        <v>8548</v>
      </c>
      <c r="J119">
        <v>0</v>
      </c>
      <c r="K119">
        <v>6</v>
      </c>
      <c r="L119">
        <v>0</v>
      </c>
      <c r="M119">
        <v>331400</v>
      </c>
      <c r="N119">
        <v>341</v>
      </c>
      <c r="O119">
        <v>0</v>
      </c>
      <c r="P119">
        <v>5</v>
      </c>
      <c r="Q119">
        <v>0</v>
      </c>
      <c r="R119">
        <v>-19600</v>
      </c>
      <c r="S119">
        <v>191</v>
      </c>
      <c r="T119">
        <v>0</v>
      </c>
      <c r="U119">
        <v>0</v>
      </c>
      <c r="V119">
        <v>512</v>
      </c>
      <c r="W119" t="s">
        <v>8475</v>
      </c>
      <c r="X119">
        <v>0</v>
      </c>
      <c r="Y119">
        <v>34</v>
      </c>
      <c r="Z119">
        <v>0</v>
      </c>
      <c r="AA119">
        <v>42</v>
      </c>
      <c r="AB119">
        <v>0</v>
      </c>
      <c r="AC119">
        <v>13</v>
      </c>
      <c r="AD119">
        <v>0</v>
      </c>
      <c r="AE119">
        <v>14</v>
      </c>
      <c r="AF119">
        <v>0</v>
      </c>
      <c r="AG119">
        <v>6</v>
      </c>
      <c r="AH119">
        <v>0</v>
      </c>
      <c r="AI119">
        <v>-9</v>
      </c>
      <c r="AJ119">
        <v>0</v>
      </c>
      <c r="AK119">
        <v>0</v>
      </c>
      <c r="AL119">
        <v>0</v>
      </c>
      <c r="AM119">
        <v>4</v>
      </c>
      <c r="AN119">
        <v>0</v>
      </c>
      <c r="AO119">
        <v>6</v>
      </c>
      <c r="AP119">
        <v>68.2</v>
      </c>
      <c r="AQ119">
        <v>295</v>
      </c>
      <c r="AR119">
        <v>68.2</v>
      </c>
      <c r="AS119">
        <v>70.666700000000006</v>
      </c>
      <c r="AT119" t="s">
        <v>8549</v>
      </c>
      <c r="AU119">
        <v>58.333300000000001</v>
      </c>
      <c r="AV119">
        <v>0</v>
      </c>
      <c r="AW119" t="s">
        <v>8450</v>
      </c>
      <c r="AX119">
        <v>1</v>
      </c>
      <c r="AY119" t="s">
        <v>8497</v>
      </c>
      <c r="AZ119">
        <v>0</v>
      </c>
      <c r="BA119" t="s">
        <v>8449</v>
      </c>
      <c r="BB119">
        <v>1</v>
      </c>
      <c r="BC119" t="s">
        <v>8471</v>
      </c>
      <c r="BD119">
        <v>61.1</v>
      </c>
      <c r="BE119" t="s">
        <v>8546</v>
      </c>
      <c r="BF119" t="s">
        <v>8534</v>
      </c>
      <c r="BG119" t="s">
        <v>8495</v>
      </c>
      <c r="BH119">
        <v>6.7045500000000002</v>
      </c>
      <c r="BJ119">
        <v>0.666015625</v>
      </c>
      <c r="BK119" s="1" t="s">
        <v>8684</v>
      </c>
    </row>
    <row r="120" spans="1:63" x14ac:dyDescent="0.25">
      <c r="A120">
        <v>278</v>
      </c>
      <c r="B120">
        <v>224</v>
      </c>
      <c r="C120" t="s">
        <v>8445</v>
      </c>
      <c r="F120">
        <v>997033</v>
      </c>
      <c r="G120" t="s">
        <v>7952</v>
      </c>
      <c r="H120" t="s">
        <v>5686</v>
      </c>
      <c r="I120" t="s">
        <v>8502</v>
      </c>
      <c r="J120">
        <v>0</v>
      </c>
      <c r="K120">
        <v>6</v>
      </c>
      <c r="L120">
        <v>0</v>
      </c>
      <c r="M120">
        <v>327100</v>
      </c>
      <c r="N120">
        <v>309</v>
      </c>
      <c r="O120">
        <v>0</v>
      </c>
      <c r="P120">
        <v>5</v>
      </c>
      <c r="Q120">
        <v>0</v>
      </c>
      <c r="R120">
        <v>-23700</v>
      </c>
      <c r="S120">
        <v>243</v>
      </c>
      <c r="T120">
        <v>0</v>
      </c>
      <c r="U120">
        <v>0</v>
      </c>
      <c r="V120">
        <v>503</v>
      </c>
      <c r="W120" t="s">
        <v>8475</v>
      </c>
      <c r="X120">
        <v>0</v>
      </c>
      <c r="Y120">
        <v>41</v>
      </c>
      <c r="Z120">
        <v>0</v>
      </c>
      <c r="AA120">
        <v>20</v>
      </c>
      <c r="AB120">
        <v>0</v>
      </c>
      <c r="AC120">
        <v>28</v>
      </c>
      <c r="AD120">
        <v>0</v>
      </c>
      <c r="AE120">
        <v>3</v>
      </c>
      <c r="AF120">
        <v>0</v>
      </c>
      <c r="AG120">
        <v>1</v>
      </c>
      <c r="AH120">
        <v>0</v>
      </c>
      <c r="AI120">
        <v>-5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61.8</v>
      </c>
      <c r="AQ120">
        <v>232</v>
      </c>
      <c r="AR120">
        <v>61.8</v>
      </c>
      <c r="AS120">
        <v>69.333299999999994</v>
      </c>
      <c r="AT120" t="s">
        <v>8501</v>
      </c>
      <c r="AU120">
        <v>67.375</v>
      </c>
      <c r="AV120">
        <v>1</v>
      </c>
      <c r="AW120" t="s">
        <v>8469</v>
      </c>
      <c r="AX120">
        <v>0</v>
      </c>
      <c r="AY120" t="s">
        <v>8470</v>
      </c>
      <c r="AZ120">
        <v>1</v>
      </c>
      <c r="BA120" t="s">
        <v>8530</v>
      </c>
      <c r="BB120">
        <v>0</v>
      </c>
      <c r="BC120" t="s">
        <v>8484</v>
      </c>
      <c r="BD120">
        <v>61.222200000000001</v>
      </c>
      <c r="BE120" t="s">
        <v>8463</v>
      </c>
      <c r="BF120" t="s">
        <v>8455</v>
      </c>
      <c r="BG120" t="s">
        <v>8463</v>
      </c>
      <c r="BH120">
        <v>5.2727300000000001</v>
      </c>
      <c r="BJ120">
        <v>0.61431411530815105</v>
      </c>
      <c r="BK120" s="1" t="s">
        <v>8685</v>
      </c>
    </row>
    <row r="121" spans="1:63" x14ac:dyDescent="0.25">
      <c r="A121">
        <v>279</v>
      </c>
      <c r="B121">
        <v>468</v>
      </c>
      <c r="C121" t="s">
        <v>8445</v>
      </c>
      <c r="F121">
        <v>999391</v>
      </c>
      <c r="G121" t="s">
        <v>776</v>
      </c>
      <c r="H121" t="s">
        <v>7697</v>
      </c>
      <c r="I121" t="s">
        <v>8501</v>
      </c>
      <c r="J121">
        <v>0</v>
      </c>
      <c r="K121">
        <v>6</v>
      </c>
      <c r="L121">
        <v>0</v>
      </c>
      <c r="M121">
        <v>289800</v>
      </c>
      <c r="N121">
        <v>265</v>
      </c>
      <c r="O121">
        <v>0</v>
      </c>
      <c r="P121">
        <v>5</v>
      </c>
      <c r="Q121">
        <v>0</v>
      </c>
      <c r="R121">
        <v>-58400</v>
      </c>
      <c r="S121">
        <v>287</v>
      </c>
      <c r="T121">
        <v>0</v>
      </c>
      <c r="U121">
        <v>0</v>
      </c>
      <c r="V121">
        <v>491</v>
      </c>
      <c r="W121" t="s">
        <v>8475</v>
      </c>
      <c r="X121">
        <v>0</v>
      </c>
      <c r="Y121">
        <v>40</v>
      </c>
      <c r="Z121">
        <v>0</v>
      </c>
      <c r="AA121">
        <v>30</v>
      </c>
      <c r="AB121">
        <v>0</v>
      </c>
      <c r="AC121">
        <v>16</v>
      </c>
      <c r="AD121">
        <v>0</v>
      </c>
      <c r="AE121">
        <v>16</v>
      </c>
      <c r="AF121">
        <v>0</v>
      </c>
      <c r="AG121">
        <v>3</v>
      </c>
      <c r="AH121">
        <v>0</v>
      </c>
      <c r="AI121">
        <v>-3</v>
      </c>
      <c r="AJ121">
        <v>0</v>
      </c>
      <c r="AK121">
        <v>0</v>
      </c>
      <c r="AL121">
        <v>0</v>
      </c>
      <c r="AM121">
        <v>2</v>
      </c>
      <c r="AN121">
        <v>0</v>
      </c>
      <c r="AO121">
        <v>4</v>
      </c>
      <c r="AP121">
        <v>53</v>
      </c>
      <c r="AQ121">
        <v>226</v>
      </c>
      <c r="AR121">
        <v>53</v>
      </c>
      <c r="AS121">
        <v>37.666699999999999</v>
      </c>
      <c r="AT121" t="s">
        <v>8502</v>
      </c>
      <c r="AU121">
        <v>67.5</v>
      </c>
      <c r="AV121">
        <v>0</v>
      </c>
      <c r="AW121" t="s">
        <v>8461</v>
      </c>
      <c r="AX121">
        <v>0</v>
      </c>
      <c r="AY121" t="s">
        <v>8483</v>
      </c>
      <c r="AZ121">
        <v>1</v>
      </c>
      <c r="BA121" t="s">
        <v>8459</v>
      </c>
      <c r="BB121">
        <v>0</v>
      </c>
      <c r="BC121" t="s">
        <v>8484</v>
      </c>
      <c r="BD121">
        <v>65.116299999999995</v>
      </c>
      <c r="BE121" t="s">
        <v>8464</v>
      </c>
      <c r="BF121" t="s">
        <v>8463</v>
      </c>
      <c r="BG121" t="s">
        <v>8464</v>
      </c>
      <c r="BH121">
        <v>5.1363599999999998</v>
      </c>
      <c r="BJ121">
        <v>0.53971486761710796</v>
      </c>
      <c r="BK121" s="1" t="s">
        <v>8686</v>
      </c>
    </row>
    <row r="122" spans="1:63" x14ac:dyDescent="0.25">
      <c r="A122">
        <v>280</v>
      </c>
      <c r="B122">
        <v>203</v>
      </c>
      <c r="C122" t="s">
        <v>8445</v>
      </c>
      <c r="F122">
        <v>1015873</v>
      </c>
      <c r="G122" t="s">
        <v>7777</v>
      </c>
      <c r="H122" t="s">
        <v>7778</v>
      </c>
      <c r="I122" t="s">
        <v>8458</v>
      </c>
      <c r="J122">
        <v>0</v>
      </c>
      <c r="K122">
        <v>6</v>
      </c>
      <c r="L122">
        <v>0</v>
      </c>
      <c r="M122">
        <v>335400</v>
      </c>
      <c r="N122">
        <v>179</v>
      </c>
      <c r="O122">
        <v>0</v>
      </c>
      <c r="P122">
        <v>3</v>
      </c>
      <c r="Q122">
        <v>0</v>
      </c>
      <c r="R122">
        <v>-12700</v>
      </c>
      <c r="S122">
        <v>374</v>
      </c>
      <c r="T122">
        <v>0</v>
      </c>
      <c r="U122">
        <v>0</v>
      </c>
      <c r="V122">
        <v>317</v>
      </c>
      <c r="W122" t="s">
        <v>8505</v>
      </c>
      <c r="X122">
        <v>0</v>
      </c>
      <c r="Y122">
        <v>29</v>
      </c>
      <c r="Z122">
        <v>0</v>
      </c>
      <c r="AA122">
        <v>27</v>
      </c>
      <c r="AB122">
        <v>0</v>
      </c>
      <c r="AC122">
        <v>11</v>
      </c>
      <c r="AD122">
        <v>0</v>
      </c>
      <c r="AE122">
        <v>6</v>
      </c>
      <c r="AF122">
        <v>0</v>
      </c>
      <c r="AG122">
        <v>3</v>
      </c>
      <c r="AH122">
        <v>0</v>
      </c>
      <c r="AI122">
        <v>-2</v>
      </c>
      <c r="AJ122">
        <v>0</v>
      </c>
      <c r="AK122">
        <v>0</v>
      </c>
      <c r="AL122">
        <v>0</v>
      </c>
      <c r="AM122">
        <v>2</v>
      </c>
      <c r="AN122">
        <v>0</v>
      </c>
      <c r="AO122">
        <v>2</v>
      </c>
      <c r="AP122">
        <v>59.666699999999999</v>
      </c>
      <c r="AQ122">
        <v>335</v>
      </c>
      <c r="AR122">
        <v>59.666699999999999</v>
      </c>
      <c r="AS122">
        <v>59.666699999999999</v>
      </c>
      <c r="AT122" t="s">
        <v>8456</v>
      </c>
      <c r="AU122">
        <v>68.5</v>
      </c>
      <c r="AV122">
        <v>1</v>
      </c>
      <c r="AW122" t="s">
        <v>8530</v>
      </c>
      <c r="AX122">
        <v>1</v>
      </c>
      <c r="AY122" t="s">
        <v>8526</v>
      </c>
      <c r="AZ122">
        <v>0</v>
      </c>
      <c r="BA122" t="s">
        <v>8491</v>
      </c>
      <c r="BB122">
        <v>0</v>
      </c>
      <c r="BC122" t="s">
        <v>8462</v>
      </c>
      <c r="BD122">
        <v>60</v>
      </c>
      <c r="BE122" t="s">
        <v>8464</v>
      </c>
      <c r="BF122" t="s">
        <v>8455</v>
      </c>
      <c r="BG122" t="s">
        <v>8455</v>
      </c>
      <c r="BH122">
        <v>7.6136400000000002</v>
      </c>
      <c r="BJ122" s="1" t="s">
        <v>8687</v>
      </c>
      <c r="BK122">
        <v>5621.2259099296598</v>
      </c>
    </row>
    <row r="123" spans="1:63" x14ac:dyDescent="0.25">
      <c r="A123">
        <v>283</v>
      </c>
      <c r="B123">
        <v>63</v>
      </c>
      <c r="C123" t="s">
        <v>8445</v>
      </c>
      <c r="F123">
        <v>993953</v>
      </c>
      <c r="G123" t="s">
        <v>1863</v>
      </c>
      <c r="H123" t="s">
        <v>7538</v>
      </c>
      <c r="I123" t="s">
        <v>8524</v>
      </c>
      <c r="J123">
        <v>0</v>
      </c>
      <c r="K123">
        <v>6</v>
      </c>
      <c r="L123">
        <v>0</v>
      </c>
      <c r="M123">
        <v>290900</v>
      </c>
      <c r="N123">
        <v>273</v>
      </c>
      <c r="O123">
        <v>0</v>
      </c>
      <c r="P123">
        <v>5</v>
      </c>
      <c r="Q123">
        <v>0</v>
      </c>
      <c r="R123">
        <v>-56100</v>
      </c>
      <c r="S123">
        <v>277</v>
      </c>
      <c r="T123">
        <v>0</v>
      </c>
      <c r="U123">
        <v>0</v>
      </c>
      <c r="V123">
        <v>526</v>
      </c>
      <c r="W123" t="s">
        <v>8475</v>
      </c>
      <c r="X123">
        <v>0</v>
      </c>
      <c r="Y123">
        <v>38</v>
      </c>
      <c r="Z123">
        <v>0</v>
      </c>
      <c r="AA123">
        <v>10</v>
      </c>
      <c r="AB123">
        <v>0</v>
      </c>
      <c r="AC123">
        <v>25</v>
      </c>
      <c r="AD123">
        <v>0</v>
      </c>
      <c r="AE123">
        <v>6</v>
      </c>
      <c r="AF123">
        <v>0</v>
      </c>
      <c r="AG123">
        <v>1</v>
      </c>
      <c r="AH123">
        <v>0</v>
      </c>
      <c r="AI123">
        <v>-5</v>
      </c>
      <c r="AJ123">
        <v>0</v>
      </c>
      <c r="AK123">
        <v>1</v>
      </c>
      <c r="AL123">
        <v>0</v>
      </c>
      <c r="AM123">
        <v>10</v>
      </c>
      <c r="AN123">
        <v>0</v>
      </c>
      <c r="AO123">
        <v>4</v>
      </c>
      <c r="AP123">
        <v>54.6</v>
      </c>
      <c r="AQ123">
        <v>183</v>
      </c>
      <c r="AR123">
        <v>54.6</v>
      </c>
      <c r="AS123">
        <v>52.333300000000001</v>
      </c>
      <c r="AT123" t="s">
        <v>8525</v>
      </c>
      <c r="AU123">
        <v>54.5</v>
      </c>
      <c r="AV123">
        <v>0</v>
      </c>
      <c r="AW123" t="s">
        <v>8470</v>
      </c>
      <c r="AX123">
        <v>1</v>
      </c>
      <c r="AY123" t="s">
        <v>8449</v>
      </c>
      <c r="AZ123">
        <v>0</v>
      </c>
      <c r="BA123" t="s">
        <v>8526</v>
      </c>
      <c r="BB123">
        <v>1</v>
      </c>
      <c r="BC123" t="s">
        <v>8527</v>
      </c>
      <c r="BD123">
        <v>57.228900000000003</v>
      </c>
      <c r="BE123" t="s">
        <v>8455</v>
      </c>
      <c r="BF123" t="s">
        <v>8494</v>
      </c>
      <c r="BG123" t="s">
        <v>8498</v>
      </c>
      <c r="BH123">
        <v>4.15909</v>
      </c>
      <c r="BJ123" s="1" t="s">
        <v>8688</v>
      </c>
      <c r="BK123" s="1" t="s">
        <v>8689</v>
      </c>
    </row>
    <row r="124" spans="1:63" x14ac:dyDescent="0.25">
      <c r="A124">
        <v>284</v>
      </c>
      <c r="B124">
        <v>480</v>
      </c>
      <c r="C124" t="s">
        <v>8445</v>
      </c>
      <c r="F124">
        <v>294508</v>
      </c>
      <c r="G124" t="s">
        <v>7115</v>
      </c>
      <c r="H124" t="s">
        <v>7116</v>
      </c>
      <c r="I124" t="s">
        <v>8467</v>
      </c>
      <c r="J124">
        <v>0</v>
      </c>
      <c r="K124">
        <v>6</v>
      </c>
      <c r="L124">
        <v>0</v>
      </c>
      <c r="M124">
        <v>364500</v>
      </c>
      <c r="N124">
        <v>376</v>
      </c>
      <c r="O124">
        <v>0</v>
      </c>
      <c r="P124">
        <v>5</v>
      </c>
      <c r="Q124">
        <v>0</v>
      </c>
      <c r="R124">
        <v>17800</v>
      </c>
      <c r="S124">
        <v>133</v>
      </c>
      <c r="T124">
        <v>0</v>
      </c>
      <c r="U124">
        <v>0</v>
      </c>
      <c r="V124">
        <v>593</v>
      </c>
      <c r="W124" t="s">
        <v>8481</v>
      </c>
      <c r="X124">
        <v>0</v>
      </c>
      <c r="Y124">
        <v>61</v>
      </c>
      <c r="Z124">
        <v>0</v>
      </c>
      <c r="AA124">
        <v>20</v>
      </c>
      <c r="AB124">
        <v>0</v>
      </c>
      <c r="AC124">
        <v>22</v>
      </c>
      <c r="AD124">
        <v>0</v>
      </c>
      <c r="AE124">
        <v>10</v>
      </c>
      <c r="AF124">
        <v>0</v>
      </c>
      <c r="AG124">
        <v>3</v>
      </c>
      <c r="AH124">
        <v>0</v>
      </c>
      <c r="AI124">
        <v>-6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75.2</v>
      </c>
      <c r="AQ124">
        <v>464</v>
      </c>
      <c r="AR124">
        <v>75.2</v>
      </c>
      <c r="AS124">
        <v>72</v>
      </c>
      <c r="AT124" t="s">
        <v>8465</v>
      </c>
      <c r="AU124">
        <v>59.625</v>
      </c>
      <c r="AV124">
        <v>0</v>
      </c>
      <c r="AW124" t="s">
        <v>8497</v>
      </c>
      <c r="AX124">
        <v>1</v>
      </c>
      <c r="AY124" t="s">
        <v>8451</v>
      </c>
      <c r="AZ124">
        <v>1</v>
      </c>
      <c r="BA124" t="s">
        <v>8492</v>
      </c>
      <c r="BB124">
        <v>0</v>
      </c>
      <c r="BC124" t="s">
        <v>8471</v>
      </c>
      <c r="BD124">
        <v>71.243899999999996</v>
      </c>
      <c r="BE124" t="s">
        <v>8472</v>
      </c>
      <c r="BF124" t="s">
        <v>8455</v>
      </c>
      <c r="BG124" t="s">
        <v>8498</v>
      </c>
      <c r="BH124">
        <v>10.545500000000001</v>
      </c>
      <c r="BJ124" s="1" t="s">
        <v>8690</v>
      </c>
      <c r="BK124" s="1" t="s">
        <v>8691</v>
      </c>
    </row>
    <row r="125" spans="1:63" x14ac:dyDescent="0.25">
      <c r="A125">
        <v>285</v>
      </c>
      <c r="B125">
        <v>59</v>
      </c>
      <c r="C125" t="s">
        <v>8473</v>
      </c>
      <c r="D125">
        <v>116793</v>
      </c>
      <c r="E125" t="s">
        <v>8692</v>
      </c>
      <c r="F125">
        <v>1023708</v>
      </c>
      <c r="G125" t="s">
        <v>7514</v>
      </c>
      <c r="H125" t="s">
        <v>2688</v>
      </c>
      <c r="I125" t="s">
        <v>8524</v>
      </c>
      <c r="J125">
        <v>0</v>
      </c>
      <c r="K125">
        <v>6</v>
      </c>
      <c r="L125">
        <v>0</v>
      </c>
      <c r="M125">
        <v>370700</v>
      </c>
      <c r="N125">
        <v>386</v>
      </c>
      <c r="O125">
        <v>0</v>
      </c>
      <c r="P125">
        <v>5</v>
      </c>
      <c r="Q125">
        <v>0</v>
      </c>
      <c r="R125">
        <v>24400</v>
      </c>
      <c r="S125">
        <v>124</v>
      </c>
      <c r="T125">
        <v>0</v>
      </c>
      <c r="U125">
        <v>0</v>
      </c>
      <c r="V125">
        <v>514</v>
      </c>
      <c r="W125" t="s">
        <v>8481</v>
      </c>
      <c r="X125">
        <v>0</v>
      </c>
      <c r="Y125">
        <v>65</v>
      </c>
      <c r="Z125">
        <v>0</v>
      </c>
      <c r="AA125">
        <v>26</v>
      </c>
      <c r="AB125">
        <v>0</v>
      </c>
      <c r="AC125">
        <v>28</v>
      </c>
      <c r="AD125">
        <v>0</v>
      </c>
      <c r="AE125">
        <v>7</v>
      </c>
      <c r="AF125">
        <v>0</v>
      </c>
      <c r="AG125">
        <v>2</v>
      </c>
      <c r="AH125">
        <v>0</v>
      </c>
      <c r="AI125">
        <v>-2</v>
      </c>
      <c r="AJ125">
        <v>0</v>
      </c>
      <c r="AK125">
        <v>0</v>
      </c>
      <c r="AL125">
        <v>0</v>
      </c>
      <c r="AM125">
        <v>2</v>
      </c>
      <c r="AN125">
        <v>0</v>
      </c>
      <c r="AO125">
        <v>0</v>
      </c>
      <c r="AP125">
        <v>77.2</v>
      </c>
      <c r="AQ125">
        <v>1241</v>
      </c>
      <c r="AR125">
        <v>77.2</v>
      </c>
      <c r="AS125">
        <v>80</v>
      </c>
      <c r="AT125" t="s">
        <v>8525</v>
      </c>
      <c r="AU125">
        <v>65.333299999999994</v>
      </c>
      <c r="AV125">
        <v>0</v>
      </c>
      <c r="AW125" t="s">
        <v>8470</v>
      </c>
      <c r="AX125">
        <v>1</v>
      </c>
      <c r="AY125" t="s">
        <v>8449</v>
      </c>
      <c r="AZ125">
        <v>0</v>
      </c>
      <c r="BA125" t="s">
        <v>8526</v>
      </c>
      <c r="BB125">
        <v>1</v>
      </c>
      <c r="BC125" t="s">
        <v>8527</v>
      </c>
      <c r="BD125">
        <v>59.263199999999998</v>
      </c>
      <c r="BE125" t="s">
        <v>8455</v>
      </c>
      <c r="BF125" t="s">
        <v>8494</v>
      </c>
      <c r="BG125" t="s">
        <v>8498</v>
      </c>
      <c r="BH125">
        <v>28.204499999999999</v>
      </c>
      <c r="BJ125" s="1" t="s">
        <v>8693</v>
      </c>
      <c r="BK125" s="1" t="s">
        <v>8694</v>
      </c>
    </row>
    <row r="126" spans="1:63" x14ac:dyDescent="0.25">
      <c r="A126">
        <v>286</v>
      </c>
      <c r="B126">
        <v>562</v>
      </c>
      <c r="C126" t="s">
        <v>8445</v>
      </c>
      <c r="F126">
        <v>1004034</v>
      </c>
      <c r="G126" t="s">
        <v>3213</v>
      </c>
      <c r="H126" t="s">
        <v>6104</v>
      </c>
      <c r="I126" t="s">
        <v>8448</v>
      </c>
      <c r="J126">
        <v>0</v>
      </c>
      <c r="K126">
        <v>6</v>
      </c>
      <c r="L126">
        <v>0</v>
      </c>
      <c r="M126">
        <v>345300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510</v>
      </c>
      <c r="T126">
        <v>0</v>
      </c>
      <c r="U126">
        <v>0</v>
      </c>
      <c r="V126">
        <v>0</v>
      </c>
      <c r="W126" t="s">
        <v>8447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73</v>
      </c>
      <c r="AR126">
        <v>0</v>
      </c>
      <c r="AS126">
        <v>0</v>
      </c>
      <c r="AT126" t="s">
        <v>8446</v>
      </c>
      <c r="AU126">
        <v>78.25</v>
      </c>
      <c r="AV126">
        <v>1</v>
      </c>
      <c r="AW126" t="s">
        <v>8526</v>
      </c>
      <c r="AX126">
        <v>0</v>
      </c>
      <c r="AY126" t="s">
        <v>8493</v>
      </c>
      <c r="AZ126">
        <v>1</v>
      </c>
      <c r="BA126" t="s">
        <v>8469</v>
      </c>
      <c r="BB126">
        <v>0</v>
      </c>
      <c r="BC126" t="s">
        <v>8452</v>
      </c>
      <c r="BD126">
        <v>47</v>
      </c>
      <c r="BE126" t="s">
        <v>8472</v>
      </c>
      <c r="BF126" t="s">
        <v>8534</v>
      </c>
      <c r="BG126" t="s">
        <v>8472</v>
      </c>
      <c r="BH126">
        <v>1.65909</v>
      </c>
    </row>
    <row r="127" spans="1:63" x14ac:dyDescent="0.25">
      <c r="A127">
        <v>287</v>
      </c>
      <c r="B127">
        <v>31</v>
      </c>
      <c r="C127" t="s">
        <v>8445</v>
      </c>
      <c r="F127">
        <v>1017051</v>
      </c>
      <c r="G127" t="s">
        <v>1318</v>
      </c>
      <c r="H127" t="s">
        <v>6448</v>
      </c>
      <c r="I127" t="s">
        <v>8511</v>
      </c>
      <c r="J127">
        <v>0</v>
      </c>
      <c r="K127">
        <v>6</v>
      </c>
      <c r="L127">
        <v>0</v>
      </c>
      <c r="M127">
        <v>351400</v>
      </c>
      <c r="N127">
        <v>221</v>
      </c>
      <c r="O127">
        <v>0</v>
      </c>
      <c r="P127">
        <v>3</v>
      </c>
      <c r="Q127">
        <v>0</v>
      </c>
      <c r="R127">
        <v>7500</v>
      </c>
      <c r="S127">
        <v>334</v>
      </c>
      <c r="T127">
        <v>0</v>
      </c>
      <c r="U127">
        <v>0</v>
      </c>
      <c r="V127">
        <v>230</v>
      </c>
      <c r="W127" t="s">
        <v>8505</v>
      </c>
      <c r="X127">
        <v>0</v>
      </c>
      <c r="Y127">
        <v>29</v>
      </c>
      <c r="Z127">
        <v>0</v>
      </c>
      <c r="AA127">
        <v>13</v>
      </c>
      <c r="AB127">
        <v>0</v>
      </c>
      <c r="AC127">
        <v>16</v>
      </c>
      <c r="AD127">
        <v>0</v>
      </c>
      <c r="AE127">
        <v>3</v>
      </c>
      <c r="AF127">
        <v>0</v>
      </c>
      <c r="AG127">
        <v>0</v>
      </c>
      <c r="AH127">
        <v>0</v>
      </c>
      <c r="AI127">
        <v>-2</v>
      </c>
      <c r="AJ127">
        <v>0</v>
      </c>
      <c r="AK127">
        <v>0</v>
      </c>
      <c r="AL127">
        <v>0</v>
      </c>
      <c r="AM127">
        <v>6</v>
      </c>
      <c r="AN127">
        <v>0</v>
      </c>
      <c r="AO127">
        <v>4</v>
      </c>
      <c r="AP127">
        <v>73.666700000000006</v>
      </c>
      <c r="AQ127">
        <v>1511</v>
      </c>
      <c r="AR127">
        <v>73.666700000000006</v>
      </c>
      <c r="AS127">
        <v>73.666700000000006</v>
      </c>
      <c r="AT127" t="s">
        <v>8512</v>
      </c>
      <c r="AU127">
        <v>65.5</v>
      </c>
      <c r="AV127">
        <v>0</v>
      </c>
      <c r="AW127" t="s">
        <v>8513</v>
      </c>
      <c r="AX127">
        <v>1</v>
      </c>
      <c r="AY127" t="s">
        <v>8514</v>
      </c>
      <c r="AZ127">
        <v>0</v>
      </c>
      <c r="BA127" t="s">
        <v>8497</v>
      </c>
      <c r="BB127">
        <v>1</v>
      </c>
      <c r="BC127" t="s">
        <v>8515</v>
      </c>
      <c r="BD127">
        <v>65.264700000000005</v>
      </c>
      <c r="BE127" t="s">
        <v>8463</v>
      </c>
      <c r="BF127" t="s">
        <v>8472</v>
      </c>
      <c r="BG127" t="s">
        <v>8472</v>
      </c>
      <c r="BH127">
        <v>34.340899999999998</v>
      </c>
      <c r="BJ127" s="1" t="s">
        <v>8695</v>
      </c>
      <c r="BK127" s="1" t="s">
        <v>8696</v>
      </c>
    </row>
    <row r="128" spans="1:63" x14ac:dyDescent="0.25">
      <c r="A128">
        <v>288</v>
      </c>
      <c r="B128">
        <v>261</v>
      </c>
      <c r="C128" t="s">
        <v>8445</v>
      </c>
      <c r="F128">
        <v>1008882</v>
      </c>
      <c r="G128" t="s">
        <v>5306</v>
      </c>
      <c r="H128" t="s">
        <v>6279</v>
      </c>
      <c r="I128" t="s">
        <v>8489</v>
      </c>
      <c r="J128">
        <v>0</v>
      </c>
      <c r="K128">
        <v>6</v>
      </c>
      <c r="L128">
        <v>0</v>
      </c>
      <c r="M128">
        <v>343900</v>
      </c>
      <c r="N128">
        <v>48</v>
      </c>
      <c r="O128">
        <v>0</v>
      </c>
      <c r="P128">
        <v>1</v>
      </c>
      <c r="Q128">
        <v>0</v>
      </c>
      <c r="R128">
        <v>0</v>
      </c>
      <c r="S128">
        <v>481</v>
      </c>
      <c r="T128">
        <v>0</v>
      </c>
      <c r="U128">
        <v>0</v>
      </c>
      <c r="V128">
        <v>58</v>
      </c>
      <c r="W128" t="s">
        <v>8466</v>
      </c>
      <c r="X128">
        <v>0</v>
      </c>
      <c r="Y128">
        <v>5</v>
      </c>
      <c r="Z128">
        <v>0</v>
      </c>
      <c r="AA128">
        <v>1</v>
      </c>
      <c r="AB128">
        <v>0</v>
      </c>
      <c r="AC128">
        <v>3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48</v>
      </c>
      <c r="AQ128">
        <v>78</v>
      </c>
      <c r="AR128">
        <v>48</v>
      </c>
      <c r="AS128">
        <v>48</v>
      </c>
      <c r="AT128" t="s">
        <v>8490</v>
      </c>
      <c r="AU128">
        <v>78</v>
      </c>
      <c r="AV128">
        <v>1</v>
      </c>
      <c r="AW128" t="s">
        <v>8491</v>
      </c>
      <c r="AX128">
        <v>0</v>
      </c>
      <c r="AY128" t="s">
        <v>8492</v>
      </c>
      <c r="AZ128">
        <v>1</v>
      </c>
      <c r="BA128" t="s">
        <v>8493</v>
      </c>
      <c r="BB128">
        <v>0</v>
      </c>
      <c r="BC128" t="s">
        <v>8471</v>
      </c>
      <c r="BD128">
        <v>66.777799999999999</v>
      </c>
      <c r="BE128" t="s">
        <v>8453</v>
      </c>
      <c r="BF128" t="s">
        <v>8494</v>
      </c>
      <c r="BG128" t="s">
        <v>8495</v>
      </c>
      <c r="BH128">
        <v>1.7727299999999999</v>
      </c>
      <c r="BJ128" s="1" t="s">
        <v>8697</v>
      </c>
      <c r="BK128" s="1" t="s">
        <v>8698</v>
      </c>
    </row>
    <row r="129" spans="1:63" x14ac:dyDescent="0.25">
      <c r="A129">
        <v>289</v>
      </c>
      <c r="B129">
        <v>634</v>
      </c>
      <c r="C129" t="s">
        <v>8445</v>
      </c>
      <c r="F129">
        <v>1023272</v>
      </c>
      <c r="G129" t="s">
        <v>1718</v>
      </c>
      <c r="H129" t="s">
        <v>8065</v>
      </c>
      <c r="I129" t="s">
        <v>8549</v>
      </c>
      <c r="J129">
        <v>0</v>
      </c>
      <c r="K129">
        <v>6</v>
      </c>
      <c r="L129">
        <v>0</v>
      </c>
      <c r="M129">
        <v>347100</v>
      </c>
      <c r="N129">
        <v>263</v>
      </c>
      <c r="O129">
        <v>0</v>
      </c>
      <c r="P129">
        <v>4</v>
      </c>
      <c r="Q129">
        <v>0</v>
      </c>
      <c r="R129">
        <v>3200</v>
      </c>
      <c r="S129">
        <v>289</v>
      </c>
      <c r="T129">
        <v>0</v>
      </c>
      <c r="U129">
        <v>0</v>
      </c>
      <c r="V129">
        <v>448</v>
      </c>
      <c r="W129" t="s">
        <v>8475</v>
      </c>
      <c r="X129">
        <v>0</v>
      </c>
      <c r="Y129">
        <v>28</v>
      </c>
      <c r="Z129">
        <v>0</v>
      </c>
      <c r="AA129">
        <v>16</v>
      </c>
      <c r="AB129">
        <v>0</v>
      </c>
      <c r="AC129">
        <v>13</v>
      </c>
      <c r="AD129">
        <v>0</v>
      </c>
      <c r="AE129">
        <v>6</v>
      </c>
      <c r="AF129">
        <v>0</v>
      </c>
      <c r="AG129">
        <v>5</v>
      </c>
      <c r="AH129">
        <v>0</v>
      </c>
      <c r="AI129">
        <v>-6</v>
      </c>
      <c r="AJ129">
        <v>0</v>
      </c>
      <c r="AK129">
        <v>9</v>
      </c>
      <c r="AL129">
        <v>0</v>
      </c>
      <c r="AM129">
        <v>8</v>
      </c>
      <c r="AN129">
        <v>0</v>
      </c>
      <c r="AO129">
        <v>4</v>
      </c>
      <c r="AP129">
        <v>65.75</v>
      </c>
      <c r="AQ129">
        <v>949</v>
      </c>
      <c r="AR129">
        <v>65.75</v>
      </c>
      <c r="AS129">
        <v>64.333299999999994</v>
      </c>
      <c r="AT129" t="s">
        <v>8548</v>
      </c>
      <c r="AU129">
        <v>77</v>
      </c>
      <c r="AV129">
        <v>1</v>
      </c>
      <c r="AW129" t="s">
        <v>8492</v>
      </c>
      <c r="AX129">
        <v>0</v>
      </c>
      <c r="AY129" t="s">
        <v>8513</v>
      </c>
      <c r="AZ129">
        <v>0</v>
      </c>
      <c r="BA129" t="s">
        <v>8514</v>
      </c>
      <c r="BB129">
        <v>0</v>
      </c>
      <c r="BC129" t="s">
        <v>8471</v>
      </c>
      <c r="BD129">
        <v>70.515199999999993</v>
      </c>
      <c r="BE129" t="s">
        <v>8455</v>
      </c>
      <c r="BF129" t="s">
        <v>8455</v>
      </c>
      <c r="BG129" t="s">
        <v>8464</v>
      </c>
      <c r="BH129">
        <v>21.568200000000001</v>
      </c>
      <c r="BJ129" s="1" t="s">
        <v>8699</v>
      </c>
      <c r="BK129" s="1" t="s">
        <v>8700</v>
      </c>
    </row>
    <row r="130" spans="1:63" x14ac:dyDescent="0.25">
      <c r="A130">
        <v>291</v>
      </c>
      <c r="B130">
        <v>530</v>
      </c>
      <c r="C130" t="s">
        <v>8445</v>
      </c>
      <c r="F130">
        <v>991930</v>
      </c>
      <c r="G130" t="s">
        <v>3105</v>
      </c>
      <c r="H130" t="s">
        <v>6606</v>
      </c>
      <c r="I130" t="s">
        <v>8448</v>
      </c>
      <c r="J130">
        <v>0</v>
      </c>
      <c r="K130">
        <v>6</v>
      </c>
      <c r="L130">
        <v>0</v>
      </c>
      <c r="M130">
        <v>368900</v>
      </c>
      <c r="N130">
        <v>279</v>
      </c>
      <c r="O130">
        <v>0</v>
      </c>
      <c r="P130">
        <v>4</v>
      </c>
      <c r="Q130">
        <v>0</v>
      </c>
      <c r="R130">
        <v>25500</v>
      </c>
      <c r="S130">
        <v>268</v>
      </c>
      <c r="T130">
        <v>0</v>
      </c>
      <c r="U130">
        <v>0</v>
      </c>
      <c r="V130">
        <v>405</v>
      </c>
      <c r="W130" t="s">
        <v>8475</v>
      </c>
      <c r="X130">
        <v>0</v>
      </c>
      <c r="Y130">
        <v>32</v>
      </c>
      <c r="Z130">
        <v>0</v>
      </c>
      <c r="AA130">
        <v>17</v>
      </c>
      <c r="AB130">
        <v>0</v>
      </c>
      <c r="AC130">
        <v>11</v>
      </c>
      <c r="AD130">
        <v>0</v>
      </c>
      <c r="AE130">
        <v>7</v>
      </c>
      <c r="AF130">
        <v>0</v>
      </c>
      <c r="AG130">
        <v>2</v>
      </c>
      <c r="AH130">
        <v>0</v>
      </c>
      <c r="AI130">
        <v>-1</v>
      </c>
      <c r="AJ130">
        <v>0</v>
      </c>
      <c r="AK130">
        <v>0</v>
      </c>
      <c r="AL130">
        <v>0</v>
      </c>
      <c r="AM130">
        <v>4</v>
      </c>
      <c r="AN130">
        <v>0</v>
      </c>
      <c r="AO130">
        <v>2</v>
      </c>
      <c r="AP130">
        <v>69.75</v>
      </c>
      <c r="AQ130">
        <v>645</v>
      </c>
      <c r="AR130">
        <v>69.75</v>
      </c>
      <c r="AS130">
        <v>77</v>
      </c>
      <c r="AT130" t="s">
        <v>8446</v>
      </c>
      <c r="AU130">
        <v>64.888900000000007</v>
      </c>
      <c r="AV130">
        <v>1</v>
      </c>
      <c r="AW130" t="s">
        <v>8526</v>
      </c>
      <c r="AX130">
        <v>0</v>
      </c>
      <c r="AY130" t="s">
        <v>8493</v>
      </c>
      <c r="AZ130">
        <v>1</v>
      </c>
      <c r="BA130" t="s">
        <v>8469</v>
      </c>
      <c r="BB130">
        <v>0</v>
      </c>
      <c r="BC130" t="s">
        <v>8452</v>
      </c>
      <c r="BD130">
        <v>62.2</v>
      </c>
      <c r="BE130" t="s">
        <v>8472</v>
      </c>
      <c r="BF130" t="s">
        <v>8534</v>
      </c>
      <c r="BG130" t="s">
        <v>8472</v>
      </c>
      <c r="BH130">
        <v>14.6591</v>
      </c>
      <c r="BJ130" s="1" t="s">
        <v>8701</v>
      </c>
      <c r="BK130" s="1" t="s">
        <v>8702</v>
      </c>
    </row>
    <row r="131" spans="1:63" x14ac:dyDescent="0.25">
      <c r="A131">
        <v>292</v>
      </c>
      <c r="B131">
        <v>36</v>
      </c>
      <c r="C131" t="s">
        <v>8445</v>
      </c>
      <c r="F131">
        <v>291748</v>
      </c>
      <c r="G131" t="s">
        <v>4649</v>
      </c>
      <c r="H131" t="s">
        <v>1538</v>
      </c>
      <c r="I131" t="s">
        <v>8511</v>
      </c>
      <c r="J131">
        <v>0</v>
      </c>
      <c r="K131">
        <v>6</v>
      </c>
      <c r="L131">
        <v>0</v>
      </c>
      <c r="M131">
        <v>343100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510</v>
      </c>
      <c r="T131">
        <v>0</v>
      </c>
      <c r="U131">
        <v>0</v>
      </c>
      <c r="V131">
        <v>0</v>
      </c>
      <c r="W131" t="s">
        <v>8466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85</v>
      </c>
      <c r="AR131">
        <v>0</v>
      </c>
      <c r="AS131">
        <v>0</v>
      </c>
      <c r="AT131" t="s">
        <v>8512</v>
      </c>
      <c r="AU131">
        <v>77</v>
      </c>
      <c r="AV131">
        <v>0</v>
      </c>
      <c r="AW131" t="s">
        <v>8513</v>
      </c>
      <c r="AX131">
        <v>1</v>
      </c>
      <c r="AY131" t="s">
        <v>8514</v>
      </c>
      <c r="AZ131">
        <v>0</v>
      </c>
      <c r="BA131" t="s">
        <v>8497</v>
      </c>
      <c r="BB131">
        <v>1</v>
      </c>
      <c r="BC131" t="s">
        <v>8515</v>
      </c>
      <c r="BD131">
        <v>82.345500000000001</v>
      </c>
      <c r="BE131" t="s">
        <v>8463</v>
      </c>
      <c r="BF131" t="s">
        <v>8472</v>
      </c>
      <c r="BG131" t="s">
        <v>8472</v>
      </c>
      <c r="BH131">
        <v>1.9318200000000001</v>
      </c>
    </row>
    <row r="132" spans="1:63" x14ac:dyDescent="0.25">
      <c r="A132">
        <v>293</v>
      </c>
      <c r="B132">
        <v>311</v>
      </c>
      <c r="C132" t="s">
        <v>8445</v>
      </c>
      <c r="F132">
        <v>1017063</v>
      </c>
      <c r="G132" t="s">
        <v>4983</v>
      </c>
      <c r="H132" t="s">
        <v>8703</v>
      </c>
      <c r="I132" t="s">
        <v>8482</v>
      </c>
      <c r="J132">
        <v>0</v>
      </c>
      <c r="K132">
        <v>6</v>
      </c>
      <c r="L132">
        <v>0</v>
      </c>
      <c r="M132">
        <v>343100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510</v>
      </c>
      <c r="T132">
        <v>0</v>
      </c>
      <c r="U132">
        <v>0</v>
      </c>
      <c r="V132">
        <v>0</v>
      </c>
      <c r="W132" t="s">
        <v>8447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245</v>
      </c>
      <c r="AR132">
        <v>0</v>
      </c>
      <c r="AS132">
        <v>0</v>
      </c>
      <c r="AT132" t="s">
        <v>8480</v>
      </c>
      <c r="AU132">
        <v>83</v>
      </c>
      <c r="AV132">
        <v>0</v>
      </c>
      <c r="AW132" t="s">
        <v>8514</v>
      </c>
      <c r="AX132">
        <v>1</v>
      </c>
      <c r="AY132" t="s">
        <v>8530</v>
      </c>
      <c r="AZ132">
        <v>1</v>
      </c>
      <c r="BA132" t="s">
        <v>8450</v>
      </c>
      <c r="BB132">
        <v>0</v>
      </c>
      <c r="BC132" t="s">
        <v>8484</v>
      </c>
      <c r="BD132">
        <v>83</v>
      </c>
      <c r="BE132" t="s">
        <v>8464</v>
      </c>
      <c r="BF132" t="s">
        <v>8464</v>
      </c>
      <c r="BG132" t="s">
        <v>8531</v>
      </c>
      <c r="BH132">
        <v>5.5681799999999999</v>
      </c>
    </row>
    <row r="133" spans="1:63" x14ac:dyDescent="0.25">
      <c r="A133">
        <v>294</v>
      </c>
      <c r="B133">
        <v>1</v>
      </c>
      <c r="C133" t="s">
        <v>8445</v>
      </c>
      <c r="F133">
        <v>1012807</v>
      </c>
      <c r="G133" t="s">
        <v>958</v>
      </c>
      <c r="H133" t="s">
        <v>5590</v>
      </c>
      <c r="I133" t="s">
        <v>8511</v>
      </c>
      <c r="J133">
        <v>0</v>
      </c>
      <c r="K133">
        <v>6</v>
      </c>
      <c r="L133">
        <v>0</v>
      </c>
      <c r="M133">
        <v>342800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510</v>
      </c>
      <c r="T133">
        <v>0</v>
      </c>
      <c r="U133">
        <v>0</v>
      </c>
      <c r="V133">
        <v>0</v>
      </c>
      <c r="W133" t="s">
        <v>8466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103</v>
      </c>
      <c r="AR133">
        <v>0</v>
      </c>
      <c r="AS133">
        <v>0</v>
      </c>
      <c r="AT133" t="s">
        <v>8512</v>
      </c>
      <c r="AU133">
        <v>70.5</v>
      </c>
      <c r="AV133">
        <v>0</v>
      </c>
      <c r="AW133" t="s">
        <v>8513</v>
      </c>
      <c r="AX133">
        <v>1</v>
      </c>
      <c r="AY133" t="s">
        <v>8514</v>
      </c>
      <c r="AZ133">
        <v>0</v>
      </c>
      <c r="BA133" t="s">
        <v>8497</v>
      </c>
      <c r="BB133">
        <v>1</v>
      </c>
      <c r="BC133" t="s">
        <v>8515</v>
      </c>
      <c r="BD133">
        <v>64.870999999999995</v>
      </c>
      <c r="BE133" t="s">
        <v>8463</v>
      </c>
      <c r="BF133" t="s">
        <v>8472</v>
      </c>
      <c r="BG133" t="s">
        <v>8472</v>
      </c>
      <c r="BH133">
        <v>2.34091</v>
      </c>
    </row>
    <row r="134" spans="1:63" x14ac:dyDescent="0.25">
      <c r="A134">
        <v>295</v>
      </c>
      <c r="B134">
        <v>140</v>
      </c>
      <c r="C134" t="s">
        <v>8445</v>
      </c>
      <c r="F134">
        <v>293801</v>
      </c>
      <c r="G134" t="s">
        <v>3229</v>
      </c>
      <c r="H134" t="s">
        <v>5624</v>
      </c>
      <c r="I134" t="s">
        <v>8525</v>
      </c>
      <c r="J134">
        <v>0</v>
      </c>
      <c r="K134">
        <v>6</v>
      </c>
      <c r="L134">
        <v>0</v>
      </c>
      <c r="M134">
        <v>361700</v>
      </c>
      <c r="N134">
        <v>357</v>
      </c>
      <c r="O134">
        <v>0</v>
      </c>
      <c r="P134">
        <v>5</v>
      </c>
      <c r="Q134">
        <v>0</v>
      </c>
      <c r="R134">
        <v>19400</v>
      </c>
      <c r="S134">
        <v>167</v>
      </c>
      <c r="T134">
        <v>0</v>
      </c>
      <c r="U134">
        <v>0</v>
      </c>
      <c r="V134">
        <v>529</v>
      </c>
      <c r="W134" t="s">
        <v>8481</v>
      </c>
      <c r="X134">
        <v>0</v>
      </c>
      <c r="Y134">
        <v>36</v>
      </c>
      <c r="Z134">
        <v>0</v>
      </c>
      <c r="AA134">
        <v>24</v>
      </c>
      <c r="AB134">
        <v>0</v>
      </c>
      <c r="AC134">
        <v>19</v>
      </c>
      <c r="AD134">
        <v>0</v>
      </c>
      <c r="AE134">
        <v>13</v>
      </c>
      <c r="AF134">
        <v>0</v>
      </c>
      <c r="AG134">
        <v>2</v>
      </c>
      <c r="AH134">
        <v>0</v>
      </c>
      <c r="AI134">
        <v>-6</v>
      </c>
      <c r="AJ134">
        <v>0</v>
      </c>
      <c r="AK134">
        <v>0</v>
      </c>
      <c r="AL134">
        <v>0</v>
      </c>
      <c r="AM134">
        <v>8</v>
      </c>
      <c r="AN134">
        <v>0</v>
      </c>
      <c r="AO134">
        <v>6</v>
      </c>
      <c r="AP134">
        <v>71.400000000000006</v>
      </c>
      <c r="AQ134">
        <v>653</v>
      </c>
      <c r="AR134">
        <v>71.400000000000006</v>
      </c>
      <c r="AS134">
        <v>72</v>
      </c>
      <c r="AT134" t="s">
        <v>8524</v>
      </c>
      <c r="AU134">
        <v>79.599999999999994</v>
      </c>
      <c r="AV134">
        <v>1</v>
      </c>
      <c r="AW134" t="s">
        <v>8451</v>
      </c>
      <c r="AX134">
        <v>0</v>
      </c>
      <c r="AY134" t="s">
        <v>8468</v>
      </c>
      <c r="AZ134">
        <v>0</v>
      </c>
      <c r="BA134" t="s">
        <v>8513</v>
      </c>
      <c r="BB134">
        <v>1</v>
      </c>
      <c r="BC134" t="s">
        <v>8527</v>
      </c>
      <c r="BD134">
        <v>75</v>
      </c>
      <c r="BE134" t="s">
        <v>8464</v>
      </c>
      <c r="BF134" t="s">
        <v>8464</v>
      </c>
      <c r="BG134" t="s">
        <v>8463</v>
      </c>
      <c r="BH134">
        <v>14.8409</v>
      </c>
      <c r="BJ134" s="1" t="s">
        <v>8704</v>
      </c>
      <c r="BK134" s="1" t="s">
        <v>8705</v>
      </c>
    </row>
    <row r="135" spans="1:63" x14ac:dyDescent="0.25">
      <c r="A135">
        <v>296</v>
      </c>
      <c r="B135">
        <v>396</v>
      </c>
      <c r="C135" t="s">
        <v>8445</v>
      </c>
      <c r="F135">
        <v>994077</v>
      </c>
      <c r="G135" t="s">
        <v>8375</v>
      </c>
      <c r="H135" t="s">
        <v>8376</v>
      </c>
      <c r="I135" t="s">
        <v>8480</v>
      </c>
      <c r="J135">
        <v>0</v>
      </c>
      <c r="K135">
        <v>6</v>
      </c>
      <c r="L135">
        <v>0</v>
      </c>
      <c r="M135">
        <v>287600</v>
      </c>
      <c r="N135">
        <v>253</v>
      </c>
      <c r="O135">
        <v>0</v>
      </c>
      <c r="P135">
        <v>5</v>
      </c>
      <c r="Q135">
        <v>0</v>
      </c>
      <c r="R135">
        <v>-54200</v>
      </c>
      <c r="S135">
        <v>301</v>
      </c>
      <c r="T135">
        <v>0</v>
      </c>
      <c r="U135">
        <v>0</v>
      </c>
      <c r="V135">
        <v>535</v>
      </c>
      <c r="W135" t="s">
        <v>8475</v>
      </c>
      <c r="X135">
        <v>0</v>
      </c>
      <c r="Y135">
        <v>29</v>
      </c>
      <c r="Z135">
        <v>0</v>
      </c>
      <c r="AA135">
        <v>9</v>
      </c>
      <c r="AB135">
        <v>0</v>
      </c>
      <c r="AC135">
        <v>16</v>
      </c>
      <c r="AD135">
        <v>0</v>
      </c>
      <c r="AE135">
        <v>9</v>
      </c>
      <c r="AF135">
        <v>0</v>
      </c>
      <c r="AG135">
        <v>1</v>
      </c>
      <c r="AH135">
        <v>0</v>
      </c>
      <c r="AI135">
        <v>-8</v>
      </c>
      <c r="AJ135">
        <v>0</v>
      </c>
      <c r="AK135">
        <v>6</v>
      </c>
      <c r="AL135">
        <v>0</v>
      </c>
      <c r="AM135">
        <v>7</v>
      </c>
      <c r="AN135">
        <v>0</v>
      </c>
      <c r="AO135">
        <v>4</v>
      </c>
      <c r="AP135">
        <v>50.6</v>
      </c>
      <c r="AQ135">
        <v>223</v>
      </c>
      <c r="AR135">
        <v>50.6</v>
      </c>
      <c r="AS135">
        <v>39</v>
      </c>
      <c r="AT135" t="s">
        <v>8482</v>
      </c>
      <c r="AU135">
        <v>48.75</v>
      </c>
      <c r="AV135">
        <v>1</v>
      </c>
      <c r="AW135" t="s">
        <v>8483</v>
      </c>
      <c r="AX135">
        <v>0</v>
      </c>
      <c r="AY135" t="s">
        <v>8461</v>
      </c>
      <c r="AZ135">
        <v>0</v>
      </c>
      <c r="BA135" t="s">
        <v>8460</v>
      </c>
      <c r="BB135">
        <v>1</v>
      </c>
      <c r="BC135" t="s">
        <v>8484</v>
      </c>
      <c r="BD135">
        <v>62.652200000000001</v>
      </c>
      <c r="BE135" t="s">
        <v>8455</v>
      </c>
      <c r="BF135" t="s">
        <v>8464</v>
      </c>
      <c r="BG135" t="s">
        <v>8464</v>
      </c>
      <c r="BH135">
        <v>5.0681799999999999</v>
      </c>
      <c r="BJ135" s="1" t="s">
        <v>8706</v>
      </c>
      <c r="BK135" s="1" t="s">
        <v>8707</v>
      </c>
    </row>
    <row r="136" spans="1:63" x14ac:dyDescent="0.25">
      <c r="A136">
        <v>297</v>
      </c>
      <c r="B136">
        <v>158</v>
      </c>
      <c r="C136" t="s">
        <v>8445</v>
      </c>
      <c r="F136">
        <v>294596</v>
      </c>
      <c r="G136" t="s">
        <v>1918</v>
      </c>
      <c r="H136" t="s">
        <v>6940</v>
      </c>
      <c r="I136" t="s">
        <v>8525</v>
      </c>
      <c r="J136">
        <v>0</v>
      </c>
      <c r="K136">
        <v>6</v>
      </c>
      <c r="L136">
        <v>0</v>
      </c>
      <c r="M136">
        <v>334400</v>
      </c>
      <c r="N136">
        <v>332</v>
      </c>
      <c r="O136">
        <v>0</v>
      </c>
      <c r="P136">
        <v>5</v>
      </c>
      <c r="Q136">
        <v>0</v>
      </c>
      <c r="R136">
        <v>-7300</v>
      </c>
      <c r="S136">
        <v>207</v>
      </c>
      <c r="T136">
        <v>0</v>
      </c>
      <c r="U136">
        <v>0</v>
      </c>
      <c r="V136">
        <v>512</v>
      </c>
      <c r="W136" t="s">
        <v>8475</v>
      </c>
      <c r="X136">
        <v>0</v>
      </c>
      <c r="Y136">
        <v>34</v>
      </c>
      <c r="Z136">
        <v>0</v>
      </c>
      <c r="AA136">
        <v>24</v>
      </c>
      <c r="AB136">
        <v>0</v>
      </c>
      <c r="AC136">
        <v>20</v>
      </c>
      <c r="AD136">
        <v>0</v>
      </c>
      <c r="AE136">
        <v>4</v>
      </c>
      <c r="AF136">
        <v>0</v>
      </c>
      <c r="AG136">
        <v>2</v>
      </c>
      <c r="AH136">
        <v>0</v>
      </c>
      <c r="AI136">
        <v>-1</v>
      </c>
      <c r="AJ136">
        <v>0</v>
      </c>
      <c r="AK136">
        <v>1</v>
      </c>
      <c r="AL136">
        <v>0</v>
      </c>
      <c r="AM136">
        <v>7</v>
      </c>
      <c r="AN136">
        <v>0</v>
      </c>
      <c r="AO136">
        <v>4</v>
      </c>
      <c r="AP136">
        <v>66.400000000000006</v>
      </c>
      <c r="AQ136">
        <v>574</v>
      </c>
      <c r="AR136">
        <v>66.400000000000006</v>
      </c>
      <c r="AS136">
        <v>56.333300000000001</v>
      </c>
      <c r="AT136" t="s">
        <v>8524</v>
      </c>
      <c r="AU136">
        <v>79.3</v>
      </c>
      <c r="AV136">
        <v>1</v>
      </c>
      <c r="AW136" t="s">
        <v>8451</v>
      </c>
      <c r="AX136">
        <v>0</v>
      </c>
      <c r="AY136" t="s">
        <v>8468</v>
      </c>
      <c r="AZ136">
        <v>0</v>
      </c>
      <c r="BA136" t="s">
        <v>8513</v>
      </c>
      <c r="BB136">
        <v>1</v>
      </c>
      <c r="BC136" t="s">
        <v>8527</v>
      </c>
      <c r="BD136">
        <v>76.125</v>
      </c>
      <c r="BE136" t="s">
        <v>8464</v>
      </c>
      <c r="BF136" t="s">
        <v>8464</v>
      </c>
      <c r="BG136" t="s">
        <v>8463</v>
      </c>
      <c r="BH136">
        <v>13.045500000000001</v>
      </c>
      <c r="BJ136">
        <v>0.6484375</v>
      </c>
      <c r="BK136" s="1" t="s">
        <v>8708</v>
      </c>
    </row>
    <row r="137" spans="1:63" x14ac:dyDescent="0.25">
      <c r="A137">
        <v>298</v>
      </c>
      <c r="B137">
        <v>274</v>
      </c>
      <c r="C137" t="s">
        <v>8445</v>
      </c>
      <c r="F137">
        <v>1026960</v>
      </c>
      <c r="G137" t="s">
        <v>2115</v>
      </c>
      <c r="H137" t="s">
        <v>2320</v>
      </c>
      <c r="I137" t="s">
        <v>8489</v>
      </c>
      <c r="J137">
        <v>0</v>
      </c>
      <c r="K137">
        <v>6</v>
      </c>
      <c r="L137">
        <v>0</v>
      </c>
      <c r="M137">
        <v>343500</v>
      </c>
      <c r="N137">
        <v>266</v>
      </c>
      <c r="O137">
        <v>0</v>
      </c>
      <c r="P137">
        <v>4</v>
      </c>
      <c r="Q137">
        <v>0</v>
      </c>
      <c r="R137">
        <v>1800</v>
      </c>
      <c r="S137">
        <v>285</v>
      </c>
      <c r="T137">
        <v>0</v>
      </c>
      <c r="U137">
        <v>0</v>
      </c>
      <c r="V137">
        <v>418</v>
      </c>
      <c r="W137" t="s">
        <v>8475</v>
      </c>
      <c r="X137">
        <v>0</v>
      </c>
      <c r="Y137">
        <v>26</v>
      </c>
      <c r="Z137">
        <v>0</v>
      </c>
      <c r="AA137">
        <v>20</v>
      </c>
      <c r="AB137">
        <v>0</v>
      </c>
      <c r="AC137">
        <v>10</v>
      </c>
      <c r="AD137">
        <v>0</v>
      </c>
      <c r="AE137">
        <v>15</v>
      </c>
      <c r="AF137">
        <v>0</v>
      </c>
      <c r="AG137">
        <v>3</v>
      </c>
      <c r="AH137">
        <v>0</v>
      </c>
      <c r="AI137">
        <v>-5</v>
      </c>
      <c r="AJ137">
        <v>0</v>
      </c>
      <c r="AK137">
        <v>0</v>
      </c>
      <c r="AL137">
        <v>0</v>
      </c>
      <c r="AM137">
        <v>6</v>
      </c>
      <c r="AN137">
        <v>0</v>
      </c>
      <c r="AO137">
        <v>2</v>
      </c>
      <c r="AP137">
        <v>66.5</v>
      </c>
      <c r="AQ137">
        <v>401</v>
      </c>
      <c r="AR137">
        <v>66.5</v>
      </c>
      <c r="AS137">
        <v>64.666700000000006</v>
      </c>
      <c r="AT137" t="s">
        <v>8490</v>
      </c>
      <c r="AU137">
        <v>90</v>
      </c>
      <c r="AV137">
        <v>1</v>
      </c>
      <c r="AW137" t="s">
        <v>8491</v>
      </c>
      <c r="AX137">
        <v>0</v>
      </c>
      <c r="AY137" t="s">
        <v>8492</v>
      </c>
      <c r="AZ137">
        <v>1</v>
      </c>
      <c r="BA137" t="s">
        <v>8493</v>
      </c>
      <c r="BB137">
        <v>0</v>
      </c>
      <c r="BC137" t="s">
        <v>8471</v>
      </c>
      <c r="BD137">
        <v>68</v>
      </c>
      <c r="BE137" t="s">
        <v>8453</v>
      </c>
      <c r="BF137" t="s">
        <v>8494</v>
      </c>
      <c r="BG137" t="s">
        <v>8495</v>
      </c>
      <c r="BH137">
        <v>9.1136400000000002</v>
      </c>
      <c r="BJ137" s="1" t="s">
        <v>8709</v>
      </c>
      <c r="BK137" s="1" t="s">
        <v>8710</v>
      </c>
    </row>
    <row r="138" spans="1:63" x14ac:dyDescent="0.25">
      <c r="A138">
        <v>299</v>
      </c>
      <c r="B138">
        <v>677</v>
      </c>
      <c r="C138" t="s">
        <v>8445</v>
      </c>
      <c r="F138">
        <v>1008198</v>
      </c>
      <c r="G138" t="s">
        <v>776</v>
      </c>
      <c r="H138" t="s">
        <v>4624</v>
      </c>
      <c r="I138" t="s">
        <v>8446</v>
      </c>
      <c r="J138">
        <v>0</v>
      </c>
      <c r="K138">
        <v>6</v>
      </c>
      <c r="L138">
        <v>0</v>
      </c>
      <c r="M138">
        <v>352700</v>
      </c>
      <c r="N138">
        <v>334</v>
      </c>
      <c r="O138">
        <v>0</v>
      </c>
      <c r="P138">
        <v>5</v>
      </c>
      <c r="Q138">
        <v>0</v>
      </c>
      <c r="R138">
        <v>11000</v>
      </c>
      <c r="S138">
        <v>204</v>
      </c>
      <c r="T138">
        <v>0</v>
      </c>
      <c r="U138">
        <v>0</v>
      </c>
      <c r="V138">
        <v>569</v>
      </c>
      <c r="W138" t="s">
        <v>8475</v>
      </c>
      <c r="X138">
        <v>0</v>
      </c>
      <c r="Y138">
        <v>46</v>
      </c>
      <c r="Z138">
        <v>0</v>
      </c>
      <c r="AA138">
        <v>11</v>
      </c>
      <c r="AB138">
        <v>0</v>
      </c>
      <c r="AC138">
        <v>34</v>
      </c>
      <c r="AD138">
        <v>0</v>
      </c>
      <c r="AE138">
        <v>3</v>
      </c>
      <c r="AF138">
        <v>0</v>
      </c>
      <c r="AG138">
        <v>3</v>
      </c>
      <c r="AH138">
        <v>0</v>
      </c>
      <c r="AI138">
        <v>-4</v>
      </c>
      <c r="AJ138">
        <v>0</v>
      </c>
      <c r="AK138">
        <v>2</v>
      </c>
      <c r="AL138">
        <v>0</v>
      </c>
      <c r="AM138">
        <v>2</v>
      </c>
      <c r="AN138">
        <v>0</v>
      </c>
      <c r="AO138">
        <v>1</v>
      </c>
      <c r="AP138">
        <v>66.8</v>
      </c>
      <c r="AQ138">
        <v>227</v>
      </c>
      <c r="AR138">
        <v>66.8</v>
      </c>
      <c r="AS138">
        <v>70.333299999999994</v>
      </c>
      <c r="AT138" t="s">
        <v>8448</v>
      </c>
      <c r="AU138">
        <v>45.666699999999999</v>
      </c>
      <c r="AV138">
        <v>0</v>
      </c>
      <c r="AW138" t="s">
        <v>8449</v>
      </c>
      <c r="AX138">
        <v>1</v>
      </c>
      <c r="AY138" t="s">
        <v>8450</v>
      </c>
      <c r="AZ138">
        <v>0</v>
      </c>
      <c r="BA138" t="s">
        <v>8451</v>
      </c>
      <c r="BB138">
        <v>1</v>
      </c>
      <c r="BC138" t="s">
        <v>8452</v>
      </c>
      <c r="BD138">
        <v>58.074100000000001</v>
      </c>
      <c r="BE138" t="s">
        <v>8453</v>
      </c>
      <c r="BF138" t="s">
        <v>8454</v>
      </c>
      <c r="BG138" t="s">
        <v>8455</v>
      </c>
      <c r="BH138">
        <v>5.15909</v>
      </c>
      <c r="BJ138" s="1" t="s">
        <v>8711</v>
      </c>
      <c r="BK138" s="1" t="s">
        <v>8712</v>
      </c>
    </row>
    <row r="139" spans="1:63" x14ac:dyDescent="0.25">
      <c r="A139">
        <v>300</v>
      </c>
      <c r="B139">
        <v>233</v>
      </c>
      <c r="C139" t="s">
        <v>8445</v>
      </c>
      <c r="F139">
        <v>1016825</v>
      </c>
      <c r="G139" t="s">
        <v>1002</v>
      </c>
      <c r="H139" t="s">
        <v>1881</v>
      </c>
      <c r="I139" t="s">
        <v>8502</v>
      </c>
      <c r="J139">
        <v>0</v>
      </c>
      <c r="K139">
        <v>6</v>
      </c>
      <c r="L139">
        <v>0</v>
      </c>
      <c r="M139">
        <v>343700</v>
      </c>
      <c r="N139">
        <v>361</v>
      </c>
      <c r="O139">
        <v>0</v>
      </c>
      <c r="P139">
        <v>5</v>
      </c>
      <c r="Q139">
        <v>0</v>
      </c>
      <c r="R139">
        <v>2200</v>
      </c>
      <c r="S139">
        <v>155</v>
      </c>
      <c r="T139">
        <v>0</v>
      </c>
      <c r="U139">
        <v>0</v>
      </c>
      <c r="V139">
        <v>480</v>
      </c>
      <c r="W139" t="s">
        <v>8481</v>
      </c>
      <c r="X139">
        <v>0</v>
      </c>
      <c r="Y139">
        <v>44</v>
      </c>
      <c r="Z139">
        <v>0</v>
      </c>
      <c r="AA139">
        <v>47</v>
      </c>
      <c r="AB139">
        <v>0</v>
      </c>
      <c r="AC139">
        <v>19</v>
      </c>
      <c r="AD139">
        <v>0</v>
      </c>
      <c r="AE139">
        <v>18</v>
      </c>
      <c r="AF139">
        <v>0</v>
      </c>
      <c r="AG139">
        <v>4</v>
      </c>
      <c r="AH139">
        <v>0</v>
      </c>
      <c r="AI139">
        <v>-5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2</v>
      </c>
      <c r="AP139">
        <v>72.2</v>
      </c>
      <c r="AQ139">
        <v>491</v>
      </c>
      <c r="AR139">
        <v>72.2</v>
      </c>
      <c r="AS139">
        <v>70.666700000000006</v>
      </c>
      <c r="AT139" t="s">
        <v>8501</v>
      </c>
      <c r="AU139">
        <v>72</v>
      </c>
      <c r="AV139">
        <v>1</v>
      </c>
      <c r="AW139" t="s">
        <v>8469</v>
      </c>
      <c r="AX139">
        <v>0</v>
      </c>
      <c r="AY139" t="s">
        <v>8470</v>
      </c>
      <c r="AZ139">
        <v>1</v>
      </c>
      <c r="BA139" t="s">
        <v>8530</v>
      </c>
      <c r="BB139">
        <v>0</v>
      </c>
      <c r="BC139" t="s">
        <v>8484</v>
      </c>
      <c r="BD139">
        <v>82.5</v>
      </c>
      <c r="BE139" t="s">
        <v>8463</v>
      </c>
      <c r="BF139" t="s">
        <v>8455</v>
      </c>
      <c r="BG139" t="s">
        <v>8463</v>
      </c>
      <c r="BH139">
        <v>11.1591</v>
      </c>
      <c r="BJ139" s="1" t="s">
        <v>8713</v>
      </c>
      <c r="BK139" s="1" t="s">
        <v>8714</v>
      </c>
    </row>
    <row r="140" spans="1:63" x14ac:dyDescent="0.25">
      <c r="A140">
        <v>301</v>
      </c>
      <c r="B140">
        <v>264</v>
      </c>
      <c r="C140" t="s">
        <v>8445</v>
      </c>
      <c r="F140">
        <v>1008454</v>
      </c>
      <c r="G140" t="s">
        <v>3651</v>
      </c>
      <c r="H140" t="s">
        <v>6543</v>
      </c>
      <c r="I140" t="s">
        <v>8489</v>
      </c>
      <c r="J140">
        <v>0</v>
      </c>
      <c r="K140">
        <v>6</v>
      </c>
      <c r="L140">
        <v>0</v>
      </c>
      <c r="M140">
        <v>319200</v>
      </c>
      <c r="N140">
        <v>154</v>
      </c>
      <c r="O140">
        <v>0</v>
      </c>
      <c r="P140">
        <v>3</v>
      </c>
      <c r="Q140">
        <v>0</v>
      </c>
      <c r="R140">
        <v>-22300</v>
      </c>
      <c r="S140">
        <v>396</v>
      </c>
      <c r="T140">
        <v>0</v>
      </c>
      <c r="U140">
        <v>0</v>
      </c>
      <c r="V140">
        <v>295</v>
      </c>
      <c r="W140" t="s">
        <v>8505</v>
      </c>
      <c r="X140">
        <v>0</v>
      </c>
      <c r="Y140">
        <v>22</v>
      </c>
      <c r="Z140">
        <v>0</v>
      </c>
      <c r="AA140">
        <v>17</v>
      </c>
      <c r="AB140">
        <v>0</v>
      </c>
      <c r="AC140">
        <v>10</v>
      </c>
      <c r="AD140">
        <v>0</v>
      </c>
      <c r="AE140">
        <v>10</v>
      </c>
      <c r="AF140">
        <v>0</v>
      </c>
      <c r="AG140">
        <v>1</v>
      </c>
      <c r="AH140">
        <v>0</v>
      </c>
      <c r="AI140">
        <v>-2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</v>
      </c>
      <c r="AP140">
        <v>51.333300000000001</v>
      </c>
      <c r="AQ140">
        <v>89</v>
      </c>
      <c r="AR140">
        <v>51.333300000000001</v>
      </c>
      <c r="AS140">
        <v>51.333300000000001</v>
      </c>
      <c r="AT140" t="s">
        <v>8490</v>
      </c>
      <c r="AU140">
        <v>62.666699999999999</v>
      </c>
      <c r="AV140">
        <v>1</v>
      </c>
      <c r="AW140" t="s">
        <v>8491</v>
      </c>
      <c r="AX140">
        <v>0</v>
      </c>
      <c r="AY140" t="s">
        <v>8492</v>
      </c>
      <c r="AZ140">
        <v>1</v>
      </c>
      <c r="BA140" t="s">
        <v>8493</v>
      </c>
      <c r="BB140">
        <v>0</v>
      </c>
      <c r="BC140" t="s">
        <v>8471</v>
      </c>
      <c r="BD140">
        <v>88</v>
      </c>
      <c r="BE140" t="s">
        <v>8453</v>
      </c>
      <c r="BF140" t="s">
        <v>8494</v>
      </c>
      <c r="BG140" t="s">
        <v>8495</v>
      </c>
      <c r="BH140">
        <v>2.0227300000000001</v>
      </c>
      <c r="BJ140" s="1" t="s">
        <v>8715</v>
      </c>
      <c r="BK140" s="1" t="s">
        <v>8716</v>
      </c>
    </row>
    <row r="141" spans="1:63" x14ac:dyDescent="0.25">
      <c r="A141">
        <v>302</v>
      </c>
      <c r="B141">
        <v>253</v>
      </c>
      <c r="C141" t="s">
        <v>8445</v>
      </c>
      <c r="F141">
        <v>993940</v>
      </c>
      <c r="G141" t="s">
        <v>1072</v>
      </c>
      <c r="H141" t="s">
        <v>3362</v>
      </c>
      <c r="I141" t="s">
        <v>8502</v>
      </c>
      <c r="J141">
        <v>0</v>
      </c>
      <c r="K141">
        <v>6</v>
      </c>
      <c r="L141">
        <v>0</v>
      </c>
      <c r="M141">
        <v>328700</v>
      </c>
      <c r="N141">
        <v>176</v>
      </c>
      <c r="O141">
        <v>0</v>
      </c>
      <c r="P141">
        <v>3</v>
      </c>
      <c r="Q141">
        <v>0</v>
      </c>
      <c r="R141">
        <v>-12600</v>
      </c>
      <c r="S141">
        <v>377</v>
      </c>
      <c r="T141">
        <v>0</v>
      </c>
      <c r="U141">
        <v>0</v>
      </c>
      <c r="V141">
        <v>285</v>
      </c>
      <c r="W141" t="s">
        <v>8505</v>
      </c>
      <c r="X141">
        <v>0</v>
      </c>
      <c r="Y141">
        <v>27</v>
      </c>
      <c r="Z141">
        <v>0</v>
      </c>
      <c r="AA141">
        <v>23</v>
      </c>
      <c r="AB141">
        <v>0</v>
      </c>
      <c r="AC141">
        <v>6</v>
      </c>
      <c r="AD141">
        <v>0</v>
      </c>
      <c r="AE141">
        <v>5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58.666699999999999</v>
      </c>
      <c r="AQ141">
        <v>222</v>
      </c>
      <c r="AR141">
        <v>58.666699999999999</v>
      </c>
      <c r="AS141">
        <v>58.666699999999999</v>
      </c>
      <c r="AT141" t="s">
        <v>8501</v>
      </c>
      <c r="AU141">
        <v>42</v>
      </c>
      <c r="AV141">
        <v>1</v>
      </c>
      <c r="AW141" t="s">
        <v>8469</v>
      </c>
      <c r="AX141">
        <v>0</v>
      </c>
      <c r="AY141" t="s">
        <v>8470</v>
      </c>
      <c r="AZ141">
        <v>1</v>
      </c>
      <c r="BA141" t="s">
        <v>8530</v>
      </c>
      <c r="BB141">
        <v>0</v>
      </c>
      <c r="BC141" t="s">
        <v>8484</v>
      </c>
      <c r="BD141">
        <v>56.5</v>
      </c>
      <c r="BE141" t="s">
        <v>8463</v>
      </c>
      <c r="BF141" t="s">
        <v>8455</v>
      </c>
      <c r="BG141" t="s">
        <v>8463</v>
      </c>
      <c r="BH141">
        <v>5.0454499999999998</v>
      </c>
      <c r="BJ141" s="1" t="s">
        <v>8717</v>
      </c>
      <c r="BK141" s="1" t="s">
        <v>8718</v>
      </c>
    </row>
    <row r="142" spans="1:63" x14ac:dyDescent="0.25">
      <c r="A142">
        <v>303</v>
      </c>
      <c r="B142">
        <v>438</v>
      </c>
      <c r="C142" t="s">
        <v>8445</v>
      </c>
      <c r="F142">
        <v>1005330</v>
      </c>
      <c r="G142" t="s">
        <v>2617</v>
      </c>
      <c r="H142" t="s">
        <v>7654</v>
      </c>
      <c r="I142" t="s">
        <v>8501</v>
      </c>
      <c r="J142">
        <v>0</v>
      </c>
      <c r="K142">
        <v>6</v>
      </c>
      <c r="L142">
        <v>0</v>
      </c>
      <c r="M142">
        <v>359700</v>
      </c>
      <c r="N142">
        <v>387</v>
      </c>
      <c r="O142">
        <v>0</v>
      </c>
      <c r="P142">
        <v>5</v>
      </c>
      <c r="Q142">
        <v>0</v>
      </c>
      <c r="R142">
        <v>19100</v>
      </c>
      <c r="S142">
        <v>122</v>
      </c>
      <c r="T142">
        <v>0</v>
      </c>
      <c r="U142">
        <v>0</v>
      </c>
      <c r="V142">
        <v>548</v>
      </c>
      <c r="W142" t="s">
        <v>8481</v>
      </c>
      <c r="X142">
        <v>0</v>
      </c>
      <c r="Y142">
        <v>44</v>
      </c>
      <c r="Z142">
        <v>0</v>
      </c>
      <c r="AA142">
        <v>27</v>
      </c>
      <c r="AB142">
        <v>0</v>
      </c>
      <c r="AC142">
        <v>22</v>
      </c>
      <c r="AD142">
        <v>0</v>
      </c>
      <c r="AE142">
        <v>17</v>
      </c>
      <c r="AF142">
        <v>0</v>
      </c>
      <c r="AG142">
        <v>6</v>
      </c>
      <c r="AH142">
        <v>0</v>
      </c>
      <c r="AI142">
        <v>-3</v>
      </c>
      <c r="AJ142">
        <v>0</v>
      </c>
      <c r="AK142">
        <v>0</v>
      </c>
      <c r="AL142">
        <v>0</v>
      </c>
      <c r="AM142">
        <v>4</v>
      </c>
      <c r="AN142">
        <v>0</v>
      </c>
      <c r="AO142">
        <v>1</v>
      </c>
      <c r="AP142">
        <v>77.400000000000006</v>
      </c>
      <c r="AQ142">
        <v>1524</v>
      </c>
      <c r="AR142">
        <v>77.400000000000006</v>
      </c>
      <c r="AS142">
        <v>55</v>
      </c>
      <c r="AT142" t="s">
        <v>8502</v>
      </c>
      <c r="AU142">
        <v>45.666699999999999</v>
      </c>
      <c r="AV142">
        <v>0</v>
      </c>
      <c r="AW142" t="s">
        <v>8461</v>
      </c>
      <c r="AX142">
        <v>0</v>
      </c>
      <c r="AY142" t="s">
        <v>8483</v>
      </c>
      <c r="AZ142">
        <v>1</v>
      </c>
      <c r="BA142" t="s">
        <v>8459</v>
      </c>
      <c r="BB142">
        <v>0</v>
      </c>
      <c r="BC142" t="s">
        <v>8484</v>
      </c>
      <c r="BD142">
        <v>60.093800000000002</v>
      </c>
      <c r="BE142" t="s">
        <v>8464</v>
      </c>
      <c r="BF142" t="s">
        <v>8463</v>
      </c>
      <c r="BG142" t="s">
        <v>8464</v>
      </c>
      <c r="BH142">
        <v>34.636400000000002</v>
      </c>
      <c r="BJ142" s="1" t="s">
        <v>8719</v>
      </c>
      <c r="BK142" s="1" t="s">
        <v>8720</v>
      </c>
    </row>
    <row r="143" spans="1:63" x14ac:dyDescent="0.25">
      <c r="A143">
        <v>304</v>
      </c>
      <c r="B143">
        <v>382</v>
      </c>
      <c r="C143" t="s">
        <v>8445</v>
      </c>
      <c r="F143">
        <v>293884</v>
      </c>
      <c r="G143" t="s">
        <v>1235</v>
      </c>
      <c r="H143" t="s">
        <v>8169</v>
      </c>
      <c r="I143" t="s">
        <v>8512</v>
      </c>
      <c r="J143">
        <v>0</v>
      </c>
      <c r="K143">
        <v>6</v>
      </c>
      <c r="L143">
        <v>0</v>
      </c>
      <c r="M143">
        <v>323800</v>
      </c>
      <c r="N143">
        <v>166</v>
      </c>
      <c r="O143">
        <v>0</v>
      </c>
      <c r="P143">
        <v>3</v>
      </c>
      <c r="Q143">
        <v>0</v>
      </c>
      <c r="R143">
        <v>-16400</v>
      </c>
      <c r="S143">
        <v>385</v>
      </c>
      <c r="T143">
        <v>0</v>
      </c>
      <c r="U143">
        <v>0</v>
      </c>
      <c r="V143">
        <v>312</v>
      </c>
      <c r="W143" t="s">
        <v>8505</v>
      </c>
      <c r="X143">
        <v>0</v>
      </c>
      <c r="Y143">
        <v>22</v>
      </c>
      <c r="Z143">
        <v>0</v>
      </c>
      <c r="AA143">
        <v>11</v>
      </c>
      <c r="AB143">
        <v>0</v>
      </c>
      <c r="AC143">
        <v>8</v>
      </c>
      <c r="AD143">
        <v>0</v>
      </c>
      <c r="AE143">
        <v>5</v>
      </c>
      <c r="AF143">
        <v>0</v>
      </c>
      <c r="AG143">
        <v>3</v>
      </c>
      <c r="AH143">
        <v>0</v>
      </c>
      <c r="AI143">
        <v>-2</v>
      </c>
      <c r="AJ143">
        <v>0</v>
      </c>
      <c r="AK143">
        <v>0</v>
      </c>
      <c r="AL143">
        <v>0</v>
      </c>
      <c r="AM143">
        <v>2</v>
      </c>
      <c r="AN143">
        <v>0</v>
      </c>
      <c r="AO143">
        <v>7</v>
      </c>
      <c r="AP143">
        <v>55.333300000000001</v>
      </c>
      <c r="AQ143">
        <v>428</v>
      </c>
      <c r="AR143">
        <v>55.333300000000001</v>
      </c>
      <c r="AS143">
        <v>55.333300000000001</v>
      </c>
      <c r="AT143" t="s">
        <v>8511</v>
      </c>
      <c r="AU143">
        <v>73.636399999999995</v>
      </c>
      <c r="AV143">
        <v>1</v>
      </c>
      <c r="AW143" t="s">
        <v>8493</v>
      </c>
      <c r="AX143">
        <v>0</v>
      </c>
      <c r="AY143" t="s">
        <v>8491</v>
      </c>
      <c r="AZ143">
        <v>1</v>
      </c>
      <c r="BA143" t="s">
        <v>8468</v>
      </c>
      <c r="BB143">
        <v>1</v>
      </c>
      <c r="BC143" t="s">
        <v>8515</v>
      </c>
      <c r="BD143">
        <v>65.7273</v>
      </c>
      <c r="BE143" t="s">
        <v>8546</v>
      </c>
      <c r="BF143" t="s">
        <v>8454</v>
      </c>
      <c r="BG143" t="s">
        <v>8531</v>
      </c>
      <c r="BH143">
        <v>9.7272700000000007</v>
      </c>
      <c r="BJ143">
        <v>0.53205128205128205</v>
      </c>
      <c r="BK143" s="1" t="s">
        <v>8721</v>
      </c>
    </row>
    <row r="144" spans="1:63" x14ac:dyDescent="0.25">
      <c r="A144">
        <v>305</v>
      </c>
      <c r="B144">
        <v>129</v>
      </c>
      <c r="C144" t="s">
        <v>8445</v>
      </c>
      <c r="F144">
        <v>997316</v>
      </c>
      <c r="G144" t="s">
        <v>2975</v>
      </c>
      <c r="H144" t="s">
        <v>3007</v>
      </c>
      <c r="I144" t="s">
        <v>8465</v>
      </c>
      <c r="J144">
        <v>0</v>
      </c>
      <c r="K144">
        <v>6</v>
      </c>
      <c r="L144">
        <v>0</v>
      </c>
      <c r="M144">
        <v>328700</v>
      </c>
      <c r="N144">
        <v>178</v>
      </c>
      <c r="O144">
        <v>0</v>
      </c>
      <c r="P144">
        <v>3</v>
      </c>
      <c r="Q144">
        <v>0</v>
      </c>
      <c r="R144">
        <v>-11400</v>
      </c>
      <c r="S144">
        <v>375</v>
      </c>
      <c r="T144">
        <v>0</v>
      </c>
      <c r="U144">
        <v>0</v>
      </c>
      <c r="V144">
        <v>321</v>
      </c>
      <c r="W144" t="s">
        <v>8505</v>
      </c>
      <c r="X144">
        <v>0</v>
      </c>
      <c r="Y144">
        <v>15</v>
      </c>
      <c r="Z144">
        <v>0</v>
      </c>
      <c r="AA144">
        <v>11</v>
      </c>
      <c r="AB144">
        <v>0</v>
      </c>
      <c r="AC144">
        <v>13</v>
      </c>
      <c r="AD144">
        <v>0</v>
      </c>
      <c r="AE144">
        <v>10</v>
      </c>
      <c r="AF144">
        <v>0</v>
      </c>
      <c r="AG144">
        <v>1</v>
      </c>
      <c r="AH144">
        <v>0</v>
      </c>
      <c r="AI144">
        <v>-2</v>
      </c>
      <c r="AJ144">
        <v>0</v>
      </c>
      <c r="AK144">
        <v>20</v>
      </c>
      <c r="AL144">
        <v>0</v>
      </c>
      <c r="AM144">
        <v>2</v>
      </c>
      <c r="AN144">
        <v>0</v>
      </c>
      <c r="AO144">
        <v>1</v>
      </c>
      <c r="AP144">
        <v>59.333300000000001</v>
      </c>
      <c r="AQ144">
        <v>88</v>
      </c>
      <c r="AR144">
        <v>59.333300000000001</v>
      </c>
      <c r="AS144">
        <v>59.333300000000001</v>
      </c>
      <c r="AT144" t="s">
        <v>8467</v>
      </c>
      <c r="AU144">
        <v>93.333299999999994</v>
      </c>
      <c r="AV144">
        <v>1</v>
      </c>
      <c r="AW144" t="s">
        <v>8468</v>
      </c>
      <c r="AX144">
        <v>0</v>
      </c>
      <c r="AY144" t="s">
        <v>8469</v>
      </c>
      <c r="AZ144">
        <v>1</v>
      </c>
      <c r="BA144" t="s">
        <v>8470</v>
      </c>
      <c r="BB144">
        <v>1</v>
      </c>
      <c r="BC144" t="s">
        <v>8471</v>
      </c>
      <c r="BD144">
        <v>57.538499999999999</v>
      </c>
      <c r="BE144" t="s">
        <v>8464</v>
      </c>
      <c r="BF144" t="s">
        <v>8472</v>
      </c>
      <c r="BG144" t="s">
        <v>8464</v>
      </c>
      <c r="BH144">
        <v>2</v>
      </c>
      <c r="BJ144" s="1" t="s">
        <v>8722</v>
      </c>
      <c r="BK144" s="1" t="s">
        <v>8723</v>
      </c>
    </row>
    <row r="145" spans="1:63" x14ac:dyDescent="0.25">
      <c r="A145">
        <v>306</v>
      </c>
      <c r="B145">
        <v>69</v>
      </c>
      <c r="C145" t="s">
        <v>8445</v>
      </c>
      <c r="F145">
        <v>293581</v>
      </c>
      <c r="G145" t="s">
        <v>5256</v>
      </c>
      <c r="H145" t="s">
        <v>3088</v>
      </c>
      <c r="I145" t="s">
        <v>8524</v>
      </c>
      <c r="J145">
        <v>0</v>
      </c>
      <c r="K145">
        <v>6</v>
      </c>
      <c r="L145">
        <v>0</v>
      </c>
      <c r="M145">
        <v>339500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510</v>
      </c>
      <c r="T145">
        <v>0</v>
      </c>
      <c r="U145">
        <v>0</v>
      </c>
      <c r="V145">
        <v>0</v>
      </c>
      <c r="W145" t="s">
        <v>8466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83</v>
      </c>
      <c r="AR145">
        <v>0</v>
      </c>
      <c r="AS145">
        <v>0</v>
      </c>
      <c r="AT145" t="s">
        <v>8525</v>
      </c>
      <c r="AU145">
        <v>59.571399999999997</v>
      </c>
      <c r="AV145">
        <v>0</v>
      </c>
      <c r="AW145" t="s">
        <v>8470</v>
      </c>
      <c r="AX145">
        <v>1</v>
      </c>
      <c r="AY145" t="s">
        <v>8449</v>
      </c>
      <c r="AZ145">
        <v>0</v>
      </c>
      <c r="BA145" t="s">
        <v>8526</v>
      </c>
      <c r="BB145">
        <v>1</v>
      </c>
      <c r="BC145" t="s">
        <v>8527</v>
      </c>
      <c r="BD145">
        <v>67.545500000000004</v>
      </c>
      <c r="BE145" t="s">
        <v>8455</v>
      </c>
      <c r="BF145" t="s">
        <v>8494</v>
      </c>
      <c r="BG145" t="s">
        <v>8498</v>
      </c>
      <c r="BH145">
        <v>1.88636</v>
      </c>
    </row>
    <row r="146" spans="1:63" x14ac:dyDescent="0.25">
      <c r="A146">
        <v>309</v>
      </c>
      <c r="B146">
        <v>678</v>
      </c>
      <c r="C146" t="s">
        <v>8445</v>
      </c>
      <c r="F146">
        <v>1013230</v>
      </c>
      <c r="G146" t="s">
        <v>6149</v>
      </c>
      <c r="H146" t="s">
        <v>5142</v>
      </c>
      <c r="I146" t="s">
        <v>8446</v>
      </c>
      <c r="J146">
        <v>0</v>
      </c>
      <c r="K146">
        <v>6</v>
      </c>
      <c r="L146">
        <v>0</v>
      </c>
      <c r="M146">
        <v>338100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510</v>
      </c>
      <c r="T146">
        <v>0</v>
      </c>
      <c r="U146">
        <v>0</v>
      </c>
      <c r="V146">
        <v>0</v>
      </c>
      <c r="W146" t="s">
        <v>8447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104</v>
      </c>
      <c r="AR146">
        <v>0</v>
      </c>
      <c r="AS146">
        <v>0</v>
      </c>
      <c r="AT146" t="s">
        <v>8448</v>
      </c>
      <c r="AU146">
        <v>52</v>
      </c>
      <c r="AV146">
        <v>0</v>
      </c>
      <c r="AW146" t="s">
        <v>8449</v>
      </c>
      <c r="AX146">
        <v>1</v>
      </c>
      <c r="AY146" t="s">
        <v>8450</v>
      </c>
      <c r="AZ146">
        <v>0</v>
      </c>
      <c r="BA146" t="s">
        <v>8451</v>
      </c>
      <c r="BB146">
        <v>1</v>
      </c>
      <c r="BC146" t="s">
        <v>8452</v>
      </c>
      <c r="BD146">
        <v>53.580599999999997</v>
      </c>
      <c r="BE146" t="s">
        <v>8453</v>
      </c>
      <c r="BF146" t="s">
        <v>8454</v>
      </c>
      <c r="BG146" t="s">
        <v>8455</v>
      </c>
      <c r="BH146">
        <v>2.3636400000000002</v>
      </c>
    </row>
    <row r="147" spans="1:63" x14ac:dyDescent="0.25">
      <c r="A147">
        <v>310</v>
      </c>
      <c r="B147">
        <v>76</v>
      </c>
      <c r="C147" t="s">
        <v>8445</v>
      </c>
      <c r="F147">
        <v>1002347</v>
      </c>
      <c r="G147" t="s">
        <v>1127</v>
      </c>
      <c r="H147" t="s">
        <v>7568</v>
      </c>
      <c r="I147" t="s">
        <v>8524</v>
      </c>
      <c r="J147">
        <v>0</v>
      </c>
      <c r="K147">
        <v>6</v>
      </c>
      <c r="L147">
        <v>0</v>
      </c>
      <c r="M147">
        <v>365400</v>
      </c>
      <c r="N147">
        <v>365</v>
      </c>
      <c r="O147">
        <v>0</v>
      </c>
      <c r="P147">
        <v>5</v>
      </c>
      <c r="Q147">
        <v>0</v>
      </c>
      <c r="R147">
        <v>27500</v>
      </c>
      <c r="S147">
        <v>147</v>
      </c>
      <c r="T147">
        <v>0</v>
      </c>
      <c r="U147">
        <v>0</v>
      </c>
      <c r="V147">
        <v>611</v>
      </c>
      <c r="W147" t="s">
        <v>8481</v>
      </c>
      <c r="X147">
        <v>0</v>
      </c>
      <c r="Y147">
        <v>44</v>
      </c>
      <c r="Z147">
        <v>0</v>
      </c>
      <c r="AA147">
        <v>17</v>
      </c>
      <c r="AB147">
        <v>0</v>
      </c>
      <c r="AC147">
        <v>28</v>
      </c>
      <c r="AD147">
        <v>0</v>
      </c>
      <c r="AE147">
        <v>7</v>
      </c>
      <c r="AF147">
        <v>0</v>
      </c>
      <c r="AG147">
        <v>3</v>
      </c>
      <c r="AH147">
        <v>0</v>
      </c>
      <c r="AI147">
        <v>-1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73</v>
      </c>
      <c r="AQ147">
        <v>239</v>
      </c>
      <c r="AR147">
        <v>73</v>
      </c>
      <c r="AS147">
        <v>83</v>
      </c>
      <c r="AT147" t="s">
        <v>8525</v>
      </c>
      <c r="AU147">
        <v>35</v>
      </c>
      <c r="AV147">
        <v>0</v>
      </c>
      <c r="AW147" t="s">
        <v>8470</v>
      </c>
      <c r="AX147">
        <v>1</v>
      </c>
      <c r="AY147" t="s">
        <v>8449</v>
      </c>
      <c r="AZ147">
        <v>0</v>
      </c>
      <c r="BA147" t="s">
        <v>8526</v>
      </c>
      <c r="BB147">
        <v>1</v>
      </c>
      <c r="BC147" t="s">
        <v>8527</v>
      </c>
      <c r="BD147">
        <v>57.413800000000002</v>
      </c>
      <c r="BE147" t="s">
        <v>8455</v>
      </c>
      <c r="BF147" t="s">
        <v>8494</v>
      </c>
      <c r="BG147" t="s">
        <v>8498</v>
      </c>
      <c r="BH147">
        <v>5.4318200000000001</v>
      </c>
      <c r="BJ147" s="1" t="s">
        <v>8724</v>
      </c>
      <c r="BK147" s="1" t="s">
        <v>8725</v>
      </c>
    </row>
    <row r="148" spans="1:63" x14ac:dyDescent="0.25">
      <c r="A148">
        <v>312</v>
      </c>
      <c r="B148">
        <v>144</v>
      </c>
      <c r="C148" t="s">
        <v>8445</v>
      </c>
      <c r="F148">
        <v>1006148</v>
      </c>
      <c r="G148" t="s">
        <v>6936</v>
      </c>
      <c r="H148" t="s">
        <v>1378</v>
      </c>
      <c r="I148" t="s">
        <v>8525</v>
      </c>
      <c r="J148">
        <v>0</v>
      </c>
      <c r="K148">
        <v>6</v>
      </c>
      <c r="L148">
        <v>0</v>
      </c>
      <c r="M148">
        <v>314800</v>
      </c>
      <c r="N148">
        <v>302</v>
      </c>
      <c r="O148">
        <v>0</v>
      </c>
      <c r="P148">
        <v>5</v>
      </c>
      <c r="Q148">
        <v>0</v>
      </c>
      <c r="R148">
        <v>-23000</v>
      </c>
      <c r="S148">
        <v>251</v>
      </c>
      <c r="T148">
        <v>0</v>
      </c>
      <c r="U148">
        <v>0</v>
      </c>
      <c r="V148">
        <v>473</v>
      </c>
      <c r="W148" t="s">
        <v>8475</v>
      </c>
      <c r="X148">
        <v>0</v>
      </c>
      <c r="Y148">
        <v>31</v>
      </c>
      <c r="Z148">
        <v>0</v>
      </c>
      <c r="AA148">
        <v>17</v>
      </c>
      <c r="AB148">
        <v>0</v>
      </c>
      <c r="AC148">
        <v>10</v>
      </c>
      <c r="AD148">
        <v>0</v>
      </c>
      <c r="AE148">
        <v>10</v>
      </c>
      <c r="AF148">
        <v>0</v>
      </c>
      <c r="AG148">
        <v>4</v>
      </c>
      <c r="AH148">
        <v>0</v>
      </c>
      <c r="AI148">
        <v>-6</v>
      </c>
      <c r="AJ148">
        <v>0</v>
      </c>
      <c r="AK148">
        <v>0</v>
      </c>
      <c r="AL148">
        <v>0</v>
      </c>
      <c r="AM148">
        <v>8</v>
      </c>
      <c r="AN148">
        <v>0</v>
      </c>
      <c r="AO148">
        <v>5</v>
      </c>
      <c r="AP148">
        <v>60.4</v>
      </c>
      <c r="AQ148">
        <v>407</v>
      </c>
      <c r="AR148">
        <v>60.4</v>
      </c>
      <c r="AS148">
        <v>64.333299999999994</v>
      </c>
      <c r="AT148" t="s">
        <v>8524</v>
      </c>
      <c r="AU148">
        <v>52</v>
      </c>
      <c r="AV148">
        <v>1</v>
      </c>
      <c r="AW148" t="s">
        <v>8451</v>
      </c>
      <c r="AX148">
        <v>0</v>
      </c>
      <c r="AY148" t="s">
        <v>8468</v>
      </c>
      <c r="AZ148">
        <v>0</v>
      </c>
      <c r="BA148" t="s">
        <v>8513</v>
      </c>
      <c r="BB148">
        <v>1</v>
      </c>
      <c r="BC148" t="s">
        <v>8527</v>
      </c>
      <c r="BD148">
        <v>66.25</v>
      </c>
      <c r="BE148" t="s">
        <v>8464</v>
      </c>
      <c r="BF148" t="s">
        <v>8464</v>
      </c>
      <c r="BG148" t="s">
        <v>8463</v>
      </c>
      <c r="BH148">
        <v>9.25</v>
      </c>
      <c r="BJ148">
        <v>0.63847780126849896</v>
      </c>
      <c r="BK148" s="1" t="s">
        <v>8726</v>
      </c>
    </row>
    <row r="149" spans="1:63" x14ac:dyDescent="0.25">
      <c r="A149">
        <v>313</v>
      </c>
      <c r="B149">
        <v>757</v>
      </c>
      <c r="C149" t="s">
        <v>8445</v>
      </c>
      <c r="F149">
        <v>1023167</v>
      </c>
      <c r="G149" t="s">
        <v>7403</v>
      </c>
      <c r="H149" t="s">
        <v>7404</v>
      </c>
      <c r="I149" t="s">
        <v>8456</v>
      </c>
      <c r="J149">
        <v>0</v>
      </c>
      <c r="K149">
        <v>6</v>
      </c>
      <c r="L149">
        <v>0</v>
      </c>
      <c r="M149">
        <v>297700</v>
      </c>
      <c r="N149">
        <v>295</v>
      </c>
      <c r="O149">
        <v>0</v>
      </c>
      <c r="P149">
        <v>5</v>
      </c>
      <c r="Q149">
        <v>0</v>
      </c>
      <c r="R149">
        <v>-39400</v>
      </c>
      <c r="S149">
        <v>255</v>
      </c>
      <c r="T149">
        <v>0</v>
      </c>
      <c r="U149">
        <v>0</v>
      </c>
      <c r="V149">
        <v>565</v>
      </c>
      <c r="W149" t="s">
        <v>8475</v>
      </c>
      <c r="X149">
        <v>0</v>
      </c>
      <c r="Y149">
        <v>37</v>
      </c>
      <c r="Z149">
        <v>0</v>
      </c>
      <c r="AA149">
        <v>27</v>
      </c>
      <c r="AB149">
        <v>0</v>
      </c>
      <c r="AC149">
        <v>21</v>
      </c>
      <c r="AD149">
        <v>0</v>
      </c>
      <c r="AE149">
        <v>8</v>
      </c>
      <c r="AF149">
        <v>0</v>
      </c>
      <c r="AG149">
        <v>3</v>
      </c>
      <c r="AH149">
        <v>0</v>
      </c>
      <c r="AI149">
        <v>-3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59</v>
      </c>
      <c r="AQ149">
        <v>118</v>
      </c>
      <c r="AR149">
        <v>59</v>
      </c>
      <c r="AS149">
        <v>52.333300000000001</v>
      </c>
      <c r="AT149" t="s">
        <v>8458</v>
      </c>
      <c r="AU149">
        <v>57.4</v>
      </c>
      <c r="AV149">
        <v>0</v>
      </c>
      <c r="AW149" t="s">
        <v>8459</v>
      </c>
      <c r="AX149">
        <v>1</v>
      </c>
      <c r="AY149" t="s">
        <v>8460</v>
      </c>
      <c r="AZ149">
        <v>0</v>
      </c>
      <c r="BA149" t="s">
        <v>8461</v>
      </c>
      <c r="BB149">
        <v>1</v>
      </c>
      <c r="BC149" t="s">
        <v>8462</v>
      </c>
      <c r="BD149">
        <v>61.7742</v>
      </c>
      <c r="BE149" t="s">
        <v>8455</v>
      </c>
      <c r="BF149" t="s">
        <v>8463</v>
      </c>
      <c r="BG149" t="s">
        <v>8464</v>
      </c>
      <c r="BH149">
        <v>2.6818200000000001</v>
      </c>
      <c r="BJ149" s="1" t="s">
        <v>8727</v>
      </c>
      <c r="BK149" s="1" t="s">
        <v>8728</v>
      </c>
    </row>
    <row r="150" spans="1:63" x14ac:dyDescent="0.25">
      <c r="A150">
        <v>314</v>
      </c>
      <c r="B150">
        <v>217</v>
      </c>
      <c r="C150" t="s">
        <v>8445</v>
      </c>
      <c r="F150">
        <v>998180</v>
      </c>
      <c r="G150" t="s">
        <v>6558</v>
      </c>
      <c r="H150" t="s">
        <v>7972</v>
      </c>
      <c r="I150" t="s">
        <v>8502</v>
      </c>
      <c r="J150">
        <v>0</v>
      </c>
      <c r="K150">
        <v>6</v>
      </c>
      <c r="L150">
        <v>0</v>
      </c>
      <c r="M150">
        <v>343000</v>
      </c>
      <c r="N150">
        <v>297</v>
      </c>
      <c r="O150">
        <v>0</v>
      </c>
      <c r="P150">
        <v>5</v>
      </c>
      <c r="Q150">
        <v>0</v>
      </c>
      <c r="R150">
        <v>6200</v>
      </c>
      <c r="S150">
        <v>253</v>
      </c>
      <c r="T150">
        <v>0</v>
      </c>
      <c r="U150">
        <v>0</v>
      </c>
      <c r="V150">
        <v>506</v>
      </c>
      <c r="W150" t="s">
        <v>8475</v>
      </c>
      <c r="X150">
        <v>0</v>
      </c>
      <c r="Y150">
        <v>32</v>
      </c>
      <c r="Z150">
        <v>0</v>
      </c>
      <c r="AA150">
        <v>34</v>
      </c>
      <c r="AB150">
        <v>0</v>
      </c>
      <c r="AC150">
        <v>7</v>
      </c>
      <c r="AD150">
        <v>0</v>
      </c>
      <c r="AE150">
        <v>7</v>
      </c>
      <c r="AF150">
        <v>0</v>
      </c>
      <c r="AG150">
        <v>2</v>
      </c>
      <c r="AH150">
        <v>0</v>
      </c>
      <c r="AI150">
        <v>-1</v>
      </c>
      <c r="AJ150">
        <v>0</v>
      </c>
      <c r="AK150">
        <v>0</v>
      </c>
      <c r="AL150">
        <v>0</v>
      </c>
      <c r="AM150">
        <v>3</v>
      </c>
      <c r="AN150">
        <v>0</v>
      </c>
      <c r="AO150">
        <v>1</v>
      </c>
      <c r="AP150">
        <v>59.4</v>
      </c>
      <c r="AQ150">
        <v>195</v>
      </c>
      <c r="AR150">
        <v>59.4</v>
      </c>
      <c r="AS150">
        <v>72.666700000000006</v>
      </c>
      <c r="AT150" t="s">
        <v>8501</v>
      </c>
      <c r="AU150">
        <v>53</v>
      </c>
      <c r="AV150">
        <v>1</v>
      </c>
      <c r="AW150" t="s">
        <v>8469</v>
      </c>
      <c r="AX150">
        <v>0</v>
      </c>
      <c r="AY150" t="s">
        <v>8470</v>
      </c>
      <c r="AZ150">
        <v>1</v>
      </c>
      <c r="BA150" t="s">
        <v>8530</v>
      </c>
      <c r="BB150">
        <v>0</v>
      </c>
      <c r="BC150" t="s">
        <v>8484</v>
      </c>
      <c r="BD150">
        <v>56.428600000000003</v>
      </c>
      <c r="BE150" t="s">
        <v>8463</v>
      </c>
      <c r="BF150" t="s">
        <v>8455</v>
      </c>
      <c r="BG150" t="s">
        <v>8463</v>
      </c>
      <c r="BH150">
        <v>4.4318200000000001</v>
      </c>
      <c r="BJ150" s="1" t="s">
        <v>8729</v>
      </c>
      <c r="BK150" s="1" t="s">
        <v>8730</v>
      </c>
    </row>
    <row r="151" spans="1:63" x14ac:dyDescent="0.25">
      <c r="A151">
        <v>315</v>
      </c>
      <c r="B151">
        <v>505</v>
      </c>
      <c r="C151" t="s">
        <v>8445</v>
      </c>
      <c r="F151">
        <v>1012829</v>
      </c>
      <c r="G151" t="s">
        <v>2115</v>
      </c>
      <c r="H151" t="s">
        <v>4059</v>
      </c>
      <c r="I151" t="s">
        <v>8467</v>
      </c>
      <c r="J151">
        <v>0</v>
      </c>
      <c r="K151">
        <v>6</v>
      </c>
      <c r="L151">
        <v>0</v>
      </c>
      <c r="M151">
        <v>315400</v>
      </c>
      <c r="N151">
        <v>152</v>
      </c>
      <c r="O151">
        <v>0</v>
      </c>
      <c r="P151">
        <v>3</v>
      </c>
      <c r="Q151">
        <v>0</v>
      </c>
      <c r="R151">
        <v>-21100</v>
      </c>
      <c r="S151">
        <v>398</v>
      </c>
      <c r="T151">
        <v>0</v>
      </c>
      <c r="U151">
        <v>0</v>
      </c>
      <c r="V151">
        <v>228</v>
      </c>
      <c r="W151" t="s">
        <v>8505</v>
      </c>
      <c r="X151">
        <v>0</v>
      </c>
      <c r="Y151">
        <v>9</v>
      </c>
      <c r="Z151">
        <v>0</v>
      </c>
      <c r="AA151">
        <v>24</v>
      </c>
      <c r="AB151">
        <v>0</v>
      </c>
      <c r="AC151">
        <v>7</v>
      </c>
      <c r="AD151">
        <v>0</v>
      </c>
      <c r="AE151">
        <v>11</v>
      </c>
      <c r="AF151">
        <v>0</v>
      </c>
      <c r="AG151">
        <v>1</v>
      </c>
      <c r="AH151">
        <v>0</v>
      </c>
      <c r="AI151">
        <v>-1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50.666699999999999</v>
      </c>
      <c r="AQ151">
        <v>152</v>
      </c>
      <c r="AR151">
        <v>50.666699999999999</v>
      </c>
      <c r="AS151">
        <v>50.666699999999999</v>
      </c>
      <c r="AT151" t="s">
        <v>8465</v>
      </c>
      <c r="AU151">
        <v>59.5</v>
      </c>
      <c r="AV151">
        <v>0</v>
      </c>
      <c r="AW151" t="s">
        <v>8497</v>
      </c>
      <c r="AX151">
        <v>1</v>
      </c>
      <c r="AY151" t="s">
        <v>8451</v>
      </c>
      <c r="AZ151">
        <v>1</v>
      </c>
      <c r="BA151" t="s">
        <v>8492</v>
      </c>
      <c r="BB151">
        <v>0</v>
      </c>
      <c r="BC151" t="s">
        <v>8471</v>
      </c>
      <c r="BD151">
        <v>60.05</v>
      </c>
      <c r="BE151" t="s">
        <v>8472</v>
      </c>
      <c r="BF151" t="s">
        <v>8455</v>
      </c>
      <c r="BG151" t="s">
        <v>8498</v>
      </c>
      <c r="BH151">
        <v>3.4545499999999998</v>
      </c>
      <c r="BJ151" s="1" t="s">
        <v>128</v>
      </c>
      <c r="BK151" s="1" t="s">
        <v>8731</v>
      </c>
    </row>
    <row r="152" spans="1:63" x14ac:dyDescent="0.25">
      <c r="A152">
        <v>316</v>
      </c>
      <c r="B152">
        <v>3</v>
      </c>
      <c r="C152" t="s">
        <v>8445</v>
      </c>
      <c r="F152">
        <v>1009029</v>
      </c>
      <c r="G152" t="s">
        <v>617</v>
      </c>
      <c r="H152" t="s">
        <v>8732</v>
      </c>
      <c r="I152" t="s">
        <v>8511</v>
      </c>
      <c r="J152">
        <v>0</v>
      </c>
      <c r="K152">
        <v>6</v>
      </c>
      <c r="L152">
        <v>0</v>
      </c>
      <c r="M152">
        <v>335700</v>
      </c>
      <c r="N152">
        <v>82</v>
      </c>
      <c r="O152">
        <v>0</v>
      </c>
      <c r="P152">
        <v>2</v>
      </c>
      <c r="Q152">
        <v>0</v>
      </c>
      <c r="R152">
        <v>0</v>
      </c>
      <c r="S152">
        <v>454</v>
      </c>
      <c r="T152">
        <v>0</v>
      </c>
      <c r="U152">
        <v>0</v>
      </c>
      <c r="V152">
        <v>219</v>
      </c>
      <c r="W152" t="s">
        <v>8505</v>
      </c>
      <c r="X152">
        <v>0</v>
      </c>
      <c r="Y152">
        <v>10</v>
      </c>
      <c r="Z152">
        <v>0</v>
      </c>
      <c r="AA152">
        <v>6</v>
      </c>
      <c r="AB152">
        <v>0</v>
      </c>
      <c r="AC152">
        <v>3</v>
      </c>
      <c r="AD152">
        <v>0</v>
      </c>
      <c r="AE152">
        <v>3</v>
      </c>
      <c r="AF152">
        <v>0</v>
      </c>
      <c r="AG152">
        <v>0</v>
      </c>
      <c r="AH152">
        <v>0</v>
      </c>
      <c r="AI152">
        <v>-3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41</v>
      </c>
      <c r="AQ152">
        <v>63</v>
      </c>
      <c r="AR152">
        <v>41</v>
      </c>
      <c r="AS152">
        <v>41</v>
      </c>
      <c r="AT152" t="s">
        <v>8512</v>
      </c>
      <c r="AU152">
        <v>0</v>
      </c>
      <c r="AV152">
        <v>0</v>
      </c>
      <c r="AW152" t="s">
        <v>8513</v>
      </c>
      <c r="AX152">
        <v>1</v>
      </c>
      <c r="AY152" t="s">
        <v>8514</v>
      </c>
      <c r="AZ152">
        <v>0</v>
      </c>
      <c r="BA152" t="s">
        <v>8497</v>
      </c>
      <c r="BB152">
        <v>1</v>
      </c>
      <c r="BC152" t="s">
        <v>8515</v>
      </c>
      <c r="BD152">
        <v>64</v>
      </c>
      <c r="BE152" t="s">
        <v>8463</v>
      </c>
      <c r="BF152" t="s">
        <v>8472</v>
      </c>
      <c r="BG152" t="s">
        <v>8472</v>
      </c>
      <c r="BH152">
        <v>1.4318200000000001</v>
      </c>
      <c r="BJ152" s="1" t="s">
        <v>8733</v>
      </c>
      <c r="BK152" s="1" t="s">
        <v>8734</v>
      </c>
    </row>
    <row r="153" spans="1:63" x14ac:dyDescent="0.25">
      <c r="A153">
        <v>317</v>
      </c>
      <c r="B153">
        <v>565</v>
      </c>
      <c r="C153" t="s">
        <v>8445</v>
      </c>
      <c r="F153">
        <v>1002245</v>
      </c>
      <c r="G153" t="s">
        <v>5462</v>
      </c>
      <c r="H153" t="s">
        <v>5928</v>
      </c>
      <c r="I153" t="s">
        <v>8490</v>
      </c>
      <c r="J153">
        <v>0</v>
      </c>
      <c r="K153">
        <v>6</v>
      </c>
      <c r="L153">
        <v>0</v>
      </c>
      <c r="M153">
        <v>334900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510</v>
      </c>
      <c r="T153">
        <v>0</v>
      </c>
      <c r="U153">
        <v>0</v>
      </c>
      <c r="V153">
        <v>0</v>
      </c>
      <c r="W153" t="s">
        <v>8447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243</v>
      </c>
      <c r="AR153">
        <v>0</v>
      </c>
      <c r="AS153">
        <v>0</v>
      </c>
      <c r="AT153" t="s">
        <v>8489</v>
      </c>
      <c r="AU153">
        <v>63.25</v>
      </c>
      <c r="AV153">
        <v>0</v>
      </c>
      <c r="AW153" t="s">
        <v>8460</v>
      </c>
      <c r="AX153">
        <v>1</v>
      </c>
      <c r="AY153" t="s">
        <v>8459</v>
      </c>
      <c r="AZ153">
        <v>1</v>
      </c>
      <c r="BA153" t="s">
        <v>8483</v>
      </c>
      <c r="BB153">
        <v>0</v>
      </c>
      <c r="BC153" t="s">
        <v>8471</v>
      </c>
      <c r="BD153">
        <v>52.923099999999998</v>
      </c>
      <c r="BE153" t="s">
        <v>8464</v>
      </c>
      <c r="BF153" t="s">
        <v>8464</v>
      </c>
      <c r="BG153" t="s">
        <v>8464</v>
      </c>
      <c r="BH153">
        <v>5.5227300000000001</v>
      </c>
    </row>
    <row r="154" spans="1:63" x14ac:dyDescent="0.25">
      <c r="A154">
        <v>318</v>
      </c>
      <c r="B154">
        <v>623</v>
      </c>
      <c r="C154" t="s">
        <v>8445</v>
      </c>
      <c r="F154">
        <v>1005988</v>
      </c>
      <c r="G154" t="s">
        <v>1464</v>
      </c>
      <c r="H154" t="s">
        <v>1249</v>
      </c>
      <c r="I154" t="s">
        <v>8549</v>
      </c>
      <c r="J154">
        <v>0</v>
      </c>
      <c r="K154">
        <v>6</v>
      </c>
      <c r="L154">
        <v>0</v>
      </c>
      <c r="M154">
        <v>334100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510</v>
      </c>
      <c r="T154">
        <v>0</v>
      </c>
      <c r="U154">
        <v>0</v>
      </c>
      <c r="V154">
        <v>0</v>
      </c>
      <c r="W154" t="s">
        <v>8447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207</v>
      </c>
      <c r="AR154">
        <v>0</v>
      </c>
      <c r="AS154">
        <v>0</v>
      </c>
      <c r="AT154" t="s">
        <v>8548</v>
      </c>
      <c r="AU154">
        <v>50.25</v>
      </c>
      <c r="AV154">
        <v>1</v>
      </c>
      <c r="AW154" t="s">
        <v>8492</v>
      </c>
      <c r="AX154">
        <v>0</v>
      </c>
      <c r="AY154" t="s">
        <v>8513</v>
      </c>
      <c r="AZ154">
        <v>0</v>
      </c>
      <c r="BA154" t="s">
        <v>8514</v>
      </c>
      <c r="BB154">
        <v>0</v>
      </c>
      <c r="BC154" t="s">
        <v>8471</v>
      </c>
      <c r="BD154">
        <v>55.461500000000001</v>
      </c>
      <c r="BE154" t="s">
        <v>8455</v>
      </c>
      <c r="BF154" t="s">
        <v>8455</v>
      </c>
      <c r="BG154" t="s">
        <v>8464</v>
      </c>
      <c r="BH154">
        <v>4.7045500000000002</v>
      </c>
    </row>
    <row r="155" spans="1:63" x14ac:dyDescent="0.25">
      <c r="A155">
        <v>319</v>
      </c>
      <c r="B155">
        <v>109</v>
      </c>
      <c r="C155" t="s">
        <v>8445</v>
      </c>
      <c r="F155">
        <v>1023495</v>
      </c>
      <c r="G155" t="s">
        <v>3871</v>
      </c>
      <c r="H155" t="s">
        <v>6072</v>
      </c>
      <c r="I155" t="s">
        <v>8465</v>
      </c>
      <c r="J155">
        <v>0</v>
      </c>
      <c r="K155">
        <v>6</v>
      </c>
      <c r="L155">
        <v>0</v>
      </c>
      <c r="M155">
        <v>323600</v>
      </c>
      <c r="N155">
        <v>337</v>
      </c>
      <c r="O155">
        <v>0</v>
      </c>
      <c r="P155">
        <v>5</v>
      </c>
      <c r="Q155">
        <v>0</v>
      </c>
      <c r="R155">
        <v>-9700</v>
      </c>
      <c r="S155">
        <v>199</v>
      </c>
      <c r="T155">
        <v>0</v>
      </c>
      <c r="U155">
        <v>0</v>
      </c>
      <c r="V155">
        <v>548</v>
      </c>
      <c r="W155" t="s">
        <v>8475</v>
      </c>
      <c r="X155">
        <v>0</v>
      </c>
      <c r="Y155">
        <v>55</v>
      </c>
      <c r="Z155">
        <v>0</v>
      </c>
      <c r="AA155">
        <v>25</v>
      </c>
      <c r="AB155">
        <v>0</v>
      </c>
      <c r="AC155">
        <v>28</v>
      </c>
      <c r="AD155">
        <v>0</v>
      </c>
      <c r="AE155">
        <v>14</v>
      </c>
      <c r="AF155">
        <v>0</v>
      </c>
      <c r="AG155">
        <v>1</v>
      </c>
      <c r="AH155">
        <v>0</v>
      </c>
      <c r="AI155">
        <v>-9</v>
      </c>
      <c r="AJ155">
        <v>0</v>
      </c>
      <c r="AK155">
        <v>0</v>
      </c>
      <c r="AL155">
        <v>0</v>
      </c>
      <c r="AM155">
        <v>2</v>
      </c>
      <c r="AN155">
        <v>0</v>
      </c>
      <c r="AO155">
        <v>1</v>
      </c>
      <c r="AP155">
        <v>67.400000000000006</v>
      </c>
      <c r="AQ155">
        <v>650</v>
      </c>
      <c r="AR155">
        <v>67.400000000000006</v>
      </c>
      <c r="AS155">
        <v>69.333299999999994</v>
      </c>
      <c r="AT155" t="s">
        <v>8467</v>
      </c>
      <c r="AU155">
        <v>66.333299999999994</v>
      </c>
      <c r="AV155">
        <v>1</v>
      </c>
      <c r="AW155" t="s">
        <v>8468</v>
      </c>
      <c r="AX155">
        <v>0</v>
      </c>
      <c r="AY155" t="s">
        <v>8469</v>
      </c>
      <c r="AZ155">
        <v>1</v>
      </c>
      <c r="BA155" t="s">
        <v>8470</v>
      </c>
      <c r="BB155">
        <v>1</v>
      </c>
      <c r="BC155" t="s">
        <v>8471</v>
      </c>
      <c r="BD155">
        <v>62</v>
      </c>
      <c r="BE155" t="s">
        <v>8464</v>
      </c>
      <c r="BF155" t="s">
        <v>8472</v>
      </c>
      <c r="BG155" t="s">
        <v>8464</v>
      </c>
      <c r="BH155">
        <v>14.7727</v>
      </c>
      <c r="BJ155">
        <v>0.61496350364963503</v>
      </c>
      <c r="BK155" s="1" t="s">
        <v>8735</v>
      </c>
    </row>
    <row r="156" spans="1:63" x14ac:dyDescent="0.25">
      <c r="A156">
        <v>320</v>
      </c>
      <c r="B156">
        <v>267</v>
      </c>
      <c r="C156" t="s">
        <v>8445</v>
      </c>
      <c r="F156">
        <v>1013268</v>
      </c>
      <c r="G156" t="s">
        <v>1450</v>
      </c>
      <c r="H156" t="s">
        <v>5959</v>
      </c>
      <c r="I156" t="s">
        <v>8489</v>
      </c>
      <c r="J156">
        <v>0</v>
      </c>
      <c r="K156">
        <v>6</v>
      </c>
      <c r="L156">
        <v>0</v>
      </c>
      <c r="M156">
        <v>333200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510</v>
      </c>
      <c r="T156">
        <v>0</v>
      </c>
      <c r="U156">
        <v>0</v>
      </c>
      <c r="V156">
        <v>0</v>
      </c>
      <c r="W156" t="s">
        <v>8466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72</v>
      </c>
      <c r="AR156">
        <v>0</v>
      </c>
      <c r="AS156">
        <v>0</v>
      </c>
      <c r="AT156" t="s">
        <v>8490</v>
      </c>
      <c r="AU156">
        <v>52.5</v>
      </c>
      <c r="AV156">
        <v>1</v>
      </c>
      <c r="AW156" t="s">
        <v>8491</v>
      </c>
      <c r="AX156">
        <v>0</v>
      </c>
      <c r="AY156" t="s">
        <v>8492</v>
      </c>
      <c r="AZ156">
        <v>1</v>
      </c>
      <c r="BA156" t="s">
        <v>8493</v>
      </c>
      <c r="BB156">
        <v>0</v>
      </c>
      <c r="BC156" t="s">
        <v>8471</v>
      </c>
      <c r="BD156">
        <v>56</v>
      </c>
      <c r="BE156" t="s">
        <v>8453</v>
      </c>
      <c r="BF156" t="s">
        <v>8494</v>
      </c>
      <c r="BG156" t="s">
        <v>8495</v>
      </c>
      <c r="BH156">
        <v>1.63636</v>
      </c>
    </row>
    <row r="157" spans="1:63" x14ac:dyDescent="0.25">
      <c r="A157">
        <v>321</v>
      </c>
      <c r="B157">
        <v>215</v>
      </c>
      <c r="C157" t="s">
        <v>8445</v>
      </c>
      <c r="F157">
        <v>295067</v>
      </c>
      <c r="G157" t="s">
        <v>617</v>
      </c>
      <c r="H157" t="s">
        <v>5659</v>
      </c>
      <c r="I157" t="s">
        <v>8502</v>
      </c>
      <c r="J157">
        <v>0</v>
      </c>
      <c r="K157">
        <v>6</v>
      </c>
      <c r="L157">
        <v>0</v>
      </c>
      <c r="M157">
        <v>333000</v>
      </c>
      <c r="N157">
        <v>13</v>
      </c>
      <c r="O157">
        <v>0</v>
      </c>
      <c r="P157">
        <v>1</v>
      </c>
      <c r="Q157">
        <v>0</v>
      </c>
      <c r="R157">
        <v>0</v>
      </c>
      <c r="S157">
        <v>506</v>
      </c>
      <c r="T157">
        <v>0</v>
      </c>
      <c r="U157">
        <v>0</v>
      </c>
      <c r="V157">
        <v>25</v>
      </c>
      <c r="W157" t="s">
        <v>8466</v>
      </c>
      <c r="X157">
        <v>0</v>
      </c>
      <c r="Y157">
        <v>1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13</v>
      </c>
      <c r="AQ157">
        <v>75</v>
      </c>
      <c r="AR157">
        <v>13</v>
      </c>
      <c r="AS157">
        <v>13</v>
      </c>
      <c r="AT157" t="s">
        <v>8501</v>
      </c>
      <c r="AU157">
        <v>72.461500000000001</v>
      </c>
      <c r="AV157">
        <v>1</v>
      </c>
      <c r="AW157" t="s">
        <v>8469</v>
      </c>
      <c r="AX157">
        <v>0</v>
      </c>
      <c r="AY157" t="s">
        <v>8470</v>
      </c>
      <c r="AZ157">
        <v>1</v>
      </c>
      <c r="BA157" t="s">
        <v>8530</v>
      </c>
      <c r="BB157">
        <v>0</v>
      </c>
      <c r="BC157" t="s">
        <v>8484</v>
      </c>
      <c r="BD157">
        <v>62.5122</v>
      </c>
      <c r="BE157" t="s">
        <v>8463</v>
      </c>
      <c r="BF157" t="s">
        <v>8455</v>
      </c>
      <c r="BG157" t="s">
        <v>8463</v>
      </c>
      <c r="BH157">
        <v>1.70455</v>
      </c>
      <c r="BJ157">
        <v>0.52</v>
      </c>
      <c r="BK157" s="1" t="s">
        <v>8736</v>
      </c>
    </row>
    <row r="158" spans="1:63" x14ac:dyDescent="0.25">
      <c r="A158">
        <v>322</v>
      </c>
      <c r="B158">
        <v>645</v>
      </c>
      <c r="C158" t="s">
        <v>8445</v>
      </c>
      <c r="F158">
        <v>290757</v>
      </c>
      <c r="G158" t="s">
        <v>1059</v>
      </c>
      <c r="H158" t="s">
        <v>8075</v>
      </c>
      <c r="I158" t="s">
        <v>8549</v>
      </c>
      <c r="J158">
        <v>0</v>
      </c>
      <c r="K158">
        <v>6</v>
      </c>
      <c r="L158">
        <v>0</v>
      </c>
      <c r="M158">
        <v>313600</v>
      </c>
      <c r="N158">
        <v>253</v>
      </c>
      <c r="O158">
        <v>0</v>
      </c>
      <c r="P158">
        <v>5</v>
      </c>
      <c r="Q158">
        <v>0</v>
      </c>
      <c r="R158">
        <v>-19000</v>
      </c>
      <c r="S158">
        <v>301</v>
      </c>
      <c r="T158">
        <v>0</v>
      </c>
      <c r="U158">
        <v>0</v>
      </c>
      <c r="V158">
        <v>499</v>
      </c>
      <c r="W158" t="s">
        <v>8475</v>
      </c>
      <c r="X158">
        <v>0</v>
      </c>
      <c r="Y158">
        <v>37</v>
      </c>
      <c r="Z158">
        <v>0</v>
      </c>
      <c r="AA158">
        <v>17</v>
      </c>
      <c r="AB158">
        <v>0</v>
      </c>
      <c r="AC158">
        <v>20</v>
      </c>
      <c r="AD158">
        <v>0</v>
      </c>
      <c r="AE158">
        <v>4</v>
      </c>
      <c r="AF158">
        <v>0</v>
      </c>
      <c r="AG158">
        <v>0</v>
      </c>
      <c r="AH158">
        <v>0</v>
      </c>
      <c r="AI158">
        <v>-4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50.6</v>
      </c>
      <c r="AQ158">
        <v>127</v>
      </c>
      <c r="AR158">
        <v>50.6</v>
      </c>
      <c r="AS158">
        <v>53.333300000000001</v>
      </c>
      <c r="AT158" t="s">
        <v>8548</v>
      </c>
      <c r="AU158">
        <v>66.142899999999997</v>
      </c>
      <c r="AV158">
        <v>1</v>
      </c>
      <c r="AW158" t="s">
        <v>8492</v>
      </c>
      <c r="AX158">
        <v>0</v>
      </c>
      <c r="AY158" t="s">
        <v>8513</v>
      </c>
      <c r="AZ158">
        <v>0</v>
      </c>
      <c r="BA158" t="s">
        <v>8514</v>
      </c>
      <c r="BB158">
        <v>0</v>
      </c>
      <c r="BC158" t="s">
        <v>8471</v>
      </c>
      <c r="BD158">
        <v>64.285700000000006</v>
      </c>
      <c r="BE158" t="s">
        <v>8455</v>
      </c>
      <c r="BF158" t="s">
        <v>8455</v>
      </c>
      <c r="BG158" t="s">
        <v>8464</v>
      </c>
      <c r="BH158">
        <v>2.8863599999999998</v>
      </c>
      <c r="BJ158" s="1" t="s">
        <v>8737</v>
      </c>
      <c r="BK158" s="1" t="s">
        <v>8738</v>
      </c>
    </row>
    <row r="159" spans="1:63" x14ac:dyDescent="0.25">
      <c r="A159">
        <v>323</v>
      </c>
      <c r="B159">
        <v>722</v>
      </c>
      <c r="C159" t="s">
        <v>8445</v>
      </c>
      <c r="F159">
        <v>1009015</v>
      </c>
      <c r="G159" t="s">
        <v>1658</v>
      </c>
      <c r="H159" t="s">
        <v>7456</v>
      </c>
      <c r="I159" t="s">
        <v>8548</v>
      </c>
      <c r="J159">
        <v>0</v>
      </c>
      <c r="K159">
        <v>6</v>
      </c>
      <c r="L159">
        <v>0</v>
      </c>
      <c r="M159">
        <v>294000</v>
      </c>
      <c r="N159">
        <v>261</v>
      </c>
      <c r="O159">
        <v>0</v>
      </c>
      <c r="P159">
        <v>5</v>
      </c>
      <c r="Q159">
        <v>0</v>
      </c>
      <c r="R159">
        <v>-38100</v>
      </c>
      <c r="S159">
        <v>292</v>
      </c>
      <c r="T159">
        <v>0</v>
      </c>
      <c r="U159">
        <v>0</v>
      </c>
      <c r="V159">
        <v>527</v>
      </c>
      <c r="W159" t="s">
        <v>8475</v>
      </c>
      <c r="X159">
        <v>0</v>
      </c>
      <c r="Y159">
        <v>35</v>
      </c>
      <c r="Z159">
        <v>0</v>
      </c>
      <c r="AA159">
        <v>21</v>
      </c>
      <c r="AB159">
        <v>0</v>
      </c>
      <c r="AC159">
        <v>9</v>
      </c>
      <c r="AD159">
        <v>0</v>
      </c>
      <c r="AE159">
        <v>11</v>
      </c>
      <c r="AF159">
        <v>0</v>
      </c>
      <c r="AG159">
        <v>7</v>
      </c>
      <c r="AH159">
        <v>0</v>
      </c>
      <c r="AI159">
        <v>-2</v>
      </c>
      <c r="AJ159">
        <v>0</v>
      </c>
      <c r="AK159">
        <v>0</v>
      </c>
      <c r="AL159">
        <v>0</v>
      </c>
      <c r="AM159">
        <v>6</v>
      </c>
      <c r="AN159">
        <v>0</v>
      </c>
      <c r="AO159">
        <v>2</v>
      </c>
      <c r="AP159">
        <v>52.2</v>
      </c>
      <c r="AQ159">
        <v>79</v>
      </c>
      <c r="AR159">
        <v>52.2</v>
      </c>
      <c r="AS159">
        <v>62.333300000000001</v>
      </c>
      <c r="AT159" t="s">
        <v>8549</v>
      </c>
      <c r="AU159">
        <v>50.5</v>
      </c>
      <c r="AV159">
        <v>0</v>
      </c>
      <c r="AW159" t="s">
        <v>8450</v>
      </c>
      <c r="AX159">
        <v>1</v>
      </c>
      <c r="AY159" t="s">
        <v>8497</v>
      </c>
      <c r="AZ159">
        <v>0</v>
      </c>
      <c r="BA159" t="s">
        <v>8449</v>
      </c>
      <c r="BB159">
        <v>1</v>
      </c>
      <c r="BC159" t="s">
        <v>8471</v>
      </c>
      <c r="BD159">
        <v>44.827599999999997</v>
      </c>
      <c r="BE159" t="s">
        <v>8546</v>
      </c>
      <c r="BF159" t="s">
        <v>8534</v>
      </c>
      <c r="BG159" t="s">
        <v>8495</v>
      </c>
      <c r="BH159">
        <v>1.79545</v>
      </c>
      <c r="BJ159" s="1" t="s">
        <v>8739</v>
      </c>
      <c r="BK159" s="1" t="s">
        <v>8740</v>
      </c>
    </row>
    <row r="160" spans="1:63" x14ac:dyDescent="0.25">
      <c r="A160">
        <v>324</v>
      </c>
      <c r="B160">
        <v>471</v>
      </c>
      <c r="C160" t="s">
        <v>8445</v>
      </c>
      <c r="F160">
        <v>1017720</v>
      </c>
      <c r="G160" t="s">
        <v>3830</v>
      </c>
      <c r="H160" t="s">
        <v>7693</v>
      </c>
      <c r="I160" t="s">
        <v>8501</v>
      </c>
      <c r="J160">
        <v>0</v>
      </c>
      <c r="K160">
        <v>6</v>
      </c>
      <c r="L160">
        <v>0</v>
      </c>
      <c r="M160">
        <v>291600</v>
      </c>
      <c r="N160">
        <v>262</v>
      </c>
      <c r="O160">
        <v>0</v>
      </c>
      <c r="P160">
        <v>5</v>
      </c>
      <c r="Q160">
        <v>0</v>
      </c>
      <c r="R160">
        <v>-39400</v>
      </c>
      <c r="S160">
        <v>291</v>
      </c>
      <c r="T160">
        <v>0</v>
      </c>
      <c r="U160">
        <v>0</v>
      </c>
      <c r="V160">
        <v>490</v>
      </c>
      <c r="W160" t="s">
        <v>8475</v>
      </c>
      <c r="X160">
        <v>0</v>
      </c>
      <c r="Y160">
        <v>16</v>
      </c>
      <c r="Z160">
        <v>0</v>
      </c>
      <c r="AA160">
        <v>23</v>
      </c>
      <c r="AB160">
        <v>0</v>
      </c>
      <c r="AC160">
        <v>6</v>
      </c>
      <c r="AD160">
        <v>0</v>
      </c>
      <c r="AE160">
        <v>13</v>
      </c>
      <c r="AF160">
        <v>0</v>
      </c>
      <c r="AG160">
        <v>6</v>
      </c>
      <c r="AH160">
        <v>0</v>
      </c>
      <c r="AI160">
        <v>-5</v>
      </c>
      <c r="AJ160">
        <v>0</v>
      </c>
      <c r="AK160">
        <v>15</v>
      </c>
      <c r="AL160">
        <v>0</v>
      </c>
      <c r="AM160">
        <v>4</v>
      </c>
      <c r="AN160">
        <v>0</v>
      </c>
      <c r="AO160">
        <v>2</v>
      </c>
      <c r="AP160">
        <v>52.4</v>
      </c>
      <c r="AQ160">
        <v>174</v>
      </c>
      <c r="AR160">
        <v>52.4</v>
      </c>
      <c r="AS160">
        <v>51</v>
      </c>
      <c r="AT160" t="s">
        <v>8502</v>
      </c>
      <c r="AU160">
        <v>65</v>
      </c>
      <c r="AV160">
        <v>0</v>
      </c>
      <c r="AW160" t="s">
        <v>8461</v>
      </c>
      <c r="AX160">
        <v>0</v>
      </c>
      <c r="AY160" t="s">
        <v>8483</v>
      </c>
      <c r="AZ160">
        <v>1</v>
      </c>
      <c r="BA160" t="s">
        <v>8459</v>
      </c>
      <c r="BB160">
        <v>0</v>
      </c>
      <c r="BC160" t="s">
        <v>8484</v>
      </c>
      <c r="BD160">
        <v>61.571399999999997</v>
      </c>
      <c r="BE160" t="s">
        <v>8464</v>
      </c>
      <c r="BF160" t="s">
        <v>8463</v>
      </c>
      <c r="BG160" t="s">
        <v>8464</v>
      </c>
      <c r="BH160">
        <v>3.9545499999999998</v>
      </c>
      <c r="BJ160" s="1" t="s">
        <v>8741</v>
      </c>
      <c r="BK160" s="1" t="s">
        <v>8742</v>
      </c>
    </row>
    <row r="161" spans="1:63" x14ac:dyDescent="0.25">
      <c r="A161">
        <v>326</v>
      </c>
      <c r="B161">
        <v>105</v>
      </c>
      <c r="C161" t="s">
        <v>8445</v>
      </c>
      <c r="F161">
        <v>1002228</v>
      </c>
      <c r="G161" t="s">
        <v>4008</v>
      </c>
      <c r="H161" t="s">
        <v>6710</v>
      </c>
      <c r="I161" t="s">
        <v>8465</v>
      </c>
      <c r="J161">
        <v>0</v>
      </c>
      <c r="K161">
        <v>6</v>
      </c>
      <c r="L161">
        <v>0</v>
      </c>
      <c r="M161">
        <v>301500</v>
      </c>
      <c r="N161">
        <v>279</v>
      </c>
      <c r="O161">
        <v>0</v>
      </c>
      <c r="P161">
        <v>5</v>
      </c>
      <c r="Q161">
        <v>0</v>
      </c>
      <c r="R161">
        <v>-28600</v>
      </c>
      <c r="S161">
        <v>268</v>
      </c>
      <c r="T161">
        <v>0</v>
      </c>
      <c r="U161">
        <v>0</v>
      </c>
      <c r="V161">
        <v>471</v>
      </c>
      <c r="W161" t="s">
        <v>8475</v>
      </c>
      <c r="X161">
        <v>0</v>
      </c>
      <c r="Y161">
        <v>24</v>
      </c>
      <c r="Z161">
        <v>0</v>
      </c>
      <c r="AA161">
        <v>30</v>
      </c>
      <c r="AB161">
        <v>0</v>
      </c>
      <c r="AC161">
        <v>8</v>
      </c>
      <c r="AD161">
        <v>0</v>
      </c>
      <c r="AE161">
        <v>24</v>
      </c>
      <c r="AF161">
        <v>0</v>
      </c>
      <c r="AG161">
        <v>2</v>
      </c>
      <c r="AH161">
        <v>0</v>
      </c>
      <c r="AI161">
        <v>-3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2</v>
      </c>
      <c r="AP161">
        <v>55.8</v>
      </c>
      <c r="AQ161">
        <v>94</v>
      </c>
      <c r="AR161">
        <v>55.8</v>
      </c>
      <c r="AS161">
        <v>58.666699999999999</v>
      </c>
      <c r="AT161" t="s">
        <v>8467</v>
      </c>
      <c r="AU161">
        <v>90.25</v>
      </c>
      <c r="AV161">
        <v>1</v>
      </c>
      <c r="AW161" t="s">
        <v>8468</v>
      </c>
      <c r="AX161">
        <v>0</v>
      </c>
      <c r="AY161" t="s">
        <v>8469</v>
      </c>
      <c r="AZ161">
        <v>1</v>
      </c>
      <c r="BA161" t="s">
        <v>8470</v>
      </c>
      <c r="BB161">
        <v>1</v>
      </c>
      <c r="BC161" t="s">
        <v>8471</v>
      </c>
      <c r="BD161">
        <v>63.555599999999998</v>
      </c>
      <c r="BE161" t="s">
        <v>8464</v>
      </c>
      <c r="BF161" t="s">
        <v>8472</v>
      </c>
      <c r="BG161" t="s">
        <v>8464</v>
      </c>
      <c r="BH161">
        <v>2.1363599999999998</v>
      </c>
      <c r="BJ161" s="1" t="s">
        <v>8743</v>
      </c>
      <c r="BK161" s="1" t="s">
        <v>8744</v>
      </c>
    </row>
    <row r="162" spans="1:63" x14ac:dyDescent="0.25">
      <c r="A162">
        <v>327</v>
      </c>
      <c r="B162">
        <v>254</v>
      </c>
      <c r="C162" t="s">
        <v>8445</v>
      </c>
      <c r="F162">
        <v>1009410</v>
      </c>
      <c r="G162" t="s">
        <v>3213</v>
      </c>
      <c r="H162" t="s">
        <v>794</v>
      </c>
      <c r="I162" t="s">
        <v>8502</v>
      </c>
      <c r="J162">
        <v>0</v>
      </c>
      <c r="K162">
        <v>6</v>
      </c>
      <c r="L162">
        <v>0</v>
      </c>
      <c r="M162">
        <v>329300</v>
      </c>
      <c r="N162">
        <v>90</v>
      </c>
      <c r="O162">
        <v>0</v>
      </c>
      <c r="P162">
        <v>2</v>
      </c>
      <c r="Q162">
        <v>0</v>
      </c>
      <c r="R162">
        <v>0</v>
      </c>
      <c r="S162">
        <v>447</v>
      </c>
      <c r="T162">
        <v>0</v>
      </c>
      <c r="U162">
        <v>0</v>
      </c>
      <c r="V162">
        <v>144</v>
      </c>
      <c r="W162" t="s">
        <v>8505</v>
      </c>
      <c r="X162">
        <v>0</v>
      </c>
      <c r="Y162">
        <v>9</v>
      </c>
      <c r="Z162">
        <v>0</v>
      </c>
      <c r="AA162">
        <v>9</v>
      </c>
      <c r="AB162">
        <v>0</v>
      </c>
      <c r="AC162">
        <v>1</v>
      </c>
      <c r="AD162">
        <v>0</v>
      </c>
      <c r="AE162">
        <v>5</v>
      </c>
      <c r="AF162">
        <v>0</v>
      </c>
      <c r="AG162">
        <v>3</v>
      </c>
      <c r="AH162">
        <v>0</v>
      </c>
      <c r="AI162">
        <v>-1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45</v>
      </c>
      <c r="AQ162">
        <v>52</v>
      </c>
      <c r="AR162">
        <v>45</v>
      </c>
      <c r="AS162">
        <v>45</v>
      </c>
      <c r="AT162" t="s">
        <v>8501</v>
      </c>
      <c r="AU162">
        <v>58.4</v>
      </c>
      <c r="AV162">
        <v>1</v>
      </c>
      <c r="AW162" t="s">
        <v>8469</v>
      </c>
      <c r="AX162">
        <v>0</v>
      </c>
      <c r="AY162" t="s">
        <v>8470</v>
      </c>
      <c r="AZ162">
        <v>1</v>
      </c>
      <c r="BA162" t="s">
        <v>8530</v>
      </c>
      <c r="BB162">
        <v>0</v>
      </c>
      <c r="BC162" t="s">
        <v>8484</v>
      </c>
      <c r="BD162">
        <v>48.666699999999999</v>
      </c>
      <c r="BE162" t="s">
        <v>8463</v>
      </c>
      <c r="BF162" t="s">
        <v>8455</v>
      </c>
      <c r="BG162" t="s">
        <v>8463</v>
      </c>
      <c r="BH162">
        <v>1.1818200000000001</v>
      </c>
      <c r="BJ162">
        <v>0.625</v>
      </c>
      <c r="BK162" s="1" t="s">
        <v>8745</v>
      </c>
    </row>
    <row r="163" spans="1:63" x14ac:dyDescent="0.25">
      <c r="A163">
        <v>328</v>
      </c>
      <c r="B163">
        <v>97</v>
      </c>
      <c r="C163" t="s">
        <v>8445</v>
      </c>
      <c r="F163">
        <v>1021353</v>
      </c>
      <c r="G163" t="s">
        <v>1658</v>
      </c>
      <c r="H163" t="s">
        <v>6524</v>
      </c>
      <c r="I163" t="s">
        <v>8465</v>
      </c>
      <c r="J163">
        <v>0</v>
      </c>
      <c r="K163">
        <v>6</v>
      </c>
      <c r="L163">
        <v>0</v>
      </c>
      <c r="M163">
        <v>295100</v>
      </c>
      <c r="N163">
        <v>205</v>
      </c>
      <c r="O163">
        <v>0</v>
      </c>
      <c r="P163">
        <v>4</v>
      </c>
      <c r="Q163">
        <v>0</v>
      </c>
      <c r="R163">
        <v>-33900</v>
      </c>
      <c r="S163">
        <v>351</v>
      </c>
      <c r="T163">
        <v>0</v>
      </c>
      <c r="U163">
        <v>0</v>
      </c>
      <c r="V163">
        <v>335</v>
      </c>
      <c r="W163" t="s">
        <v>8505</v>
      </c>
      <c r="X163">
        <v>0</v>
      </c>
      <c r="Y163">
        <v>27</v>
      </c>
      <c r="Z163">
        <v>0</v>
      </c>
      <c r="AA163">
        <v>14</v>
      </c>
      <c r="AB163">
        <v>0</v>
      </c>
      <c r="AC163">
        <v>12</v>
      </c>
      <c r="AD163">
        <v>0</v>
      </c>
      <c r="AE163">
        <v>12</v>
      </c>
      <c r="AF163">
        <v>0</v>
      </c>
      <c r="AG163">
        <v>2</v>
      </c>
      <c r="AH163">
        <v>0</v>
      </c>
      <c r="AI163">
        <v>-3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51.25</v>
      </c>
      <c r="AQ163">
        <v>98</v>
      </c>
      <c r="AR163">
        <v>51.25</v>
      </c>
      <c r="AS163">
        <v>41.333300000000001</v>
      </c>
      <c r="AT163" t="s">
        <v>8467</v>
      </c>
      <c r="AU163">
        <v>44</v>
      </c>
      <c r="AV163">
        <v>1</v>
      </c>
      <c r="AW163" t="s">
        <v>8468</v>
      </c>
      <c r="AX163">
        <v>0</v>
      </c>
      <c r="AY163" t="s">
        <v>8469</v>
      </c>
      <c r="AZ163">
        <v>1</v>
      </c>
      <c r="BA163" t="s">
        <v>8470</v>
      </c>
      <c r="BB163">
        <v>1</v>
      </c>
      <c r="BC163" t="s">
        <v>8471</v>
      </c>
      <c r="BD163">
        <v>52.4</v>
      </c>
      <c r="BE163" t="s">
        <v>8464</v>
      </c>
      <c r="BF163" t="s">
        <v>8472</v>
      </c>
      <c r="BG163" t="s">
        <v>8464</v>
      </c>
      <c r="BH163">
        <v>2.2272699999999999</v>
      </c>
      <c r="BJ163" s="1" t="s">
        <v>8746</v>
      </c>
      <c r="BK163" s="1" t="s">
        <v>8747</v>
      </c>
    </row>
    <row r="164" spans="1:63" x14ac:dyDescent="0.25">
      <c r="A164">
        <v>329</v>
      </c>
      <c r="B164">
        <v>546</v>
      </c>
      <c r="C164" t="s">
        <v>8445</v>
      </c>
      <c r="F164">
        <v>1005326</v>
      </c>
      <c r="G164" t="s">
        <v>2003</v>
      </c>
      <c r="H164" t="s">
        <v>8245</v>
      </c>
      <c r="I164" t="s">
        <v>8448</v>
      </c>
      <c r="J164">
        <v>0</v>
      </c>
      <c r="K164">
        <v>6</v>
      </c>
      <c r="L164">
        <v>0</v>
      </c>
      <c r="M164">
        <v>340600</v>
      </c>
      <c r="N164">
        <v>356</v>
      </c>
      <c r="O164">
        <v>0</v>
      </c>
      <c r="P164">
        <v>5</v>
      </c>
      <c r="Q164">
        <v>0</v>
      </c>
      <c r="R164">
        <v>11700</v>
      </c>
      <c r="S164">
        <v>169</v>
      </c>
      <c r="T164">
        <v>0</v>
      </c>
      <c r="U164">
        <v>0</v>
      </c>
      <c r="V164">
        <v>501</v>
      </c>
      <c r="W164" t="s">
        <v>8481</v>
      </c>
      <c r="X164">
        <v>0</v>
      </c>
      <c r="Y164">
        <v>35</v>
      </c>
      <c r="Z164">
        <v>0</v>
      </c>
      <c r="AA164">
        <v>55</v>
      </c>
      <c r="AB164">
        <v>0</v>
      </c>
      <c r="AC164">
        <v>17</v>
      </c>
      <c r="AD164">
        <v>0</v>
      </c>
      <c r="AE164">
        <v>12</v>
      </c>
      <c r="AF164">
        <v>0</v>
      </c>
      <c r="AG164">
        <v>1</v>
      </c>
      <c r="AH164">
        <v>0</v>
      </c>
      <c r="AI164">
        <v>-2</v>
      </c>
      <c r="AJ164">
        <v>0</v>
      </c>
      <c r="AK164">
        <v>0</v>
      </c>
      <c r="AL164">
        <v>0</v>
      </c>
      <c r="AM164">
        <v>2</v>
      </c>
      <c r="AN164">
        <v>0</v>
      </c>
      <c r="AO164">
        <v>1</v>
      </c>
      <c r="AP164">
        <v>71.2</v>
      </c>
      <c r="AQ164">
        <v>543</v>
      </c>
      <c r="AR164">
        <v>71.2</v>
      </c>
      <c r="AS164">
        <v>68.333299999999994</v>
      </c>
      <c r="AT164" t="s">
        <v>8446</v>
      </c>
      <c r="AU164">
        <v>61.333300000000001</v>
      </c>
      <c r="AV164">
        <v>1</v>
      </c>
      <c r="AW164" t="s">
        <v>8526</v>
      </c>
      <c r="AX164">
        <v>0</v>
      </c>
      <c r="AY164" t="s">
        <v>8493</v>
      </c>
      <c r="AZ164">
        <v>1</v>
      </c>
      <c r="BA164" t="s">
        <v>8469</v>
      </c>
      <c r="BB164">
        <v>0</v>
      </c>
      <c r="BC164" t="s">
        <v>8452</v>
      </c>
      <c r="BD164">
        <v>32</v>
      </c>
      <c r="BE164" t="s">
        <v>8472</v>
      </c>
      <c r="BF164" t="s">
        <v>8534</v>
      </c>
      <c r="BG164" t="s">
        <v>8472</v>
      </c>
      <c r="BH164">
        <v>12.3409</v>
      </c>
      <c r="BJ164" s="1" t="s">
        <v>8748</v>
      </c>
      <c r="BK164" s="1" t="s">
        <v>8749</v>
      </c>
    </row>
    <row r="165" spans="1:63" x14ac:dyDescent="0.25">
      <c r="A165">
        <v>330</v>
      </c>
      <c r="B165">
        <v>310</v>
      </c>
      <c r="C165" t="s">
        <v>8445</v>
      </c>
      <c r="F165">
        <v>999326</v>
      </c>
      <c r="G165" t="s">
        <v>828</v>
      </c>
      <c r="H165" t="s">
        <v>6829</v>
      </c>
      <c r="I165" t="s">
        <v>8482</v>
      </c>
      <c r="J165">
        <v>0</v>
      </c>
      <c r="K165">
        <v>6</v>
      </c>
      <c r="L165">
        <v>0</v>
      </c>
      <c r="M165">
        <v>328300</v>
      </c>
      <c r="N165">
        <v>345</v>
      </c>
      <c r="O165">
        <v>0</v>
      </c>
      <c r="P165">
        <v>5</v>
      </c>
      <c r="Q165">
        <v>0</v>
      </c>
      <c r="R165">
        <v>-200</v>
      </c>
      <c r="S165">
        <v>187</v>
      </c>
      <c r="T165">
        <v>0</v>
      </c>
      <c r="U165">
        <v>0</v>
      </c>
      <c r="V165">
        <v>509</v>
      </c>
      <c r="W165" t="s">
        <v>8475</v>
      </c>
      <c r="X165">
        <v>0</v>
      </c>
      <c r="Y165">
        <v>37</v>
      </c>
      <c r="Z165">
        <v>0</v>
      </c>
      <c r="AA165">
        <v>27</v>
      </c>
      <c r="AB165">
        <v>0</v>
      </c>
      <c r="AC165">
        <v>12</v>
      </c>
      <c r="AD165">
        <v>0</v>
      </c>
      <c r="AE165">
        <v>13</v>
      </c>
      <c r="AF165">
        <v>0</v>
      </c>
      <c r="AG165">
        <v>6</v>
      </c>
      <c r="AH165">
        <v>0</v>
      </c>
      <c r="AI165">
        <v>-1</v>
      </c>
      <c r="AJ165">
        <v>0</v>
      </c>
      <c r="AK165">
        <v>0</v>
      </c>
      <c r="AL165">
        <v>0</v>
      </c>
      <c r="AM165">
        <v>5</v>
      </c>
      <c r="AN165">
        <v>0</v>
      </c>
      <c r="AO165">
        <v>1</v>
      </c>
      <c r="AP165">
        <v>69</v>
      </c>
      <c r="AQ165">
        <v>354</v>
      </c>
      <c r="AR165">
        <v>69</v>
      </c>
      <c r="AS165">
        <v>70.666700000000006</v>
      </c>
      <c r="AT165" t="s">
        <v>8480</v>
      </c>
      <c r="AU165">
        <v>66.25</v>
      </c>
      <c r="AV165">
        <v>0</v>
      </c>
      <c r="AW165" t="s">
        <v>8514</v>
      </c>
      <c r="AX165">
        <v>1</v>
      </c>
      <c r="AY165" t="s">
        <v>8530</v>
      </c>
      <c r="AZ165">
        <v>1</v>
      </c>
      <c r="BA165" t="s">
        <v>8450</v>
      </c>
      <c r="BB165">
        <v>0</v>
      </c>
      <c r="BC165" t="s">
        <v>8484</v>
      </c>
      <c r="BD165">
        <v>63.666699999999999</v>
      </c>
      <c r="BE165" t="s">
        <v>8464</v>
      </c>
      <c r="BF165" t="s">
        <v>8464</v>
      </c>
      <c r="BG165" t="s">
        <v>8531</v>
      </c>
      <c r="BH165">
        <v>8.0454500000000007</v>
      </c>
      <c r="BJ165" s="1" t="s">
        <v>8750</v>
      </c>
      <c r="BK165" s="1" t="s">
        <v>8751</v>
      </c>
    </row>
    <row r="166" spans="1:63" x14ac:dyDescent="0.25">
      <c r="A166">
        <v>331</v>
      </c>
      <c r="B166">
        <v>497</v>
      </c>
      <c r="C166" t="s">
        <v>8445</v>
      </c>
      <c r="F166">
        <v>1001017</v>
      </c>
      <c r="G166" t="s">
        <v>740</v>
      </c>
      <c r="H166" t="s">
        <v>7105</v>
      </c>
      <c r="I166" t="s">
        <v>8467</v>
      </c>
      <c r="J166">
        <v>0</v>
      </c>
      <c r="K166">
        <v>6</v>
      </c>
      <c r="L166">
        <v>0</v>
      </c>
      <c r="M166">
        <v>337300</v>
      </c>
      <c r="N166">
        <v>338</v>
      </c>
      <c r="O166">
        <v>0</v>
      </c>
      <c r="P166">
        <v>5</v>
      </c>
      <c r="Q166">
        <v>0</v>
      </c>
      <c r="R166">
        <v>8800</v>
      </c>
      <c r="S166">
        <v>198</v>
      </c>
      <c r="T166">
        <v>0</v>
      </c>
      <c r="U166">
        <v>0</v>
      </c>
      <c r="V166">
        <v>591</v>
      </c>
      <c r="W166" t="s">
        <v>8475</v>
      </c>
      <c r="X166">
        <v>0</v>
      </c>
      <c r="Y166">
        <v>34</v>
      </c>
      <c r="Z166">
        <v>0</v>
      </c>
      <c r="AA166">
        <v>16</v>
      </c>
      <c r="AB166">
        <v>0</v>
      </c>
      <c r="AC166">
        <v>17</v>
      </c>
      <c r="AD166">
        <v>0</v>
      </c>
      <c r="AE166">
        <v>4</v>
      </c>
      <c r="AF166">
        <v>0</v>
      </c>
      <c r="AG166">
        <v>7</v>
      </c>
      <c r="AH166">
        <v>0</v>
      </c>
      <c r="AI166">
        <v>-1</v>
      </c>
      <c r="AJ166">
        <v>0</v>
      </c>
      <c r="AK166">
        <v>1</v>
      </c>
      <c r="AL166">
        <v>0</v>
      </c>
      <c r="AM166">
        <v>16</v>
      </c>
      <c r="AN166">
        <v>0</v>
      </c>
      <c r="AO166">
        <v>6</v>
      </c>
      <c r="AP166">
        <v>67.599999999999994</v>
      </c>
      <c r="AQ166">
        <v>1258</v>
      </c>
      <c r="AR166">
        <v>67.599999999999994</v>
      </c>
      <c r="AS166">
        <v>64</v>
      </c>
      <c r="AT166" t="s">
        <v>8465</v>
      </c>
      <c r="AU166">
        <v>66.142899999999997</v>
      </c>
      <c r="AV166">
        <v>0</v>
      </c>
      <c r="AW166" t="s">
        <v>8497</v>
      </c>
      <c r="AX166">
        <v>1</v>
      </c>
      <c r="AY166" t="s">
        <v>8451</v>
      </c>
      <c r="AZ166">
        <v>1</v>
      </c>
      <c r="BA166" t="s">
        <v>8492</v>
      </c>
      <c r="BB166">
        <v>0</v>
      </c>
      <c r="BC166" t="s">
        <v>8471</v>
      </c>
      <c r="BD166">
        <v>60.463000000000001</v>
      </c>
      <c r="BE166" t="s">
        <v>8472</v>
      </c>
      <c r="BF166" t="s">
        <v>8455</v>
      </c>
      <c r="BG166" t="s">
        <v>8498</v>
      </c>
      <c r="BH166">
        <v>28.590900000000001</v>
      </c>
      <c r="BJ166">
        <v>0.57191201353637899</v>
      </c>
      <c r="BK166" s="1" t="s">
        <v>8752</v>
      </c>
    </row>
    <row r="167" spans="1:63" x14ac:dyDescent="0.25">
      <c r="A167">
        <v>332</v>
      </c>
      <c r="B167">
        <v>627</v>
      </c>
      <c r="C167" t="s">
        <v>8445</v>
      </c>
      <c r="F167">
        <v>991988</v>
      </c>
      <c r="G167" t="s">
        <v>8070</v>
      </c>
      <c r="H167" t="s">
        <v>890</v>
      </c>
      <c r="I167" t="s">
        <v>8549</v>
      </c>
      <c r="J167">
        <v>0</v>
      </c>
      <c r="K167">
        <v>6</v>
      </c>
      <c r="L167">
        <v>0</v>
      </c>
      <c r="M167">
        <v>346900</v>
      </c>
      <c r="N167">
        <v>324</v>
      </c>
      <c r="O167">
        <v>0</v>
      </c>
      <c r="P167">
        <v>5</v>
      </c>
      <c r="Q167">
        <v>0</v>
      </c>
      <c r="R167">
        <v>18600</v>
      </c>
      <c r="S167">
        <v>218</v>
      </c>
      <c r="T167">
        <v>0</v>
      </c>
      <c r="U167">
        <v>0</v>
      </c>
      <c r="V167">
        <v>478</v>
      </c>
      <c r="W167" t="s">
        <v>8475</v>
      </c>
      <c r="X167">
        <v>0</v>
      </c>
      <c r="Y167">
        <v>37</v>
      </c>
      <c r="Z167">
        <v>0</v>
      </c>
      <c r="AA167">
        <v>45</v>
      </c>
      <c r="AB167">
        <v>0</v>
      </c>
      <c r="AC167">
        <v>15</v>
      </c>
      <c r="AD167">
        <v>0</v>
      </c>
      <c r="AE167">
        <v>9</v>
      </c>
      <c r="AF167">
        <v>0</v>
      </c>
      <c r="AG167">
        <v>2</v>
      </c>
      <c r="AH167">
        <v>0</v>
      </c>
      <c r="AI167">
        <v>-4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64.8</v>
      </c>
      <c r="AQ167">
        <v>396</v>
      </c>
      <c r="AR167">
        <v>64.8</v>
      </c>
      <c r="AS167">
        <v>57</v>
      </c>
      <c r="AT167" t="s">
        <v>8548</v>
      </c>
      <c r="AU167">
        <v>67</v>
      </c>
      <c r="AV167">
        <v>1</v>
      </c>
      <c r="AW167" t="s">
        <v>8492</v>
      </c>
      <c r="AX167">
        <v>0</v>
      </c>
      <c r="AY167" t="s">
        <v>8513</v>
      </c>
      <c r="AZ167">
        <v>0</v>
      </c>
      <c r="BA167" t="s">
        <v>8514</v>
      </c>
      <c r="BB167">
        <v>0</v>
      </c>
      <c r="BC167" t="s">
        <v>8471</v>
      </c>
      <c r="BD167">
        <v>74.577799999999996</v>
      </c>
      <c r="BE167" t="s">
        <v>8455</v>
      </c>
      <c r="BF167" t="s">
        <v>8455</v>
      </c>
      <c r="BG167" t="s">
        <v>8464</v>
      </c>
      <c r="BH167">
        <v>9</v>
      </c>
      <c r="BJ167" s="1" t="s">
        <v>8753</v>
      </c>
      <c r="BK167" s="1" t="s">
        <v>8754</v>
      </c>
    </row>
    <row r="168" spans="1:63" x14ac:dyDescent="0.25">
      <c r="A168">
        <v>335</v>
      </c>
      <c r="B168">
        <v>618</v>
      </c>
      <c r="C168" t="s">
        <v>8445</v>
      </c>
      <c r="F168">
        <v>1002256</v>
      </c>
      <c r="G168" t="s">
        <v>4623</v>
      </c>
      <c r="H168" t="s">
        <v>5835</v>
      </c>
      <c r="I168" t="s">
        <v>8549</v>
      </c>
      <c r="J168">
        <v>0</v>
      </c>
      <c r="K168">
        <v>6</v>
      </c>
      <c r="L168">
        <v>0</v>
      </c>
      <c r="M168">
        <v>327100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510</v>
      </c>
      <c r="T168">
        <v>0</v>
      </c>
      <c r="U168">
        <v>0</v>
      </c>
      <c r="V168">
        <v>0</v>
      </c>
      <c r="W168" t="s">
        <v>8447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57</v>
      </c>
      <c r="AR168">
        <v>0</v>
      </c>
      <c r="AS168">
        <v>0</v>
      </c>
      <c r="AT168" t="s">
        <v>8548</v>
      </c>
      <c r="AU168">
        <v>61</v>
      </c>
      <c r="AV168">
        <v>1</v>
      </c>
      <c r="AW168" t="s">
        <v>8492</v>
      </c>
      <c r="AX168">
        <v>0</v>
      </c>
      <c r="AY168" t="s">
        <v>8513</v>
      </c>
      <c r="AZ168">
        <v>0</v>
      </c>
      <c r="BA168" t="s">
        <v>8514</v>
      </c>
      <c r="BB168">
        <v>0</v>
      </c>
      <c r="BC168" t="s">
        <v>8471</v>
      </c>
      <c r="BD168">
        <v>57</v>
      </c>
      <c r="BE168" t="s">
        <v>8455</v>
      </c>
      <c r="BF168" t="s">
        <v>8455</v>
      </c>
      <c r="BG168" t="s">
        <v>8464</v>
      </c>
      <c r="BH168">
        <v>1.29545</v>
      </c>
    </row>
    <row r="169" spans="1:63" x14ac:dyDescent="0.25">
      <c r="A169">
        <v>336</v>
      </c>
      <c r="B169">
        <v>90</v>
      </c>
      <c r="C169" t="s">
        <v>8445</v>
      </c>
      <c r="F169">
        <v>1002795</v>
      </c>
      <c r="G169" t="s">
        <v>2755</v>
      </c>
      <c r="H169" t="s">
        <v>1605</v>
      </c>
      <c r="I169" t="s">
        <v>8465</v>
      </c>
      <c r="J169">
        <v>0</v>
      </c>
      <c r="K169">
        <v>6</v>
      </c>
      <c r="L169">
        <v>0</v>
      </c>
      <c r="M169">
        <v>327000</v>
      </c>
      <c r="N169">
        <v>39</v>
      </c>
      <c r="O169">
        <v>0</v>
      </c>
      <c r="P169">
        <v>1</v>
      </c>
      <c r="Q169">
        <v>0</v>
      </c>
      <c r="R169">
        <v>0</v>
      </c>
      <c r="S169">
        <v>490</v>
      </c>
      <c r="T169">
        <v>0</v>
      </c>
      <c r="U169">
        <v>0</v>
      </c>
      <c r="V169">
        <v>69</v>
      </c>
      <c r="W169" t="s">
        <v>8466</v>
      </c>
      <c r="X169">
        <v>0</v>
      </c>
      <c r="Y169">
        <v>6</v>
      </c>
      <c r="Z169">
        <v>0</v>
      </c>
      <c r="AA169">
        <v>3</v>
      </c>
      <c r="AB169">
        <v>0</v>
      </c>
      <c r="AC169">
        <v>3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39</v>
      </c>
      <c r="AQ169">
        <v>53</v>
      </c>
      <c r="AR169">
        <v>39</v>
      </c>
      <c r="AS169">
        <v>39</v>
      </c>
      <c r="AT169" t="s">
        <v>8467</v>
      </c>
      <c r="AU169">
        <v>94</v>
      </c>
      <c r="AV169">
        <v>1</v>
      </c>
      <c r="AW169" t="s">
        <v>8468</v>
      </c>
      <c r="AX169">
        <v>0</v>
      </c>
      <c r="AY169" t="s">
        <v>8469</v>
      </c>
      <c r="AZ169">
        <v>1</v>
      </c>
      <c r="BA169" t="s">
        <v>8470</v>
      </c>
      <c r="BB169">
        <v>1</v>
      </c>
      <c r="BC169" t="s">
        <v>8471</v>
      </c>
      <c r="BD169">
        <v>57.777799999999999</v>
      </c>
      <c r="BE169" t="s">
        <v>8464</v>
      </c>
      <c r="BF169" t="s">
        <v>8472</v>
      </c>
      <c r="BG169" t="s">
        <v>8464</v>
      </c>
      <c r="BH169">
        <v>1.20455</v>
      </c>
      <c r="BJ169" s="1" t="s">
        <v>8755</v>
      </c>
      <c r="BK169" s="1" t="s">
        <v>8756</v>
      </c>
    </row>
    <row r="170" spans="1:63" x14ac:dyDescent="0.25">
      <c r="A170">
        <v>337</v>
      </c>
      <c r="B170">
        <v>552</v>
      </c>
      <c r="C170" t="s">
        <v>8445</v>
      </c>
      <c r="F170">
        <v>296225</v>
      </c>
      <c r="G170" t="s">
        <v>8228</v>
      </c>
      <c r="H170" t="s">
        <v>1957</v>
      </c>
      <c r="I170" t="s">
        <v>8448</v>
      </c>
      <c r="J170">
        <v>0</v>
      </c>
      <c r="K170">
        <v>6</v>
      </c>
      <c r="L170">
        <v>0</v>
      </c>
      <c r="M170">
        <v>302100</v>
      </c>
      <c r="N170">
        <v>322</v>
      </c>
      <c r="O170">
        <v>0</v>
      </c>
      <c r="P170">
        <v>5</v>
      </c>
      <c r="Q170">
        <v>0</v>
      </c>
      <c r="R170">
        <v>-24700</v>
      </c>
      <c r="S170">
        <v>222</v>
      </c>
      <c r="T170">
        <v>0</v>
      </c>
      <c r="U170">
        <v>0</v>
      </c>
      <c r="V170">
        <v>551</v>
      </c>
      <c r="W170" t="s">
        <v>8475</v>
      </c>
      <c r="X170">
        <v>0</v>
      </c>
      <c r="Y170">
        <v>44</v>
      </c>
      <c r="Z170">
        <v>0</v>
      </c>
      <c r="AA170">
        <v>23</v>
      </c>
      <c r="AB170">
        <v>0</v>
      </c>
      <c r="AC170">
        <v>16</v>
      </c>
      <c r="AD170">
        <v>0</v>
      </c>
      <c r="AE170">
        <v>8</v>
      </c>
      <c r="AF170">
        <v>0</v>
      </c>
      <c r="AG170">
        <v>2</v>
      </c>
      <c r="AH170">
        <v>0</v>
      </c>
      <c r="AI170">
        <v>-7</v>
      </c>
      <c r="AJ170">
        <v>0</v>
      </c>
      <c r="AK170">
        <v>0</v>
      </c>
      <c r="AL170">
        <v>0</v>
      </c>
      <c r="AM170">
        <v>7</v>
      </c>
      <c r="AN170">
        <v>0</v>
      </c>
      <c r="AO170">
        <v>4</v>
      </c>
      <c r="AP170">
        <v>64.400000000000006</v>
      </c>
      <c r="AQ170">
        <v>356</v>
      </c>
      <c r="AR170">
        <v>64.400000000000006</v>
      </c>
      <c r="AS170">
        <v>46</v>
      </c>
      <c r="AT170" t="s">
        <v>8446</v>
      </c>
      <c r="AU170">
        <v>49</v>
      </c>
      <c r="AV170">
        <v>1</v>
      </c>
      <c r="AW170" t="s">
        <v>8526</v>
      </c>
      <c r="AX170">
        <v>0</v>
      </c>
      <c r="AY170" t="s">
        <v>8493</v>
      </c>
      <c r="AZ170">
        <v>1</v>
      </c>
      <c r="BA170" t="s">
        <v>8469</v>
      </c>
      <c r="BB170">
        <v>0</v>
      </c>
      <c r="BC170" t="s">
        <v>8452</v>
      </c>
      <c r="BD170">
        <v>38.333300000000001</v>
      </c>
      <c r="BE170" t="s">
        <v>8472</v>
      </c>
      <c r="BF170" t="s">
        <v>8534</v>
      </c>
      <c r="BG170" t="s">
        <v>8472</v>
      </c>
      <c r="BH170">
        <v>8.0909099999999992</v>
      </c>
      <c r="BJ170" s="1" t="s">
        <v>8757</v>
      </c>
      <c r="BK170" s="1" t="s">
        <v>8758</v>
      </c>
    </row>
    <row r="171" spans="1:63" x14ac:dyDescent="0.25">
      <c r="A171">
        <v>338</v>
      </c>
      <c r="B171">
        <v>611</v>
      </c>
      <c r="C171" t="s">
        <v>8445</v>
      </c>
      <c r="F171">
        <v>1011994</v>
      </c>
      <c r="G171" t="s">
        <v>1332</v>
      </c>
      <c r="H171" t="s">
        <v>8006</v>
      </c>
      <c r="I171" t="s">
        <v>8549</v>
      </c>
      <c r="J171">
        <v>0</v>
      </c>
      <c r="K171">
        <v>6</v>
      </c>
      <c r="L171">
        <v>0</v>
      </c>
      <c r="M171">
        <v>337200</v>
      </c>
      <c r="N171">
        <v>348</v>
      </c>
      <c r="O171">
        <v>0</v>
      </c>
      <c r="P171">
        <v>5</v>
      </c>
      <c r="Q171">
        <v>0</v>
      </c>
      <c r="R171">
        <v>11700</v>
      </c>
      <c r="S171">
        <v>182</v>
      </c>
      <c r="T171">
        <v>0</v>
      </c>
      <c r="U171">
        <v>0</v>
      </c>
      <c r="V171">
        <v>525</v>
      </c>
      <c r="W171" t="s">
        <v>8475</v>
      </c>
      <c r="X171">
        <v>0</v>
      </c>
      <c r="Y171">
        <v>62</v>
      </c>
      <c r="Z171">
        <v>0</v>
      </c>
      <c r="AA171">
        <v>33</v>
      </c>
      <c r="AB171">
        <v>0</v>
      </c>
      <c r="AC171">
        <v>30</v>
      </c>
      <c r="AD171">
        <v>0</v>
      </c>
      <c r="AE171">
        <v>5</v>
      </c>
      <c r="AF171">
        <v>0</v>
      </c>
      <c r="AG171">
        <v>3</v>
      </c>
      <c r="AH171">
        <v>0</v>
      </c>
      <c r="AI171">
        <v>-2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69.599999999999994</v>
      </c>
      <c r="AQ171">
        <v>218</v>
      </c>
      <c r="AR171">
        <v>69.599999999999994</v>
      </c>
      <c r="AS171">
        <v>75</v>
      </c>
      <c r="AT171" t="s">
        <v>8548</v>
      </c>
      <c r="AU171">
        <v>54.25</v>
      </c>
      <c r="AV171">
        <v>1</v>
      </c>
      <c r="AW171" t="s">
        <v>8492</v>
      </c>
      <c r="AX171">
        <v>0</v>
      </c>
      <c r="AY171" t="s">
        <v>8513</v>
      </c>
      <c r="AZ171">
        <v>0</v>
      </c>
      <c r="BA171" t="s">
        <v>8514</v>
      </c>
      <c r="BB171">
        <v>0</v>
      </c>
      <c r="BC171" t="s">
        <v>8471</v>
      </c>
      <c r="BD171">
        <v>57.8125</v>
      </c>
      <c r="BE171" t="s">
        <v>8455</v>
      </c>
      <c r="BF171" t="s">
        <v>8455</v>
      </c>
      <c r="BG171" t="s">
        <v>8464</v>
      </c>
      <c r="BH171">
        <v>4.9545500000000002</v>
      </c>
      <c r="BJ171" s="1" t="s">
        <v>8759</v>
      </c>
      <c r="BK171" s="1" t="s">
        <v>8760</v>
      </c>
    </row>
    <row r="172" spans="1:63" x14ac:dyDescent="0.25">
      <c r="A172">
        <v>339</v>
      </c>
      <c r="B172">
        <v>159</v>
      </c>
      <c r="C172" t="s">
        <v>8445</v>
      </c>
      <c r="F172">
        <v>291849</v>
      </c>
      <c r="G172" t="s">
        <v>6930</v>
      </c>
      <c r="H172" t="s">
        <v>6931</v>
      </c>
      <c r="I172" t="s">
        <v>8525</v>
      </c>
      <c r="J172">
        <v>0</v>
      </c>
      <c r="K172">
        <v>6</v>
      </c>
      <c r="L172">
        <v>0</v>
      </c>
      <c r="M172">
        <v>307800</v>
      </c>
      <c r="N172">
        <v>233</v>
      </c>
      <c r="O172">
        <v>0</v>
      </c>
      <c r="P172">
        <v>4</v>
      </c>
      <c r="Q172">
        <v>0</v>
      </c>
      <c r="R172">
        <v>-17500</v>
      </c>
      <c r="S172">
        <v>325</v>
      </c>
      <c r="T172">
        <v>0</v>
      </c>
      <c r="U172">
        <v>0</v>
      </c>
      <c r="V172">
        <v>417</v>
      </c>
      <c r="W172" t="s">
        <v>8475</v>
      </c>
      <c r="X172">
        <v>0</v>
      </c>
      <c r="Y172">
        <v>23</v>
      </c>
      <c r="Z172">
        <v>0</v>
      </c>
      <c r="AA172">
        <v>13</v>
      </c>
      <c r="AB172">
        <v>0</v>
      </c>
      <c r="AC172">
        <v>17</v>
      </c>
      <c r="AD172">
        <v>0</v>
      </c>
      <c r="AE172">
        <v>6</v>
      </c>
      <c r="AF172">
        <v>0</v>
      </c>
      <c r="AG172">
        <v>2</v>
      </c>
      <c r="AH172">
        <v>0</v>
      </c>
      <c r="AI172">
        <v>-4</v>
      </c>
      <c r="AJ172">
        <v>0</v>
      </c>
      <c r="AK172">
        <v>0</v>
      </c>
      <c r="AL172">
        <v>0</v>
      </c>
      <c r="AM172">
        <v>8</v>
      </c>
      <c r="AN172">
        <v>0</v>
      </c>
      <c r="AO172">
        <v>4</v>
      </c>
      <c r="AP172">
        <v>58.25</v>
      </c>
      <c r="AQ172">
        <v>100</v>
      </c>
      <c r="AR172">
        <v>58.25</v>
      </c>
      <c r="AS172">
        <v>58.666699999999999</v>
      </c>
      <c r="AT172" t="s">
        <v>8524</v>
      </c>
      <c r="AU172">
        <v>67.5</v>
      </c>
      <c r="AV172">
        <v>1</v>
      </c>
      <c r="AW172" t="s">
        <v>8451</v>
      </c>
      <c r="AX172">
        <v>0</v>
      </c>
      <c r="AY172" t="s">
        <v>8468</v>
      </c>
      <c r="AZ172">
        <v>0</v>
      </c>
      <c r="BA172" t="s">
        <v>8513</v>
      </c>
      <c r="BB172">
        <v>1</v>
      </c>
      <c r="BC172" t="s">
        <v>8527</v>
      </c>
      <c r="BD172">
        <v>66.8</v>
      </c>
      <c r="BE172" t="s">
        <v>8464</v>
      </c>
      <c r="BF172" t="s">
        <v>8464</v>
      </c>
      <c r="BG172" t="s">
        <v>8463</v>
      </c>
      <c r="BH172">
        <v>2.2727300000000001</v>
      </c>
      <c r="BJ172" s="1" t="s">
        <v>8761</v>
      </c>
      <c r="BK172">
        <v>5284.1201716738196</v>
      </c>
    </row>
    <row r="173" spans="1:63" x14ac:dyDescent="0.25">
      <c r="A173">
        <v>340</v>
      </c>
      <c r="B173">
        <v>705</v>
      </c>
      <c r="C173" t="s">
        <v>8445</v>
      </c>
      <c r="F173">
        <v>290085</v>
      </c>
      <c r="G173" t="s">
        <v>1422</v>
      </c>
      <c r="H173" t="s">
        <v>6289</v>
      </c>
      <c r="I173" t="s">
        <v>8548</v>
      </c>
      <c r="J173">
        <v>0</v>
      </c>
      <c r="K173">
        <v>6</v>
      </c>
      <c r="L173">
        <v>0</v>
      </c>
      <c r="M173">
        <v>324300</v>
      </c>
      <c r="N173">
        <v>83</v>
      </c>
      <c r="O173">
        <v>0</v>
      </c>
      <c r="P173">
        <v>2</v>
      </c>
      <c r="Q173">
        <v>0</v>
      </c>
      <c r="R173">
        <v>0</v>
      </c>
      <c r="S173">
        <v>452</v>
      </c>
      <c r="T173">
        <v>0</v>
      </c>
      <c r="U173">
        <v>0</v>
      </c>
      <c r="V173">
        <v>197</v>
      </c>
      <c r="W173" t="s">
        <v>8505</v>
      </c>
      <c r="X173">
        <v>0</v>
      </c>
      <c r="Y173">
        <v>12</v>
      </c>
      <c r="Z173">
        <v>0</v>
      </c>
      <c r="AA173">
        <v>9</v>
      </c>
      <c r="AB173">
        <v>0</v>
      </c>
      <c r="AC173">
        <v>7</v>
      </c>
      <c r="AD173">
        <v>0</v>
      </c>
      <c r="AE173">
        <v>2</v>
      </c>
      <c r="AF173">
        <v>0</v>
      </c>
      <c r="AG173">
        <v>2</v>
      </c>
      <c r="AH173">
        <v>0</v>
      </c>
      <c r="AI173">
        <v>-3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41.5</v>
      </c>
      <c r="AQ173">
        <v>50</v>
      </c>
      <c r="AR173">
        <v>41.5</v>
      </c>
      <c r="AS173">
        <v>41.5</v>
      </c>
      <c r="AT173" t="s">
        <v>8549</v>
      </c>
      <c r="AU173">
        <v>69.888900000000007</v>
      </c>
      <c r="AV173">
        <v>0</v>
      </c>
      <c r="AW173" t="s">
        <v>8450</v>
      </c>
      <c r="AX173">
        <v>1</v>
      </c>
      <c r="AY173" t="s">
        <v>8497</v>
      </c>
      <c r="AZ173">
        <v>0</v>
      </c>
      <c r="BA173" t="s">
        <v>8449</v>
      </c>
      <c r="BB173">
        <v>1</v>
      </c>
      <c r="BC173" t="s">
        <v>8471</v>
      </c>
      <c r="BD173">
        <v>61.203099999999999</v>
      </c>
      <c r="BE173" t="s">
        <v>8546</v>
      </c>
      <c r="BF173" t="s">
        <v>8534</v>
      </c>
      <c r="BG173" t="s">
        <v>8495</v>
      </c>
      <c r="BH173">
        <v>1.13636</v>
      </c>
      <c r="BJ173" s="1" t="s">
        <v>8762</v>
      </c>
      <c r="BK173" s="1" t="s">
        <v>8763</v>
      </c>
    </row>
    <row r="174" spans="1:63" x14ac:dyDescent="0.25">
      <c r="A174">
        <v>341</v>
      </c>
      <c r="B174">
        <v>17</v>
      </c>
      <c r="C174" t="s">
        <v>8445</v>
      </c>
      <c r="F174">
        <v>1006203</v>
      </c>
      <c r="G174" t="s">
        <v>5979</v>
      </c>
      <c r="H174" t="s">
        <v>890</v>
      </c>
      <c r="I174" t="s">
        <v>8511</v>
      </c>
      <c r="J174">
        <v>0</v>
      </c>
      <c r="K174">
        <v>6</v>
      </c>
      <c r="L174">
        <v>0</v>
      </c>
      <c r="M174">
        <v>322000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510</v>
      </c>
      <c r="T174">
        <v>0</v>
      </c>
      <c r="U174">
        <v>0</v>
      </c>
      <c r="V174">
        <v>0</v>
      </c>
      <c r="W174" t="s">
        <v>8466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69</v>
      </c>
      <c r="AR174">
        <v>0</v>
      </c>
      <c r="AS174">
        <v>0</v>
      </c>
      <c r="AT174" t="s">
        <v>8512</v>
      </c>
      <c r="AU174">
        <v>60.333300000000001</v>
      </c>
      <c r="AV174">
        <v>0</v>
      </c>
      <c r="AW174" t="s">
        <v>8513</v>
      </c>
      <c r="AX174">
        <v>1</v>
      </c>
      <c r="AY174" t="s">
        <v>8514</v>
      </c>
      <c r="AZ174">
        <v>0</v>
      </c>
      <c r="BA174" t="s">
        <v>8497</v>
      </c>
      <c r="BB174">
        <v>1</v>
      </c>
      <c r="BC174" t="s">
        <v>8515</v>
      </c>
      <c r="BD174">
        <v>56.3</v>
      </c>
      <c r="BE174" t="s">
        <v>8463</v>
      </c>
      <c r="BF174" t="s">
        <v>8472</v>
      </c>
      <c r="BG174" t="s">
        <v>8472</v>
      </c>
      <c r="BH174">
        <v>1.5681799999999999</v>
      </c>
    </row>
    <row r="175" spans="1:63" x14ac:dyDescent="0.25">
      <c r="A175">
        <v>342</v>
      </c>
      <c r="B175">
        <v>587</v>
      </c>
      <c r="C175" t="s">
        <v>8445</v>
      </c>
      <c r="F175">
        <v>1008478</v>
      </c>
      <c r="G175" t="s">
        <v>6411</v>
      </c>
      <c r="H175" t="s">
        <v>6412</v>
      </c>
      <c r="I175" t="s">
        <v>8490</v>
      </c>
      <c r="J175">
        <v>0</v>
      </c>
      <c r="K175">
        <v>6</v>
      </c>
      <c r="L175">
        <v>0</v>
      </c>
      <c r="M175">
        <v>321500</v>
      </c>
      <c r="N175">
        <v>190</v>
      </c>
      <c r="O175">
        <v>0</v>
      </c>
      <c r="P175">
        <v>3</v>
      </c>
      <c r="Q175">
        <v>0</v>
      </c>
      <c r="R175">
        <v>-500</v>
      </c>
      <c r="S175">
        <v>358</v>
      </c>
      <c r="T175">
        <v>0</v>
      </c>
      <c r="U175">
        <v>0</v>
      </c>
      <c r="V175">
        <v>283</v>
      </c>
      <c r="W175" t="s">
        <v>8505</v>
      </c>
      <c r="X175">
        <v>0</v>
      </c>
      <c r="Y175">
        <v>24</v>
      </c>
      <c r="Z175">
        <v>0</v>
      </c>
      <c r="AA175">
        <v>10</v>
      </c>
      <c r="AB175">
        <v>0</v>
      </c>
      <c r="AC175">
        <v>6</v>
      </c>
      <c r="AD175">
        <v>0</v>
      </c>
      <c r="AE175">
        <v>10</v>
      </c>
      <c r="AF175">
        <v>0</v>
      </c>
      <c r="AG175">
        <v>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4</v>
      </c>
      <c r="AP175">
        <v>63.333300000000001</v>
      </c>
      <c r="AQ175">
        <v>114</v>
      </c>
      <c r="AR175">
        <v>63.333300000000001</v>
      </c>
      <c r="AS175">
        <v>63.333300000000001</v>
      </c>
      <c r="AT175" t="s">
        <v>8489</v>
      </c>
      <c r="AU175">
        <v>41</v>
      </c>
      <c r="AV175">
        <v>0</v>
      </c>
      <c r="AW175" t="s">
        <v>8460</v>
      </c>
      <c r="AX175">
        <v>1</v>
      </c>
      <c r="AY175" t="s">
        <v>8459</v>
      </c>
      <c r="AZ175">
        <v>1</v>
      </c>
      <c r="BA175" t="s">
        <v>8483</v>
      </c>
      <c r="BB175">
        <v>0</v>
      </c>
      <c r="BC175" t="s">
        <v>8471</v>
      </c>
      <c r="BD175">
        <v>36.25</v>
      </c>
      <c r="BE175" t="s">
        <v>8464</v>
      </c>
      <c r="BF175" t="s">
        <v>8464</v>
      </c>
      <c r="BG175" t="s">
        <v>8464</v>
      </c>
      <c r="BH175">
        <v>2.59091</v>
      </c>
      <c r="BJ175" s="1" t="s">
        <v>8764</v>
      </c>
      <c r="BK175" s="1" t="s">
        <v>8765</v>
      </c>
    </row>
    <row r="176" spans="1:63" x14ac:dyDescent="0.25">
      <c r="A176">
        <v>343</v>
      </c>
      <c r="B176">
        <v>574</v>
      </c>
      <c r="C176" t="s">
        <v>8445</v>
      </c>
      <c r="F176">
        <v>1009226</v>
      </c>
      <c r="G176" t="s">
        <v>7847</v>
      </c>
      <c r="H176" t="s">
        <v>5835</v>
      </c>
      <c r="I176" t="s">
        <v>8490</v>
      </c>
      <c r="J176">
        <v>0</v>
      </c>
      <c r="K176">
        <v>6</v>
      </c>
      <c r="L176">
        <v>0</v>
      </c>
      <c r="M176">
        <v>347200</v>
      </c>
      <c r="N176">
        <v>377</v>
      </c>
      <c r="O176">
        <v>0</v>
      </c>
      <c r="P176">
        <v>5</v>
      </c>
      <c r="Q176">
        <v>0</v>
      </c>
      <c r="R176">
        <v>25800</v>
      </c>
      <c r="S176">
        <v>131</v>
      </c>
      <c r="T176">
        <v>0</v>
      </c>
      <c r="U176">
        <v>0</v>
      </c>
      <c r="V176">
        <v>476</v>
      </c>
      <c r="W176" t="s">
        <v>8481</v>
      </c>
      <c r="X176">
        <v>0</v>
      </c>
      <c r="Y176">
        <v>35</v>
      </c>
      <c r="Z176">
        <v>0</v>
      </c>
      <c r="AA176">
        <v>63</v>
      </c>
      <c r="AB176">
        <v>0</v>
      </c>
      <c r="AC176">
        <v>17</v>
      </c>
      <c r="AD176">
        <v>0</v>
      </c>
      <c r="AE176">
        <v>19</v>
      </c>
      <c r="AF176">
        <v>0</v>
      </c>
      <c r="AG176">
        <v>9</v>
      </c>
      <c r="AH176">
        <v>0</v>
      </c>
      <c r="AI176">
        <v>-1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</v>
      </c>
      <c r="AP176">
        <v>75.400000000000006</v>
      </c>
      <c r="AQ176">
        <v>550</v>
      </c>
      <c r="AR176">
        <v>75.400000000000006</v>
      </c>
      <c r="AS176">
        <v>69</v>
      </c>
      <c r="AT176" t="s">
        <v>8489</v>
      </c>
      <c r="AU176">
        <v>31.333300000000001</v>
      </c>
      <c r="AV176">
        <v>0</v>
      </c>
      <c r="AW176" t="s">
        <v>8460</v>
      </c>
      <c r="AX176">
        <v>1</v>
      </c>
      <c r="AY176" t="s">
        <v>8459</v>
      </c>
      <c r="AZ176">
        <v>1</v>
      </c>
      <c r="BA176" t="s">
        <v>8483</v>
      </c>
      <c r="BB176">
        <v>0</v>
      </c>
      <c r="BC176" t="s">
        <v>8471</v>
      </c>
      <c r="BD176">
        <v>62</v>
      </c>
      <c r="BE176" t="s">
        <v>8464</v>
      </c>
      <c r="BF176" t="s">
        <v>8464</v>
      </c>
      <c r="BG176" t="s">
        <v>8464</v>
      </c>
      <c r="BH176">
        <v>12.5</v>
      </c>
      <c r="BJ176">
        <v>0.79201680672268904</v>
      </c>
      <c r="BK176" s="1" t="s">
        <v>8766</v>
      </c>
    </row>
    <row r="177" spans="1:63" x14ac:dyDescent="0.25">
      <c r="A177">
        <v>344</v>
      </c>
      <c r="B177">
        <v>474</v>
      </c>
      <c r="C177" t="s">
        <v>8445</v>
      </c>
      <c r="F177">
        <v>1027821</v>
      </c>
      <c r="G177" t="s">
        <v>4451</v>
      </c>
      <c r="H177" t="s">
        <v>7660</v>
      </c>
      <c r="I177" t="s">
        <v>8501</v>
      </c>
      <c r="J177">
        <v>0</v>
      </c>
      <c r="K177">
        <v>6</v>
      </c>
      <c r="L177">
        <v>0</v>
      </c>
      <c r="M177">
        <v>293200</v>
      </c>
      <c r="N177">
        <v>128</v>
      </c>
      <c r="O177">
        <v>0</v>
      </c>
      <c r="P177">
        <v>3</v>
      </c>
      <c r="Q177">
        <v>0</v>
      </c>
      <c r="R177">
        <v>-28100</v>
      </c>
      <c r="S177">
        <v>418</v>
      </c>
      <c r="T177">
        <v>0</v>
      </c>
      <c r="U177">
        <v>0</v>
      </c>
      <c r="V177">
        <v>287</v>
      </c>
      <c r="W177" t="s">
        <v>8505</v>
      </c>
      <c r="X177">
        <v>0</v>
      </c>
      <c r="Y177">
        <v>23</v>
      </c>
      <c r="Z177">
        <v>0</v>
      </c>
      <c r="AA177">
        <v>22</v>
      </c>
      <c r="AB177">
        <v>0</v>
      </c>
      <c r="AC177">
        <v>11</v>
      </c>
      <c r="AD177">
        <v>0</v>
      </c>
      <c r="AE177">
        <v>3</v>
      </c>
      <c r="AF177">
        <v>0</v>
      </c>
      <c r="AG177">
        <v>0</v>
      </c>
      <c r="AH177">
        <v>0</v>
      </c>
      <c r="AI177">
        <v>-2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1</v>
      </c>
      <c r="AP177">
        <v>42.666699999999999</v>
      </c>
      <c r="AQ177">
        <v>260</v>
      </c>
      <c r="AR177">
        <v>42.666699999999999</v>
      </c>
      <c r="AS177">
        <v>42.666699999999999</v>
      </c>
      <c r="AT177" t="s">
        <v>8502</v>
      </c>
      <c r="AU177">
        <v>45</v>
      </c>
      <c r="AV177">
        <v>0</v>
      </c>
      <c r="AW177" t="s">
        <v>8461</v>
      </c>
      <c r="AX177">
        <v>0</v>
      </c>
      <c r="AY177" t="s">
        <v>8483</v>
      </c>
      <c r="AZ177">
        <v>1</v>
      </c>
      <c r="BA177" t="s">
        <v>8459</v>
      </c>
      <c r="BB177">
        <v>0</v>
      </c>
      <c r="BC177" t="s">
        <v>8484</v>
      </c>
      <c r="BD177">
        <v>64.615399999999994</v>
      </c>
      <c r="BE177" t="s">
        <v>8464</v>
      </c>
      <c r="BF177" t="s">
        <v>8463</v>
      </c>
      <c r="BG177" t="s">
        <v>8464</v>
      </c>
      <c r="BH177">
        <v>5.90909</v>
      </c>
      <c r="BJ177">
        <v>0.44599303135888502</v>
      </c>
      <c r="BK177">
        <v>6871.8696313518503</v>
      </c>
    </row>
    <row r="178" spans="1:63" x14ac:dyDescent="0.25">
      <c r="A178">
        <v>345</v>
      </c>
      <c r="B178">
        <v>345</v>
      </c>
      <c r="C178" t="s">
        <v>8445</v>
      </c>
      <c r="F178">
        <v>1008691</v>
      </c>
      <c r="G178" t="s">
        <v>8767</v>
      </c>
      <c r="H178" t="s">
        <v>8768</v>
      </c>
      <c r="I178" t="s">
        <v>8512</v>
      </c>
      <c r="J178">
        <v>0</v>
      </c>
      <c r="K178">
        <v>6</v>
      </c>
      <c r="L178">
        <v>0</v>
      </c>
      <c r="M178">
        <v>319900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510</v>
      </c>
      <c r="T178">
        <v>0</v>
      </c>
      <c r="U178">
        <v>0</v>
      </c>
      <c r="V178">
        <v>0</v>
      </c>
      <c r="W178" t="s">
        <v>8447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62</v>
      </c>
      <c r="AR178">
        <v>0</v>
      </c>
      <c r="AS178">
        <v>0</v>
      </c>
      <c r="AT178" t="s">
        <v>8511</v>
      </c>
      <c r="AU178">
        <v>36</v>
      </c>
      <c r="AV178">
        <v>1</v>
      </c>
      <c r="AW178" t="s">
        <v>8493</v>
      </c>
      <c r="AX178">
        <v>0</v>
      </c>
      <c r="AY178" t="s">
        <v>8491</v>
      </c>
      <c r="AZ178">
        <v>1</v>
      </c>
      <c r="BA178" t="s">
        <v>8468</v>
      </c>
      <c r="BB178">
        <v>1</v>
      </c>
      <c r="BC178" t="s">
        <v>8515</v>
      </c>
      <c r="BD178">
        <v>36</v>
      </c>
      <c r="BE178" t="s">
        <v>8546</v>
      </c>
      <c r="BF178" t="s">
        <v>8454</v>
      </c>
      <c r="BG178" t="s">
        <v>8531</v>
      </c>
      <c r="BH178">
        <v>1.40909</v>
      </c>
    </row>
    <row r="179" spans="1:63" x14ac:dyDescent="0.25">
      <c r="A179">
        <v>346</v>
      </c>
      <c r="B179">
        <v>626</v>
      </c>
      <c r="C179" t="s">
        <v>8445</v>
      </c>
      <c r="F179">
        <v>993480</v>
      </c>
      <c r="G179" t="s">
        <v>5852</v>
      </c>
      <c r="H179" t="s">
        <v>5853</v>
      </c>
      <c r="I179" t="s">
        <v>8549</v>
      </c>
      <c r="J179">
        <v>0</v>
      </c>
      <c r="K179">
        <v>6</v>
      </c>
      <c r="L179">
        <v>0</v>
      </c>
      <c r="M179">
        <v>319700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510</v>
      </c>
      <c r="T179">
        <v>0</v>
      </c>
      <c r="U179">
        <v>0</v>
      </c>
      <c r="V179">
        <v>0</v>
      </c>
      <c r="W179" t="s">
        <v>8447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41</v>
      </c>
      <c r="AR179">
        <v>0</v>
      </c>
      <c r="AS179">
        <v>0</v>
      </c>
      <c r="AT179" t="s">
        <v>8548</v>
      </c>
      <c r="AU179">
        <v>64</v>
      </c>
      <c r="AV179">
        <v>1</v>
      </c>
      <c r="AW179" t="s">
        <v>8492</v>
      </c>
      <c r="AX179">
        <v>0</v>
      </c>
      <c r="AY179" t="s">
        <v>8513</v>
      </c>
      <c r="AZ179">
        <v>0</v>
      </c>
      <c r="BA179" t="s">
        <v>8514</v>
      </c>
      <c r="BB179">
        <v>0</v>
      </c>
      <c r="BC179" t="s">
        <v>8471</v>
      </c>
      <c r="BD179">
        <v>63.152200000000001</v>
      </c>
      <c r="BE179" t="s">
        <v>8455</v>
      </c>
      <c r="BF179" t="s">
        <v>8455</v>
      </c>
      <c r="BG179" t="s">
        <v>8464</v>
      </c>
      <c r="BH179">
        <v>0.93181800000000004</v>
      </c>
    </row>
    <row r="180" spans="1:63" x14ac:dyDescent="0.25">
      <c r="A180">
        <v>348</v>
      </c>
      <c r="B180">
        <v>186</v>
      </c>
      <c r="C180" t="s">
        <v>8445</v>
      </c>
      <c r="F180">
        <v>298421</v>
      </c>
      <c r="G180" t="s">
        <v>7770</v>
      </c>
      <c r="H180" t="s">
        <v>7771</v>
      </c>
      <c r="I180" t="s">
        <v>8458</v>
      </c>
      <c r="J180">
        <v>0</v>
      </c>
      <c r="K180">
        <v>6</v>
      </c>
      <c r="L180">
        <v>0</v>
      </c>
      <c r="M180">
        <v>341100</v>
      </c>
      <c r="N180">
        <v>274</v>
      </c>
      <c r="O180">
        <v>0</v>
      </c>
      <c r="P180">
        <v>4</v>
      </c>
      <c r="Q180">
        <v>0</v>
      </c>
      <c r="R180">
        <v>22700</v>
      </c>
      <c r="S180">
        <v>276</v>
      </c>
      <c r="T180">
        <v>0</v>
      </c>
      <c r="U180">
        <v>0</v>
      </c>
      <c r="V180">
        <v>383</v>
      </c>
      <c r="W180" t="s">
        <v>8475</v>
      </c>
      <c r="X180">
        <v>0</v>
      </c>
      <c r="Y180">
        <v>29</v>
      </c>
      <c r="Z180">
        <v>0</v>
      </c>
      <c r="AA180">
        <v>32</v>
      </c>
      <c r="AB180">
        <v>0</v>
      </c>
      <c r="AC180">
        <v>13</v>
      </c>
      <c r="AD180">
        <v>0</v>
      </c>
      <c r="AE180">
        <v>14</v>
      </c>
      <c r="AF180">
        <v>0</v>
      </c>
      <c r="AG180">
        <v>3</v>
      </c>
      <c r="AH180">
        <v>0</v>
      </c>
      <c r="AI180">
        <v>-2</v>
      </c>
      <c r="AJ180">
        <v>0</v>
      </c>
      <c r="AK180">
        <v>0</v>
      </c>
      <c r="AL180">
        <v>0</v>
      </c>
      <c r="AM180">
        <v>4</v>
      </c>
      <c r="AN180">
        <v>0</v>
      </c>
      <c r="AO180">
        <v>2</v>
      </c>
      <c r="AP180">
        <v>68.5</v>
      </c>
      <c r="AQ180">
        <v>396</v>
      </c>
      <c r="AR180">
        <v>68.5</v>
      </c>
      <c r="AS180">
        <v>75.333299999999994</v>
      </c>
      <c r="AT180" t="s">
        <v>8456</v>
      </c>
      <c r="AU180">
        <v>59</v>
      </c>
      <c r="AV180">
        <v>1</v>
      </c>
      <c r="AW180" t="s">
        <v>8530</v>
      </c>
      <c r="AX180">
        <v>1</v>
      </c>
      <c r="AY180" t="s">
        <v>8526</v>
      </c>
      <c r="AZ180">
        <v>0</v>
      </c>
      <c r="BA180" t="s">
        <v>8491</v>
      </c>
      <c r="BB180">
        <v>0</v>
      </c>
      <c r="BC180" t="s">
        <v>8462</v>
      </c>
      <c r="BD180">
        <v>66.142899999999997</v>
      </c>
      <c r="BE180" t="s">
        <v>8464</v>
      </c>
      <c r="BF180" t="s">
        <v>8455</v>
      </c>
      <c r="BG180" t="s">
        <v>8455</v>
      </c>
      <c r="BH180">
        <v>9</v>
      </c>
      <c r="BJ180" s="1" t="s">
        <v>8769</v>
      </c>
      <c r="BK180">
        <v>4979.5620437956204</v>
      </c>
    </row>
    <row r="181" spans="1:63" x14ac:dyDescent="0.25">
      <c r="A181">
        <v>351</v>
      </c>
      <c r="B181">
        <v>402</v>
      </c>
      <c r="C181" t="s">
        <v>8445</v>
      </c>
      <c r="F181">
        <v>291351</v>
      </c>
      <c r="G181" t="s">
        <v>1127</v>
      </c>
      <c r="H181" t="s">
        <v>8286</v>
      </c>
      <c r="I181" t="s">
        <v>8480</v>
      </c>
      <c r="J181">
        <v>0</v>
      </c>
      <c r="K181">
        <v>6</v>
      </c>
      <c r="L181">
        <v>0</v>
      </c>
      <c r="M181">
        <v>346600</v>
      </c>
      <c r="N181">
        <v>255</v>
      </c>
      <c r="O181">
        <v>0</v>
      </c>
      <c r="P181">
        <v>3</v>
      </c>
      <c r="Q181">
        <v>0</v>
      </c>
      <c r="R181">
        <v>28700</v>
      </c>
      <c r="S181">
        <v>299</v>
      </c>
      <c r="T181">
        <v>0</v>
      </c>
      <c r="U181">
        <v>0</v>
      </c>
      <c r="V181">
        <v>305</v>
      </c>
      <c r="W181" t="s">
        <v>8475</v>
      </c>
      <c r="X181">
        <v>0</v>
      </c>
      <c r="Y181">
        <v>29</v>
      </c>
      <c r="Z181">
        <v>0</v>
      </c>
      <c r="AA181">
        <v>11</v>
      </c>
      <c r="AB181">
        <v>0</v>
      </c>
      <c r="AC181">
        <v>16</v>
      </c>
      <c r="AD181">
        <v>0</v>
      </c>
      <c r="AE181">
        <v>6</v>
      </c>
      <c r="AF181">
        <v>0</v>
      </c>
      <c r="AG181">
        <v>1</v>
      </c>
      <c r="AH181">
        <v>0</v>
      </c>
      <c r="AI181">
        <v>-1</v>
      </c>
      <c r="AJ181">
        <v>0</v>
      </c>
      <c r="AK181">
        <v>0</v>
      </c>
      <c r="AL181">
        <v>0</v>
      </c>
      <c r="AM181">
        <v>10</v>
      </c>
      <c r="AN181">
        <v>0</v>
      </c>
      <c r="AO181">
        <v>3</v>
      </c>
      <c r="AP181">
        <v>85</v>
      </c>
      <c r="AQ181">
        <v>519</v>
      </c>
      <c r="AR181">
        <v>85</v>
      </c>
      <c r="AS181">
        <v>85</v>
      </c>
      <c r="AT181" t="s">
        <v>8482</v>
      </c>
      <c r="AU181">
        <v>72.571399999999997</v>
      </c>
      <c r="AV181">
        <v>1</v>
      </c>
      <c r="AW181" t="s">
        <v>8483</v>
      </c>
      <c r="AX181">
        <v>0</v>
      </c>
      <c r="AY181" t="s">
        <v>8461</v>
      </c>
      <c r="AZ181">
        <v>0</v>
      </c>
      <c r="BA181" t="s">
        <v>8460</v>
      </c>
      <c r="BB181">
        <v>1</v>
      </c>
      <c r="BC181" t="s">
        <v>8484</v>
      </c>
      <c r="BD181">
        <v>81.572900000000004</v>
      </c>
      <c r="BE181" t="s">
        <v>8455</v>
      </c>
      <c r="BF181" t="s">
        <v>8464</v>
      </c>
      <c r="BG181" t="s">
        <v>8464</v>
      </c>
      <c r="BH181">
        <v>11.795500000000001</v>
      </c>
      <c r="BJ181" s="1" t="s">
        <v>8770</v>
      </c>
      <c r="BK181" s="1" t="s">
        <v>8771</v>
      </c>
    </row>
    <row r="182" spans="1:63" x14ac:dyDescent="0.25">
      <c r="A182">
        <v>352</v>
      </c>
      <c r="B182">
        <v>550</v>
      </c>
      <c r="C182" t="s">
        <v>8445</v>
      </c>
      <c r="F182">
        <v>1002220</v>
      </c>
      <c r="G182" t="s">
        <v>8268</v>
      </c>
      <c r="H182" t="s">
        <v>8269</v>
      </c>
      <c r="I182" t="s">
        <v>8448</v>
      </c>
      <c r="J182">
        <v>0</v>
      </c>
      <c r="K182">
        <v>6</v>
      </c>
      <c r="L182">
        <v>0</v>
      </c>
      <c r="M182">
        <v>313500</v>
      </c>
      <c r="N182">
        <v>184</v>
      </c>
      <c r="O182">
        <v>0</v>
      </c>
      <c r="P182">
        <v>3</v>
      </c>
      <c r="Q182">
        <v>0</v>
      </c>
      <c r="R182">
        <v>-2000</v>
      </c>
      <c r="S182">
        <v>367</v>
      </c>
      <c r="T182">
        <v>0</v>
      </c>
      <c r="U182">
        <v>0</v>
      </c>
      <c r="V182">
        <v>351</v>
      </c>
      <c r="W182" t="s">
        <v>8505</v>
      </c>
      <c r="X182">
        <v>0</v>
      </c>
      <c r="Y182">
        <v>20</v>
      </c>
      <c r="Z182">
        <v>0</v>
      </c>
      <c r="AA182">
        <v>10</v>
      </c>
      <c r="AB182">
        <v>0</v>
      </c>
      <c r="AC182">
        <v>18</v>
      </c>
      <c r="AD182">
        <v>0</v>
      </c>
      <c r="AE182">
        <v>2</v>
      </c>
      <c r="AF182">
        <v>0</v>
      </c>
      <c r="AG182">
        <v>2</v>
      </c>
      <c r="AH182">
        <v>0</v>
      </c>
      <c r="AI182">
        <v>-4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61.333300000000001</v>
      </c>
      <c r="AQ182">
        <v>67</v>
      </c>
      <c r="AR182">
        <v>61.333300000000001</v>
      </c>
      <c r="AS182">
        <v>61.333300000000001</v>
      </c>
      <c r="AT182" t="s">
        <v>8446</v>
      </c>
      <c r="AU182">
        <v>63.875</v>
      </c>
      <c r="AV182">
        <v>1</v>
      </c>
      <c r="AW182" t="s">
        <v>8526</v>
      </c>
      <c r="AX182">
        <v>0</v>
      </c>
      <c r="AY182" t="s">
        <v>8493</v>
      </c>
      <c r="AZ182">
        <v>1</v>
      </c>
      <c r="BA182" t="s">
        <v>8469</v>
      </c>
      <c r="BB182">
        <v>0</v>
      </c>
      <c r="BC182" t="s">
        <v>8452</v>
      </c>
      <c r="BD182">
        <v>57</v>
      </c>
      <c r="BE182" t="s">
        <v>8472</v>
      </c>
      <c r="BF182" t="s">
        <v>8534</v>
      </c>
      <c r="BG182" t="s">
        <v>8472</v>
      </c>
      <c r="BH182">
        <v>1.5227299999999999</v>
      </c>
      <c r="BJ182" s="1" t="s">
        <v>8772</v>
      </c>
      <c r="BK182" s="1" t="s">
        <v>8773</v>
      </c>
    </row>
    <row r="183" spans="1:63" x14ac:dyDescent="0.25">
      <c r="A183">
        <v>353</v>
      </c>
      <c r="B183">
        <v>165</v>
      </c>
      <c r="C183" t="s">
        <v>8445</v>
      </c>
      <c r="F183">
        <v>1008089</v>
      </c>
      <c r="G183" t="s">
        <v>4961</v>
      </c>
      <c r="H183" t="s">
        <v>6928</v>
      </c>
      <c r="I183" t="s">
        <v>8525</v>
      </c>
      <c r="J183">
        <v>0</v>
      </c>
      <c r="K183">
        <v>6</v>
      </c>
      <c r="L183">
        <v>0</v>
      </c>
      <c r="M183">
        <v>292600</v>
      </c>
      <c r="N183">
        <v>282</v>
      </c>
      <c r="O183">
        <v>0</v>
      </c>
      <c r="P183">
        <v>5</v>
      </c>
      <c r="Q183">
        <v>0</v>
      </c>
      <c r="R183">
        <v>-22700</v>
      </c>
      <c r="S183">
        <v>266</v>
      </c>
      <c r="T183">
        <v>0</v>
      </c>
      <c r="U183">
        <v>0</v>
      </c>
      <c r="V183">
        <v>514</v>
      </c>
      <c r="W183" t="s">
        <v>8475</v>
      </c>
      <c r="X183">
        <v>0</v>
      </c>
      <c r="Y183">
        <v>42</v>
      </c>
      <c r="Z183">
        <v>0</v>
      </c>
      <c r="AA183">
        <v>20</v>
      </c>
      <c r="AB183">
        <v>0</v>
      </c>
      <c r="AC183">
        <v>22</v>
      </c>
      <c r="AD183">
        <v>0</v>
      </c>
      <c r="AE183">
        <v>9</v>
      </c>
      <c r="AF183">
        <v>0</v>
      </c>
      <c r="AG183">
        <v>3</v>
      </c>
      <c r="AH183">
        <v>0</v>
      </c>
      <c r="AI183">
        <v>-3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56.4</v>
      </c>
      <c r="AQ183">
        <v>182</v>
      </c>
      <c r="AR183">
        <v>56.4</v>
      </c>
      <c r="AS183">
        <v>54.666699999999999</v>
      </c>
      <c r="AT183" t="s">
        <v>8524</v>
      </c>
      <c r="AU183">
        <v>78</v>
      </c>
      <c r="AV183">
        <v>1</v>
      </c>
      <c r="AW183" t="s">
        <v>8451</v>
      </c>
      <c r="AX183">
        <v>0</v>
      </c>
      <c r="AY183" t="s">
        <v>8468</v>
      </c>
      <c r="AZ183">
        <v>0</v>
      </c>
      <c r="BA183" t="s">
        <v>8513</v>
      </c>
      <c r="BB183">
        <v>1</v>
      </c>
      <c r="BC183" t="s">
        <v>8527</v>
      </c>
      <c r="BD183">
        <v>75.5</v>
      </c>
      <c r="BE183" t="s">
        <v>8464</v>
      </c>
      <c r="BF183" t="s">
        <v>8464</v>
      </c>
      <c r="BG183" t="s">
        <v>8463</v>
      </c>
      <c r="BH183">
        <v>4.1363599999999998</v>
      </c>
      <c r="BJ183" s="1" t="s">
        <v>8774</v>
      </c>
      <c r="BK183" s="1" t="s">
        <v>8775</v>
      </c>
    </row>
    <row r="184" spans="1:63" x14ac:dyDescent="0.25">
      <c r="A184">
        <v>354</v>
      </c>
      <c r="B184">
        <v>53</v>
      </c>
      <c r="C184" t="s">
        <v>8445</v>
      </c>
      <c r="F184">
        <v>990609</v>
      </c>
      <c r="G184" t="s">
        <v>5306</v>
      </c>
      <c r="H184" t="s">
        <v>271</v>
      </c>
      <c r="I184" t="s">
        <v>8524</v>
      </c>
      <c r="J184">
        <v>0</v>
      </c>
      <c r="K184">
        <v>6</v>
      </c>
      <c r="L184">
        <v>0</v>
      </c>
      <c r="M184">
        <v>305200</v>
      </c>
      <c r="N184">
        <v>167</v>
      </c>
      <c r="O184">
        <v>0</v>
      </c>
      <c r="P184">
        <v>3</v>
      </c>
      <c r="Q184">
        <v>0</v>
      </c>
      <c r="R184">
        <v>-9200</v>
      </c>
      <c r="S184">
        <v>384</v>
      </c>
      <c r="T184">
        <v>0</v>
      </c>
      <c r="U184">
        <v>0</v>
      </c>
      <c r="V184">
        <v>319</v>
      </c>
      <c r="W184" t="s">
        <v>8505</v>
      </c>
      <c r="X184">
        <v>0</v>
      </c>
      <c r="Y184">
        <v>17</v>
      </c>
      <c r="Z184">
        <v>0</v>
      </c>
      <c r="AA184">
        <v>4</v>
      </c>
      <c r="AB184">
        <v>0</v>
      </c>
      <c r="AC184">
        <v>9</v>
      </c>
      <c r="AD184">
        <v>0</v>
      </c>
      <c r="AE184">
        <v>12</v>
      </c>
      <c r="AF184">
        <v>0</v>
      </c>
      <c r="AG184">
        <v>1</v>
      </c>
      <c r="AH184">
        <v>0</v>
      </c>
      <c r="AI184">
        <v>-1</v>
      </c>
      <c r="AJ184">
        <v>0</v>
      </c>
      <c r="AK184">
        <v>0</v>
      </c>
      <c r="AL184">
        <v>0</v>
      </c>
      <c r="AM184">
        <v>4</v>
      </c>
      <c r="AN184">
        <v>0</v>
      </c>
      <c r="AO184">
        <v>4</v>
      </c>
      <c r="AP184">
        <v>55.666699999999999</v>
      </c>
      <c r="AQ184">
        <v>261</v>
      </c>
      <c r="AR184">
        <v>55.666699999999999</v>
      </c>
      <c r="AS184">
        <v>55.666699999999999</v>
      </c>
      <c r="AT184" t="s">
        <v>8525</v>
      </c>
      <c r="AU184">
        <v>66.142899999999997</v>
      </c>
      <c r="AV184">
        <v>0</v>
      </c>
      <c r="AW184" t="s">
        <v>8470</v>
      </c>
      <c r="AX184">
        <v>1</v>
      </c>
      <c r="AY184" t="s">
        <v>8449</v>
      </c>
      <c r="AZ184">
        <v>0</v>
      </c>
      <c r="BA184" t="s">
        <v>8526</v>
      </c>
      <c r="BB184">
        <v>1</v>
      </c>
      <c r="BC184" t="s">
        <v>8527</v>
      </c>
      <c r="BD184">
        <v>74.638900000000007</v>
      </c>
      <c r="BE184" t="s">
        <v>8455</v>
      </c>
      <c r="BF184" t="s">
        <v>8494</v>
      </c>
      <c r="BG184" t="s">
        <v>8498</v>
      </c>
      <c r="BH184">
        <v>5.9318200000000001</v>
      </c>
      <c r="BJ184" s="1" t="s">
        <v>8776</v>
      </c>
      <c r="BK184">
        <v>5482.6314475260797</v>
      </c>
    </row>
    <row r="185" spans="1:63" x14ac:dyDescent="0.25">
      <c r="A185">
        <v>355</v>
      </c>
      <c r="B185">
        <v>333</v>
      </c>
      <c r="C185" t="s">
        <v>8445</v>
      </c>
      <c r="F185">
        <v>1016433</v>
      </c>
      <c r="G185" t="s">
        <v>5000</v>
      </c>
      <c r="H185" t="s">
        <v>6848</v>
      </c>
      <c r="I185" t="s">
        <v>8482</v>
      </c>
      <c r="J185">
        <v>0</v>
      </c>
      <c r="K185">
        <v>6</v>
      </c>
      <c r="L185">
        <v>0</v>
      </c>
      <c r="M185">
        <v>275600</v>
      </c>
      <c r="N185">
        <v>265</v>
      </c>
      <c r="O185">
        <v>0</v>
      </c>
      <c r="P185">
        <v>5</v>
      </c>
      <c r="Q185">
        <v>0</v>
      </c>
      <c r="R185">
        <v>-38200</v>
      </c>
      <c r="S185">
        <v>287</v>
      </c>
      <c r="T185">
        <v>0</v>
      </c>
      <c r="U185">
        <v>0</v>
      </c>
      <c r="V185">
        <v>542</v>
      </c>
      <c r="W185" t="s">
        <v>8475</v>
      </c>
      <c r="X185">
        <v>0</v>
      </c>
      <c r="Y185">
        <v>22</v>
      </c>
      <c r="Z185">
        <v>0</v>
      </c>
      <c r="AA185">
        <v>9</v>
      </c>
      <c r="AB185">
        <v>0</v>
      </c>
      <c r="AC185">
        <v>16</v>
      </c>
      <c r="AD185">
        <v>0</v>
      </c>
      <c r="AE185">
        <v>16</v>
      </c>
      <c r="AF185">
        <v>0</v>
      </c>
      <c r="AG185">
        <v>4</v>
      </c>
      <c r="AH185">
        <v>0</v>
      </c>
      <c r="AI185">
        <v>-6</v>
      </c>
      <c r="AJ185">
        <v>0</v>
      </c>
      <c r="AK185">
        <v>21</v>
      </c>
      <c r="AL185">
        <v>0</v>
      </c>
      <c r="AM185">
        <v>5</v>
      </c>
      <c r="AN185">
        <v>0</v>
      </c>
      <c r="AO185">
        <v>3</v>
      </c>
      <c r="AP185">
        <v>53</v>
      </c>
      <c r="AQ185">
        <v>152</v>
      </c>
      <c r="AR185">
        <v>53</v>
      </c>
      <c r="AS185">
        <v>45.333300000000001</v>
      </c>
      <c r="AT185" t="s">
        <v>8480</v>
      </c>
      <c r="AU185">
        <v>81</v>
      </c>
      <c r="AV185">
        <v>0</v>
      </c>
      <c r="AW185" t="s">
        <v>8514</v>
      </c>
      <c r="AX185">
        <v>1</v>
      </c>
      <c r="AY185" t="s">
        <v>8530</v>
      </c>
      <c r="AZ185">
        <v>1</v>
      </c>
      <c r="BA185" t="s">
        <v>8450</v>
      </c>
      <c r="BB185">
        <v>0</v>
      </c>
      <c r="BC185" t="s">
        <v>8484</v>
      </c>
      <c r="BD185">
        <v>52.333300000000001</v>
      </c>
      <c r="BE185" t="s">
        <v>8464</v>
      </c>
      <c r="BF185" t="s">
        <v>8464</v>
      </c>
      <c r="BG185" t="s">
        <v>8531</v>
      </c>
      <c r="BH185">
        <v>3.4545499999999998</v>
      </c>
      <c r="BJ185">
        <v>0.48892988929889297</v>
      </c>
      <c r="BK185">
        <v>5200</v>
      </c>
    </row>
    <row r="186" spans="1:63" x14ac:dyDescent="0.25">
      <c r="A186">
        <v>357</v>
      </c>
      <c r="B186">
        <v>443</v>
      </c>
      <c r="C186" t="s">
        <v>8445</v>
      </c>
      <c r="F186">
        <v>1017122</v>
      </c>
      <c r="G186" t="s">
        <v>6512</v>
      </c>
      <c r="H186" t="s">
        <v>8777</v>
      </c>
      <c r="I186" t="s">
        <v>8501</v>
      </c>
      <c r="J186">
        <v>0</v>
      </c>
      <c r="K186">
        <v>6</v>
      </c>
      <c r="L186">
        <v>0</v>
      </c>
      <c r="M186">
        <v>290000</v>
      </c>
      <c r="N186">
        <v>134</v>
      </c>
      <c r="O186">
        <v>0</v>
      </c>
      <c r="P186">
        <v>3</v>
      </c>
      <c r="Q186">
        <v>0</v>
      </c>
      <c r="R186">
        <v>-22900</v>
      </c>
      <c r="S186">
        <v>410</v>
      </c>
      <c r="T186">
        <v>0</v>
      </c>
      <c r="U186">
        <v>0</v>
      </c>
      <c r="V186">
        <v>253</v>
      </c>
      <c r="W186" t="s">
        <v>8505</v>
      </c>
      <c r="X186">
        <v>0</v>
      </c>
      <c r="Y186">
        <v>15</v>
      </c>
      <c r="Z186">
        <v>0</v>
      </c>
      <c r="AA186">
        <v>17</v>
      </c>
      <c r="AB186">
        <v>0</v>
      </c>
      <c r="AC186">
        <v>5</v>
      </c>
      <c r="AD186">
        <v>0</v>
      </c>
      <c r="AE186">
        <v>6</v>
      </c>
      <c r="AF186">
        <v>0</v>
      </c>
      <c r="AG186">
        <v>2</v>
      </c>
      <c r="AH186">
        <v>0</v>
      </c>
      <c r="AI186">
        <v>-2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44.666699999999999</v>
      </c>
      <c r="AQ186">
        <v>57</v>
      </c>
      <c r="AR186">
        <v>44.666699999999999</v>
      </c>
      <c r="AS186">
        <v>44.666699999999999</v>
      </c>
      <c r="AT186" t="s">
        <v>8502</v>
      </c>
      <c r="AU186">
        <v>0</v>
      </c>
      <c r="AV186">
        <v>0</v>
      </c>
      <c r="AW186" t="s">
        <v>8461</v>
      </c>
      <c r="AX186">
        <v>0</v>
      </c>
      <c r="AY186" t="s">
        <v>8483</v>
      </c>
      <c r="AZ186">
        <v>1</v>
      </c>
      <c r="BA186" t="s">
        <v>8459</v>
      </c>
      <c r="BB186">
        <v>0</v>
      </c>
      <c r="BC186" t="s">
        <v>8484</v>
      </c>
      <c r="BD186">
        <v>52.666699999999999</v>
      </c>
      <c r="BE186" t="s">
        <v>8464</v>
      </c>
      <c r="BF186" t="s">
        <v>8463</v>
      </c>
      <c r="BG186" t="s">
        <v>8464</v>
      </c>
      <c r="BH186">
        <v>1.29545</v>
      </c>
      <c r="BJ186" s="1" t="s">
        <v>8778</v>
      </c>
      <c r="BK186" s="1" t="s">
        <v>8779</v>
      </c>
    </row>
    <row r="187" spans="1:63" x14ac:dyDescent="0.25">
      <c r="A187">
        <v>358</v>
      </c>
      <c r="B187">
        <v>469</v>
      </c>
      <c r="C187" t="s">
        <v>8445</v>
      </c>
      <c r="F187">
        <v>1023640</v>
      </c>
      <c r="G187" t="s">
        <v>8780</v>
      </c>
      <c r="H187" t="s">
        <v>8781</v>
      </c>
      <c r="I187" t="s">
        <v>8501</v>
      </c>
      <c r="J187">
        <v>0</v>
      </c>
      <c r="K187">
        <v>6</v>
      </c>
      <c r="L187">
        <v>0</v>
      </c>
      <c r="M187">
        <v>312500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510</v>
      </c>
      <c r="T187">
        <v>0</v>
      </c>
      <c r="U187">
        <v>0</v>
      </c>
      <c r="V187">
        <v>0</v>
      </c>
      <c r="W187" t="s">
        <v>8447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61</v>
      </c>
      <c r="AR187">
        <v>0</v>
      </c>
      <c r="AS187">
        <v>0</v>
      </c>
      <c r="AT187" t="s">
        <v>8502</v>
      </c>
      <c r="AU187">
        <v>19</v>
      </c>
      <c r="AV187">
        <v>0</v>
      </c>
      <c r="AW187" t="s">
        <v>8461</v>
      </c>
      <c r="AX187">
        <v>0</v>
      </c>
      <c r="AY187" t="s">
        <v>8483</v>
      </c>
      <c r="AZ187">
        <v>1</v>
      </c>
      <c r="BA187" t="s">
        <v>8459</v>
      </c>
      <c r="BB187">
        <v>0</v>
      </c>
      <c r="BC187" t="s">
        <v>8484</v>
      </c>
      <c r="BD187">
        <v>60.166699999999999</v>
      </c>
      <c r="BE187" t="s">
        <v>8464</v>
      </c>
      <c r="BF187" t="s">
        <v>8463</v>
      </c>
      <c r="BG187" t="s">
        <v>8464</v>
      </c>
      <c r="BH187">
        <v>1.38636</v>
      </c>
    </row>
    <row r="188" spans="1:63" x14ac:dyDescent="0.25">
      <c r="A188">
        <v>359</v>
      </c>
      <c r="B188">
        <v>407</v>
      </c>
      <c r="C188" t="s">
        <v>8445</v>
      </c>
      <c r="F188">
        <v>998390</v>
      </c>
      <c r="G188" t="s">
        <v>8339</v>
      </c>
      <c r="H188" t="s">
        <v>8340</v>
      </c>
      <c r="I188" t="s">
        <v>8480</v>
      </c>
      <c r="J188">
        <v>0</v>
      </c>
      <c r="K188">
        <v>6</v>
      </c>
      <c r="L188">
        <v>0</v>
      </c>
      <c r="M188">
        <v>329800</v>
      </c>
      <c r="N188">
        <v>229</v>
      </c>
      <c r="O188">
        <v>0</v>
      </c>
      <c r="P188">
        <v>3</v>
      </c>
      <c r="Q188">
        <v>0</v>
      </c>
      <c r="R188">
        <v>19200</v>
      </c>
      <c r="S188">
        <v>329</v>
      </c>
      <c r="T188">
        <v>0</v>
      </c>
      <c r="U188">
        <v>0</v>
      </c>
      <c r="V188">
        <v>291</v>
      </c>
      <c r="W188" t="s">
        <v>8475</v>
      </c>
      <c r="X188">
        <v>0</v>
      </c>
      <c r="Y188">
        <v>29</v>
      </c>
      <c r="Z188">
        <v>0</v>
      </c>
      <c r="AA188">
        <v>22</v>
      </c>
      <c r="AB188">
        <v>0</v>
      </c>
      <c r="AC188">
        <v>9</v>
      </c>
      <c r="AD188">
        <v>0</v>
      </c>
      <c r="AE188">
        <v>6</v>
      </c>
      <c r="AF188">
        <v>0</v>
      </c>
      <c r="AG188">
        <v>3</v>
      </c>
      <c r="AH188">
        <v>0</v>
      </c>
      <c r="AI188">
        <v>-5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76.333299999999994</v>
      </c>
      <c r="AQ188">
        <v>586</v>
      </c>
      <c r="AR188">
        <v>76.333299999999994</v>
      </c>
      <c r="AS188">
        <v>76.333299999999994</v>
      </c>
      <c r="AT188" t="s">
        <v>8482</v>
      </c>
      <c r="AU188">
        <v>79.75</v>
      </c>
      <c r="AV188">
        <v>1</v>
      </c>
      <c r="AW188" t="s">
        <v>8483</v>
      </c>
      <c r="AX188">
        <v>0</v>
      </c>
      <c r="AY188" t="s">
        <v>8461</v>
      </c>
      <c r="AZ188">
        <v>0</v>
      </c>
      <c r="BA188" t="s">
        <v>8460</v>
      </c>
      <c r="BB188">
        <v>1</v>
      </c>
      <c r="BC188" t="s">
        <v>8484</v>
      </c>
      <c r="BD188">
        <v>81.1053</v>
      </c>
      <c r="BE188" t="s">
        <v>8455</v>
      </c>
      <c r="BF188" t="s">
        <v>8464</v>
      </c>
      <c r="BG188" t="s">
        <v>8464</v>
      </c>
      <c r="BH188">
        <v>13.318199999999999</v>
      </c>
      <c r="BJ188" s="1" t="s">
        <v>8782</v>
      </c>
      <c r="BK188" s="1" t="s">
        <v>8783</v>
      </c>
    </row>
    <row r="189" spans="1:63" x14ac:dyDescent="0.25">
      <c r="A189">
        <v>360</v>
      </c>
      <c r="B189">
        <v>434</v>
      </c>
      <c r="C189" t="s">
        <v>8445</v>
      </c>
      <c r="F189">
        <v>296351</v>
      </c>
      <c r="G189" t="s">
        <v>1127</v>
      </c>
      <c r="H189" t="s">
        <v>6397</v>
      </c>
      <c r="I189" t="s">
        <v>8501</v>
      </c>
      <c r="J189">
        <v>0</v>
      </c>
      <c r="K189">
        <v>6</v>
      </c>
      <c r="L189">
        <v>0</v>
      </c>
      <c r="M189">
        <v>310500</v>
      </c>
      <c r="N189">
        <v>49</v>
      </c>
      <c r="O189">
        <v>0</v>
      </c>
      <c r="P189">
        <v>1</v>
      </c>
      <c r="Q189">
        <v>0</v>
      </c>
      <c r="R189">
        <v>0</v>
      </c>
      <c r="S189">
        <v>480</v>
      </c>
      <c r="T189">
        <v>0</v>
      </c>
      <c r="U189">
        <v>0</v>
      </c>
      <c r="V189">
        <v>113</v>
      </c>
      <c r="W189" t="s">
        <v>8466</v>
      </c>
      <c r="X189">
        <v>0</v>
      </c>
      <c r="Y189">
        <v>5</v>
      </c>
      <c r="Z189">
        <v>0</v>
      </c>
      <c r="AA189">
        <v>9</v>
      </c>
      <c r="AB189">
        <v>0</v>
      </c>
      <c r="AC189">
        <v>2</v>
      </c>
      <c r="AD189">
        <v>0</v>
      </c>
      <c r="AE189">
        <v>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49</v>
      </c>
      <c r="AQ189">
        <v>102</v>
      </c>
      <c r="AR189">
        <v>49</v>
      </c>
      <c r="AS189">
        <v>49</v>
      </c>
      <c r="AT189" t="s">
        <v>8502</v>
      </c>
      <c r="AU189">
        <v>78.5</v>
      </c>
      <c r="AV189">
        <v>0</v>
      </c>
      <c r="AW189" t="s">
        <v>8461</v>
      </c>
      <c r="AX189">
        <v>0</v>
      </c>
      <c r="AY189" t="s">
        <v>8483</v>
      </c>
      <c r="AZ189">
        <v>1</v>
      </c>
      <c r="BA189" t="s">
        <v>8459</v>
      </c>
      <c r="BB189">
        <v>0</v>
      </c>
      <c r="BC189" t="s">
        <v>8484</v>
      </c>
      <c r="BD189">
        <v>76.56</v>
      </c>
      <c r="BE189" t="s">
        <v>8464</v>
      </c>
      <c r="BF189" t="s">
        <v>8463</v>
      </c>
      <c r="BG189" t="s">
        <v>8464</v>
      </c>
      <c r="BH189">
        <v>2.3181799999999999</v>
      </c>
      <c r="BJ189" s="1" t="s">
        <v>8784</v>
      </c>
      <c r="BK189" s="1" t="s">
        <v>8785</v>
      </c>
    </row>
    <row r="190" spans="1:63" x14ac:dyDescent="0.25">
      <c r="A190">
        <v>361</v>
      </c>
      <c r="B190">
        <v>595</v>
      </c>
      <c r="C190" t="s">
        <v>8445</v>
      </c>
      <c r="F190">
        <v>1006133</v>
      </c>
      <c r="G190" t="s">
        <v>1127</v>
      </c>
      <c r="H190" t="s">
        <v>5393</v>
      </c>
      <c r="I190" t="s">
        <v>8490</v>
      </c>
      <c r="J190">
        <v>0</v>
      </c>
      <c r="K190">
        <v>6</v>
      </c>
      <c r="L190">
        <v>0</v>
      </c>
      <c r="M190">
        <v>317600</v>
      </c>
      <c r="N190">
        <v>359</v>
      </c>
      <c r="O190">
        <v>0</v>
      </c>
      <c r="P190">
        <v>5</v>
      </c>
      <c r="Q190">
        <v>0</v>
      </c>
      <c r="R190">
        <v>7200</v>
      </c>
      <c r="S190">
        <v>163</v>
      </c>
      <c r="T190">
        <v>0</v>
      </c>
      <c r="U190">
        <v>0</v>
      </c>
      <c r="V190">
        <v>516</v>
      </c>
      <c r="W190" t="s">
        <v>8481</v>
      </c>
      <c r="X190">
        <v>0</v>
      </c>
      <c r="Y190">
        <v>47</v>
      </c>
      <c r="Z190">
        <v>0</v>
      </c>
      <c r="AA190">
        <v>42</v>
      </c>
      <c r="AB190">
        <v>0</v>
      </c>
      <c r="AC190">
        <v>31</v>
      </c>
      <c r="AD190">
        <v>0</v>
      </c>
      <c r="AE190">
        <v>15</v>
      </c>
      <c r="AF190">
        <v>0</v>
      </c>
      <c r="AG190">
        <v>2</v>
      </c>
      <c r="AH190">
        <v>0</v>
      </c>
      <c r="AI190">
        <v>-5</v>
      </c>
      <c r="AJ190">
        <v>0</v>
      </c>
      <c r="AK190">
        <v>0</v>
      </c>
      <c r="AL190">
        <v>0</v>
      </c>
      <c r="AM190">
        <v>2</v>
      </c>
      <c r="AN190">
        <v>0</v>
      </c>
      <c r="AO190">
        <v>2</v>
      </c>
      <c r="AP190">
        <v>71.8</v>
      </c>
      <c r="AQ190">
        <v>851</v>
      </c>
      <c r="AR190">
        <v>71.8</v>
      </c>
      <c r="AS190">
        <v>63.333300000000001</v>
      </c>
      <c r="AT190" t="s">
        <v>8489</v>
      </c>
      <c r="AU190">
        <v>59.75</v>
      </c>
      <c r="AV190">
        <v>0</v>
      </c>
      <c r="AW190" t="s">
        <v>8460</v>
      </c>
      <c r="AX190">
        <v>1</v>
      </c>
      <c r="AY190" t="s">
        <v>8459</v>
      </c>
      <c r="AZ190">
        <v>1</v>
      </c>
      <c r="BA190" t="s">
        <v>8483</v>
      </c>
      <c r="BB190">
        <v>0</v>
      </c>
      <c r="BC190" t="s">
        <v>8471</v>
      </c>
      <c r="BD190">
        <v>65.444400000000002</v>
      </c>
      <c r="BE190" t="s">
        <v>8464</v>
      </c>
      <c r="BF190" t="s">
        <v>8464</v>
      </c>
      <c r="BG190" t="s">
        <v>8464</v>
      </c>
      <c r="BH190">
        <v>19.340900000000001</v>
      </c>
      <c r="BJ190" s="1" t="s">
        <v>8786</v>
      </c>
      <c r="BK190" s="1" t="s">
        <v>8787</v>
      </c>
    </row>
    <row r="191" spans="1:63" x14ac:dyDescent="0.25">
      <c r="A191">
        <v>362</v>
      </c>
      <c r="B191">
        <v>378</v>
      </c>
      <c r="C191" t="s">
        <v>8445</v>
      </c>
      <c r="F191">
        <v>1008123</v>
      </c>
      <c r="G191" t="s">
        <v>1235</v>
      </c>
      <c r="H191" t="s">
        <v>8164</v>
      </c>
      <c r="I191" t="s">
        <v>8512</v>
      </c>
      <c r="J191">
        <v>0</v>
      </c>
      <c r="K191">
        <v>6</v>
      </c>
      <c r="L191">
        <v>0</v>
      </c>
      <c r="M191">
        <v>309100</v>
      </c>
      <c r="N191">
        <v>111</v>
      </c>
      <c r="O191">
        <v>0</v>
      </c>
      <c r="P191">
        <v>2</v>
      </c>
      <c r="Q191">
        <v>0</v>
      </c>
      <c r="R191">
        <v>0</v>
      </c>
      <c r="S191">
        <v>433</v>
      </c>
      <c r="T191">
        <v>0</v>
      </c>
      <c r="U191">
        <v>0</v>
      </c>
      <c r="V191">
        <v>173</v>
      </c>
      <c r="W191" t="s">
        <v>8505</v>
      </c>
      <c r="X191">
        <v>0</v>
      </c>
      <c r="Y191">
        <v>17</v>
      </c>
      <c r="Z191">
        <v>0</v>
      </c>
      <c r="AA191">
        <v>10</v>
      </c>
      <c r="AB191">
        <v>0</v>
      </c>
      <c r="AC191">
        <v>11</v>
      </c>
      <c r="AD191">
        <v>0</v>
      </c>
      <c r="AE191">
        <v>3</v>
      </c>
      <c r="AF191">
        <v>0</v>
      </c>
      <c r="AG191">
        <v>1</v>
      </c>
      <c r="AH191">
        <v>0</v>
      </c>
      <c r="AI191">
        <v>-5</v>
      </c>
      <c r="AJ191">
        <v>0</v>
      </c>
      <c r="AK191">
        <v>12</v>
      </c>
      <c r="AL191">
        <v>0</v>
      </c>
      <c r="AM191">
        <v>2</v>
      </c>
      <c r="AN191">
        <v>0</v>
      </c>
      <c r="AO191">
        <v>1</v>
      </c>
      <c r="AP191">
        <v>55.5</v>
      </c>
      <c r="AQ191">
        <v>106</v>
      </c>
      <c r="AR191">
        <v>55.5</v>
      </c>
      <c r="AS191">
        <v>55.5</v>
      </c>
      <c r="AT191" t="s">
        <v>8511</v>
      </c>
      <c r="AU191">
        <v>46.5</v>
      </c>
      <c r="AV191">
        <v>1</v>
      </c>
      <c r="AW191" t="s">
        <v>8493</v>
      </c>
      <c r="AX191">
        <v>0</v>
      </c>
      <c r="AY191" t="s">
        <v>8491</v>
      </c>
      <c r="AZ191">
        <v>1</v>
      </c>
      <c r="BA191" t="s">
        <v>8468</v>
      </c>
      <c r="BB191">
        <v>1</v>
      </c>
      <c r="BC191" t="s">
        <v>8515</v>
      </c>
      <c r="BD191">
        <v>52.5</v>
      </c>
      <c r="BE191" t="s">
        <v>8546</v>
      </c>
      <c r="BF191" t="s">
        <v>8454</v>
      </c>
      <c r="BG191" t="s">
        <v>8531</v>
      </c>
      <c r="BH191">
        <v>2.40909</v>
      </c>
      <c r="BJ191" s="1" t="s">
        <v>8788</v>
      </c>
      <c r="BK191" s="1" t="s">
        <v>8789</v>
      </c>
    </row>
    <row r="192" spans="1:63" x14ac:dyDescent="0.25">
      <c r="A192">
        <v>363</v>
      </c>
      <c r="B192">
        <v>551</v>
      </c>
      <c r="C192" t="s">
        <v>8445</v>
      </c>
      <c r="F192">
        <v>1008239</v>
      </c>
      <c r="G192" t="s">
        <v>6163</v>
      </c>
      <c r="H192" t="s">
        <v>655</v>
      </c>
      <c r="I192" t="s">
        <v>8448</v>
      </c>
      <c r="J192">
        <v>0</v>
      </c>
      <c r="K192">
        <v>6</v>
      </c>
      <c r="L192">
        <v>0</v>
      </c>
      <c r="M192">
        <v>352500</v>
      </c>
      <c r="N192">
        <v>378</v>
      </c>
      <c r="O192">
        <v>0</v>
      </c>
      <c r="P192">
        <v>5</v>
      </c>
      <c r="Q192">
        <v>0</v>
      </c>
      <c r="R192">
        <v>43600</v>
      </c>
      <c r="S192">
        <v>130</v>
      </c>
      <c r="T192">
        <v>0</v>
      </c>
      <c r="U192">
        <v>0</v>
      </c>
      <c r="V192">
        <v>492</v>
      </c>
      <c r="W192" t="s">
        <v>8481</v>
      </c>
      <c r="X192">
        <v>0</v>
      </c>
      <c r="Y192">
        <v>35</v>
      </c>
      <c r="Z192">
        <v>0</v>
      </c>
      <c r="AA192">
        <v>50</v>
      </c>
      <c r="AB192">
        <v>0</v>
      </c>
      <c r="AC192">
        <v>22</v>
      </c>
      <c r="AD192">
        <v>0</v>
      </c>
      <c r="AE192">
        <v>14</v>
      </c>
      <c r="AF192">
        <v>0</v>
      </c>
      <c r="AG192">
        <v>2</v>
      </c>
      <c r="AH192">
        <v>0</v>
      </c>
      <c r="AI192">
        <v>-1</v>
      </c>
      <c r="AJ192">
        <v>0</v>
      </c>
      <c r="AK192">
        <v>0</v>
      </c>
      <c r="AL192">
        <v>0</v>
      </c>
      <c r="AM192">
        <v>4</v>
      </c>
      <c r="AN192">
        <v>0</v>
      </c>
      <c r="AO192">
        <v>2</v>
      </c>
      <c r="AP192">
        <v>75.599999999999994</v>
      </c>
      <c r="AQ192">
        <v>894</v>
      </c>
      <c r="AR192">
        <v>75.599999999999994</v>
      </c>
      <c r="AS192">
        <v>82.333299999999994</v>
      </c>
      <c r="AT192" t="s">
        <v>8446</v>
      </c>
      <c r="AU192">
        <v>0</v>
      </c>
      <c r="AV192">
        <v>1</v>
      </c>
      <c r="AW192" t="s">
        <v>8526</v>
      </c>
      <c r="AX192">
        <v>0</v>
      </c>
      <c r="AY192" t="s">
        <v>8493</v>
      </c>
      <c r="AZ192">
        <v>1</v>
      </c>
      <c r="BA192" t="s">
        <v>8469</v>
      </c>
      <c r="BB192">
        <v>0</v>
      </c>
      <c r="BC192" t="s">
        <v>8452</v>
      </c>
      <c r="BD192">
        <v>0</v>
      </c>
      <c r="BE192" t="s">
        <v>8472</v>
      </c>
      <c r="BF192" t="s">
        <v>8534</v>
      </c>
      <c r="BG192" t="s">
        <v>8472</v>
      </c>
      <c r="BH192">
        <v>20.318200000000001</v>
      </c>
      <c r="BJ192" s="1" t="s">
        <v>8790</v>
      </c>
      <c r="BK192" s="1" t="s">
        <v>8791</v>
      </c>
    </row>
    <row r="193" spans="1:63" x14ac:dyDescent="0.25">
      <c r="A193">
        <v>364</v>
      </c>
      <c r="B193">
        <v>133</v>
      </c>
      <c r="C193" t="s">
        <v>8445</v>
      </c>
      <c r="F193">
        <v>998647</v>
      </c>
      <c r="G193" t="s">
        <v>6295</v>
      </c>
      <c r="H193" t="s">
        <v>5686</v>
      </c>
      <c r="I193" t="s">
        <v>8525</v>
      </c>
      <c r="J193">
        <v>0</v>
      </c>
      <c r="K193">
        <v>6</v>
      </c>
      <c r="L193">
        <v>0</v>
      </c>
      <c r="M193">
        <v>307800</v>
      </c>
      <c r="N193">
        <v>46</v>
      </c>
      <c r="O193">
        <v>0</v>
      </c>
      <c r="P193">
        <v>1</v>
      </c>
      <c r="Q193">
        <v>0</v>
      </c>
      <c r="R193">
        <v>0</v>
      </c>
      <c r="S193">
        <v>484</v>
      </c>
      <c r="T193">
        <v>0</v>
      </c>
      <c r="U193">
        <v>0</v>
      </c>
      <c r="V193">
        <v>64</v>
      </c>
      <c r="W193" t="s">
        <v>8466</v>
      </c>
      <c r="X193">
        <v>0</v>
      </c>
      <c r="Y193">
        <v>7</v>
      </c>
      <c r="Z193">
        <v>0</v>
      </c>
      <c r="AA193">
        <v>1</v>
      </c>
      <c r="AB193">
        <v>0</v>
      </c>
      <c r="AC193">
        <v>3</v>
      </c>
      <c r="AD193">
        <v>0</v>
      </c>
      <c r="AE193">
        <v>3</v>
      </c>
      <c r="AF193">
        <v>0</v>
      </c>
      <c r="AG193">
        <v>1</v>
      </c>
      <c r="AH193">
        <v>0</v>
      </c>
      <c r="AI193">
        <v>-1</v>
      </c>
      <c r="AJ193">
        <v>0</v>
      </c>
      <c r="AK193">
        <v>12</v>
      </c>
      <c r="AL193">
        <v>0</v>
      </c>
      <c r="AM193">
        <v>0</v>
      </c>
      <c r="AN193">
        <v>0</v>
      </c>
      <c r="AO193">
        <v>1</v>
      </c>
      <c r="AP193">
        <v>46</v>
      </c>
      <c r="AQ193">
        <v>248</v>
      </c>
      <c r="AR193">
        <v>46</v>
      </c>
      <c r="AS193">
        <v>46</v>
      </c>
      <c r="AT193" t="s">
        <v>8524</v>
      </c>
      <c r="AU193">
        <v>62.3</v>
      </c>
      <c r="AV193">
        <v>1</v>
      </c>
      <c r="AW193" t="s">
        <v>8451</v>
      </c>
      <c r="AX193">
        <v>0</v>
      </c>
      <c r="AY193" t="s">
        <v>8468</v>
      </c>
      <c r="AZ193">
        <v>0</v>
      </c>
      <c r="BA193" t="s">
        <v>8513</v>
      </c>
      <c r="BB193">
        <v>1</v>
      </c>
      <c r="BC193" t="s">
        <v>8527</v>
      </c>
      <c r="BD193">
        <v>68.3</v>
      </c>
      <c r="BE193" t="s">
        <v>8464</v>
      </c>
      <c r="BF193" t="s">
        <v>8464</v>
      </c>
      <c r="BG193" t="s">
        <v>8463</v>
      </c>
      <c r="BH193">
        <v>5.6363599999999998</v>
      </c>
      <c r="BJ193">
        <v>0.71875</v>
      </c>
      <c r="BK193" s="1" t="s">
        <v>8792</v>
      </c>
    </row>
    <row r="194" spans="1:63" x14ac:dyDescent="0.25">
      <c r="A194">
        <v>365</v>
      </c>
      <c r="B194">
        <v>46</v>
      </c>
      <c r="C194" t="s">
        <v>8445</v>
      </c>
      <c r="F194">
        <v>1005053</v>
      </c>
      <c r="G194" t="s">
        <v>5462</v>
      </c>
      <c r="H194" t="s">
        <v>7589</v>
      </c>
      <c r="I194" t="s">
        <v>8524</v>
      </c>
      <c r="J194">
        <v>0</v>
      </c>
      <c r="K194">
        <v>6</v>
      </c>
      <c r="L194">
        <v>0</v>
      </c>
      <c r="M194">
        <v>317100</v>
      </c>
      <c r="N194">
        <v>339</v>
      </c>
      <c r="O194">
        <v>0</v>
      </c>
      <c r="P194">
        <v>5</v>
      </c>
      <c r="Q194">
        <v>0</v>
      </c>
      <c r="R194">
        <v>10400</v>
      </c>
      <c r="S194">
        <v>197</v>
      </c>
      <c r="T194">
        <v>0</v>
      </c>
      <c r="U194">
        <v>0</v>
      </c>
      <c r="V194">
        <v>532</v>
      </c>
      <c r="W194" t="s">
        <v>8475</v>
      </c>
      <c r="X194">
        <v>0</v>
      </c>
      <c r="Y194">
        <v>45</v>
      </c>
      <c r="Z194">
        <v>0</v>
      </c>
      <c r="AA194">
        <v>20</v>
      </c>
      <c r="AB194">
        <v>0</v>
      </c>
      <c r="AC194">
        <v>25</v>
      </c>
      <c r="AD194">
        <v>0</v>
      </c>
      <c r="AE194">
        <v>12</v>
      </c>
      <c r="AF194">
        <v>0</v>
      </c>
      <c r="AG194">
        <v>4</v>
      </c>
      <c r="AH194">
        <v>0</v>
      </c>
      <c r="AI194">
        <v>-4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67.8</v>
      </c>
      <c r="AQ194">
        <v>196</v>
      </c>
      <c r="AR194">
        <v>67.8</v>
      </c>
      <c r="AS194">
        <v>61</v>
      </c>
      <c r="AT194" t="s">
        <v>8525</v>
      </c>
      <c r="AU194">
        <v>41.666699999999999</v>
      </c>
      <c r="AV194">
        <v>0</v>
      </c>
      <c r="AW194" t="s">
        <v>8470</v>
      </c>
      <c r="AX194">
        <v>1</v>
      </c>
      <c r="AY194" t="s">
        <v>8449</v>
      </c>
      <c r="AZ194">
        <v>0</v>
      </c>
      <c r="BA194" t="s">
        <v>8526</v>
      </c>
      <c r="BB194">
        <v>1</v>
      </c>
      <c r="BC194" t="s">
        <v>8527</v>
      </c>
      <c r="BD194">
        <v>59.0625</v>
      </c>
      <c r="BE194" t="s">
        <v>8455</v>
      </c>
      <c r="BF194" t="s">
        <v>8494</v>
      </c>
      <c r="BG194" t="s">
        <v>8498</v>
      </c>
      <c r="BH194">
        <v>4.4545500000000002</v>
      </c>
      <c r="BJ194" s="1" t="s">
        <v>8793</v>
      </c>
      <c r="BK194" s="1" t="s">
        <v>8794</v>
      </c>
    </row>
    <row r="195" spans="1:63" x14ac:dyDescent="0.25">
      <c r="A195">
        <v>366</v>
      </c>
      <c r="B195">
        <v>191</v>
      </c>
      <c r="C195" t="s">
        <v>8445</v>
      </c>
      <c r="F195">
        <v>1011755</v>
      </c>
      <c r="G195" t="s">
        <v>7674</v>
      </c>
      <c r="H195" t="s">
        <v>890</v>
      </c>
      <c r="I195" t="s">
        <v>8458</v>
      </c>
      <c r="J195">
        <v>0</v>
      </c>
      <c r="K195">
        <v>6</v>
      </c>
      <c r="L195">
        <v>0</v>
      </c>
      <c r="M195">
        <v>286600</v>
      </c>
      <c r="N195">
        <v>219</v>
      </c>
      <c r="O195">
        <v>0</v>
      </c>
      <c r="P195">
        <v>4</v>
      </c>
      <c r="Q195">
        <v>0</v>
      </c>
      <c r="R195">
        <v>-20000</v>
      </c>
      <c r="S195">
        <v>338</v>
      </c>
      <c r="T195">
        <v>0</v>
      </c>
      <c r="U195">
        <v>0</v>
      </c>
      <c r="V195">
        <v>418</v>
      </c>
      <c r="W195" t="s">
        <v>8505</v>
      </c>
      <c r="X195">
        <v>0</v>
      </c>
      <c r="Y195">
        <v>27</v>
      </c>
      <c r="Z195">
        <v>0</v>
      </c>
      <c r="AA195">
        <v>16</v>
      </c>
      <c r="AB195">
        <v>0</v>
      </c>
      <c r="AC195">
        <v>15</v>
      </c>
      <c r="AD195">
        <v>0</v>
      </c>
      <c r="AE195">
        <v>14</v>
      </c>
      <c r="AF195">
        <v>0</v>
      </c>
      <c r="AG195">
        <v>2</v>
      </c>
      <c r="AH195">
        <v>0</v>
      </c>
      <c r="AI195">
        <v>-5</v>
      </c>
      <c r="AJ195">
        <v>0</v>
      </c>
      <c r="AK195">
        <v>4</v>
      </c>
      <c r="AL195">
        <v>0</v>
      </c>
      <c r="AM195">
        <v>2</v>
      </c>
      <c r="AN195">
        <v>0</v>
      </c>
      <c r="AO195">
        <v>2</v>
      </c>
      <c r="AP195">
        <v>54.75</v>
      </c>
      <c r="AQ195">
        <v>158</v>
      </c>
      <c r="AR195">
        <v>54.75</v>
      </c>
      <c r="AS195">
        <v>48.333300000000001</v>
      </c>
      <c r="AT195" t="s">
        <v>8456</v>
      </c>
      <c r="AU195">
        <v>50.5</v>
      </c>
      <c r="AV195">
        <v>1</v>
      </c>
      <c r="AW195" t="s">
        <v>8530</v>
      </c>
      <c r="AX195">
        <v>1</v>
      </c>
      <c r="AY195" t="s">
        <v>8526</v>
      </c>
      <c r="AZ195">
        <v>0</v>
      </c>
      <c r="BA195" t="s">
        <v>8491</v>
      </c>
      <c r="BB195">
        <v>0</v>
      </c>
      <c r="BC195" t="s">
        <v>8462</v>
      </c>
      <c r="BD195">
        <v>43.75</v>
      </c>
      <c r="BE195" t="s">
        <v>8464</v>
      </c>
      <c r="BF195" t="s">
        <v>8455</v>
      </c>
      <c r="BG195" t="s">
        <v>8455</v>
      </c>
      <c r="BH195">
        <v>3.59091</v>
      </c>
      <c r="BJ195" s="1" t="s">
        <v>8795</v>
      </c>
      <c r="BK195" s="1" t="s">
        <v>8796</v>
      </c>
    </row>
    <row r="196" spans="1:63" x14ac:dyDescent="0.25">
      <c r="A196">
        <v>367</v>
      </c>
      <c r="B196">
        <v>686</v>
      </c>
      <c r="C196" t="s">
        <v>8445</v>
      </c>
      <c r="F196">
        <v>290307</v>
      </c>
      <c r="G196" t="s">
        <v>110</v>
      </c>
      <c r="H196" t="s">
        <v>7015</v>
      </c>
      <c r="I196" t="s">
        <v>8446</v>
      </c>
      <c r="J196">
        <v>0</v>
      </c>
      <c r="K196">
        <v>6</v>
      </c>
      <c r="L196">
        <v>0</v>
      </c>
      <c r="M196">
        <v>340200</v>
      </c>
      <c r="N196">
        <v>353</v>
      </c>
      <c r="O196">
        <v>0</v>
      </c>
      <c r="P196">
        <v>5</v>
      </c>
      <c r="Q196">
        <v>0</v>
      </c>
      <c r="R196">
        <v>34000</v>
      </c>
      <c r="S196">
        <v>172</v>
      </c>
      <c r="T196">
        <v>0</v>
      </c>
      <c r="U196">
        <v>0</v>
      </c>
      <c r="V196">
        <v>508</v>
      </c>
      <c r="W196" t="s">
        <v>8475</v>
      </c>
      <c r="X196">
        <v>0</v>
      </c>
      <c r="Y196">
        <v>52</v>
      </c>
      <c r="Z196">
        <v>0</v>
      </c>
      <c r="AA196">
        <v>21</v>
      </c>
      <c r="AB196">
        <v>0</v>
      </c>
      <c r="AC196">
        <v>27</v>
      </c>
      <c r="AD196">
        <v>0</v>
      </c>
      <c r="AE196">
        <v>11</v>
      </c>
      <c r="AF196">
        <v>0</v>
      </c>
      <c r="AG196">
        <v>3</v>
      </c>
      <c r="AH196">
        <v>0</v>
      </c>
      <c r="AI196">
        <v>-3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70.599999999999994</v>
      </c>
      <c r="AQ196">
        <v>633</v>
      </c>
      <c r="AR196">
        <v>70.599999999999994</v>
      </c>
      <c r="AS196">
        <v>65.666700000000006</v>
      </c>
      <c r="AT196" t="s">
        <v>8448</v>
      </c>
      <c r="AU196">
        <v>73.5</v>
      </c>
      <c r="AV196">
        <v>0</v>
      </c>
      <c r="AW196" t="s">
        <v>8449</v>
      </c>
      <c r="AX196">
        <v>1</v>
      </c>
      <c r="AY196" t="s">
        <v>8450</v>
      </c>
      <c r="AZ196">
        <v>0</v>
      </c>
      <c r="BA196" t="s">
        <v>8451</v>
      </c>
      <c r="BB196">
        <v>1</v>
      </c>
      <c r="BC196" t="s">
        <v>8452</v>
      </c>
      <c r="BD196">
        <v>78.240399999999994</v>
      </c>
      <c r="BE196" t="s">
        <v>8453</v>
      </c>
      <c r="BF196" t="s">
        <v>8454</v>
      </c>
      <c r="BG196" t="s">
        <v>8455</v>
      </c>
      <c r="BH196">
        <v>14.3864</v>
      </c>
      <c r="BJ196" s="1" t="s">
        <v>8797</v>
      </c>
      <c r="BK196" s="1" t="s">
        <v>8798</v>
      </c>
    </row>
    <row r="197" spans="1:63" x14ac:dyDescent="0.25">
      <c r="A197">
        <v>368</v>
      </c>
      <c r="B197">
        <v>536</v>
      </c>
      <c r="C197" t="s">
        <v>8445</v>
      </c>
      <c r="F197">
        <v>298111</v>
      </c>
      <c r="G197" t="s">
        <v>1196</v>
      </c>
      <c r="H197" t="s">
        <v>6246</v>
      </c>
      <c r="I197" t="s">
        <v>8448</v>
      </c>
      <c r="J197">
        <v>0</v>
      </c>
      <c r="K197">
        <v>6</v>
      </c>
      <c r="L197">
        <v>0</v>
      </c>
      <c r="M197">
        <v>305800</v>
      </c>
      <c r="N197">
        <v>85</v>
      </c>
      <c r="O197">
        <v>0</v>
      </c>
      <c r="P197">
        <v>1</v>
      </c>
      <c r="Q197">
        <v>0</v>
      </c>
      <c r="R197">
        <v>0</v>
      </c>
      <c r="S197">
        <v>451</v>
      </c>
      <c r="T197">
        <v>0</v>
      </c>
      <c r="U197">
        <v>0</v>
      </c>
      <c r="V197">
        <v>126</v>
      </c>
      <c r="W197" t="s">
        <v>8505</v>
      </c>
      <c r="X197">
        <v>0</v>
      </c>
      <c r="Y197">
        <v>16</v>
      </c>
      <c r="Z197">
        <v>0</v>
      </c>
      <c r="AA197">
        <v>3</v>
      </c>
      <c r="AB197">
        <v>0</v>
      </c>
      <c r="AC197">
        <v>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85</v>
      </c>
      <c r="AQ197">
        <v>466</v>
      </c>
      <c r="AR197">
        <v>85</v>
      </c>
      <c r="AS197">
        <v>85</v>
      </c>
      <c r="AT197" t="s">
        <v>8446</v>
      </c>
      <c r="AU197">
        <v>82.333299999999994</v>
      </c>
      <c r="AV197">
        <v>1</v>
      </c>
      <c r="AW197" t="s">
        <v>8526</v>
      </c>
      <c r="AX197">
        <v>0</v>
      </c>
      <c r="AY197" t="s">
        <v>8493</v>
      </c>
      <c r="AZ197">
        <v>1</v>
      </c>
      <c r="BA197" t="s">
        <v>8469</v>
      </c>
      <c r="BB197">
        <v>0</v>
      </c>
      <c r="BC197" t="s">
        <v>8452</v>
      </c>
      <c r="BD197">
        <v>92.5</v>
      </c>
      <c r="BE197" t="s">
        <v>8472</v>
      </c>
      <c r="BF197" t="s">
        <v>8534</v>
      </c>
      <c r="BG197" t="s">
        <v>8472</v>
      </c>
      <c r="BH197">
        <v>10.5909</v>
      </c>
      <c r="BJ197" s="1" t="s">
        <v>8799</v>
      </c>
      <c r="BK197" s="1" t="s">
        <v>8800</v>
      </c>
    </row>
    <row r="198" spans="1:63" x14ac:dyDescent="0.25">
      <c r="A198">
        <v>369</v>
      </c>
      <c r="B198">
        <v>173</v>
      </c>
      <c r="C198" t="s">
        <v>8445</v>
      </c>
      <c r="F198">
        <v>1011954</v>
      </c>
      <c r="G198" t="s">
        <v>740</v>
      </c>
      <c r="H198" t="s">
        <v>6363</v>
      </c>
      <c r="I198" t="s">
        <v>8458</v>
      </c>
      <c r="J198">
        <v>0</v>
      </c>
      <c r="K198">
        <v>6</v>
      </c>
      <c r="L198">
        <v>0</v>
      </c>
      <c r="M198">
        <v>313600</v>
      </c>
      <c r="N198">
        <v>238</v>
      </c>
      <c r="O198">
        <v>0</v>
      </c>
      <c r="P198">
        <v>4</v>
      </c>
      <c r="Q198">
        <v>0</v>
      </c>
      <c r="R198">
        <v>8400</v>
      </c>
      <c r="S198">
        <v>321</v>
      </c>
      <c r="T198">
        <v>0</v>
      </c>
      <c r="U198">
        <v>0</v>
      </c>
      <c r="V198">
        <v>278</v>
      </c>
      <c r="W198" t="s">
        <v>8475</v>
      </c>
      <c r="X198">
        <v>0</v>
      </c>
      <c r="Y198">
        <v>30</v>
      </c>
      <c r="Z198">
        <v>0</v>
      </c>
      <c r="AA198">
        <v>9</v>
      </c>
      <c r="AB198">
        <v>0</v>
      </c>
      <c r="AC198">
        <v>7</v>
      </c>
      <c r="AD198">
        <v>0</v>
      </c>
      <c r="AE198">
        <v>7</v>
      </c>
      <c r="AF198">
        <v>0</v>
      </c>
      <c r="AG198">
        <v>3</v>
      </c>
      <c r="AH198">
        <v>0</v>
      </c>
      <c r="AI198">
        <v>-2</v>
      </c>
      <c r="AJ198">
        <v>0</v>
      </c>
      <c r="AK198">
        <v>76</v>
      </c>
      <c r="AL198">
        <v>0</v>
      </c>
      <c r="AM198">
        <v>0</v>
      </c>
      <c r="AN198">
        <v>0</v>
      </c>
      <c r="AO198">
        <v>1</v>
      </c>
      <c r="AP198">
        <v>59.5</v>
      </c>
      <c r="AQ198">
        <v>532</v>
      </c>
      <c r="AR198">
        <v>59.5</v>
      </c>
      <c r="AS198">
        <v>56.333300000000001</v>
      </c>
      <c r="AT198" t="s">
        <v>8456</v>
      </c>
      <c r="AU198">
        <v>56.333300000000001</v>
      </c>
      <c r="AV198">
        <v>1</v>
      </c>
      <c r="AW198" t="s">
        <v>8530</v>
      </c>
      <c r="AX198">
        <v>1</v>
      </c>
      <c r="AY198" t="s">
        <v>8526</v>
      </c>
      <c r="AZ198">
        <v>0</v>
      </c>
      <c r="BA198" t="s">
        <v>8491</v>
      </c>
      <c r="BB198">
        <v>0</v>
      </c>
      <c r="BC198" t="s">
        <v>8462</v>
      </c>
      <c r="BD198">
        <v>49.333300000000001</v>
      </c>
      <c r="BE198" t="s">
        <v>8464</v>
      </c>
      <c r="BF198" t="s">
        <v>8455</v>
      </c>
      <c r="BG198" t="s">
        <v>8455</v>
      </c>
      <c r="BH198">
        <v>12.0909</v>
      </c>
      <c r="BJ198" s="1" t="s">
        <v>8801</v>
      </c>
      <c r="BK198" s="1" t="s">
        <v>8802</v>
      </c>
    </row>
    <row r="199" spans="1:63" x14ac:dyDescent="0.25">
      <c r="A199">
        <v>370</v>
      </c>
      <c r="B199">
        <v>334</v>
      </c>
      <c r="C199" t="s">
        <v>8445</v>
      </c>
      <c r="F199">
        <v>1007102</v>
      </c>
      <c r="G199" t="s">
        <v>2555</v>
      </c>
      <c r="H199" t="s">
        <v>6820</v>
      </c>
      <c r="I199" t="s">
        <v>8482</v>
      </c>
      <c r="J199">
        <v>0</v>
      </c>
      <c r="K199">
        <v>6</v>
      </c>
      <c r="L199">
        <v>0</v>
      </c>
      <c r="M199">
        <v>316100</v>
      </c>
      <c r="N199">
        <v>334</v>
      </c>
      <c r="O199">
        <v>0</v>
      </c>
      <c r="P199">
        <v>5</v>
      </c>
      <c r="Q199">
        <v>0</v>
      </c>
      <c r="R199">
        <v>11500</v>
      </c>
      <c r="S199">
        <v>204</v>
      </c>
      <c r="T199">
        <v>0</v>
      </c>
      <c r="U199">
        <v>0</v>
      </c>
      <c r="V199">
        <v>441</v>
      </c>
      <c r="W199" t="s">
        <v>8475</v>
      </c>
      <c r="X199">
        <v>0</v>
      </c>
      <c r="Y199">
        <v>42</v>
      </c>
      <c r="Z199">
        <v>0</v>
      </c>
      <c r="AA199">
        <v>30</v>
      </c>
      <c r="AB199">
        <v>0</v>
      </c>
      <c r="AC199">
        <v>26</v>
      </c>
      <c r="AD199">
        <v>0</v>
      </c>
      <c r="AE199">
        <v>11</v>
      </c>
      <c r="AF199">
        <v>0</v>
      </c>
      <c r="AG199">
        <v>3</v>
      </c>
      <c r="AH199">
        <v>0</v>
      </c>
      <c r="AI199">
        <v>-3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66.8</v>
      </c>
      <c r="AQ199">
        <v>185</v>
      </c>
      <c r="AR199">
        <v>66.8</v>
      </c>
      <c r="AS199">
        <v>65</v>
      </c>
      <c r="AT199" t="s">
        <v>8480</v>
      </c>
      <c r="AU199">
        <v>73.777799999999999</v>
      </c>
      <c r="AV199">
        <v>0</v>
      </c>
      <c r="AW199" t="s">
        <v>8514</v>
      </c>
      <c r="AX199">
        <v>1</v>
      </c>
      <c r="AY199" t="s">
        <v>8530</v>
      </c>
      <c r="AZ199">
        <v>1</v>
      </c>
      <c r="BA199" t="s">
        <v>8450</v>
      </c>
      <c r="BB199">
        <v>0</v>
      </c>
      <c r="BC199" t="s">
        <v>8484</v>
      </c>
      <c r="BD199">
        <v>62.192300000000003</v>
      </c>
      <c r="BE199" t="s">
        <v>8464</v>
      </c>
      <c r="BF199" t="s">
        <v>8464</v>
      </c>
      <c r="BG199" t="s">
        <v>8531</v>
      </c>
      <c r="BH199">
        <v>4.2045500000000002</v>
      </c>
      <c r="BJ199" s="1" t="s">
        <v>8803</v>
      </c>
      <c r="BK199" s="1" t="s">
        <v>8804</v>
      </c>
    </row>
    <row r="200" spans="1:63" x14ac:dyDescent="0.25">
      <c r="A200">
        <v>371</v>
      </c>
      <c r="B200">
        <v>772</v>
      </c>
      <c r="C200" t="s">
        <v>8445</v>
      </c>
      <c r="F200">
        <v>1004364</v>
      </c>
      <c r="G200" t="s">
        <v>1464</v>
      </c>
      <c r="H200" t="s">
        <v>1332</v>
      </c>
      <c r="I200" t="s">
        <v>8456</v>
      </c>
      <c r="J200">
        <v>0</v>
      </c>
      <c r="K200">
        <v>6</v>
      </c>
      <c r="L200">
        <v>0</v>
      </c>
      <c r="M200">
        <v>324100</v>
      </c>
      <c r="N200">
        <v>227</v>
      </c>
      <c r="O200">
        <v>0</v>
      </c>
      <c r="P200">
        <v>3</v>
      </c>
      <c r="Q200">
        <v>0</v>
      </c>
      <c r="R200">
        <v>20000</v>
      </c>
      <c r="S200">
        <v>330</v>
      </c>
      <c r="T200">
        <v>0</v>
      </c>
      <c r="U200">
        <v>0</v>
      </c>
      <c r="V200">
        <v>329</v>
      </c>
      <c r="W200" t="s">
        <v>8475</v>
      </c>
      <c r="X200">
        <v>0</v>
      </c>
      <c r="Y200">
        <v>28</v>
      </c>
      <c r="Z200">
        <v>0</v>
      </c>
      <c r="AA200">
        <v>10</v>
      </c>
      <c r="AB200">
        <v>0</v>
      </c>
      <c r="AC200">
        <v>10</v>
      </c>
      <c r="AD200">
        <v>0</v>
      </c>
      <c r="AE200">
        <v>3</v>
      </c>
      <c r="AF200">
        <v>0</v>
      </c>
      <c r="AG200">
        <v>3</v>
      </c>
      <c r="AH200">
        <v>0</v>
      </c>
      <c r="AI200">
        <v>-3</v>
      </c>
      <c r="AJ200">
        <v>0</v>
      </c>
      <c r="AK200">
        <v>0</v>
      </c>
      <c r="AL200">
        <v>0</v>
      </c>
      <c r="AM200">
        <v>6</v>
      </c>
      <c r="AN200">
        <v>0</v>
      </c>
      <c r="AO200">
        <v>3</v>
      </c>
      <c r="AP200">
        <v>75.666700000000006</v>
      </c>
      <c r="AQ200">
        <v>281</v>
      </c>
      <c r="AR200">
        <v>75.666700000000006</v>
      </c>
      <c r="AS200">
        <v>75.666700000000006</v>
      </c>
      <c r="AT200" t="s">
        <v>8458</v>
      </c>
      <c r="AU200">
        <v>65.285700000000006</v>
      </c>
      <c r="AV200">
        <v>0</v>
      </c>
      <c r="AW200" t="s">
        <v>8459</v>
      </c>
      <c r="AX200">
        <v>1</v>
      </c>
      <c r="AY200" t="s">
        <v>8460</v>
      </c>
      <c r="AZ200">
        <v>0</v>
      </c>
      <c r="BA200" t="s">
        <v>8461</v>
      </c>
      <c r="BB200">
        <v>1</v>
      </c>
      <c r="BC200" t="s">
        <v>8462</v>
      </c>
      <c r="BD200">
        <v>55.547199999999997</v>
      </c>
      <c r="BE200" t="s">
        <v>8455</v>
      </c>
      <c r="BF200" t="s">
        <v>8463</v>
      </c>
      <c r="BG200" t="s">
        <v>8464</v>
      </c>
      <c r="BH200">
        <v>6.3863599999999998</v>
      </c>
      <c r="BJ200" s="1" t="s">
        <v>8805</v>
      </c>
      <c r="BK200" s="1" t="s">
        <v>8806</v>
      </c>
    </row>
    <row r="201" spans="1:63" x14ac:dyDescent="0.25">
      <c r="A201">
        <v>373</v>
      </c>
      <c r="B201">
        <v>56</v>
      </c>
      <c r="C201" t="s">
        <v>8445</v>
      </c>
      <c r="F201">
        <v>291753</v>
      </c>
      <c r="G201" t="s">
        <v>958</v>
      </c>
      <c r="H201" t="s">
        <v>6418</v>
      </c>
      <c r="I201" t="s">
        <v>8524</v>
      </c>
      <c r="J201">
        <v>0</v>
      </c>
      <c r="K201">
        <v>6</v>
      </c>
      <c r="L201">
        <v>0</v>
      </c>
      <c r="M201">
        <v>271300</v>
      </c>
      <c r="N201">
        <v>185</v>
      </c>
      <c r="O201">
        <v>0</v>
      </c>
      <c r="P201">
        <v>4</v>
      </c>
      <c r="Q201">
        <v>0</v>
      </c>
      <c r="R201">
        <v>-31300</v>
      </c>
      <c r="S201">
        <v>366</v>
      </c>
      <c r="T201">
        <v>0</v>
      </c>
      <c r="U201">
        <v>0</v>
      </c>
      <c r="V201">
        <v>390</v>
      </c>
      <c r="W201" t="s">
        <v>8505</v>
      </c>
      <c r="X201">
        <v>0</v>
      </c>
      <c r="Y201">
        <v>18</v>
      </c>
      <c r="Z201">
        <v>0</v>
      </c>
      <c r="AA201">
        <v>11</v>
      </c>
      <c r="AB201">
        <v>0</v>
      </c>
      <c r="AC201">
        <v>15</v>
      </c>
      <c r="AD201">
        <v>0</v>
      </c>
      <c r="AE201">
        <v>14</v>
      </c>
      <c r="AF201">
        <v>0</v>
      </c>
      <c r="AG201">
        <v>1</v>
      </c>
      <c r="AH201">
        <v>0</v>
      </c>
      <c r="AI201">
        <v>-6</v>
      </c>
      <c r="AJ201">
        <v>0</v>
      </c>
      <c r="AK201">
        <v>46</v>
      </c>
      <c r="AL201">
        <v>0</v>
      </c>
      <c r="AM201">
        <v>0</v>
      </c>
      <c r="AN201">
        <v>0</v>
      </c>
      <c r="AO201">
        <v>2</v>
      </c>
      <c r="AP201">
        <v>46.25</v>
      </c>
      <c r="AQ201">
        <v>53</v>
      </c>
      <c r="AR201">
        <v>46.25</v>
      </c>
      <c r="AS201">
        <v>45</v>
      </c>
      <c r="AT201" t="s">
        <v>8525</v>
      </c>
      <c r="AU201">
        <v>56.714300000000001</v>
      </c>
      <c r="AV201">
        <v>0</v>
      </c>
      <c r="AW201" t="s">
        <v>8470</v>
      </c>
      <c r="AX201">
        <v>1</v>
      </c>
      <c r="AY201" t="s">
        <v>8449</v>
      </c>
      <c r="AZ201">
        <v>0</v>
      </c>
      <c r="BA201" t="s">
        <v>8526</v>
      </c>
      <c r="BB201">
        <v>1</v>
      </c>
      <c r="BC201" t="s">
        <v>8527</v>
      </c>
      <c r="BD201">
        <v>52.8</v>
      </c>
      <c r="BE201" t="s">
        <v>8455</v>
      </c>
      <c r="BF201" t="s">
        <v>8494</v>
      </c>
      <c r="BG201" t="s">
        <v>8498</v>
      </c>
      <c r="BH201">
        <v>1.20455</v>
      </c>
      <c r="BJ201" s="1" t="s">
        <v>8807</v>
      </c>
      <c r="BK201" s="1" t="s">
        <v>8808</v>
      </c>
    </row>
    <row r="202" spans="1:63" x14ac:dyDescent="0.25">
      <c r="A202">
        <v>374</v>
      </c>
      <c r="B202">
        <v>570</v>
      </c>
      <c r="C202" t="s">
        <v>8445</v>
      </c>
      <c r="F202">
        <v>1017086</v>
      </c>
      <c r="G202" t="s">
        <v>776</v>
      </c>
      <c r="H202" t="s">
        <v>2955</v>
      </c>
      <c r="I202" t="s">
        <v>8490</v>
      </c>
      <c r="J202">
        <v>0</v>
      </c>
      <c r="K202">
        <v>6</v>
      </c>
      <c r="L202">
        <v>0</v>
      </c>
      <c r="M202">
        <v>356100</v>
      </c>
      <c r="N202">
        <v>404</v>
      </c>
      <c r="O202">
        <v>0</v>
      </c>
      <c r="P202">
        <v>5</v>
      </c>
      <c r="Q202">
        <v>0</v>
      </c>
      <c r="R202">
        <v>54100</v>
      </c>
      <c r="S202">
        <v>109</v>
      </c>
      <c r="T202">
        <v>0</v>
      </c>
      <c r="U202">
        <v>0</v>
      </c>
      <c r="V202">
        <v>525</v>
      </c>
      <c r="W202" t="s">
        <v>8481</v>
      </c>
      <c r="X202">
        <v>0</v>
      </c>
      <c r="Y202">
        <v>54</v>
      </c>
      <c r="Z202">
        <v>0</v>
      </c>
      <c r="AA202">
        <v>20</v>
      </c>
      <c r="AB202">
        <v>0</v>
      </c>
      <c r="AC202">
        <v>24</v>
      </c>
      <c r="AD202">
        <v>0</v>
      </c>
      <c r="AE202">
        <v>9</v>
      </c>
      <c r="AF202">
        <v>0</v>
      </c>
      <c r="AG202">
        <v>0</v>
      </c>
      <c r="AH202">
        <v>0</v>
      </c>
      <c r="AI202">
        <v>-3</v>
      </c>
      <c r="AJ202">
        <v>0</v>
      </c>
      <c r="AK202">
        <v>0</v>
      </c>
      <c r="AL202">
        <v>0</v>
      </c>
      <c r="AM202">
        <v>2</v>
      </c>
      <c r="AN202">
        <v>0</v>
      </c>
      <c r="AO202">
        <v>0</v>
      </c>
      <c r="AP202">
        <v>80.8</v>
      </c>
      <c r="AQ202">
        <v>724</v>
      </c>
      <c r="AR202">
        <v>80.8</v>
      </c>
      <c r="AS202">
        <v>83.666700000000006</v>
      </c>
      <c r="AT202" t="s">
        <v>8489</v>
      </c>
      <c r="AU202">
        <v>0</v>
      </c>
      <c r="AV202">
        <v>0</v>
      </c>
      <c r="AW202" t="s">
        <v>8460</v>
      </c>
      <c r="AX202">
        <v>1</v>
      </c>
      <c r="AY202" t="s">
        <v>8459</v>
      </c>
      <c r="AZ202">
        <v>1</v>
      </c>
      <c r="BA202" t="s">
        <v>8483</v>
      </c>
      <c r="BB202">
        <v>0</v>
      </c>
      <c r="BC202" t="s">
        <v>8471</v>
      </c>
      <c r="BD202">
        <v>53</v>
      </c>
      <c r="BE202" t="s">
        <v>8464</v>
      </c>
      <c r="BF202" t="s">
        <v>8464</v>
      </c>
      <c r="BG202" t="s">
        <v>8464</v>
      </c>
      <c r="BH202">
        <v>16.454499999999999</v>
      </c>
      <c r="BJ202" s="1" t="s">
        <v>8809</v>
      </c>
      <c r="BK202" s="1" t="s">
        <v>8810</v>
      </c>
    </row>
    <row r="203" spans="1:63" x14ac:dyDescent="0.25">
      <c r="A203">
        <v>375</v>
      </c>
      <c r="B203">
        <v>23</v>
      </c>
      <c r="C203" t="s">
        <v>8445</v>
      </c>
      <c r="F203">
        <v>1000998</v>
      </c>
      <c r="G203" t="s">
        <v>1658</v>
      </c>
      <c r="H203" t="s">
        <v>1635</v>
      </c>
      <c r="I203" t="s">
        <v>8511</v>
      </c>
      <c r="J203">
        <v>0</v>
      </c>
      <c r="K203">
        <v>6</v>
      </c>
      <c r="L203">
        <v>0</v>
      </c>
      <c r="M203">
        <v>301700</v>
      </c>
      <c r="N203">
        <v>58</v>
      </c>
      <c r="O203">
        <v>0</v>
      </c>
      <c r="P203">
        <v>1</v>
      </c>
      <c r="Q203">
        <v>0</v>
      </c>
      <c r="R203">
        <v>0</v>
      </c>
      <c r="S203">
        <v>475</v>
      </c>
      <c r="T203">
        <v>0</v>
      </c>
      <c r="U203">
        <v>0</v>
      </c>
      <c r="V203">
        <v>83</v>
      </c>
      <c r="W203" t="s">
        <v>8505</v>
      </c>
      <c r="X203">
        <v>0</v>
      </c>
      <c r="Y203">
        <v>8</v>
      </c>
      <c r="Z203">
        <v>0</v>
      </c>
      <c r="AA203">
        <v>5</v>
      </c>
      <c r="AB203">
        <v>0</v>
      </c>
      <c r="AC203">
        <v>2</v>
      </c>
      <c r="AD203">
        <v>0</v>
      </c>
      <c r="AE203">
        <v>2</v>
      </c>
      <c r="AF203">
        <v>0</v>
      </c>
      <c r="AG203">
        <v>1</v>
      </c>
      <c r="AH203">
        <v>0</v>
      </c>
      <c r="AI203">
        <v>-1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2</v>
      </c>
      <c r="AP203">
        <v>58</v>
      </c>
      <c r="AQ203">
        <v>37</v>
      </c>
      <c r="AR203">
        <v>58</v>
      </c>
      <c r="AS203">
        <v>58</v>
      </c>
      <c r="AT203" t="s">
        <v>8512</v>
      </c>
      <c r="AU203">
        <v>50.875</v>
      </c>
      <c r="AV203">
        <v>0</v>
      </c>
      <c r="AW203" t="s">
        <v>8513</v>
      </c>
      <c r="AX203">
        <v>1</v>
      </c>
      <c r="AY203" t="s">
        <v>8514</v>
      </c>
      <c r="AZ203">
        <v>0</v>
      </c>
      <c r="BA203" t="s">
        <v>8497</v>
      </c>
      <c r="BB203">
        <v>1</v>
      </c>
      <c r="BC203" t="s">
        <v>8515</v>
      </c>
      <c r="BD203">
        <v>60.6462</v>
      </c>
      <c r="BE203" t="s">
        <v>8463</v>
      </c>
      <c r="BF203" t="s">
        <v>8472</v>
      </c>
      <c r="BG203" t="s">
        <v>8472</v>
      </c>
      <c r="BH203">
        <v>0.84090900000000002</v>
      </c>
      <c r="BJ203" s="1" t="s">
        <v>8811</v>
      </c>
      <c r="BK203" s="1" t="s">
        <v>8812</v>
      </c>
    </row>
    <row r="204" spans="1:63" x14ac:dyDescent="0.25">
      <c r="A204">
        <v>376</v>
      </c>
      <c r="B204">
        <v>72</v>
      </c>
      <c r="C204" t="s">
        <v>8445</v>
      </c>
      <c r="F204">
        <v>997846</v>
      </c>
      <c r="G204" t="s">
        <v>3352</v>
      </c>
      <c r="H204" t="s">
        <v>6327</v>
      </c>
      <c r="I204" t="s">
        <v>8524</v>
      </c>
      <c r="J204">
        <v>0</v>
      </c>
      <c r="K204">
        <v>6</v>
      </c>
      <c r="L204">
        <v>0</v>
      </c>
      <c r="M204">
        <v>301700</v>
      </c>
      <c r="N204">
        <v>74</v>
      </c>
      <c r="O204">
        <v>0</v>
      </c>
      <c r="P204">
        <v>2</v>
      </c>
      <c r="Q204">
        <v>0</v>
      </c>
      <c r="R204">
        <v>0</v>
      </c>
      <c r="S204">
        <v>463</v>
      </c>
      <c r="T204">
        <v>0</v>
      </c>
      <c r="U204">
        <v>0</v>
      </c>
      <c r="V204">
        <v>130</v>
      </c>
      <c r="W204" t="s">
        <v>8505</v>
      </c>
      <c r="X204">
        <v>0</v>
      </c>
      <c r="Y204">
        <v>10</v>
      </c>
      <c r="Z204">
        <v>0</v>
      </c>
      <c r="AA204">
        <v>3</v>
      </c>
      <c r="AB204">
        <v>0</v>
      </c>
      <c r="AC204">
        <v>5</v>
      </c>
      <c r="AD204">
        <v>0</v>
      </c>
      <c r="AE204">
        <v>1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37</v>
      </c>
      <c r="AQ204">
        <v>45</v>
      </c>
      <c r="AR204">
        <v>37</v>
      </c>
      <c r="AS204">
        <v>37</v>
      </c>
      <c r="AT204" t="s">
        <v>8525</v>
      </c>
      <c r="AU204">
        <v>72.875</v>
      </c>
      <c r="AV204">
        <v>0</v>
      </c>
      <c r="AW204" t="s">
        <v>8470</v>
      </c>
      <c r="AX204">
        <v>1</v>
      </c>
      <c r="AY204" t="s">
        <v>8449</v>
      </c>
      <c r="AZ204">
        <v>0</v>
      </c>
      <c r="BA204" t="s">
        <v>8526</v>
      </c>
      <c r="BB204">
        <v>1</v>
      </c>
      <c r="BC204" t="s">
        <v>8527</v>
      </c>
      <c r="BD204">
        <v>61.85</v>
      </c>
      <c r="BE204" t="s">
        <v>8455</v>
      </c>
      <c r="BF204" t="s">
        <v>8494</v>
      </c>
      <c r="BG204" t="s">
        <v>8498</v>
      </c>
      <c r="BH204">
        <v>1.0227299999999999</v>
      </c>
      <c r="BJ204" s="1" t="s">
        <v>8813</v>
      </c>
      <c r="BK204" s="1" t="s">
        <v>8814</v>
      </c>
    </row>
    <row r="205" spans="1:63" x14ac:dyDescent="0.25">
      <c r="A205">
        <v>377</v>
      </c>
      <c r="B205">
        <v>299</v>
      </c>
      <c r="C205" t="s">
        <v>8445</v>
      </c>
      <c r="F205">
        <v>298524</v>
      </c>
      <c r="G205" t="s">
        <v>4008</v>
      </c>
      <c r="H205" t="s">
        <v>2578</v>
      </c>
      <c r="I205" t="s">
        <v>8489</v>
      </c>
      <c r="J205">
        <v>0</v>
      </c>
      <c r="K205">
        <v>6</v>
      </c>
      <c r="L205">
        <v>0</v>
      </c>
      <c r="M205">
        <v>298900</v>
      </c>
      <c r="N205">
        <v>251</v>
      </c>
      <c r="O205">
        <v>0</v>
      </c>
      <c r="P205">
        <v>4</v>
      </c>
      <c r="Q205">
        <v>0</v>
      </c>
      <c r="R205">
        <v>-2600</v>
      </c>
      <c r="S205">
        <v>305</v>
      </c>
      <c r="T205">
        <v>0</v>
      </c>
      <c r="U205">
        <v>0</v>
      </c>
      <c r="V205">
        <v>403</v>
      </c>
      <c r="W205" t="s">
        <v>8475</v>
      </c>
      <c r="X205">
        <v>0</v>
      </c>
      <c r="Y205">
        <v>26</v>
      </c>
      <c r="Z205">
        <v>0</v>
      </c>
      <c r="AA205">
        <v>29</v>
      </c>
      <c r="AB205">
        <v>0</v>
      </c>
      <c r="AC205">
        <v>8</v>
      </c>
      <c r="AD205">
        <v>0</v>
      </c>
      <c r="AE205">
        <v>11</v>
      </c>
      <c r="AF205">
        <v>0</v>
      </c>
      <c r="AG205">
        <v>3</v>
      </c>
      <c r="AH205">
        <v>0</v>
      </c>
      <c r="AI205">
        <v>-1</v>
      </c>
      <c r="AJ205">
        <v>0</v>
      </c>
      <c r="AK205">
        <v>0</v>
      </c>
      <c r="AL205">
        <v>0</v>
      </c>
      <c r="AM205">
        <v>3</v>
      </c>
      <c r="AN205">
        <v>0</v>
      </c>
      <c r="AO205">
        <v>3</v>
      </c>
      <c r="AP205">
        <v>62.75</v>
      </c>
      <c r="AQ205">
        <v>286</v>
      </c>
      <c r="AR205">
        <v>62.75</v>
      </c>
      <c r="AS205">
        <v>57.333300000000001</v>
      </c>
      <c r="AT205" t="s">
        <v>8490</v>
      </c>
      <c r="AU205">
        <v>64.5</v>
      </c>
      <c r="AV205">
        <v>1</v>
      </c>
      <c r="AW205" t="s">
        <v>8491</v>
      </c>
      <c r="AX205">
        <v>0</v>
      </c>
      <c r="AY205" t="s">
        <v>8492</v>
      </c>
      <c r="AZ205">
        <v>1</v>
      </c>
      <c r="BA205" t="s">
        <v>8493</v>
      </c>
      <c r="BB205">
        <v>0</v>
      </c>
      <c r="BC205" t="s">
        <v>8471</v>
      </c>
      <c r="BD205">
        <v>69.058800000000005</v>
      </c>
      <c r="BE205" t="s">
        <v>8453</v>
      </c>
      <c r="BF205" t="s">
        <v>8494</v>
      </c>
      <c r="BG205" t="s">
        <v>8495</v>
      </c>
      <c r="BH205">
        <v>6.5</v>
      </c>
      <c r="BJ205" s="1" t="s">
        <v>8815</v>
      </c>
      <c r="BK205" s="1" t="s">
        <v>8816</v>
      </c>
    </row>
    <row r="206" spans="1:63" x14ac:dyDescent="0.25">
      <c r="A206">
        <v>378</v>
      </c>
      <c r="B206">
        <v>749</v>
      </c>
      <c r="C206" t="s">
        <v>8445</v>
      </c>
      <c r="F206">
        <v>1011437</v>
      </c>
      <c r="G206" t="s">
        <v>2192</v>
      </c>
      <c r="H206" t="s">
        <v>4546</v>
      </c>
      <c r="I206" t="s">
        <v>8456</v>
      </c>
      <c r="J206">
        <v>0</v>
      </c>
      <c r="K206">
        <v>6</v>
      </c>
      <c r="L206">
        <v>0</v>
      </c>
      <c r="M206">
        <v>283000</v>
      </c>
      <c r="N206">
        <v>209</v>
      </c>
      <c r="O206">
        <v>0</v>
      </c>
      <c r="P206">
        <v>4</v>
      </c>
      <c r="Q206">
        <v>0</v>
      </c>
      <c r="R206">
        <v>-18100</v>
      </c>
      <c r="S206">
        <v>347</v>
      </c>
      <c r="T206">
        <v>0</v>
      </c>
      <c r="U206">
        <v>0</v>
      </c>
      <c r="V206">
        <v>407</v>
      </c>
      <c r="W206" t="s">
        <v>8505</v>
      </c>
      <c r="X206">
        <v>0</v>
      </c>
      <c r="Y206">
        <v>20</v>
      </c>
      <c r="Z206">
        <v>0</v>
      </c>
      <c r="AA206">
        <v>6</v>
      </c>
      <c r="AB206">
        <v>0</v>
      </c>
      <c r="AC206">
        <v>14</v>
      </c>
      <c r="AD206">
        <v>0</v>
      </c>
      <c r="AE206">
        <v>3</v>
      </c>
      <c r="AF206">
        <v>0</v>
      </c>
      <c r="AG206">
        <v>2</v>
      </c>
      <c r="AH206">
        <v>0</v>
      </c>
      <c r="AI206">
        <v>-1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52.25</v>
      </c>
      <c r="AQ206">
        <v>46</v>
      </c>
      <c r="AR206">
        <v>52.25</v>
      </c>
      <c r="AS206">
        <v>54.333300000000001</v>
      </c>
      <c r="AT206" t="s">
        <v>8458</v>
      </c>
      <c r="AU206">
        <v>0</v>
      </c>
      <c r="AV206">
        <v>0</v>
      </c>
      <c r="AW206" t="s">
        <v>8459</v>
      </c>
      <c r="AX206">
        <v>1</v>
      </c>
      <c r="AY206" t="s">
        <v>8460</v>
      </c>
      <c r="AZ206">
        <v>0</v>
      </c>
      <c r="BA206" t="s">
        <v>8461</v>
      </c>
      <c r="BB206">
        <v>1</v>
      </c>
      <c r="BC206" t="s">
        <v>8462</v>
      </c>
      <c r="BD206">
        <v>58.166699999999999</v>
      </c>
      <c r="BE206" t="s">
        <v>8455</v>
      </c>
      <c r="BF206" t="s">
        <v>8463</v>
      </c>
      <c r="BG206" t="s">
        <v>8464</v>
      </c>
      <c r="BH206">
        <v>1.04545</v>
      </c>
      <c r="BJ206" s="1" t="s">
        <v>8817</v>
      </c>
      <c r="BK206" s="1" t="s">
        <v>8818</v>
      </c>
    </row>
    <row r="207" spans="1:63" x14ac:dyDescent="0.25">
      <c r="A207">
        <v>379</v>
      </c>
      <c r="B207">
        <v>629</v>
      </c>
      <c r="C207" t="s">
        <v>8445</v>
      </c>
      <c r="F207">
        <v>1006143</v>
      </c>
      <c r="G207" t="s">
        <v>5439</v>
      </c>
      <c r="H207" t="s">
        <v>5440</v>
      </c>
      <c r="I207" t="s">
        <v>8549</v>
      </c>
      <c r="J207">
        <v>0</v>
      </c>
      <c r="K207">
        <v>6</v>
      </c>
      <c r="L207">
        <v>0</v>
      </c>
      <c r="M207">
        <v>300400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510</v>
      </c>
      <c r="T207">
        <v>0</v>
      </c>
      <c r="U207">
        <v>0</v>
      </c>
      <c r="V207">
        <v>0</v>
      </c>
      <c r="W207" t="s">
        <v>8447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103</v>
      </c>
      <c r="AR207">
        <v>0</v>
      </c>
      <c r="AS207">
        <v>0</v>
      </c>
      <c r="AT207" t="s">
        <v>8548</v>
      </c>
      <c r="AU207">
        <v>56.333300000000001</v>
      </c>
      <c r="AV207">
        <v>1</v>
      </c>
      <c r="AW207" t="s">
        <v>8492</v>
      </c>
      <c r="AX207">
        <v>0</v>
      </c>
      <c r="AY207" t="s">
        <v>8513</v>
      </c>
      <c r="AZ207">
        <v>0</v>
      </c>
      <c r="BA207" t="s">
        <v>8514</v>
      </c>
      <c r="BB207">
        <v>0</v>
      </c>
      <c r="BC207" t="s">
        <v>8471</v>
      </c>
      <c r="BD207">
        <v>60.216200000000001</v>
      </c>
      <c r="BE207" t="s">
        <v>8455</v>
      </c>
      <c r="BF207" t="s">
        <v>8455</v>
      </c>
      <c r="BG207" t="s">
        <v>8464</v>
      </c>
      <c r="BH207">
        <v>2.34091</v>
      </c>
    </row>
    <row r="208" spans="1:63" x14ac:dyDescent="0.25">
      <c r="A208">
        <v>380</v>
      </c>
      <c r="B208">
        <v>483</v>
      </c>
      <c r="C208" t="s">
        <v>8445</v>
      </c>
      <c r="F208">
        <v>290838</v>
      </c>
      <c r="G208" t="s">
        <v>1127</v>
      </c>
      <c r="H208" t="s">
        <v>7073</v>
      </c>
      <c r="I208" t="s">
        <v>8467</v>
      </c>
      <c r="J208">
        <v>0</v>
      </c>
      <c r="K208">
        <v>6</v>
      </c>
      <c r="L208">
        <v>0</v>
      </c>
      <c r="M208">
        <v>306500</v>
      </c>
      <c r="N208">
        <v>342</v>
      </c>
      <c r="O208">
        <v>0</v>
      </c>
      <c r="P208">
        <v>5</v>
      </c>
      <c r="Q208">
        <v>0</v>
      </c>
      <c r="R208">
        <v>7100</v>
      </c>
      <c r="S208">
        <v>190</v>
      </c>
      <c r="T208">
        <v>0</v>
      </c>
      <c r="U208">
        <v>0</v>
      </c>
      <c r="V208">
        <v>552</v>
      </c>
      <c r="W208" t="s">
        <v>8475</v>
      </c>
      <c r="X208">
        <v>0</v>
      </c>
      <c r="Y208">
        <v>37</v>
      </c>
      <c r="Z208">
        <v>0</v>
      </c>
      <c r="AA208">
        <v>25</v>
      </c>
      <c r="AB208">
        <v>0</v>
      </c>
      <c r="AC208">
        <v>21</v>
      </c>
      <c r="AD208">
        <v>0</v>
      </c>
      <c r="AE208">
        <v>12</v>
      </c>
      <c r="AF208">
        <v>0</v>
      </c>
      <c r="AG208">
        <v>6</v>
      </c>
      <c r="AH208">
        <v>0</v>
      </c>
      <c r="AI208">
        <v>-10</v>
      </c>
      <c r="AJ208">
        <v>0</v>
      </c>
      <c r="AK208">
        <v>13</v>
      </c>
      <c r="AL208">
        <v>0</v>
      </c>
      <c r="AM208">
        <v>6</v>
      </c>
      <c r="AN208">
        <v>0</v>
      </c>
      <c r="AO208">
        <v>1</v>
      </c>
      <c r="AP208">
        <v>68.400000000000006</v>
      </c>
      <c r="AQ208">
        <v>318</v>
      </c>
      <c r="AR208">
        <v>68.400000000000006</v>
      </c>
      <c r="AS208">
        <v>61.333300000000001</v>
      </c>
      <c r="AT208" t="s">
        <v>8465</v>
      </c>
      <c r="AU208">
        <v>63.642899999999997</v>
      </c>
      <c r="AV208">
        <v>0</v>
      </c>
      <c r="AW208" t="s">
        <v>8497</v>
      </c>
      <c r="AX208">
        <v>1</v>
      </c>
      <c r="AY208" t="s">
        <v>8451</v>
      </c>
      <c r="AZ208">
        <v>1</v>
      </c>
      <c r="BA208" t="s">
        <v>8492</v>
      </c>
      <c r="BB208">
        <v>0</v>
      </c>
      <c r="BC208" t="s">
        <v>8471</v>
      </c>
      <c r="BD208">
        <v>71.45</v>
      </c>
      <c r="BE208" t="s">
        <v>8472</v>
      </c>
      <c r="BF208" t="s">
        <v>8455</v>
      </c>
      <c r="BG208" t="s">
        <v>8498</v>
      </c>
      <c r="BH208">
        <v>7.2272699999999999</v>
      </c>
      <c r="BJ208" s="1" t="s">
        <v>8819</v>
      </c>
      <c r="BK208" s="1" t="s">
        <v>8820</v>
      </c>
    </row>
    <row r="209" spans="1:63" x14ac:dyDescent="0.25">
      <c r="A209">
        <v>381</v>
      </c>
      <c r="B209">
        <v>651</v>
      </c>
      <c r="C209" t="s">
        <v>8445</v>
      </c>
      <c r="F209">
        <v>1008091</v>
      </c>
      <c r="G209" t="s">
        <v>1087</v>
      </c>
      <c r="H209" t="s">
        <v>6564</v>
      </c>
      <c r="I209" t="s">
        <v>8446</v>
      </c>
      <c r="J209">
        <v>0</v>
      </c>
      <c r="K209">
        <v>6</v>
      </c>
      <c r="L209">
        <v>0</v>
      </c>
      <c r="M209">
        <v>296000</v>
      </c>
      <c r="N209">
        <v>277</v>
      </c>
      <c r="O209">
        <v>0</v>
      </c>
      <c r="P209">
        <v>5</v>
      </c>
      <c r="Q209">
        <v>0</v>
      </c>
      <c r="R209">
        <v>-3300</v>
      </c>
      <c r="S209">
        <v>271</v>
      </c>
      <c r="T209">
        <v>0</v>
      </c>
      <c r="U209">
        <v>0</v>
      </c>
      <c r="V209">
        <v>428</v>
      </c>
      <c r="W209" t="s">
        <v>8475</v>
      </c>
      <c r="X209">
        <v>0</v>
      </c>
      <c r="Y209">
        <v>25</v>
      </c>
      <c r="Z209">
        <v>0</v>
      </c>
      <c r="AA209">
        <v>13</v>
      </c>
      <c r="AB209">
        <v>0</v>
      </c>
      <c r="AC209">
        <v>18</v>
      </c>
      <c r="AD209">
        <v>0</v>
      </c>
      <c r="AE209">
        <v>9</v>
      </c>
      <c r="AF209">
        <v>0</v>
      </c>
      <c r="AG209">
        <v>3</v>
      </c>
      <c r="AH209">
        <v>0</v>
      </c>
      <c r="AI209">
        <v>-6</v>
      </c>
      <c r="AJ209">
        <v>0</v>
      </c>
      <c r="AK209">
        <v>9</v>
      </c>
      <c r="AL209">
        <v>0</v>
      </c>
      <c r="AM209">
        <v>9</v>
      </c>
      <c r="AN209">
        <v>0</v>
      </c>
      <c r="AO209">
        <v>4</v>
      </c>
      <c r="AP209">
        <v>55.4</v>
      </c>
      <c r="AQ209">
        <v>230</v>
      </c>
      <c r="AR209">
        <v>55.4</v>
      </c>
      <c r="AS209">
        <v>53.666699999999999</v>
      </c>
      <c r="AT209" t="s">
        <v>8448</v>
      </c>
      <c r="AU209">
        <v>30</v>
      </c>
      <c r="AV209">
        <v>0</v>
      </c>
      <c r="AW209" t="s">
        <v>8449</v>
      </c>
      <c r="AX209">
        <v>1</v>
      </c>
      <c r="AY209" t="s">
        <v>8450</v>
      </c>
      <c r="AZ209">
        <v>0</v>
      </c>
      <c r="BA209" t="s">
        <v>8451</v>
      </c>
      <c r="BB209">
        <v>1</v>
      </c>
      <c r="BC209" t="s">
        <v>8452</v>
      </c>
      <c r="BD209">
        <v>55.884599999999999</v>
      </c>
      <c r="BE209" t="s">
        <v>8453</v>
      </c>
      <c r="BF209" t="s">
        <v>8454</v>
      </c>
      <c r="BG209" t="s">
        <v>8455</v>
      </c>
      <c r="BH209">
        <v>5.2272699999999999</v>
      </c>
      <c r="BJ209">
        <v>0.64719626168224298</v>
      </c>
      <c r="BK209" s="1" t="s">
        <v>8821</v>
      </c>
    </row>
    <row r="210" spans="1:63" x14ac:dyDescent="0.25">
      <c r="A210">
        <v>382</v>
      </c>
      <c r="B210">
        <v>737</v>
      </c>
      <c r="C210" t="s">
        <v>8445</v>
      </c>
      <c r="F210">
        <v>1004385</v>
      </c>
      <c r="G210" t="s">
        <v>5141</v>
      </c>
      <c r="H210" t="s">
        <v>3080</v>
      </c>
      <c r="I210" t="s">
        <v>8456</v>
      </c>
      <c r="J210">
        <v>0</v>
      </c>
      <c r="K210">
        <v>6</v>
      </c>
      <c r="L210">
        <v>0</v>
      </c>
      <c r="M210">
        <v>239300</v>
      </c>
      <c r="N210">
        <v>222</v>
      </c>
      <c r="O210">
        <v>0</v>
      </c>
      <c r="P210">
        <v>5</v>
      </c>
      <c r="Q210">
        <v>0</v>
      </c>
      <c r="R210">
        <v>-59500</v>
      </c>
      <c r="S210">
        <v>333</v>
      </c>
      <c r="T210">
        <v>0</v>
      </c>
      <c r="U210">
        <v>0</v>
      </c>
      <c r="V210">
        <v>585</v>
      </c>
      <c r="W210" t="s">
        <v>8505</v>
      </c>
      <c r="X210">
        <v>0</v>
      </c>
      <c r="Y210">
        <v>28</v>
      </c>
      <c r="Z210">
        <v>0</v>
      </c>
      <c r="AA210">
        <v>8</v>
      </c>
      <c r="AB210">
        <v>0</v>
      </c>
      <c r="AC210">
        <v>18</v>
      </c>
      <c r="AD210">
        <v>0</v>
      </c>
      <c r="AE210">
        <v>13</v>
      </c>
      <c r="AF210">
        <v>0</v>
      </c>
      <c r="AG210">
        <v>4</v>
      </c>
      <c r="AH210">
        <v>0</v>
      </c>
      <c r="AI210">
        <v>-4</v>
      </c>
      <c r="AJ210">
        <v>0</v>
      </c>
      <c r="AK210">
        <v>0</v>
      </c>
      <c r="AL210">
        <v>0</v>
      </c>
      <c r="AM210">
        <v>4</v>
      </c>
      <c r="AN210">
        <v>0</v>
      </c>
      <c r="AO210">
        <v>2</v>
      </c>
      <c r="AP210">
        <v>44.4</v>
      </c>
      <c r="AQ210">
        <v>176</v>
      </c>
      <c r="AR210">
        <v>44.4</v>
      </c>
      <c r="AS210">
        <v>44</v>
      </c>
      <c r="AT210" t="s">
        <v>8458</v>
      </c>
      <c r="AU210">
        <v>61.5</v>
      </c>
      <c r="AV210">
        <v>0</v>
      </c>
      <c r="AW210" t="s">
        <v>8459</v>
      </c>
      <c r="AX210">
        <v>1</v>
      </c>
      <c r="AY210" t="s">
        <v>8460</v>
      </c>
      <c r="AZ210">
        <v>0</v>
      </c>
      <c r="BA210" t="s">
        <v>8461</v>
      </c>
      <c r="BB210">
        <v>1</v>
      </c>
      <c r="BC210" t="s">
        <v>8462</v>
      </c>
      <c r="BD210">
        <v>65.94</v>
      </c>
      <c r="BE210" t="s">
        <v>8455</v>
      </c>
      <c r="BF210" t="s">
        <v>8463</v>
      </c>
      <c r="BG210" t="s">
        <v>8464</v>
      </c>
      <c r="BH210">
        <v>4</v>
      </c>
      <c r="BJ210" s="1" t="s">
        <v>8822</v>
      </c>
      <c r="BK210" s="1" t="s">
        <v>8823</v>
      </c>
    </row>
    <row r="211" spans="1:63" x14ac:dyDescent="0.25">
      <c r="A211">
        <v>383</v>
      </c>
      <c r="B211">
        <v>387</v>
      </c>
      <c r="C211" t="s">
        <v>8445</v>
      </c>
      <c r="F211">
        <v>1004530</v>
      </c>
      <c r="G211" t="s">
        <v>3830</v>
      </c>
      <c r="H211" t="s">
        <v>8105</v>
      </c>
      <c r="I211" t="s">
        <v>8512</v>
      </c>
      <c r="J211">
        <v>0</v>
      </c>
      <c r="K211">
        <v>6</v>
      </c>
      <c r="L211">
        <v>0</v>
      </c>
      <c r="M211">
        <v>276800</v>
      </c>
      <c r="N211">
        <v>308</v>
      </c>
      <c r="O211">
        <v>0</v>
      </c>
      <c r="P211">
        <v>5</v>
      </c>
      <c r="Q211">
        <v>0</v>
      </c>
      <c r="R211">
        <v>-21500</v>
      </c>
      <c r="S211">
        <v>244</v>
      </c>
      <c r="T211">
        <v>0</v>
      </c>
      <c r="U211">
        <v>0</v>
      </c>
      <c r="V211">
        <v>417</v>
      </c>
      <c r="W211" t="s">
        <v>8475</v>
      </c>
      <c r="X211">
        <v>0</v>
      </c>
      <c r="Y211">
        <v>44</v>
      </c>
      <c r="Z211">
        <v>0</v>
      </c>
      <c r="AA211">
        <v>30</v>
      </c>
      <c r="AB211">
        <v>0</v>
      </c>
      <c r="AC211">
        <v>11</v>
      </c>
      <c r="AD211">
        <v>0</v>
      </c>
      <c r="AE211">
        <v>12</v>
      </c>
      <c r="AF211">
        <v>0</v>
      </c>
      <c r="AG211">
        <v>5</v>
      </c>
      <c r="AH211">
        <v>0</v>
      </c>
      <c r="AI211">
        <v>-4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1</v>
      </c>
      <c r="AP211">
        <v>61.6</v>
      </c>
      <c r="AQ211">
        <v>137</v>
      </c>
      <c r="AR211">
        <v>61.6</v>
      </c>
      <c r="AS211">
        <v>56.666699999999999</v>
      </c>
      <c r="AT211" t="s">
        <v>8511</v>
      </c>
      <c r="AU211">
        <v>42</v>
      </c>
      <c r="AV211">
        <v>1</v>
      </c>
      <c r="AW211" t="s">
        <v>8493</v>
      </c>
      <c r="AX211">
        <v>0</v>
      </c>
      <c r="AY211" t="s">
        <v>8491</v>
      </c>
      <c r="AZ211">
        <v>1</v>
      </c>
      <c r="BA211" t="s">
        <v>8468</v>
      </c>
      <c r="BB211">
        <v>1</v>
      </c>
      <c r="BC211" t="s">
        <v>8515</v>
      </c>
      <c r="BD211">
        <v>26</v>
      </c>
      <c r="BE211" t="s">
        <v>8546</v>
      </c>
      <c r="BF211" t="s">
        <v>8454</v>
      </c>
      <c r="BG211" t="s">
        <v>8531</v>
      </c>
      <c r="BH211">
        <v>3.1136400000000002</v>
      </c>
      <c r="BJ211" s="1" t="s">
        <v>8824</v>
      </c>
      <c r="BK211" s="1" t="s">
        <v>8825</v>
      </c>
    </row>
    <row r="212" spans="1:63" x14ac:dyDescent="0.25">
      <c r="A212">
        <v>384</v>
      </c>
      <c r="B212">
        <v>82</v>
      </c>
      <c r="C212" t="s">
        <v>8445</v>
      </c>
      <c r="F212">
        <v>1002401</v>
      </c>
      <c r="G212" t="s">
        <v>3213</v>
      </c>
      <c r="H212" t="s">
        <v>6223</v>
      </c>
      <c r="I212" t="s">
        <v>8524</v>
      </c>
      <c r="J212">
        <v>0</v>
      </c>
      <c r="K212">
        <v>6</v>
      </c>
      <c r="L212">
        <v>0</v>
      </c>
      <c r="M212">
        <v>297300</v>
      </c>
      <c r="N212">
        <v>64</v>
      </c>
      <c r="O212">
        <v>0</v>
      </c>
      <c r="P212">
        <v>1</v>
      </c>
      <c r="Q212">
        <v>0</v>
      </c>
      <c r="R212">
        <v>0</v>
      </c>
      <c r="S212">
        <v>469</v>
      </c>
      <c r="T212">
        <v>0</v>
      </c>
      <c r="U212">
        <v>0</v>
      </c>
      <c r="V212">
        <v>88</v>
      </c>
      <c r="W212" t="s">
        <v>8505</v>
      </c>
      <c r="X212">
        <v>0</v>
      </c>
      <c r="Y212">
        <v>6</v>
      </c>
      <c r="Z212">
        <v>0</v>
      </c>
      <c r="AA212">
        <v>7</v>
      </c>
      <c r="AB212">
        <v>0</v>
      </c>
      <c r="AC212">
        <v>3</v>
      </c>
      <c r="AD212">
        <v>0</v>
      </c>
      <c r="AE212">
        <v>2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64</v>
      </c>
      <c r="AQ212">
        <v>49</v>
      </c>
      <c r="AR212">
        <v>64</v>
      </c>
      <c r="AS212">
        <v>64</v>
      </c>
      <c r="AT212" t="s">
        <v>8525</v>
      </c>
      <c r="AU212">
        <v>57.777799999999999</v>
      </c>
      <c r="AV212">
        <v>0</v>
      </c>
      <c r="AW212" t="s">
        <v>8470</v>
      </c>
      <c r="AX212">
        <v>1</v>
      </c>
      <c r="AY212" t="s">
        <v>8449</v>
      </c>
      <c r="AZ212">
        <v>0</v>
      </c>
      <c r="BA212" t="s">
        <v>8526</v>
      </c>
      <c r="BB212">
        <v>1</v>
      </c>
      <c r="BC212" t="s">
        <v>8527</v>
      </c>
      <c r="BD212">
        <v>57.173099999999998</v>
      </c>
      <c r="BE212" t="s">
        <v>8455</v>
      </c>
      <c r="BF212" t="s">
        <v>8494</v>
      </c>
      <c r="BG212" t="s">
        <v>8498</v>
      </c>
      <c r="BH212">
        <v>1.11364</v>
      </c>
      <c r="BJ212" s="1" t="s">
        <v>8826</v>
      </c>
      <c r="BK212">
        <v>4645.3125</v>
      </c>
    </row>
    <row r="213" spans="1:63" x14ac:dyDescent="0.25">
      <c r="A213">
        <v>385</v>
      </c>
      <c r="B213">
        <v>138</v>
      </c>
      <c r="C213" t="s">
        <v>8445</v>
      </c>
      <c r="F213">
        <v>1009197</v>
      </c>
      <c r="G213" t="s">
        <v>5306</v>
      </c>
      <c r="H213" t="s">
        <v>2152</v>
      </c>
      <c r="I213" t="s">
        <v>8525</v>
      </c>
      <c r="J213">
        <v>0</v>
      </c>
      <c r="K213">
        <v>6</v>
      </c>
      <c r="L213">
        <v>0</v>
      </c>
      <c r="M213">
        <v>297000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510</v>
      </c>
      <c r="T213">
        <v>0</v>
      </c>
      <c r="U213">
        <v>0</v>
      </c>
      <c r="V213">
        <v>0</v>
      </c>
      <c r="W213" t="s">
        <v>8466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29</v>
      </c>
      <c r="AR213">
        <v>0</v>
      </c>
      <c r="AS213">
        <v>0</v>
      </c>
      <c r="AT213" t="s">
        <v>8524</v>
      </c>
      <c r="AU213">
        <v>0</v>
      </c>
      <c r="AV213">
        <v>1</v>
      </c>
      <c r="AW213" t="s">
        <v>8451</v>
      </c>
      <c r="AX213">
        <v>0</v>
      </c>
      <c r="AY213" t="s">
        <v>8468</v>
      </c>
      <c r="AZ213">
        <v>0</v>
      </c>
      <c r="BA213" t="s">
        <v>8513</v>
      </c>
      <c r="BB213">
        <v>1</v>
      </c>
      <c r="BC213" t="s">
        <v>8527</v>
      </c>
      <c r="BD213">
        <v>0</v>
      </c>
      <c r="BE213" t="s">
        <v>8464</v>
      </c>
      <c r="BF213" t="s">
        <v>8464</v>
      </c>
      <c r="BG213" t="s">
        <v>8463</v>
      </c>
      <c r="BH213">
        <v>0.65909099999999998</v>
      </c>
    </row>
    <row r="214" spans="1:63" x14ac:dyDescent="0.25">
      <c r="A214">
        <v>386</v>
      </c>
      <c r="B214">
        <v>276</v>
      </c>
      <c r="C214" t="s">
        <v>8445</v>
      </c>
      <c r="F214">
        <v>1005199</v>
      </c>
      <c r="G214" t="s">
        <v>5624</v>
      </c>
      <c r="H214" t="s">
        <v>5625</v>
      </c>
      <c r="I214" t="s">
        <v>8489</v>
      </c>
      <c r="J214">
        <v>0</v>
      </c>
      <c r="K214">
        <v>6</v>
      </c>
      <c r="L214">
        <v>0</v>
      </c>
      <c r="M214">
        <v>295200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510</v>
      </c>
      <c r="T214">
        <v>0</v>
      </c>
      <c r="U214">
        <v>0</v>
      </c>
      <c r="V214">
        <v>0</v>
      </c>
      <c r="W214" t="s">
        <v>8466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34</v>
      </c>
      <c r="AR214">
        <v>0</v>
      </c>
      <c r="AS214">
        <v>0</v>
      </c>
      <c r="AT214" t="s">
        <v>8490</v>
      </c>
      <c r="AU214">
        <v>77.333299999999994</v>
      </c>
      <c r="AV214">
        <v>1</v>
      </c>
      <c r="AW214" t="s">
        <v>8491</v>
      </c>
      <c r="AX214">
        <v>0</v>
      </c>
      <c r="AY214" t="s">
        <v>8492</v>
      </c>
      <c r="AZ214">
        <v>1</v>
      </c>
      <c r="BA214" t="s">
        <v>8493</v>
      </c>
      <c r="BB214">
        <v>0</v>
      </c>
      <c r="BC214" t="s">
        <v>8471</v>
      </c>
      <c r="BD214">
        <v>61.666699999999999</v>
      </c>
      <c r="BE214" t="s">
        <v>8453</v>
      </c>
      <c r="BF214" t="s">
        <v>8494</v>
      </c>
      <c r="BG214" t="s">
        <v>8495</v>
      </c>
      <c r="BH214">
        <v>0.77272700000000005</v>
      </c>
    </row>
    <row r="215" spans="1:63" x14ac:dyDescent="0.25">
      <c r="A215">
        <v>387</v>
      </c>
      <c r="B215">
        <v>544</v>
      </c>
      <c r="C215" t="s">
        <v>8445</v>
      </c>
      <c r="F215">
        <v>1004998</v>
      </c>
      <c r="G215" t="s">
        <v>5493</v>
      </c>
      <c r="H215" t="s">
        <v>6085</v>
      </c>
      <c r="I215" t="s">
        <v>8448</v>
      </c>
      <c r="J215">
        <v>0</v>
      </c>
      <c r="K215">
        <v>6</v>
      </c>
      <c r="L215">
        <v>0</v>
      </c>
      <c r="M215">
        <v>294600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510</v>
      </c>
      <c r="T215">
        <v>0</v>
      </c>
      <c r="U215">
        <v>0</v>
      </c>
      <c r="V215">
        <v>0</v>
      </c>
      <c r="W215" t="s">
        <v>8447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44</v>
      </c>
      <c r="AR215">
        <v>0</v>
      </c>
      <c r="AS215">
        <v>0</v>
      </c>
      <c r="AT215" t="s">
        <v>8446</v>
      </c>
      <c r="AU215">
        <v>85.166700000000006</v>
      </c>
      <c r="AV215">
        <v>1</v>
      </c>
      <c r="AW215" t="s">
        <v>8526</v>
      </c>
      <c r="AX215">
        <v>0</v>
      </c>
      <c r="AY215" t="s">
        <v>8493</v>
      </c>
      <c r="AZ215">
        <v>1</v>
      </c>
      <c r="BA215" t="s">
        <v>8469</v>
      </c>
      <c r="BB215">
        <v>0</v>
      </c>
      <c r="BC215" t="s">
        <v>8452</v>
      </c>
      <c r="BD215">
        <v>80.333299999999994</v>
      </c>
      <c r="BE215" t="s">
        <v>8472</v>
      </c>
      <c r="BF215" t="s">
        <v>8534</v>
      </c>
      <c r="BG215" t="s">
        <v>8472</v>
      </c>
      <c r="BH215">
        <v>1</v>
      </c>
    </row>
    <row r="216" spans="1:63" x14ac:dyDescent="0.25">
      <c r="A216">
        <v>388</v>
      </c>
      <c r="B216">
        <v>594</v>
      </c>
      <c r="C216" t="s">
        <v>8445</v>
      </c>
      <c r="F216">
        <v>1009551</v>
      </c>
      <c r="G216" t="s">
        <v>7887</v>
      </c>
      <c r="H216" t="s">
        <v>1957</v>
      </c>
      <c r="I216" t="s">
        <v>8490</v>
      </c>
      <c r="J216">
        <v>0</v>
      </c>
      <c r="K216">
        <v>6</v>
      </c>
      <c r="L216">
        <v>0</v>
      </c>
      <c r="M216">
        <v>294600</v>
      </c>
      <c r="N216">
        <v>50</v>
      </c>
      <c r="O216">
        <v>0</v>
      </c>
      <c r="P216">
        <v>1</v>
      </c>
      <c r="Q216">
        <v>0</v>
      </c>
      <c r="R216">
        <v>0</v>
      </c>
      <c r="S216">
        <v>478</v>
      </c>
      <c r="T216">
        <v>0</v>
      </c>
      <c r="U216">
        <v>0</v>
      </c>
      <c r="V216">
        <v>84</v>
      </c>
      <c r="W216" t="s">
        <v>8466</v>
      </c>
      <c r="X216">
        <v>0</v>
      </c>
      <c r="Y216">
        <v>3</v>
      </c>
      <c r="Z216">
        <v>0</v>
      </c>
      <c r="AA216">
        <v>3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-1</v>
      </c>
      <c r="AJ216">
        <v>0</v>
      </c>
      <c r="AK216">
        <v>0</v>
      </c>
      <c r="AL216">
        <v>0</v>
      </c>
      <c r="AM216">
        <v>2</v>
      </c>
      <c r="AN216">
        <v>0</v>
      </c>
      <c r="AO216">
        <v>0</v>
      </c>
      <c r="AP216">
        <v>50</v>
      </c>
      <c r="AQ216">
        <v>45</v>
      </c>
      <c r="AR216">
        <v>50</v>
      </c>
      <c r="AS216">
        <v>50</v>
      </c>
      <c r="AT216" t="s">
        <v>8489</v>
      </c>
      <c r="AU216">
        <v>42.333300000000001</v>
      </c>
      <c r="AV216">
        <v>0</v>
      </c>
      <c r="AW216" t="s">
        <v>8460</v>
      </c>
      <c r="AX216">
        <v>1</v>
      </c>
      <c r="AY216" t="s">
        <v>8459</v>
      </c>
      <c r="AZ216">
        <v>1</v>
      </c>
      <c r="BA216" t="s">
        <v>8483</v>
      </c>
      <c r="BB216">
        <v>0</v>
      </c>
      <c r="BC216" t="s">
        <v>8471</v>
      </c>
      <c r="BD216">
        <v>21.5</v>
      </c>
      <c r="BE216" t="s">
        <v>8464</v>
      </c>
      <c r="BF216" t="s">
        <v>8464</v>
      </c>
      <c r="BG216" t="s">
        <v>8464</v>
      </c>
      <c r="BH216">
        <v>1.0227299999999999</v>
      </c>
      <c r="BJ216" s="1" t="s">
        <v>8827</v>
      </c>
      <c r="BK216">
        <v>5892</v>
      </c>
    </row>
    <row r="217" spans="1:63" x14ac:dyDescent="0.25">
      <c r="A217">
        <v>389</v>
      </c>
      <c r="B217">
        <v>439</v>
      </c>
      <c r="C217" t="s">
        <v>8445</v>
      </c>
      <c r="F217">
        <v>1001438</v>
      </c>
      <c r="G217" t="s">
        <v>7647</v>
      </c>
      <c r="H217" t="s">
        <v>7648</v>
      </c>
      <c r="I217" t="s">
        <v>8501</v>
      </c>
      <c r="J217">
        <v>0</v>
      </c>
      <c r="K217">
        <v>6</v>
      </c>
      <c r="L217">
        <v>0</v>
      </c>
      <c r="M217">
        <v>286900</v>
      </c>
      <c r="N217">
        <v>282</v>
      </c>
      <c r="O217">
        <v>0</v>
      </c>
      <c r="P217">
        <v>5</v>
      </c>
      <c r="Q217">
        <v>0</v>
      </c>
      <c r="R217">
        <v>-7400</v>
      </c>
      <c r="S217">
        <v>266</v>
      </c>
      <c r="T217">
        <v>0</v>
      </c>
      <c r="U217">
        <v>0</v>
      </c>
      <c r="V217">
        <v>524</v>
      </c>
      <c r="W217" t="s">
        <v>8475</v>
      </c>
      <c r="X217">
        <v>0</v>
      </c>
      <c r="Y217">
        <v>36</v>
      </c>
      <c r="Z217">
        <v>0</v>
      </c>
      <c r="AA217">
        <v>22</v>
      </c>
      <c r="AB217">
        <v>0</v>
      </c>
      <c r="AC217">
        <v>19</v>
      </c>
      <c r="AD217">
        <v>0</v>
      </c>
      <c r="AE217">
        <v>11</v>
      </c>
      <c r="AF217">
        <v>0</v>
      </c>
      <c r="AG217">
        <v>3</v>
      </c>
      <c r="AH217">
        <v>0</v>
      </c>
      <c r="AI217">
        <v>-1</v>
      </c>
      <c r="AJ217">
        <v>0</v>
      </c>
      <c r="AK217">
        <v>0</v>
      </c>
      <c r="AL217">
        <v>0</v>
      </c>
      <c r="AM217">
        <v>3</v>
      </c>
      <c r="AN217">
        <v>0</v>
      </c>
      <c r="AO217">
        <v>7</v>
      </c>
      <c r="AP217">
        <v>56.4</v>
      </c>
      <c r="AQ217">
        <v>115</v>
      </c>
      <c r="AR217">
        <v>56.4</v>
      </c>
      <c r="AS217">
        <v>66.333299999999994</v>
      </c>
      <c r="AT217" t="s">
        <v>8502</v>
      </c>
      <c r="AU217">
        <v>70.777799999999999</v>
      </c>
      <c r="AV217">
        <v>0</v>
      </c>
      <c r="AW217" t="s">
        <v>8461</v>
      </c>
      <c r="AX217">
        <v>0</v>
      </c>
      <c r="AY217" t="s">
        <v>8483</v>
      </c>
      <c r="AZ217">
        <v>1</v>
      </c>
      <c r="BA217" t="s">
        <v>8459</v>
      </c>
      <c r="BB217">
        <v>0</v>
      </c>
      <c r="BC217" t="s">
        <v>8484</v>
      </c>
      <c r="BD217">
        <v>65.753600000000006</v>
      </c>
      <c r="BE217" t="s">
        <v>8464</v>
      </c>
      <c r="BF217" t="s">
        <v>8463</v>
      </c>
      <c r="BG217" t="s">
        <v>8464</v>
      </c>
      <c r="BH217">
        <v>2.6136400000000002</v>
      </c>
      <c r="BJ217" s="1" t="s">
        <v>8828</v>
      </c>
      <c r="BK217" s="1" t="s">
        <v>8829</v>
      </c>
    </row>
    <row r="218" spans="1:63" x14ac:dyDescent="0.25">
      <c r="A218">
        <v>390</v>
      </c>
      <c r="B218">
        <v>96</v>
      </c>
      <c r="C218" t="s">
        <v>8445</v>
      </c>
      <c r="F218">
        <v>1008154</v>
      </c>
      <c r="G218" t="s">
        <v>1002</v>
      </c>
      <c r="H218" t="s">
        <v>7287</v>
      </c>
      <c r="I218" t="s">
        <v>8465</v>
      </c>
      <c r="J218">
        <v>0</v>
      </c>
      <c r="K218">
        <v>6</v>
      </c>
      <c r="L218">
        <v>0</v>
      </c>
      <c r="M218">
        <v>340600</v>
      </c>
      <c r="N218">
        <v>308</v>
      </c>
      <c r="O218">
        <v>0</v>
      </c>
      <c r="P218">
        <v>4</v>
      </c>
      <c r="Q218">
        <v>0</v>
      </c>
      <c r="R218">
        <v>46600</v>
      </c>
      <c r="S218">
        <v>244</v>
      </c>
      <c r="T218">
        <v>0</v>
      </c>
      <c r="U218">
        <v>0</v>
      </c>
      <c r="V218">
        <v>459</v>
      </c>
      <c r="W218" t="s">
        <v>8475</v>
      </c>
      <c r="X218">
        <v>0</v>
      </c>
      <c r="Y218">
        <v>48</v>
      </c>
      <c r="Z218">
        <v>0</v>
      </c>
      <c r="AA218">
        <v>16</v>
      </c>
      <c r="AB218">
        <v>0</v>
      </c>
      <c r="AC218">
        <v>16</v>
      </c>
      <c r="AD218">
        <v>0</v>
      </c>
      <c r="AE218">
        <v>7</v>
      </c>
      <c r="AF218">
        <v>0</v>
      </c>
      <c r="AG218">
        <v>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</v>
      </c>
      <c r="AN218">
        <v>0</v>
      </c>
      <c r="AO218">
        <v>5</v>
      </c>
      <c r="AP218">
        <v>77</v>
      </c>
      <c r="AQ218">
        <v>630</v>
      </c>
      <c r="AR218">
        <v>77</v>
      </c>
      <c r="AS218">
        <v>81.333299999999994</v>
      </c>
      <c r="AT218" t="s">
        <v>8467</v>
      </c>
      <c r="AU218">
        <v>43</v>
      </c>
      <c r="AV218">
        <v>1</v>
      </c>
      <c r="AW218" t="s">
        <v>8468</v>
      </c>
      <c r="AX218">
        <v>0</v>
      </c>
      <c r="AY218" t="s">
        <v>8469</v>
      </c>
      <c r="AZ218">
        <v>1</v>
      </c>
      <c r="BA218" t="s">
        <v>8470</v>
      </c>
      <c r="BB218">
        <v>1</v>
      </c>
      <c r="BC218" t="s">
        <v>8471</v>
      </c>
      <c r="BD218">
        <v>58.2273</v>
      </c>
      <c r="BE218" t="s">
        <v>8464</v>
      </c>
      <c r="BF218" t="s">
        <v>8472</v>
      </c>
      <c r="BG218" t="s">
        <v>8464</v>
      </c>
      <c r="BH218">
        <v>14.318199999999999</v>
      </c>
      <c r="BJ218" s="1" t="s">
        <v>8830</v>
      </c>
      <c r="BK218" s="1" t="s">
        <v>8831</v>
      </c>
    </row>
    <row r="219" spans="1:63" x14ac:dyDescent="0.25">
      <c r="A219">
        <v>391</v>
      </c>
      <c r="B219">
        <v>585</v>
      </c>
      <c r="C219" t="s">
        <v>8445</v>
      </c>
      <c r="F219">
        <v>1008747</v>
      </c>
      <c r="G219" t="s">
        <v>8832</v>
      </c>
      <c r="H219" t="s">
        <v>8833</v>
      </c>
      <c r="I219" t="s">
        <v>8490</v>
      </c>
      <c r="J219">
        <v>0</v>
      </c>
      <c r="K219">
        <v>6</v>
      </c>
      <c r="L219">
        <v>0</v>
      </c>
      <c r="M219">
        <v>292600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510</v>
      </c>
      <c r="T219">
        <v>0</v>
      </c>
      <c r="U219">
        <v>0</v>
      </c>
      <c r="V219">
        <v>0</v>
      </c>
      <c r="W219" t="s">
        <v>8447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45</v>
      </c>
      <c r="AR219">
        <v>0</v>
      </c>
      <c r="AS219">
        <v>0</v>
      </c>
      <c r="AT219" t="s">
        <v>8489</v>
      </c>
      <c r="AU219">
        <v>0</v>
      </c>
      <c r="AV219">
        <v>0</v>
      </c>
      <c r="AW219" t="s">
        <v>8460</v>
      </c>
      <c r="AX219">
        <v>1</v>
      </c>
      <c r="AY219" t="s">
        <v>8459</v>
      </c>
      <c r="AZ219">
        <v>1</v>
      </c>
      <c r="BA219" t="s">
        <v>8483</v>
      </c>
      <c r="BB219">
        <v>0</v>
      </c>
      <c r="BC219" t="s">
        <v>8471</v>
      </c>
      <c r="BD219">
        <v>0</v>
      </c>
      <c r="BE219" t="s">
        <v>8464</v>
      </c>
      <c r="BF219" t="s">
        <v>8464</v>
      </c>
      <c r="BG219" t="s">
        <v>8464</v>
      </c>
      <c r="BH219">
        <v>1.0227299999999999</v>
      </c>
    </row>
    <row r="220" spans="1:63" x14ac:dyDescent="0.25">
      <c r="A220">
        <v>392</v>
      </c>
      <c r="B220">
        <v>659</v>
      </c>
      <c r="C220" t="s">
        <v>8445</v>
      </c>
      <c r="F220">
        <v>291978</v>
      </c>
      <c r="G220" t="s">
        <v>2192</v>
      </c>
      <c r="H220" t="s">
        <v>6145</v>
      </c>
      <c r="I220" t="s">
        <v>8446</v>
      </c>
      <c r="J220">
        <v>0</v>
      </c>
      <c r="K220">
        <v>6</v>
      </c>
      <c r="L220">
        <v>0</v>
      </c>
      <c r="M220">
        <v>292600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510</v>
      </c>
      <c r="T220">
        <v>0</v>
      </c>
      <c r="U220">
        <v>0</v>
      </c>
      <c r="V220">
        <v>0</v>
      </c>
      <c r="W220" t="s">
        <v>8447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30</v>
      </c>
      <c r="AR220">
        <v>0</v>
      </c>
      <c r="AS220">
        <v>0</v>
      </c>
      <c r="AT220" t="s">
        <v>8448</v>
      </c>
      <c r="AU220">
        <v>66.909099999999995</v>
      </c>
      <c r="AV220">
        <v>0</v>
      </c>
      <c r="AW220" t="s">
        <v>8449</v>
      </c>
      <c r="AX220">
        <v>1</v>
      </c>
      <c r="AY220" t="s">
        <v>8450</v>
      </c>
      <c r="AZ220">
        <v>0</v>
      </c>
      <c r="BA220" t="s">
        <v>8451</v>
      </c>
      <c r="BB220">
        <v>1</v>
      </c>
      <c r="BC220" t="s">
        <v>8452</v>
      </c>
      <c r="BD220">
        <v>63.172800000000002</v>
      </c>
      <c r="BE220" t="s">
        <v>8453</v>
      </c>
      <c r="BF220" t="s">
        <v>8454</v>
      </c>
      <c r="BG220" t="s">
        <v>8455</v>
      </c>
      <c r="BH220">
        <v>0.68181800000000004</v>
      </c>
    </row>
    <row r="221" spans="1:63" x14ac:dyDescent="0.25">
      <c r="A221">
        <v>393</v>
      </c>
      <c r="B221">
        <v>216</v>
      </c>
      <c r="C221" t="s">
        <v>8445</v>
      </c>
      <c r="F221">
        <v>1020594</v>
      </c>
      <c r="G221" t="s">
        <v>6357</v>
      </c>
      <c r="H221" t="s">
        <v>6629</v>
      </c>
      <c r="I221" t="s">
        <v>8502</v>
      </c>
      <c r="J221">
        <v>0</v>
      </c>
      <c r="K221">
        <v>6</v>
      </c>
      <c r="L221">
        <v>0</v>
      </c>
      <c r="M221">
        <v>256500</v>
      </c>
      <c r="N221">
        <v>200</v>
      </c>
      <c r="O221">
        <v>0</v>
      </c>
      <c r="P221">
        <v>5</v>
      </c>
      <c r="Q221">
        <v>0</v>
      </c>
      <c r="R221">
        <v>-35900</v>
      </c>
      <c r="S221">
        <v>353</v>
      </c>
      <c r="T221">
        <v>0</v>
      </c>
      <c r="U221">
        <v>0</v>
      </c>
      <c r="V221">
        <v>560</v>
      </c>
      <c r="W221" t="s">
        <v>8505</v>
      </c>
      <c r="X221">
        <v>0</v>
      </c>
      <c r="Y221">
        <v>21</v>
      </c>
      <c r="Z221">
        <v>0</v>
      </c>
      <c r="AA221">
        <v>13</v>
      </c>
      <c r="AB221">
        <v>0</v>
      </c>
      <c r="AC221">
        <v>16</v>
      </c>
      <c r="AD221">
        <v>0</v>
      </c>
      <c r="AE221">
        <v>7</v>
      </c>
      <c r="AF221">
        <v>0</v>
      </c>
      <c r="AG221">
        <v>3</v>
      </c>
      <c r="AH221">
        <v>0</v>
      </c>
      <c r="AI221">
        <v>-3</v>
      </c>
      <c r="AJ221">
        <v>0</v>
      </c>
      <c r="AK221">
        <v>0</v>
      </c>
      <c r="AL221">
        <v>0</v>
      </c>
      <c r="AM221">
        <v>6</v>
      </c>
      <c r="AN221">
        <v>0</v>
      </c>
      <c r="AO221">
        <v>1</v>
      </c>
      <c r="AP221">
        <v>40</v>
      </c>
      <c r="AQ221">
        <v>90</v>
      </c>
      <c r="AR221">
        <v>40</v>
      </c>
      <c r="AS221">
        <v>38.666699999999999</v>
      </c>
      <c r="AT221" t="s">
        <v>8501</v>
      </c>
      <c r="AU221">
        <v>85.333299999999994</v>
      </c>
      <c r="AV221">
        <v>1</v>
      </c>
      <c r="AW221" t="s">
        <v>8469</v>
      </c>
      <c r="AX221">
        <v>0</v>
      </c>
      <c r="AY221" t="s">
        <v>8470</v>
      </c>
      <c r="AZ221">
        <v>1</v>
      </c>
      <c r="BA221" t="s">
        <v>8530</v>
      </c>
      <c r="BB221">
        <v>0</v>
      </c>
      <c r="BC221" t="s">
        <v>8484</v>
      </c>
      <c r="BD221">
        <v>70.599999999999994</v>
      </c>
      <c r="BE221" t="s">
        <v>8463</v>
      </c>
      <c r="BF221" t="s">
        <v>8455</v>
      </c>
      <c r="BG221" t="s">
        <v>8463</v>
      </c>
      <c r="BH221">
        <v>2.0454500000000002</v>
      </c>
      <c r="BJ221" s="1" t="s">
        <v>8834</v>
      </c>
      <c r="BK221">
        <v>6412.5</v>
      </c>
    </row>
    <row r="222" spans="1:63" x14ac:dyDescent="0.25">
      <c r="A222">
        <v>394</v>
      </c>
      <c r="B222">
        <v>24</v>
      </c>
      <c r="C222" t="s">
        <v>8445</v>
      </c>
      <c r="F222">
        <v>1008230</v>
      </c>
      <c r="G222" t="s">
        <v>740</v>
      </c>
      <c r="H222" t="s">
        <v>6304</v>
      </c>
      <c r="I222" t="s">
        <v>8511</v>
      </c>
      <c r="J222">
        <v>0</v>
      </c>
      <c r="K222">
        <v>6</v>
      </c>
      <c r="L222">
        <v>0</v>
      </c>
      <c r="M222">
        <v>292200</v>
      </c>
      <c r="N222">
        <v>144</v>
      </c>
      <c r="O222">
        <v>0</v>
      </c>
      <c r="P222">
        <v>2</v>
      </c>
      <c r="Q222">
        <v>0</v>
      </c>
      <c r="R222">
        <v>0</v>
      </c>
      <c r="S222">
        <v>404</v>
      </c>
      <c r="T222">
        <v>0</v>
      </c>
      <c r="U222">
        <v>0</v>
      </c>
      <c r="V222">
        <v>241</v>
      </c>
      <c r="W222" t="s">
        <v>8505</v>
      </c>
      <c r="X222">
        <v>0</v>
      </c>
      <c r="Y222">
        <v>15</v>
      </c>
      <c r="Z222">
        <v>0</v>
      </c>
      <c r="AA222">
        <v>12</v>
      </c>
      <c r="AB222">
        <v>0</v>
      </c>
      <c r="AC222">
        <v>12</v>
      </c>
      <c r="AD222">
        <v>0</v>
      </c>
      <c r="AE222">
        <v>5</v>
      </c>
      <c r="AF222">
        <v>0</v>
      </c>
      <c r="AG222">
        <v>1</v>
      </c>
      <c r="AH222">
        <v>0</v>
      </c>
      <c r="AI222">
        <v>-3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72</v>
      </c>
      <c r="AQ222">
        <v>65</v>
      </c>
      <c r="AR222">
        <v>72</v>
      </c>
      <c r="AS222">
        <v>72</v>
      </c>
      <c r="AT222" t="s">
        <v>8512</v>
      </c>
      <c r="AU222">
        <v>56.75</v>
      </c>
      <c r="AV222">
        <v>0</v>
      </c>
      <c r="AW222" t="s">
        <v>8513</v>
      </c>
      <c r="AX222">
        <v>1</v>
      </c>
      <c r="AY222" t="s">
        <v>8514</v>
      </c>
      <c r="AZ222">
        <v>0</v>
      </c>
      <c r="BA222" t="s">
        <v>8497</v>
      </c>
      <c r="BB222">
        <v>1</v>
      </c>
      <c r="BC222" t="s">
        <v>8515</v>
      </c>
      <c r="BD222">
        <v>59.379300000000001</v>
      </c>
      <c r="BE222" t="s">
        <v>8463</v>
      </c>
      <c r="BF222" t="s">
        <v>8472</v>
      </c>
      <c r="BG222" t="s">
        <v>8472</v>
      </c>
      <c r="BH222">
        <v>1.4772700000000001</v>
      </c>
      <c r="BJ222" s="1" t="s">
        <v>8835</v>
      </c>
      <c r="BK222" s="1" t="s">
        <v>8836</v>
      </c>
    </row>
    <row r="223" spans="1:63" x14ac:dyDescent="0.25">
      <c r="A223">
        <v>395</v>
      </c>
      <c r="B223">
        <v>417</v>
      </c>
      <c r="C223" t="s">
        <v>8445</v>
      </c>
      <c r="F223">
        <v>1000963</v>
      </c>
      <c r="G223" t="s">
        <v>2192</v>
      </c>
      <c r="H223" t="s">
        <v>8324</v>
      </c>
      <c r="I223" t="s">
        <v>8480</v>
      </c>
      <c r="J223">
        <v>0</v>
      </c>
      <c r="K223">
        <v>6</v>
      </c>
      <c r="L223">
        <v>0</v>
      </c>
      <c r="M223">
        <v>308600</v>
      </c>
      <c r="N223">
        <v>322</v>
      </c>
      <c r="O223">
        <v>0</v>
      </c>
      <c r="P223">
        <v>5</v>
      </c>
      <c r="Q223">
        <v>0</v>
      </c>
      <c r="R223">
        <v>17100</v>
      </c>
      <c r="S223">
        <v>222</v>
      </c>
      <c r="T223">
        <v>0</v>
      </c>
      <c r="U223">
        <v>0</v>
      </c>
      <c r="V223">
        <v>516</v>
      </c>
      <c r="W223" t="s">
        <v>8475</v>
      </c>
      <c r="X223">
        <v>0</v>
      </c>
      <c r="Y223">
        <v>44</v>
      </c>
      <c r="Z223">
        <v>0</v>
      </c>
      <c r="AA223">
        <v>29</v>
      </c>
      <c r="AB223">
        <v>0</v>
      </c>
      <c r="AC223">
        <v>24</v>
      </c>
      <c r="AD223">
        <v>0</v>
      </c>
      <c r="AE223">
        <v>19</v>
      </c>
      <c r="AF223">
        <v>0</v>
      </c>
      <c r="AG223">
        <v>3</v>
      </c>
      <c r="AH223">
        <v>0</v>
      </c>
      <c r="AI223">
        <v>-3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64.400000000000006</v>
      </c>
      <c r="AQ223">
        <v>219</v>
      </c>
      <c r="AR223">
        <v>64.400000000000006</v>
      </c>
      <c r="AS223">
        <v>59.666699999999999</v>
      </c>
      <c r="AT223" t="s">
        <v>8482</v>
      </c>
      <c r="AU223">
        <v>54.5</v>
      </c>
      <c r="AV223">
        <v>1</v>
      </c>
      <c r="AW223" t="s">
        <v>8483</v>
      </c>
      <c r="AX223">
        <v>0</v>
      </c>
      <c r="AY223" t="s">
        <v>8461</v>
      </c>
      <c r="AZ223">
        <v>0</v>
      </c>
      <c r="BA223" t="s">
        <v>8460</v>
      </c>
      <c r="BB223">
        <v>1</v>
      </c>
      <c r="BC223" t="s">
        <v>8484</v>
      </c>
      <c r="BD223">
        <v>65.125</v>
      </c>
      <c r="BE223" t="s">
        <v>8455</v>
      </c>
      <c r="BF223" t="s">
        <v>8464</v>
      </c>
      <c r="BG223" t="s">
        <v>8464</v>
      </c>
      <c r="BH223">
        <v>4.9772699999999999</v>
      </c>
      <c r="BJ223">
        <v>0.62403100775193798</v>
      </c>
      <c r="BK223" s="1" t="s">
        <v>8837</v>
      </c>
    </row>
    <row r="224" spans="1:63" x14ac:dyDescent="0.25">
      <c r="A224">
        <v>396</v>
      </c>
      <c r="B224">
        <v>5</v>
      </c>
      <c r="C224" t="s">
        <v>8445</v>
      </c>
      <c r="F224">
        <v>1004995</v>
      </c>
      <c r="G224" t="s">
        <v>5512</v>
      </c>
      <c r="H224" t="s">
        <v>5513</v>
      </c>
      <c r="I224" t="s">
        <v>8511</v>
      </c>
      <c r="J224">
        <v>0</v>
      </c>
      <c r="K224">
        <v>6</v>
      </c>
      <c r="L224">
        <v>0</v>
      </c>
      <c r="M224">
        <v>290300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510</v>
      </c>
      <c r="T224">
        <v>0</v>
      </c>
      <c r="U224">
        <v>0</v>
      </c>
      <c r="V224">
        <v>0</v>
      </c>
      <c r="W224" t="s">
        <v>8466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30</v>
      </c>
      <c r="AR224">
        <v>0</v>
      </c>
      <c r="AS224">
        <v>0</v>
      </c>
      <c r="AT224" t="s">
        <v>8512</v>
      </c>
      <c r="AU224">
        <v>50.6</v>
      </c>
      <c r="AV224">
        <v>0</v>
      </c>
      <c r="AW224" t="s">
        <v>8513</v>
      </c>
      <c r="AX224">
        <v>1</v>
      </c>
      <c r="AY224" t="s">
        <v>8514</v>
      </c>
      <c r="AZ224">
        <v>0</v>
      </c>
      <c r="BA224" t="s">
        <v>8497</v>
      </c>
      <c r="BB224">
        <v>1</v>
      </c>
      <c r="BC224" t="s">
        <v>8515</v>
      </c>
      <c r="BD224">
        <v>54.65</v>
      </c>
      <c r="BE224" t="s">
        <v>8463</v>
      </c>
      <c r="BF224" t="s">
        <v>8472</v>
      </c>
      <c r="BG224" t="s">
        <v>8472</v>
      </c>
      <c r="BH224">
        <v>0.68181800000000004</v>
      </c>
    </row>
    <row r="225" spans="1:63" x14ac:dyDescent="0.25">
      <c r="A225">
        <v>397</v>
      </c>
      <c r="B225">
        <v>155</v>
      </c>
      <c r="C225" t="s">
        <v>8445</v>
      </c>
      <c r="F225">
        <v>1004757</v>
      </c>
      <c r="G225" t="s">
        <v>6920</v>
      </c>
      <c r="H225" t="s">
        <v>6921</v>
      </c>
      <c r="I225" t="s">
        <v>8525</v>
      </c>
      <c r="J225">
        <v>0</v>
      </c>
      <c r="K225">
        <v>6</v>
      </c>
      <c r="L225">
        <v>0</v>
      </c>
      <c r="M225">
        <v>290700</v>
      </c>
      <c r="N225">
        <v>286</v>
      </c>
      <c r="O225">
        <v>0</v>
      </c>
      <c r="P225">
        <v>5</v>
      </c>
      <c r="Q225">
        <v>0</v>
      </c>
      <c r="R225">
        <v>400</v>
      </c>
      <c r="S225">
        <v>262</v>
      </c>
      <c r="T225">
        <v>0</v>
      </c>
      <c r="U225">
        <v>0</v>
      </c>
      <c r="V225">
        <v>472</v>
      </c>
      <c r="W225" t="s">
        <v>8475</v>
      </c>
      <c r="X225">
        <v>0</v>
      </c>
      <c r="Y225">
        <v>36</v>
      </c>
      <c r="Z225">
        <v>0</v>
      </c>
      <c r="AA225">
        <v>14</v>
      </c>
      <c r="AB225">
        <v>0</v>
      </c>
      <c r="AC225">
        <v>11</v>
      </c>
      <c r="AD225">
        <v>0</v>
      </c>
      <c r="AE225">
        <v>20</v>
      </c>
      <c r="AF225">
        <v>0</v>
      </c>
      <c r="AG225">
        <v>3</v>
      </c>
      <c r="AH225">
        <v>0</v>
      </c>
      <c r="AI225">
        <v>-1</v>
      </c>
      <c r="AJ225">
        <v>0</v>
      </c>
      <c r="AK225">
        <v>0</v>
      </c>
      <c r="AL225">
        <v>0</v>
      </c>
      <c r="AM225">
        <v>3</v>
      </c>
      <c r="AN225">
        <v>0</v>
      </c>
      <c r="AO225">
        <v>2</v>
      </c>
      <c r="AP225">
        <v>57.2</v>
      </c>
      <c r="AQ225">
        <v>81</v>
      </c>
      <c r="AR225">
        <v>57.2</v>
      </c>
      <c r="AS225">
        <v>60.666699999999999</v>
      </c>
      <c r="AT225" t="s">
        <v>8524</v>
      </c>
      <c r="AU225">
        <v>54.2</v>
      </c>
      <c r="AV225">
        <v>1</v>
      </c>
      <c r="AW225" t="s">
        <v>8451</v>
      </c>
      <c r="AX225">
        <v>0</v>
      </c>
      <c r="AY225" t="s">
        <v>8468</v>
      </c>
      <c r="AZ225">
        <v>0</v>
      </c>
      <c r="BA225" t="s">
        <v>8513</v>
      </c>
      <c r="BB225">
        <v>1</v>
      </c>
      <c r="BC225" t="s">
        <v>8527</v>
      </c>
      <c r="BD225">
        <v>41.666699999999999</v>
      </c>
      <c r="BE225" t="s">
        <v>8464</v>
      </c>
      <c r="BF225" t="s">
        <v>8464</v>
      </c>
      <c r="BG225" t="s">
        <v>8463</v>
      </c>
      <c r="BH225">
        <v>1.84091</v>
      </c>
      <c r="BJ225" s="1" t="s">
        <v>8838</v>
      </c>
      <c r="BK225" s="1" t="s">
        <v>8839</v>
      </c>
    </row>
    <row r="226" spans="1:63" x14ac:dyDescent="0.25">
      <c r="A226">
        <v>398</v>
      </c>
      <c r="B226">
        <v>277</v>
      </c>
      <c r="C226" t="s">
        <v>8445</v>
      </c>
      <c r="F226">
        <v>297456</v>
      </c>
      <c r="G226" t="s">
        <v>740</v>
      </c>
      <c r="H226" t="s">
        <v>6402</v>
      </c>
      <c r="I226" t="s">
        <v>8489</v>
      </c>
      <c r="J226">
        <v>0</v>
      </c>
      <c r="K226">
        <v>6</v>
      </c>
      <c r="L226">
        <v>0</v>
      </c>
      <c r="M226">
        <v>267300</v>
      </c>
      <c r="N226">
        <v>122</v>
      </c>
      <c r="O226">
        <v>0</v>
      </c>
      <c r="P226">
        <v>3</v>
      </c>
      <c r="Q226">
        <v>0</v>
      </c>
      <c r="R226">
        <v>-22600</v>
      </c>
      <c r="S226">
        <v>427</v>
      </c>
      <c r="T226">
        <v>0</v>
      </c>
      <c r="U226">
        <v>0</v>
      </c>
      <c r="V226">
        <v>204</v>
      </c>
      <c r="W226" t="s">
        <v>8505</v>
      </c>
      <c r="X226">
        <v>0</v>
      </c>
      <c r="Y226">
        <v>13</v>
      </c>
      <c r="Z226">
        <v>0</v>
      </c>
      <c r="AA226">
        <v>14</v>
      </c>
      <c r="AB226">
        <v>0</v>
      </c>
      <c r="AC226">
        <v>3</v>
      </c>
      <c r="AD226">
        <v>0</v>
      </c>
      <c r="AE226">
        <v>6</v>
      </c>
      <c r="AF226">
        <v>0</v>
      </c>
      <c r="AG226">
        <v>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2</v>
      </c>
      <c r="AP226">
        <v>40.666699999999999</v>
      </c>
      <c r="AQ226">
        <v>72</v>
      </c>
      <c r="AR226">
        <v>40.666699999999999</v>
      </c>
      <c r="AS226">
        <v>40.666699999999999</v>
      </c>
      <c r="AT226" t="s">
        <v>8490</v>
      </c>
      <c r="AU226">
        <v>67.75</v>
      </c>
      <c r="AV226">
        <v>1</v>
      </c>
      <c r="AW226" t="s">
        <v>8491</v>
      </c>
      <c r="AX226">
        <v>0</v>
      </c>
      <c r="AY226" t="s">
        <v>8492</v>
      </c>
      <c r="AZ226">
        <v>1</v>
      </c>
      <c r="BA226" t="s">
        <v>8493</v>
      </c>
      <c r="BB226">
        <v>0</v>
      </c>
      <c r="BC226" t="s">
        <v>8471</v>
      </c>
      <c r="BD226">
        <v>54.941200000000002</v>
      </c>
      <c r="BE226" t="s">
        <v>8453</v>
      </c>
      <c r="BF226" t="s">
        <v>8494</v>
      </c>
      <c r="BG226" t="s">
        <v>8495</v>
      </c>
      <c r="BH226">
        <v>1.63636</v>
      </c>
      <c r="BJ226" s="1" t="s">
        <v>8840</v>
      </c>
      <c r="BK226" s="1" t="s">
        <v>8841</v>
      </c>
    </row>
    <row r="227" spans="1:63" x14ac:dyDescent="0.25">
      <c r="A227">
        <v>399</v>
      </c>
      <c r="B227">
        <v>74</v>
      </c>
      <c r="C227" t="s">
        <v>8445</v>
      </c>
      <c r="F227">
        <v>1028019</v>
      </c>
      <c r="G227" t="s">
        <v>6149</v>
      </c>
      <c r="H227" t="s">
        <v>1212</v>
      </c>
      <c r="I227" t="s">
        <v>8524</v>
      </c>
      <c r="J227">
        <v>0</v>
      </c>
      <c r="K227">
        <v>6</v>
      </c>
      <c r="L227">
        <v>0</v>
      </c>
      <c r="M227">
        <v>330700</v>
      </c>
      <c r="N227">
        <v>353</v>
      </c>
      <c r="O227">
        <v>0</v>
      </c>
      <c r="P227">
        <v>5</v>
      </c>
      <c r="Q227">
        <v>0</v>
      </c>
      <c r="R227">
        <v>41200</v>
      </c>
      <c r="S227">
        <v>172</v>
      </c>
      <c r="T227">
        <v>0</v>
      </c>
      <c r="U227">
        <v>0</v>
      </c>
      <c r="V227">
        <v>484</v>
      </c>
      <c r="W227" t="s">
        <v>8475</v>
      </c>
      <c r="X227">
        <v>0</v>
      </c>
      <c r="Y227">
        <v>31</v>
      </c>
      <c r="Z227">
        <v>0</v>
      </c>
      <c r="AA227">
        <v>18</v>
      </c>
      <c r="AB227">
        <v>0</v>
      </c>
      <c r="AC227">
        <v>17</v>
      </c>
      <c r="AD227">
        <v>0</v>
      </c>
      <c r="AE227">
        <v>13</v>
      </c>
      <c r="AF227">
        <v>0</v>
      </c>
      <c r="AG227">
        <v>5</v>
      </c>
      <c r="AH227">
        <v>0</v>
      </c>
      <c r="AI227">
        <v>-2</v>
      </c>
      <c r="AJ227">
        <v>0</v>
      </c>
      <c r="AK227">
        <v>0</v>
      </c>
      <c r="AL227">
        <v>0</v>
      </c>
      <c r="AM227">
        <v>11</v>
      </c>
      <c r="AN227">
        <v>0</v>
      </c>
      <c r="AO227">
        <v>2</v>
      </c>
      <c r="AP227">
        <v>70.599999999999994</v>
      </c>
      <c r="AQ227">
        <v>240</v>
      </c>
      <c r="AR227">
        <v>70.599999999999994</v>
      </c>
      <c r="AS227">
        <v>77.666700000000006</v>
      </c>
      <c r="AT227" t="s">
        <v>8525</v>
      </c>
      <c r="AU227">
        <v>42</v>
      </c>
      <c r="AV227">
        <v>0</v>
      </c>
      <c r="AW227" t="s">
        <v>8470</v>
      </c>
      <c r="AX227">
        <v>1</v>
      </c>
      <c r="AY227" t="s">
        <v>8449</v>
      </c>
      <c r="AZ227">
        <v>0</v>
      </c>
      <c r="BA227" t="s">
        <v>8526</v>
      </c>
      <c r="BB227">
        <v>1</v>
      </c>
      <c r="BC227" t="s">
        <v>8527</v>
      </c>
      <c r="BD227">
        <v>52.1111</v>
      </c>
      <c r="BE227" t="s">
        <v>8455</v>
      </c>
      <c r="BF227" t="s">
        <v>8494</v>
      </c>
      <c r="BG227" t="s">
        <v>8498</v>
      </c>
      <c r="BH227">
        <v>5.4545500000000002</v>
      </c>
      <c r="BJ227" s="1" t="s">
        <v>8842</v>
      </c>
      <c r="BK227" s="1" t="s">
        <v>8843</v>
      </c>
    </row>
    <row r="228" spans="1:63" x14ac:dyDescent="0.25">
      <c r="A228">
        <v>400</v>
      </c>
      <c r="B228">
        <v>612</v>
      </c>
      <c r="C228" t="s">
        <v>8445</v>
      </c>
      <c r="F228">
        <v>1023784</v>
      </c>
      <c r="G228" t="s">
        <v>2813</v>
      </c>
      <c r="H228" t="s">
        <v>8056</v>
      </c>
      <c r="I228" t="s">
        <v>8549</v>
      </c>
      <c r="J228">
        <v>0</v>
      </c>
      <c r="K228">
        <v>6</v>
      </c>
      <c r="L228">
        <v>0</v>
      </c>
      <c r="M228">
        <v>345100</v>
      </c>
      <c r="N228">
        <v>348</v>
      </c>
      <c r="O228">
        <v>0</v>
      </c>
      <c r="P228">
        <v>5</v>
      </c>
      <c r="Q228">
        <v>0</v>
      </c>
      <c r="R228">
        <v>56600</v>
      </c>
      <c r="S228">
        <v>182</v>
      </c>
      <c r="T228">
        <v>0</v>
      </c>
      <c r="U228">
        <v>0</v>
      </c>
      <c r="V228">
        <v>596</v>
      </c>
      <c r="W228" t="s">
        <v>8475</v>
      </c>
      <c r="X228">
        <v>0</v>
      </c>
      <c r="Y228">
        <v>51</v>
      </c>
      <c r="Z228">
        <v>0</v>
      </c>
      <c r="AA228">
        <v>24</v>
      </c>
      <c r="AB228">
        <v>0</v>
      </c>
      <c r="AC228">
        <v>43</v>
      </c>
      <c r="AD228">
        <v>0</v>
      </c>
      <c r="AE228">
        <v>4</v>
      </c>
      <c r="AF228">
        <v>0</v>
      </c>
      <c r="AG228">
        <v>4</v>
      </c>
      <c r="AH228">
        <v>0</v>
      </c>
      <c r="AI228">
        <v>-5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69.599999999999994</v>
      </c>
      <c r="AQ228">
        <v>628</v>
      </c>
      <c r="AR228">
        <v>69.599999999999994</v>
      </c>
      <c r="AS228">
        <v>71.333299999999994</v>
      </c>
      <c r="AT228" t="s">
        <v>8548</v>
      </c>
      <c r="AU228">
        <v>53.5</v>
      </c>
      <c r="AV228">
        <v>1</v>
      </c>
      <c r="AW228" t="s">
        <v>8492</v>
      </c>
      <c r="AX228">
        <v>0</v>
      </c>
      <c r="AY228" t="s">
        <v>8513</v>
      </c>
      <c r="AZ228">
        <v>0</v>
      </c>
      <c r="BA228" t="s">
        <v>8514</v>
      </c>
      <c r="BB228">
        <v>0</v>
      </c>
      <c r="BC228" t="s">
        <v>8471</v>
      </c>
      <c r="BD228">
        <v>59.85</v>
      </c>
      <c r="BE228" t="s">
        <v>8455</v>
      </c>
      <c r="BF228" t="s">
        <v>8455</v>
      </c>
      <c r="BG228" t="s">
        <v>8464</v>
      </c>
      <c r="BH228">
        <v>14.2727</v>
      </c>
      <c r="BJ228" s="1" t="s">
        <v>8844</v>
      </c>
      <c r="BK228" s="1" t="s">
        <v>8845</v>
      </c>
    </row>
    <row r="229" spans="1:63" x14ac:dyDescent="0.25">
      <c r="A229">
        <v>401</v>
      </c>
      <c r="B229">
        <v>777</v>
      </c>
      <c r="C229" t="s">
        <v>8445</v>
      </c>
      <c r="F229">
        <v>1020371</v>
      </c>
      <c r="G229" t="s">
        <v>1127</v>
      </c>
      <c r="H229" t="s">
        <v>3370</v>
      </c>
      <c r="I229" t="s">
        <v>8456</v>
      </c>
      <c r="J229">
        <v>0</v>
      </c>
      <c r="K229">
        <v>6</v>
      </c>
      <c r="L229">
        <v>0</v>
      </c>
      <c r="M229">
        <v>285600</v>
      </c>
      <c r="N229">
        <v>166</v>
      </c>
      <c r="O229">
        <v>0</v>
      </c>
      <c r="P229">
        <v>3</v>
      </c>
      <c r="Q229">
        <v>0</v>
      </c>
      <c r="R229">
        <v>-2700</v>
      </c>
      <c r="S229">
        <v>385</v>
      </c>
      <c r="T229">
        <v>0</v>
      </c>
      <c r="U229">
        <v>0</v>
      </c>
      <c r="V229">
        <v>259</v>
      </c>
      <c r="W229" t="s">
        <v>8505</v>
      </c>
      <c r="X229">
        <v>0</v>
      </c>
      <c r="Y229">
        <v>15</v>
      </c>
      <c r="Z229">
        <v>0</v>
      </c>
      <c r="AA229">
        <v>7</v>
      </c>
      <c r="AB229">
        <v>0</v>
      </c>
      <c r="AC229">
        <v>8</v>
      </c>
      <c r="AD229">
        <v>0</v>
      </c>
      <c r="AE229">
        <v>7</v>
      </c>
      <c r="AF229">
        <v>0</v>
      </c>
      <c r="AG229">
        <v>1</v>
      </c>
      <c r="AH229">
        <v>0</v>
      </c>
      <c r="AI229">
        <v>-4</v>
      </c>
      <c r="AJ229">
        <v>0</v>
      </c>
      <c r="AK229">
        <v>16</v>
      </c>
      <c r="AL229">
        <v>0</v>
      </c>
      <c r="AM229">
        <v>3</v>
      </c>
      <c r="AN229">
        <v>0</v>
      </c>
      <c r="AO229">
        <v>1</v>
      </c>
      <c r="AP229">
        <v>55.333300000000001</v>
      </c>
      <c r="AQ229">
        <v>37</v>
      </c>
      <c r="AR229">
        <v>55.333300000000001</v>
      </c>
      <c r="AS229">
        <v>55.333300000000001</v>
      </c>
      <c r="AT229" t="s">
        <v>8458</v>
      </c>
      <c r="AU229">
        <v>71</v>
      </c>
      <c r="AV229">
        <v>0</v>
      </c>
      <c r="AW229" t="s">
        <v>8459</v>
      </c>
      <c r="AX229">
        <v>1</v>
      </c>
      <c r="AY229" t="s">
        <v>8460</v>
      </c>
      <c r="AZ229">
        <v>0</v>
      </c>
      <c r="BA229" t="s">
        <v>8461</v>
      </c>
      <c r="BB229">
        <v>1</v>
      </c>
      <c r="BC229" t="s">
        <v>8462</v>
      </c>
      <c r="BD229">
        <v>58.866700000000002</v>
      </c>
      <c r="BE229" t="s">
        <v>8455</v>
      </c>
      <c r="BF229" t="s">
        <v>8463</v>
      </c>
      <c r="BG229" t="s">
        <v>8464</v>
      </c>
      <c r="BH229">
        <v>0.84090900000000002</v>
      </c>
      <c r="BJ229">
        <v>0.64092664092664098</v>
      </c>
      <c r="BK229" s="1" t="s">
        <v>8846</v>
      </c>
    </row>
    <row r="230" spans="1:63" x14ac:dyDescent="0.25">
      <c r="A230">
        <v>402</v>
      </c>
      <c r="B230">
        <v>767</v>
      </c>
      <c r="C230" t="s">
        <v>8445</v>
      </c>
      <c r="F230">
        <v>1013973</v>
      </c>
      <c r="G230" t="s">
        <v>1002</v>
      </c>
      <c r="H230" t="s">
        <v>7412</v>
      </c>
      <c r="I230" t="s">
        <v>8456</v>
      </c>
      <c r="J230">
        <v>0</v>
      </c>
      <c r="K230">
        <v>6</v>
      </c>
      <c r="L230">
        <v>0</v>
      </c>
      <c r="M230">
        <v>253800</v>
      </c>
      <c r="N230">
        <v>243</v>
      </c>
      <c r="O230">
        <v>0</v>
      </c>
      <c r="P230">
        <v>5</v>
      </c>
      <c r="Q230">
        <v>0</v>
      </c>
      <c r="R230">
        <v>-34400</v>
      </c>
      <c r="S230">
        <v>313</v>
      </c>
      <c r="T230">
        <v>0</v>
      </c>
      <c r="U230">
        <v>0</v>
      </c>
      <c r="V230">
        <v>509</v>
      </c>
      <c r="W230" t="s">
        <v>8475</v>
      </c>
      <c r="X230">
        <v>0</v>
      </c>
      <c r="Y230">
        <v>22</v>
      </c>
      <c r="Z230">
        <v>0</v>
      </c>
      <c r="AA230">
        <v>24</v>
      </c>
      <c r="AB230">
        <v>0</v>
      </c>
      <c r="AC230">
        <v>13</v>
      </c>
      <c r="AD230">
        <v>0</v>
      </c>
      <c r="AE230">
        <v>18</v>
      </c>
      <c r="AF230">
        <v>0</v>
      </c>
      <c r="AG230">
        <v>3</v>
      </c>
      <c r="AH230">
        <v>0</v>
      </c>
      <c r="AI230">
        <v>-2</v>
      </c>
      <c r="AJ230">
        <v>0</v>
      </c>
      <c r="AK230">
        <v>0</v>
      </c>
      <c r="AL230">
        <v>0</v>
      </c>
      <c r="AM230">
        <v>3</v>
      </c>
      <c r="AN230">
        <v>0</v>
      </c>
      <c r="AO230">
        <v>2</v>
      </c>
      <c r="AP230">
        <v>48.6</v>
      </c>
      <c r="AQ230">
        <v>61</v>
      </c>
      <c r="AR230">
        <v>48.6</v>
      </c>
      <c r="AS230">
        <v>42.666699999999999</v>
      </c>
      <c r="AT230" t="s">
        <v>8458</v>
      </c>
      <c r="AU230">
        <v>60</v>
      </c>
      <c r="AV230">
        <v>0</v>
      </c>
      <c r="AW230" t="s">
        <v>8459</v>
      </c>
      <c r="AX230">
        <v>1</v>
      </c>
      <c r="AY230" t="s">
        <v>8460</v>
      </c>
      <c r="AZ230">
        <v>0</v>
      </c>
      <c r="BA230" t="s">
        <v>8461</v>
      </c>
      <c r="BB230">
        <v>1</v>
      </c>
      <c r="BC230" t="s">
        <v>8462</v>
      </c>
      <c r="BD230">
        <v>56.8</v>
      </c>
      <c r="BE230" t="s">
        <v>8455</v>
      </c>
      <c r="BF230" t="s">
        <v>8463</v>
      </c>
      <c r="BG230" t="s">
        <v>8464</v>
      </c>
      <c r="BH230">
        <v>1.38636</v>
      </c>
      <c r="BJ230" s="1" t="s">
        <v>8847</v>
      </c>
      <c r="BK230" s="1" t="s">
        <v>8848</v>
      </c>
    </row>
    <row r="231" spans="1:63" x14ac:dyDescent="0.25">
      <c r="A231">
        <v>403</v>
      </c>
      <c r="B231">
        <v>8</v>
      </c>
      <c r="C231" t="s">
        <v>8445</v>
      </c>
      <c r="F231">
        <v>1001396</v>
      </c>
      <c r="G231" t="s">
        <v>4961</v>
      </c>
      <c r="H231" t="s">
        <v>6732</v>
      </c>
      <c r="I231" t="s">
        <v>8511</v>
      </c>
      <c r="J231">
        <v>0</v>
      </c>
      <c r="K231">
        <v>6</v>
      </c>
      <c r="L231">
        <v>0</v>
      </c>
      <c r="M231">
        <v>316900</v>
      </c>
      <c r="N231">
        <v>350</v>
      </c>
      <c r="O231">
        <v>0</v>
      </c>
      <c r="P231">
        <v>5</v>
      </c>
      <c r="Q231">
        <v>0</v>
      </c>
      <c r="R231">
        <v>29200</v>
      </c>
      <c r="S231">
        <v>180</v>
      </c>
      <c r="T231">
        <v>0</v>
      </c>
      <c r="U231">
        <v>0</v>
      </c>
      <c r="V231">
        <v>517</v>
      </c>
      <c r="W231" t="s">
        <v>8475</v>
      </c>
      <c r="X231">
        <v>0</v>
      </c>
      <c r="Y231">
        <v>49</v>
      </c>
      <c r="Z231">
        <v>0</v>
      </c>
      <c r="AA231">
        <v>23</v>
      </c>
      <c r="AB231">
        <v>0</v>
      </c>
      <c r="AC231">
        <v>22</v>
      </c>
      <c r="AD231">
        <v>0</v>
      </c>
      <c r="AE231">
        <v>10</v>
      </c>
      <c r="AF231">
        <v>0</v>
      </c>
      <c r="AG231">
        <v>2</v>
      </c>
      <c r="AH231">
        <v>0</v>
      </c>
      <c r="AI231">
        <v>-2</v>
      </c>
      <c r="AJ231">
        <v>0</v>
      </c>
      <c r="AK231">
        <v>0</v>
      </c>
      <c r="AL231">
        <v>0</v>
      </c>
      <c r="AM231">
        <v>2</v>
      </c>
      <c r="AN231">
        <v>0</v>
      </c>
      <c r="AO231">
        <v>1</v>
      </c>
      <c r="AP231">
        <v>70</v>
      </c>
      <c r="AQ231">
        <v>602</v>
      </c>
      <c r="AR231">
        <v>70</v>
      </c>
      <c r="AS231">
        <v>73.666700000000006</v>
      </c>
      <c r="AT231" t="s">
        <v>8512</v>
      </c>
      <c r="AU231">
        <v>0</v>
      </c>
      <c r="AV231">
        <v>0</v>
      </c>
      <c r="AW231" t="s">
        <v>8513</v>
      </c>
      <c r="AX231">
        <v>1</v>
      </c>
      <c r="AY231" t="s">
        <v>8514</v>
      </c>
      <c r="AZ231">
        <v>0</v>
      </c>
      <c r="BA231" t="s">
        <v>8497</v>
      </c>
      <c r="BB231">
        <v>1</v>
      </c>
      <c r="BC231" t="s">
        <v>8515</v>
      </c>
      <c r="BD231">
        <v>74.099999999999994</v>
      </c>
      <c r="BE231" t="s">
        <v>8463</v>
      </c>
      <c r="BF231" t="s">
        <v>8472</v>
      </c>
      <c r="BG231" t="s">
        <v>8472</v>
      </c>
      <c r="BH231">
        <v>13.681800000000001</v>
      </c>
      <c r="BJ231" s="1" t="s">
        <v>8849</v>
      </c>
      <c r="BK231" s="1" t="s">
        <v>8850</v>
      </c>
    </row>
    <row r="232" spans="1:63" x14ac:dyDescent="0.25">
      <c r="A232">
        <v>404</v>
      </c>
      <c r="B232">
        <v>540</v>
      </c>
      <c r="C232" t="s">
        <v>8445</v>
      </c>
      <c r="F232">
        <v>1011583</v>
      </c>
      <c r="G232" t="s">
        <v>4008</v>
      </c>
      <c r="H232" t="s">
        <v>890</v>
      </c>
      <c r="I232" t="s">
        <v>8448</v>
      </c>
      <c r="J232">
        <v>0</v>
      </c>
      <c r="K232">
        <v>6</v>
      </c>
      <c r="L232">
        <v>0</v>
      </c>
      <c r="M232">
        <v>325700</v>
      </c>
      <c r="N232">
        <v>263</v>
      </c>
      <c r="O232">
        <v>0</v>
      </c>
      <c r="P232">
        <v>4</v>
      </c>
      <c r="Q232">
        <v>0</v>
      </c>
      <c r="R232">
        <v>38000</v>
      </c>
      <c r="S232">
        <v>289</v>
      </c>
      <c r="T232">
        <v>0</v>
      </c>
      <c r="U232">
        <v>0</v>
      </c>
      <c r="V232">
        <v>372</v>
      </c>
      <c r="W232" t="s">
        <v>8475</v>
      </c>
      <c r="X232">
        <v>0</v>
      </c>
      <c r="Y232">
        <v>23</v>
      </c>
      <c r="Z232">
        <v>0</v>
      </c>
      <c r="AA232">
        <v>24</v>
      </c>
      <c r="AB232">
        <v>0</v>
      </c>
      <c r="AC232">
        <v>14</v>
      </c>
      <c r="AD232">
        <v>0</v>
      </c>
      <c r="AE232">
        <v>7</v>
      </c>
      <c r="AF232">
        <v>0</v>
      </c>
      <c r="AG232">
        <v>3</v>
      </c>
      <c r="AH232">
        <v>0</v>
      </c>
      <c r="AI232">
        <v>-3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65.75</v>
      </c>
      <c r="AQ232">
        <v>98</v>
      </c>
      <c r="AR232">
        <v>65.75</v>
      </c>
      <c r="AS232">
        <v>81.666700000000006</v>
      </c>
      <c r="AT232" t="s">
        <v>8446</v>
      </c>
      <c r="AU232">
        <v>46.5</v>
      </c>
      <c r="AV232">
        <v>1</v>
      </c>
      <c r="AW232" t="s">
        <v>8526</v>
      </c>
      <c r="AX232">
        <v>0</v>
      </c>
      <c r="AY232" t="s">
        <v>8493</v>
      </c>
      <c r="AZ232">
        <v>1</v>
      </c>
      <c r="BA232" t="s">
        <v>8469</v>
      </c>
      <c r="BB232">
        <v>0</v>
      </c>
      <c r="BC232" t="s">
        <v>8452</v>
      </c>
      <c r="BD232">
        <v>0</v>
      </c>
      <c r="BE232" t="s">
        <v>8472</v>
      </c>
      <c r="BF232" t="s">
        <v>8534</v>
      </c>
      <c r="BG232" t="s">
        <v>8472</v>
      </c>
      <c r="BH232">
        <v>2.2272699999999999</v>
      </c>
      <c r="BJ232">
        <v>0.706989247311828</v>
      </c>
      <c r="BK232">
        <v>4953.61216730038</v>
      </c>
    </row>
    <row r="233" spans="1:63" x14ac:dyDescent="0.25">
      <c r="A233">
        <v>405</v>
      </c>
      <c r="B233">
        <v>249</v>
      </c>
      <c r="C233" t="s">
        <v>8445</v>
      </c>
      <c r="F233">
        <v>1013611</v>
      </c>
      <c r="G233" t="s">
        <v>958</v>
      </c>
      <c r="H233" t="s">
        <v>5994</v>
      </c>
      <c r="I233" t="s">
        <v>8502</v>
      </c>
      <c r="J233">
        <v>0</v>
      </c>
      <c r="K233">
        <v>6</v>
      </c>
      <c r="L233">
        <v>0</v>
      </c>
      <c r="M233">
        <v>285600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510</v>
      </c>
      <c r="T233">
        <v>0</v>
      </c>
      <c r="U233">
        <v>0</v>
      </c>
      <c r="V233">
        <v>0</v>
      </c>
      <c r="W233" t="s">
        <v>8466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21</v>
      </c>
      <c r="AR233">
        <v>0</v>
      </c>
      <c r="AS233">
        <v>0</v>
      </c>
      <c r="AT233" t="s">
        <v>8501</v>
      </c>
      <c r="AU233">
        <v>44</v>
      </c>
      <c r="AV233">
        <v>1</v>
      </c>
      <c r="AW233" t="s">
        <v>8469</v>
      </c>
      <c r="AX233">
        <v>0</v>
      </c>
      <c r="AY233" t="s">
        <v>8470</v>
      </c>
      <c r="AZ233">
        <v>1</v>
      </c>
      <c r="BA233" t="s">
        <v>8530</v>
      </c>
      <c r="BB233">
        <v>0</v>
      </c>
      <c r="BC233" t="s">
        <v>8484</v>
      </c>
      <c r="BD233">
        <v>41</v>
      </c>
      <c r="BE233" t="s">
        <v>8463</v>
      </c>
      <c r="BF233" t="s">
        <v>8455</v>
      </c>
      <c r="BG233" t="s">
        <v>8463</v>
      </c>
      <c r="BH233">
        <v>0.477273</v>
      </c>
    </row>
    <row r="234" spans="1:63" x14ac:dyDescent="0.25">
      <c r="A234">
        <v>407</v>
      </c>
      <c r="B234">
        <v>593</v>
      </c>
      <c r="C234" t="s">
        <v>8445</v>
      </c>
      <c r="F234">
        <v>1011985</v>
      </c>
      <c r="G234" t="s">
        <v>7855</v>
      </c>
      <c r="H234" t="s">
        <v>7856</v>
      </c>
      <c r="I234" t="s">
        <v>8490</v>
      </c>
      <c r="J234">
        <v>0</v>
      </c>
      <c r="K234">
        <v>6</v>
      </c>
      <c r="L234">
        <v>0</v>
      </c>
      <c r="M234">
        <v>284400</v>
      </c>
      <c r="N234">
        <v>72</v>
      </c>
      <c r="O234">
        <v>0</v>
      </c>
      <c r="P234">
        <v>1</v>
      </c>
      <c r="Q234">
        <v>0</v>
      </c>
      <c r="R234">
        <v>0</v>
      </c>
      <c r="S234">
        <v>465</v>
      </c>
      <c r="T234">
        <v>0</v>
      </c>
      <c r="U234">
        <v>0</v>
      </c>
      <c r="V234">
        <v>100</v>
      </c>
      <c r="W234" t="s">
        <v>8505</v>
      </c>
      <c r="X234">
        <v>0</v>
      </c>
      <c r="Y234">
        <v>9</v>
      </c>
      <c r="Z234">
        <v>0</v>
      </c>
      <c r="AA234">
        <v>7</v>
      </c>
      <c r="AB234">
        <v>0</v>
      </c>
      <c r="AC234">
        <v>6</v>
      </c>
      <c r="AD234">
        <v>0</v>
      </c>
      <c r="AE234">
        <v>2</v>
      </c>
      <c r="AF234">
        <v>0</v>
      </c>
      <c r="AG234">
        <v>2</v>
      </c>
      <c r="AH234">
        <v>0</v>
      </c>
      <c r="AI234">
        <v>-1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72</v>
      </c>
      <c r="AQ234">
        <v>88</v>
      </c>
      <c r="AR234">
        <v>72</v>
      </c>
      <c r="AS234">
        <v>72</v>
      </c>
      <c r="AT234" t="s">
        <v>8489</v>
      </c>
      <c r="AU234">
        <v>55.5</v>
      </c>
      <c r="AV234">
        <v>0</v>
      </c>
      <c r="AW234" t="s">
        <v>8460</v>
      </c>
      <c r="AX234">
        <v>1</v>
      </c>
      <c r="AY234" t="s">
        <v>8459</v>
      </c>
      <c r="AZ234">
        <v>1</v>
      </c>
      <c r="BA234" t="s">
        <v>8483</v>
      </c>
      <c r="BB234">
        <v>0</v>
      </c>
      <c r="BC234" t="s">
        <v>8471</v>
      </c>
      <c r="BD234">
        <v>38.285699999999999</v>
      </c>
      <c r="BE234" t="s">
        <v>8464</v>
      </c>
      <c r="BF234" t="s">
        <v>8464</v>
      </c>
      <c r="BG234" t="s">
        <v>8464</v>
      </c>
      <c r="BH234">
        <v>2</v>
      </c>
      <c r="BJ234">
        <v>0.72</v>
      </c>
      <c r="BK234">
        <v>3950</v>
      </c>
    </row>
    <row r="235" spans="1:63" x14ac:dyDescent="0.25">
      <c r="A235">
        <v>408</v>
      </c>
      <c r="B235">
        <v>641</v>
      </c>
      <c r="C235" t="s">
        <v>8445</v>
      </c>
      <c r="F235">
        <v>1008312</v>
      </c>
      <c r="G235" t="s">
        <v>1464</v>
      </c>
      <c r="H235" t="s">
        <v>8050</v>
      </c>
      <c r="I235" t="s">
        <v>8549</v>
      </c>
      <c r="J235">
        <v>0</v>
      </c>
      <c r="K235">
        <v>6</v>
      </c>
      <c r="L235">
        <v>0</v>
      </c>
      <c r="M235">
        <v>289100</v>
      </c>
      <c r="N235">
        <v>182</v>
      </c>
      <c r="O235">
        <v>0</v>
      </c>
      <c r="P235">
        <v>3</v>
      </c>
      <c r="Q235">
        <v>0</v>
      </c>
      <c r="R235">
        <v>5500</v>
      </c>
      <c r="S235">
        <v>371</v>
      </c>
      <c r="T235">
        <v>0</v>
      </c>
      <c r="U235">
        <v>0</v>
      </c>
      <c r="V235">
        <v>259</v>
      </c>
      <c r="W235" t="s">
        <v>8505</v>
      </c>
      <c r="X235">
        <v>0</v>
      </c>
      <c r="Y235">
        <v>20</v>
      </c>
      <c r="Z235">
        <v>0</v>
      </c>
      <c r="AA235">
        <v>14</v>
      </c>
      <c r="AB235">
        <v>0</v>
      </c>
      <c r="AC235">
        <v>12</v>
      </c>
      <c r="AD235">
        <v>0</v>
      </c>
      <c r="AE235">
        <v>3</v>
      </c>
      <c r="AF235">
        <v>0</v>
      </c>
      <c r="AG235">
        <v>5</v>
      </c>
      <c r="AH235">
        <v>0</v>
      </c>
      <c r="AI235">
        <v>-2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60.666699999999999</v>
      </c>
      <c r="AQ235">
        <v>62</v>
      </c>
      <c r="AR235">
        <v>60.666699999999999</v>
      </c>
      <c r="AS235">
        <v>60.666699999999999</v>
      </c>
      <c r="AT235" t="s">
        <v>8548</v>
      </c>
      <c r="AU235">
        <v>52</v>
      </c>
      <c r="AV235">
        <v>1</v>
      </c>
      <c r="AW235" t="s">
        <v>8492</v>
      </c>
      <c r="AX235">
        <v>0</v>
      </c>
      <c r="AY235" t="s">
        <v>8513</v>
      </c>
      <c r="AZ235">
        <v>0</v>
      </c>
      <c r="BA235" t="s">
        <v>8514</v>
      </c>
      <c r="BB235">
        <v>0</v>
      </c>
      <c r="BC235" t="s">
        <v>8471</v>
      </c>
      <c r="BD235">
        <v>57.470599999999997</v>
      </c>
      <c r="BE235" t="s">
        <v>8455</v>
      </c>
      <c r="BF235" t="s">
        <v>8455</v>
      </c>
      <c r="BG235" t="s">
        <v>8464</v>
      </c>
      <c r="BH235">
        <v>1.40909</v>
      </c>
      <c r="BJ235" s="1" t="s">
        <v>8851</v>
      </c>
      <c r="BK235" s="1" t="s">
        <v>8852</v>
      </c>
    </row>
    <row r="236" spans="1:63" x14ac:dyDescent="0.25">
      <c r="A236">
        <v>409</v>
      </c>
      <c r="B236">
        <v>171</v>
      </c>
      <c r="C236" t="s">
        <v>8445</v>
      </c>
      <c r="F236">
        <v>998480</v>
      </c>
      <c r="G236" t="s">
        <v>1658</v>
      </c>
      <c r="H236" t="s">
        <v>8853</v>
      </c>
      <c r="I236" t="s">
        <v>8525</v>
      </c>
      <c r="J236">
        <v>0</v>
      </c>
      <c r="K236">
        <v>6</v>
      </c>
      <c r="L236">
        <v>0</v>
      </c>
      <c r="M236">
        <v>283400</v>
      </c>
      <c r="N236">
        <v>106</v>
      </c>
      <c r="O236">
        <v>0</v>
      </c>
      <c r="P236">
        <v>2</v>
      </c>
      <c r="Q236">
        <v>0</v>
      </c>
      <c r="R236">
        <v>0</v>
      </c>
      <c r="S236">
        <v>439</v>
      </c>
      <c r="T236">
        <v>0</v>
      </c>
      <c r="U236">
        <v>0</v>
      </c>
      <c r="V236">
        <v>212</v>
      </c>
      <c r="W236" t="s">
        <v>8505</v>
      </c>
      <c r="X236">
        <v>0</v>
      </c>
      <c r="Y236">
        <v>11</v>
      </c>
      <c r="Z236">
        <v>0</v>
      </c>
      <c r="AA236">
        <v>16</v>
      </c>
      <c r="AB236">
        <v>0</v>
      </c>
      <c r="AC236">
        <v>3</v>
      </c>
      <c r="AD236">
        <v>0</v>
      </c>
      <c r="AE236">
        <v>7</v>
      </c>
      <c r="AF236">
        <v>0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</v>
      </c>
      <c r="AN236">
        <v>0</v>
      </c>
      <c r="AO236">
        <v>0</v>
      </c>
      <c r="AP236">
        <v>53</v>
      </c>
      <c r="AQ236">
        <v>45</v>
      </c>
      <c r="AR236">
        <v>53</v>
      </c>
      <c r="AS236">
        <v>53</v>
      </c>
      <c r="AT236" t="s">
        <v>8524</v>
      </c>
      <c r="AU236">
        <v>0</v>
      </c>
      <c r="AV236">
        <v>1</v>
      </c>
      <c r="AW236" t="s">
        <v>8451</v>
      </c>
      <c r="AX236">
        <v>0</v>
      </c>
      <c r="AY236" t="s">
        <v>8468</v>
      </c>
      <c r="AZ236">
        <v>0</v>
      </c>
      <c r="BA236" t="s">
        <v>8513</v>
      </c>
      <c r="BB236">
        <v>1</v>
      </c>
      <c r="BC236" t="s">
        <v>8527</v>
      </c>
      <c r="BD236">
        <v>0</v>
      </c>
      <c r="BE236" t="s">
        <v>8464</v>
      </c>
      <c r="BF236" t="s">
        <v>8464</v>
      </c>
      <c r="BG236" t="s">
        <v>8463</v>
      </c>
      <c r="BH236">
        <v>1.0227299999999999</v>
      </c>
      <c r="BJ236">
        <v>0.5</v>
      </c>
      <c r="BK236" s="1" t="s">
        <v>8854</v>
      </c>
    </row>
    <row r="237" spans="1:63" x14ac:dyDescent="0.25">
      <c r="A237">
        <v>410</v>
      </c>
      <c r="B237">
        <v>489</v>
      </c>
      <c r="C237" t="s">
        <v>8445</v>
      </c>
      <c r="F237">
        <v>1012833</v>
      </c>
      <c r="G237" t="s">
        <v>3906</v>
      </c>
      <c r="H237" t="s">
        <v>5763</v>
      </c>
      <c r="I237" t="s">
        <v>8467</v>
      </c>
      <c r="J237">
        <v>0</v>
      </c>
      <c r="K237">
        <v>6</v>
      </c>
      <c r="L237">
        <v>0</v>
      </c>
      <c r="M237">
        <v>282900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510</v>
      </c>
      <c r="T237">
        <v>0</v>
      </c>
      <c r="U237">
        <v>0</v>
      </c>
      <c r="V237">
        <v>0</v>
      </c>
      <c r="W237" t="s">
        <v>8447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30</v>
      </c>
      <c r="AR237">
        <v>0</v>
      </c>
      <c r="AS237">
        <v>0</v>
      </c>
      <c r="AT237" t="s">
        <v>8465</v>
      </c>
      <c r="AU237">
        <v>46.5</v>
      </c>
      <c r="AV237">
        <v>0</v>
      </c>
      <c r="AW237" t="s">
        <v>8497</v>
      </c>
      <c r="AX237">
        <v>1</v>
      </c>
      <c r="AY237" t="s">
        <v>8451</v>
      </c>
      <c r="AZ237">
        <v>1</v>
      </c>
      <c r="BA237" t="s">
        <v>8492</v>
      </c>
      <c r="BB237">
        <v>0</v>
      </c>
      <c r="BC237" t="s">
        <v>8471</v>
      </c>
      <c r="BD237">
        <v>50.473700000000001</v>
      </c>
      <c r="BE237" t="s">
        <v>8472</v>
      </c>
      <c r="BF237" t="s">
        <v>8455</v>
      </c>
      <c r="BG237" t="s">
        <v>8498</v>
      </c>
      <c r="BH237">
        <v>0.68181800000000004</v>
      </c>
    </row>
    <row r="238" spans="1:63" x14ac:dyDescent="0.25">
      <c r="A238">
        <v>411</v>
      </c>
      <c r="B238">
        <v>485</v>
      </c>
      <c r="C238" t="s">
        <v>8445</v>
      </c>
      <c r="F238">
        <v>1012144</v>
      </c>
      <c r="G238" t="s">
        <v>8855</v>
      </c>
      <c r="H238" t="s">
        <v>1140</v>
      </c>
      <c r="I238" t="s">
        <v>8467</v>
      </c>
      <c r="J238">
        <v>0</v>
      </c>
      <c r="K238">
        <v>6</v>
      </c>
      <c r="L238">
        <v>0</v>
      </c>
      <c r="M238">
        <v>282600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510</v>
      </c>
      <c r="T238">
        <v>0</v>
      </c>
      <c r="U238">
        <v>0</v>
      </c>
      <c r="V238">
        <v>0</v>
      </c>
      <c r="W238" t="s">
        <v>8447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28</v>
      </c>
      <c r="AR238">
        <v>0</v>
      </c>
      <c r="AS238">
        <v>0</v>
      </c>
      <c r="AT238" t="s">
        <v>8465</v>
      </c>
      <c r="AU238">
        <v>35</v>
      </c>
      <c r="AV238">
        <v>0</v>
      </c>
      <c r="AW238" t="s">
        <v>8497</v>
      </c>
      <c r="AX238">
        <v>1</v>
      </c>
      <c r="AY238" t="s">
        <v>8451</v>
      </c>
      <c r="AZ238">
        <v>1</v>
      </c>
      <c r="BA238" t="s">
        <v>8492</v>
      </c>
      <c r="BB238">
        <v>0</v>
      </c>
      <c r="BC238" t="s">
        <v>8471</v>
      </c>
      <c r="BD238">
        <v>51.333300000000001</v>
      </c>
      <c r="BE238" t="s">
        <v>8472</v>
      </c>
      <c r="BF238" t="s">
        <v>8455</v>
      </c>
      <c r="BG238" t="s">
        <v>8498</v>
      </c>
      <c r="BH238">
        <v>0.63636400000000004</v>
      </c>
    </row>
    <row r="239" spans="1:63" x14ac:dyDescent="0.25">
      <c r="A239">
        <v>412</v>
      </c>
      <c r="B239">
        <v>681</v>
      </c>
      <c r="C239" t="s">
        <v>8445</v>
      </c>
      <c r="F239">
        <v>996743</v>
      </c>
      <c r="G239" t="s">
        <v>2975</v>
      </c>
      <c r="H239" t="s">
        <v>6206</v>
      </c>
      <c r="I239" t="s">
        <v>8446</v>
      </c>
      <c r="J239">
        <v>0</v>
      </c>
      <c r="K239">
        <v>6</v>
      </c>
      <c r="L239">
        <v>0</v>
      </c>
      <c r="M239">
        <v>282500</v>
      </c>
      <c r="N239">
        <v>131</v>
      </c>
      <c r="O239">
        <v>0</v>
      </c>
      <c r="P239">
        <v>2</v>
      </c>
      <c r="Q239">
        <v>0</v>
      </c>
      <c r="R239">
        <v>0</v>
      </c>
      <c r="S239">
        <v>414</v>
      </c>
      <c r="T239">
        <v>0</v>
      </c>
      <c r="U239">
        <v>0</v>
      </c>
      <c r="V239">
        <v>220</v>
      </c>
      <c r="W239" t="s">
        <v>8505</v>
      </c>
      <c r="X239">
        <v>0</v>
      </c>
      <c r="Y239">
        <v>17</v>
      </c>
      <c r="Z239">
        <v>0</v>
      </c>
      <c r="AA239">
        <v>7</v>
      </c>
      <c r="AB239">
        <v>0</v>
      </c>
      <c r="AC239">
        <v>12</v>
      </c>
      <c r="AD239">
        <v>0</v>
      </c>
      <c r="AE239">
        <v>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65.5</v>
      </c>
      <c r="AQ239">
        <v>34</v>
      </c>
      <c r="AR239">
        <v>65.5</v>
      </c>
      <c r="AS239">
        <v>65.5</v>
      </c>
      <c r="AT239" t="s">
        <v>8448</v>
      </c>
      <c r="AU239">
        <v>69.5</v>
      </c>
      <c r="AV239">
        <v>0</v>
      </c>
      <c r="AW239" t="s">
        <v>8449</v>
      </c>
      <c r="AX239">
        <v>1</v>
      </c>
      <c r="AY239" t="s">
        <v>8450</v>
      </c>
      <c r="AZ239">
        <v>0</v>
      </c>
      <c r="BA239" t="s">
        <v>8451</v>
      </c>
      <c r="BB239">
        <v>1</v>
      </c>
      <c r="BC239" t="s">
        <v>8452</v>
      </c>
      <c r="BD239">
        <v>56.424999999999997</v>
      </c>
      <c r="BE239" t="s">
        <v>8453</v>
      </c>
      <c r="BF239" t="s">
        <v>8454</v>
      </c>
      <c r="BG239" t="s">
        <v>8455</v>
      </c>
      <c r="BH239">
        <v>0.77272700000000005</v>
      </c>
      <c r="BJ239" s="1" t="s">
        <v>8856</v>
      </c>
      <c r="BK239" s="1" t="s">
        <v>8857</v>
      </c>
    </row>
    <row r="240" spans="1:63" x14ac:dyDescent="0.25">
      <c r="A240">
        <v>413</v>
      </c>
      <c r="B240">
        <v>375</v>
      </c>
      <c r="C240" t="s">
        <v>8445</v>
      </c>
      <c r="F240">
        <v>1006135</v>
      </c>
      <c r="G240" t="s">
        <v>580</v>
      </c>
      <c r="H240" t="s">
        <v>6580</v>
      </c>
      <c r="I240" t="s">
        <v>8512</v>
      </c>
      <c r="J240">
        <v>0</v>
      </c>
      <c r="K240">
        <v>6</v>
      </c>
      <c r="L240">
        <v>0</v>
      </c>
      <c r="M240">
        <v>231200</v>
      </c>
      <c r="N240">
        <v>146</v>
      </c>
      <c r="O240">
        <v>0</v>
      </c>
      <c r="P240">
        <v>4</v>
      </c>
      <c r="Q240">
        <v>0</v>
      </c>
      <c r="R240">
        <v>-50300</v>
      </c>
      <c r="S240">
        <v>402</v>
      </c>
      <c r="T240">
        <v>0</v>
      </c>
      <c r="U240">
        <v>0</v>
      </c>
      <c r="V240">
        <v>341</v>
      </c>
      <c r="W240" t="s">
        <v>8505</v>
      </c>
      <c r="X240">
        <v>0</v>
      </c>
      <c r="Y240">
        <v>24</v>
      </c>
      <c r="Z240">
        <v>0</v>
      </c>
      <c r="AA240">
        <v>19</v>
      </c>
      <c r="AB240">
        <v>0</v>
      </c>
      <c r="AC240">
        <v>6</v>
      </c>
      <c r="AD240">
        <v>0</v>
      </c>
      <c r="AE240">
        <v>9</v>
      </c>
      <c r="AF240">
        <v>0</v>
      </c>
      <c r="AG240">
        <v>2</v>
      </c>
      <c r="AH240">
        <v>0</v>
      </c>
      <c r="AI240">
        <v>-3</v>
      </c>
      <c r="AJ240">
        <v>0</v>
      </c>
      <c r="AK240">
        <v>0</v>
      </c>
      <c r="AL240">
        <v>0</v>
      </c>
      <c r="AM240">
        <v>2</v>
      </c>
      <c r="AN240">
        <v>0</v>
      </c>
      <c r="AO240">
        <v>2</v>
      </c>
      <c r="AP240">
        <v>36.5</v>
      </c>
      <c r="AQ240">
        <v>87</v>
      </c>
      <c r="AR240">
        <v>36.5</v>
      </c>
      <c r="AS240">
        <v>29</v>
      </c>
      <c r="AT240" t="s">
        <v>8511</v>
      </c>
      <c r="AU240">
        <v>76</v>
      </c>
      <c r="AV240">
        <v>1</v>
      </c>
      <c r="AW240" t="s">
        <v>8493</v>
      </c>
      <c r="AX240">
        <v>0</v>
      </c>
      <c r="AY240" t="s">
        <v>8491</v>
      </c>
      <c r="AZ240">
        <v>1</v>
      </c>
      <c r="BA240" t="s">
        <v>8468</v>
      </c>
      <c r="BB240">
        <v>1</v>
      </c>
      <c r="BC240" t="s">
        <v>8515</v>
      </c>
      <c r="BD240">
        <v>42</v>
      </c>
      <c r="BE240" t="s">
        <v>8546</v>
      </c>
      <c r="BF240" t="s">
        <v>8454</v>
      </c>
      <c r="BG240" t="s">
        <v>8531</v>
      </c>
      <c r="BH240">
        <v>1.9772700000000001</v>
      </c>
      <c r="BJ240" s="1" t="s">
        <v>8858</v>
      </c>
      <c r="BK240" s="1" t="s">
        <v>8859</v>
      </c>
    </row>
    <row r="241" spans="1:63" x14ac:dyDescent="0.25">
      <c r="A241">
        <v>414</v>
      </c>
      <c r="B241">
        <v>384</v>
      </c>
      <c r="C241" t="s">
        <v>8445</v>
      </c>
      <c r="F241">
        <v>1027925</v>
      </c>
      <c r="G241" t="s">
        <v>1020</v>
      </c>
      <c r="H241" t="s">
        <v>2222</v>
      </c>
      <c r="I241" t="s">
        <v>8512</v>
      </c>
      <c r="J241">
        <v>0</v>
      </c>
      <c r="K241">
        <v>6</v>
      </c>
      <c r="L241">
        <v>0</v>
      </c>
      <c r="M241">
        <v>281400</v>
      </c>
      <c r="N241">
        <v>82</v>
      </c>
      <c r="O241">
        <v>0</v>
      </c>
      <c r="P241">
        <v>1</v>
      </c>
      <c r="Q241">
        <v>0</v>
      </c>
      <c r="R241">
        <v>0</v>
      </c>
      <c r="S241">
        <v>454</v>
      </c>
      <c r="T241">
        <v>0</v>
      </c>
      <c r="U241">
        <v>0</v>
      </c>
      <c r="V241">
        <v>100</v>
      </c>
      <c r="W241" t="s">
        <v>8505</v>
      </c>
      <c r="X241">
        <v>0</v>
      </c>
      <c r="Y241">
        <v>6</v>
      </c>
      <c r="Z241">
        <v>0</v>
      </c>
      <c r="AA241">
        <v>7</v>
      </c>
      <c r="AB241">
        <v>0</v>
      </c>
      <c r="AC241">
        <v>2</v>
      </c>
      <c r="AD241">
        <v>0</v>
      </c>
      <c r="AE241">
        <v>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82</v>
      </c>
      <c r="AQ241">
        <v>164</v>
      </c>
      <c r="AR241">
        <v>82</v>
      </c>
      <c r="AS241">
        <v>82</v>
      </c>
      <c r="AT241" t="s">
        <v>8511</v>
      </c>
      <c r="AU241">
        <v>45</v>
      </c>
      <c r="AV241">
        <v>1</v>
      </c>
      <c r="AW241" t="s">
        <v>8493</v>
      </c>
      <c r="AX241">
        <v>0</v>
      </c>
      <c r="AY241" t="s">
        <v>8491</v>
      </c>
      <c r="AZ241">
        <v>1</v>
      </c>
      <c r="BA241" t="s">
        <v>8468</v>
      </c>
      <c r="BB241">
        <v>1</v>
      </c>
      <c r="BC241" t="s">
        <v>8515</v>
      </c>
      <c r="BD241">
        <v>45</v>
      </c>
      <c r="BE241" t="s">
        <v>8546</v>
      </c>
      <c r="BF241" t="s">
        <v>8454</v>
      </c>
      <c r="BG241" t="s">
        <v>8531</v>
      </c>
      <c r="BH241">
        <v>3.7272699999999999</v>
      </c>
      <c r="BJ241">
        <v>0.82</v>
      </c>
      <c r="BK241" s="1" t="s">
        <v>8860</v>
      </c>
    </row>
    <row r="242" spans="1:63" x14ac:dyDescent="0.25">
      <c r="A242">
        <v>415</v>
      </c>
      <c r="B242">
        <v>725</v>
      </c>
      <c r="C242" t="s">
        <v>8445</v>
      </c>
      <c r="F242">
        <v>1011589</v>
      </c>
      <c r="G242" t="s">
        <v>4451</v>
      </c>
      <c r="H242" t="s">
        <v>5721</v>
      </c>
      <c r="I242" t="s">
        <v>8548</v>
      </c>
      <c r="J242">
        <v>0</v>
      </c>
      <c r="K242">
        <v>6</v>
      </c>
      <c r="L242">
        <v>0</v>
      </c>
      <c r="M242">
        <v>281300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510</v>
      </c>
      <c r="T242">
        <v>0</v>
      </c>
      <c r="U242">
        <v>0</v>
      </c>
      <c r="V242">
        <v>0</v>
      </c>
      <c r="W242" t="s">
        <v>8457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37</v>
      </c>
      <c r="AR242">
        <v>0</v>
      </c>
      <c r="AS242">
        <v>0</v>
      </c>
      <c r="AT242" t="s">
        <v>8549</v>
      </c>
      <c r="AU242">
        <v>34</v>
      </c>
      <c r="AV242">
        <v>0</v>
      </c>
      <c r="AW242" t="s">
        <v>8450</v>
      </c>
      <c r="AX242">
        <v>1</v>
      </c>
      <c r="AY242" t="s">
        <v>8497</v>
      </c>
      <c r="AZ242">
        <v>0</v>
      </c>
      <c r="BA242" t="s">
        <v>8449</v>
      </c>
      <c r="BB242">
        <v>1</v>
      </c>
      <c r="BC242" t="s">
        <v>8471</v>
      </c>
      <c r="BD242">
        <v>61.833300000000001</v>
      </c>
      <c r="BE242" t="s">
        <v>8546</v>
      </c>
      <c r="BF242" t="s">
        <v>8534</v>
      </c>
      <c r="BG242" t="s">
        <v>8495</v>
      </c>
      <c r="BH242">
        <v>0.84090900000000002</v>
      </c>
    </row>
    <row r="243" spans="1:63" x14ac:dyDescent="0.25">
      <c r="A243">
        <v>416</v>
      </c>
      <c r="B243">
        <v>320</v>
      </c>
      <c r="C243" t="s">
        <v>8445</v>
      </c>
      <c r="F243">
        <v>1012860</v>
      </c>
      <c r="G243" t="s">
        <v>3871</v>
      </c>
      <c r="H243" t="s">
        <v>1249</v>
      </c>
      <c r="I243" t="s">
        <v>8482</v>
      </c>
      <c r="J243">
        <v>0</v>
      </c>
      <c r="K243">
        <v>6</v>
      </c>
      <c r="L243">
        <v>0</v>
      </c>
      <c r="M243">
        <v>258900</v>
      </c>
      <c r="N243">
        <v>247</v>
      </c>
      <c r="O243">
        <v>0</v>
      </c>
      <c r="P243">
        <v>5</v>
      </c>
      <c r="Q243">
        <v>0</v>
      </c>
      <c r="R243">
        <v>-21300</v>
      </c>
      <c r="S243">
        <v>310</v>
      </c>
      <c r="T243">
        <v>0</v>
      </c>
      <c r="U243">
        <v>0</v>
      </c>
      <c r="V243">
        <v>518</v>
      </c>
      <c r="W243" t="s">
        <v>8475</v>
      </c>
      <c r="X243">
        <v>0</v>
      </c>
      <c r="Y243">
        <v>32</v>
      </c>
      <c r="Z243">
        <v>0</v>
      </c>
      <c r="AA243">
        <v>13</v>
      </c>
      <c r="AB243">
        <v>0</v>
      </c>
      <c r="AC243">
        <v>15</v>
      </c>
      <c r="AD243">
        <v>0</v>
      </c>
      <c r="AE243">
        <v>8</v>
      </c>
      <c r="AF243">
        <v>0</v>
      </c>
      <c r="AG243">
        <v>3</v>
      </c>
      <c r="AH243">
        <v>0</v>
      </c>
      <c r="AI243">
        <v>-1</v>
      </c>
      <c r="AJ243">
        <v>0</v>
      </c>
      <c r="AK243">
        <v>0</v>
      </c>
      <c r="AL243">
        <v>0</v>
      </c>
      <c r="AM243">
        <v>5</v>
      </c>
      <c r="AN243">
        <v>0</v>
      </c>
      <c r="AO243">
        <v>3</v>
      </c>
      <c r="AP243">
        <v>49.4</v>
      </c>
      <c r="AQ243">
        <v>81</v>
      </c>
      <c r="AR243">
        <v>49.4</v>
      </c>
      <c r="AS243">
        <v>52.666699999999999</v>
      </c>
      <c r="AT243" t="s">
        <v>8480</v>
      </c>
      <c r="AU243">
        <v>60.4</v>
      </c>
      <c r="AV243">
        <v>0</v>
      </c>
      <c r="AW243" t="s">
        <v>8514</v>
      </c>
      <c r="AX243">
        <v>1</v>
      </c>
      <c r="AY243" t="s">
        <v>8530</v>
      </c>
      <c r="AZ243">
        <v>1</v>
      </c>
      <c r="BA243" t="s">
        <v>8450</v>
      </c>
      <c r="BB243">
        <v>0</v>
      </c>
      <c r="BC243" t="s">
        <v>8484</v>
      </c>
      <c r="BD243">
        <v>53.72</v>
      </c>
      <c r="BE243" t="s">
        <v>8464</v>
      </c>
      <c r="BF243" t="s">
        <v>8464</v>
      </c>
      <c r="BG243" t="s">
        <v>8531</v>
      </c>
      <c r="BH243">
        <v>1.84091</v>
      </c>
      <c r="BJ243" s="1" t="s">
        <v>8861</v>
      </c>
      <c r="BK243" s="1" t="s">
        <v>8862</v>
      </c>
    </row>
    <row r="244" spans="1:63" x14ac:dyDescent="0.25">
      <c r="A244">
        <v>417</v>
      </c>
      <c r="B244">
        <v>174</v>
      </c>
      <c r="C244" t="s">
        <v>8445</v>
      </c>
      <c r="F244">
        <v>1027899</v>
      </c>
      <c r="G244" t="s">
        <v>8863</v>
      </c>
      <c r="H244" t="s">
        <v>3739</v>
      </c>
      <c r="I244" t="s">
        <v>8458</v>
      </c>
      <c r="J244">
        <v>0</v>
      </c>
      <c r="K244">
        <v>6</v>
      </c>
      <c r="L244">
        <v>0</v>
      </c>
      <c r="M244">
        <v>264100</v>
      </c>
      <c r="N244">
        <v>182</v>
      </c>
      <c r="O244">
        <v>0</v>
      </c>
      <c r="P244">
        <v>4</v>
      </c>
      <c r="Q244">
        <v>0</v>
      </c>
      <c r="R244">
        <v>-15600</v>
      </c>
      <c r="S244">
        <v>371</v>
      </c>
      <c r="T244">
        <v>0</v>
      </c>
      <c r="U244">
        <v>0</v>
      </c>
      <c r="V244">
        <v>371</v>
      </c>
      <c r="W244" t="s">
        <v>8505</v>
      </c>
      <c r="X244">
        <v>0</v>
      </c>
      <c r="Y244">
        <v>27</v>
      </c>
      <c r="Z244">
        <v>0</v>
      </c>
      <c r="AA244">
        <v>10</v>
      </c>
      <c r="AB244">
        <v>0</v>
      </c>
      <c r="AC244">
        <v>13</v>
      </c>
      <c r="AD244">
        <v>0</v>
      </c>
      <c r="AE244">
        <v>7</v>
      </c>
      <c r="AF244">
        <v>0</v>
      </c>
      <c r="AG244">
        <v>4</v>
      </c>
      <c r="AH244">
        <v>0</v>
      </c>
      <c r="AI244">
        <v>-1</v>
      </c>
      <c r="AJ244">
        <v>0</v>
      </c>
      <c r="AK244">
        <v>1</v>
      </c>
      <c r="AL244">
        <v>0</v>
      </c>
      <c r="AM244">
        <v>4</v>
      </c>
      <c r="AN244">
        <v>0</v>
      </c>
      <c r="AO244">
        <v>4</v>
      </c>
      <c r="AP244">
        <v>45.5</v>
      </c>
      <c r="AQ244">
        <v>261</v>
      </c>
      <c r="AR244">
        <v>45.5</v>
      </c>
      <c r="AS244">
        <v>49</v>
      </c>
      <c r="AT244" t="s">
        <v>8456</v>
      </c>
      <c r="AU244">
        <v>46</v>
      </c>
      <c r="AV244">
        <v>1</v>
      </c>
      <c r="AW244" t="s">
        <v>8530</v>
      </c>
      <c r="AX244">
        <v>1</v>
      </c>
      <c r="AY244" t="s">
        <v>8526</v>
      </c>
      <c r="AZ244">
        <v>0</v>
      </c>
      <c r="BA244" t="s">
        <v>8491</v>
      </c>
      <c r="BB244">
        <v>0</v>
      </c>
      <c r="BC244" t="s">
        <v>8462</v>
      </c>
      <c r="BD244">
        <v>0</v>
      </c>
      <c r="BE244" t="s">
        <v>8464</v>
      </c>
      <c r="BF244" t="s">
        <v>8455</v>
      </c>
      <c r="BG244" t="s">
        <v>8455</v>
      </c>
      <c r="BH244">
        <v>5.9318200000000001</v>
      </c>
      <c r="BJ244" s="1" t="s">
        <v>8864</v>
      </c>
      <c r="BK244" s="1" t="s">
        <v>8865</v>
      </c>
    </row>
    <row r="245" spans="1:63" x14ac:dyDescent="0.25">
      <c r="A245">
        <v>418</v>
      </c>
      <c r="B245">
        <v>461</v>
      </c>
      <c r="C245" t="s">
        <v>8445</v>
      </c>
      <c r="F245">
        <v>1008893</v>
      </c>
      <c r="G245" t="s">
        <v>7674</v>
      </c>
      <c r="H245" t="s">
        <v>7675</v>
      </c>
      <c r="I245" t="s">
        <v>8501</v>
      </c>
      <c r="J245">
        <v>0</v>
      </c>
      <c r="K245">
        <v>6</v>
      </c>
      <c r="L245">
        <v>0</v>
      </c>
      <c r="M245">
        <v>265600</v>
      </c>
      <c r="N245">
        <v>276</v>
      </c>
      <c r="O245">
        <v>0</v>
      </c>
      <c r="P245">
        <v>5</v>
      </c>
      <c r="Q245">
        <v>0</v>
      </c>
      <c r="R245">
        <v>-13500</v>
      </c>
      <c r="S245">
        <v>274</v>
      </c>
      <c r="T245">
        <v>0</v>
      </c>
      <c r="U245">
        <v>0</v>
      </c>
      <c r="V245">
        <v>585</v>
      </c>
      <c r="W245" t="s">
        <v>8475</v>
      </c>
      <c r="X245">
        <v>0</v>
      </c>
      <c r="Y245">
        <v>28</v>
      </c>
      <c r="Z245">
        <v>0</v>
      </c>
      <c r="AA245">
        <v>21</v>
      </c>
      <c r="AB245">
        <v>0</v>
      </c>
      <c r="AC245">
        <v>24</v>
      </c>
      <c r="AD245">
        <v>0</v>
      </c>
      <c r="AE245">
        <v>8</v>
      </c>
      <c r="AF245">
        <v>0</v>
      </c>
      <c r="AG245">
        <v>4</v>
      </c>
      <c r="AH245">
        <v>0</v>
      </c>
      <c r="AI245">
        <v>-7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55.2</v>
      </c>
      <c r="AQ245">
        <v>133</v>
      </c>
      <c r="AR245">
        <v>55.2</v>
      </c>
      <c r="AS245">
        <v>47.333300000000001</v>
      </c>
      <c r="AT245" t="s">
        <v>8502</v>
      </c>
      <c r="AU245">
        <v>53</v>
      </c>
      <c r="AV245">
        <v>0</v>
      </c>
      <c r="AW245" t="s">
        <v>8461</v>
      </c>
      <c r="AX245">
        <v>0</v>
      </c>
      <c r="AY245" t="s">
        <v>8483</v>
      </c>
      <c r="AZ245">
        <v>1</v>
      </c>
      <c r="BA245" t="s">
        <v>8459</v>
      </c>
      <c r="BB245">
        <v>0</v>
      </c>
      <c r="BC245" t="s">
        <v>8484</v>
      </c>
      <c r="BD245">
        <v>52.023299999999999</v>
      </c>
      <c r="BE245" t="s">
        <v>8464</v>
      </c>
      <c r="BF245" t="s">
        <v>8463</v>
      </c>
      <c r="BG245" t="s">
        <v>8464</v>
      </c>
      <c r="BH245">
        <v>3.0227300000000001</v>
      </c>
      <c r="BJ245" s="1" t="s">
        <v>8866</v>
      </c>
      <c r="BK245">
        <v>4811.5942028985501</v>
      </c>
    </row>
    <row r="246" spans="1:63" x14ac:dyDescent="0.25">
      <c r="A246">
        <v>419</v>
      </c>
      <c r="B246">
        <v>724</v>
      </c>
      <c r="C246" t="s">
        <v>8445</v>
      </c>
      <c r="F246">
        <v>1032966</v>
      </c>
      <c r="G246" t="s">
        <v>617</v>
      </c>
      <c r="H246" t="s">
        <v>7481</v>
      </c>
      <c r="I246" t="s">
        <v>8548</v>
      </c>
      <c r="J246">
        <v>0</v>
      </c>
      <c r="K246">
        <v>6</v>
      </c>
      <c r="L246">
        <v>0</v>
      </c>
      <c r="M246">
        <v>266800</v>
      </c>
      <c r="N246">
        <v>190</v>
      </c>
      <c r="O246">
        <v>0</v>
      </c>
      <c r="P246">
        <v>4</v>
      </c>
      <c r="Q246">
        <v>0</v>
      </c>
      <c r="R246">
        <v>-11700</v>
      </c>
      <c r="S246">
        <v>358</v>
      </c>
      <c r="T246">
        <v>0</v>
      </c>
      <c r="U246">
        <v>0</v>
      </c>
      <c r="V246">
        <v>400</v>
      </c>
      <c r="W246" t="s">
        <v>8505</v>
      </c>
      <c r="X246">
        <v>0</v>
      </c>
      <c r="Y246">
        <v>25</v>
      </c>
      <c r="Z246">
        <v>0</v>
      </c>
      <c r="AA246">
        <v>11</v>
      </c>
      <c r="AB246">
        <v>0</v>
      </c>
      <c r="AC246">
        <v>11</v>
      </c>
      <c r="AD246">
        <v>0</v>
      </c>
      <c r="AE246">
        <v>5</v>
      </c>
      <c r="AF246">
        <v>0</v>
      </c>
      <c r="AG246">
        <v>7</v>
      </c>
      <c r="AH246">
        <v>0</v>
      </c>
      <c r="AI246">
        <v>-1</v>
      </c>
      <c r="AJ246">
        <v>0</v>
      </c>
      <c r="AK246">
        <v>4</v>
      </c>
      <c r="AL246">
        <v>0</v>
      </c>
      <c r="AM246">
        <v>3</v>
      </c>
      <c r="AN246">
        <v>0</v>
      </c>
      <c r="AO246">
        <v>2</v>
      </c>
      <c r="AP246">
        <v>47.5</v>
      </c>
      <c r="AQ246">
        <v>43</v>
      </c>
      <c r="AR246">
        <v>47.5</v>
      </c>
      <c r="AS246">
        <v>48.333300000000001</v>
      </c>
      <c r="AT246" t="s">
        <v>8549</v>
      </c>
      <c r="AU246">
        <v>42</v>
      </c>
      <c r="AV246">
        <v>0</v>
      </c>
      <c r="AW246" t="s">
        <v>8450</v>
      </c>
      <c r="AX246">
        <v>1</v>
      </c>
      <c r="AY246" t="s">
        <v>8497</v>
      </c>
      <c r="AZ246">
        <v>0</v>
      </c>
      <c r="BA246" t="s">
        <v>8449</v>
      </c>
      <c r="BB246">
        <v>1</v>
      </c>
      <c r="BC246" t="s">
        <v>8471</v>
      </c>
      <c r="BD246">
        <v>45.764699999999998</v>
      </c>
      <c r="BE246" t="s">
        <v>8546</v>
      </c>
      <c r="BF246" t="s">
        <v>8534</v>
      </c>
      <c r="BG246" t="s">
        <v>8495</v>
      </c>
      <c r="BH246">
        <v>0.97727299999999995</v>
      </c>
      <c r="BJ246">
        <v>0.47499999999999998</v>
      </c>
      <c r="BK246" s="1" t="s">
        <v>8867</v>
      </c>
    </row>
    <row r="247" spans="1:63" x14ac:dyDescent="0.25">
      <c r="A247">
        <v>420</v>
      </c>
      <c r="B247">
        <v>317</v>
      </c>
      <c r="C247" t="s">
        <v>8445</v>
      </c>
      <c r="F247">
        <v>290550</v>
      </c>
      <c r="G247" t="s">
        <v>271</v>
      </c>
      <c r="H247" t="s">
        <v>5282</v>
      </c>
      <c r="I247" t="s">
        <v>8482</v>
      </c>
      <c r="J247">
        <v>0</v>
      </c>
      <c r="K247">
        <v>6</v>
      </c>
      <c r="L247">
        <v>0</v>
      </c>
      <c r="M247">
        <v>278000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510</v>
      </c>
      <c r="T247">
        <v>0</v>
      </c>
      <c r="U247">
        <v>0</v>
      </c>
      <c r="V247">
        <v>0</v>
      </c>
      <c r="W247" t="s">
        <v>8447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98</v>
      </c>
      <c r="AR247">
        <v>0</v>
      </c>
      <c r="AS247">
        <v>0</v>
      </c>
      <c r="AT247" t="s">
        <v>8480</v>
      </c>
      <c r="AU247">
        <v>86.176500000000004</v>
      </c>
      <c r="AV247">
        <v>0</v>
      </c>
      <c r="AW247" t="s">
        <v>8514</v>
      </c>
      <c r="AX247">
        <v>1</v>
      </c>
      <c r="AY247" t="s">
        <v>8530</v>
      </c>
      <c r="AZ247">
        <v>1</v>
      </c>
      <c r="BA247" t="s">
        <v>8450</v>
      </c>
      <c r="BB247">
        <v>0</v>
      </c>
      <c r="BC247" t="s">
        <v>8484</v>
      </c>
      <c r="BD247">
        <v>84.28</v>
      </c>
      <c r="BE247" t="s">
        <v>8464</v>
      </c>
      <c r="BF247" t="s">
        <v>8464</v>
      </c>
      <c r="BG247" t="s">
        <v>8531</v>
      </c>
      <c r="BH247">
        <v>2.2272699999999999</v>
      </c>
    </row>
    <row r="248" spans="1:63" x14ac:dyDescent="0.25">
      <c r="A248">
        <v>421</v>
      </c>
      <c r="B248">
        <v>141</v>
      </c>
      <c r="C248" t="s">
        <v>8445</v>
      </c>
      <c r="F248">
        <v>991773</v>
      </c>
      <c r="G248" t="s">
        <v>2130</v>
      </c>
      <c r="H248" t="s">
        <v>6958</v>
      </c>
      <c r="I248" t="s">
        <v>8525</v>
      </c>
      <c r="J248">
        <v>0</v>
      </c>
      <c r="K248">
        <v>6</v>
      </c>
      <c r="L248">
        <v>0</v>
      </c>
      <c r="M248">
        <v>276000</v>
      </c>
      <c r="N248">
        <v>128</v>
      </c>
      <c r="O248">
        <v>0</v>
      </c>
      <c r="P248">
        <v>2</v>
      </c>
      <c r="Q248">
        <v>0</v>
      </c>
      <c r="R248">
        <v>0</v>
      </c>
      <c r="S248">
        <v>418</v>
      </c>
      <c r="T248">
        <v>0</v>
      </c>
      <c r="U248">
        <v>0</v>
      </c>
      <c r="V248">
        <v>236</v>
      </c>
      <c r="W248" t="s">
        <v>8505</v>
      </c>
      <c r="X248">
        <v>0</v>
      </c>
      <c r="Y248">
        <v>11</v>
      </c>
      <c r="Z248">
        <v>0</v>
      </c>
      <c r="AA248">
        <v>8</v>
      </c>
      <c r="AB248">
        <v>0</v>
      </c>
      <c r="AC248">
        <v>6</v>
      </c>
      <c r="AD248">
        <v>0</v>
      </c>
      <c r="AE248">
        <v>2</v>
      </c>
      <c r="AF248">
        <v>0</v>
      </c>
      <c r="AG248">
        <v>0</v>
      </c>
      <c r="AH248">
        <v>0</v>
      </c>
      <c r="AI248">
        <v>-2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64</v>
      </c>
      <c r="AQ248">
        <v>46</v>
      </c>
      <c r="AR248">
        <v>64</v>
      </c>
      <c r="AS248">
        <v>64</v>
      </c>
      <c r="AT248" t="s">
        <v>8524</v>
      </c>
      <c r="AU248">
        <v>53.833300000000001</v>
      </c>
      <c r="AV248">
        <v>1</v>
      </c>
      <c r="AW248" t="s">
        <v>8451</v>
      </c>
      <c r="AX248">
        <v>0</v>
      </c>
      <c r="AY248" t="s">
        <v>8468</v>
      </c>
      <c r="AZ248">
        <v>0</v>
      </c>
      <c r="BA248" t="s">
        <v>8513</v>
      </c>
      <c r="BB248">
        <v>1</v>
      </c>
      <c r="BC248" t="s">
        <v>8527</v>
      </c>
      <c r="BD248">
        <v>63.5</v>
      </c>
      <c r="BE248" t="s">
        <v>8464</v>
      </c>
      <c r="BF248" t="s">
        <v>8464</v>
      </c>
      <c r="BG248" t="s">
        <v>8463</v>
      </c>
      <c r="BH248">
        <v>1.04545</v>
      </c>
      <c r="BJ248" s="1" t="s">
        <v>8868</v>
      </c>
      <c r="BK248">
        <v>4312.5</v>
      </c>
    </row>
    <row r="249" spans="1:63" x14ac:dyDescent="0.25">
      <c r="A249">
        <v>422</v>
      </c>
      <c r="B249">
        <v>399</v>
      </c>
      <c r="C249" t="s">
        <v>8445</v>
      </c>
      <c r="F249">
        <v>1032100</v>
      </c>
      <c r="G249" t="s">
        <v>8869</v>
      </c>
      <c r="H249" t="s">
        <v>8870</v>
      </c>
      <c r="I249" t="s">
        <v>8480</v>
      </c>
      <c r="J249">
        <v>0</v>
      </c>
      <c r="K249">
        <v>6</v>
      </c>
      <c r="L249">
        <v>0</v>
      </c>
      <c r="M249">
        <v>275900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510</v>
      </c>
      <c r="T249">
        <v>0</v>
      </c>
      <c r="U249">
        <v>0</v>
      </c>
      <c r="V249">
        <v>0</v>
      </c>
      <c r="W249" t="s">
        <v>8447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53</v>
      </c>
      <c r="AR249">
        <v>0</v>
      </c>
      <c r="AS249">
        <v>0</v>
      </c>
      <c r="AT249" t="s">
        <v>8482</v>
      </c>
      <c r="AU249">
        <v>0</v>
      </c>
      <c r="AV249">
        <v>1</v>
      </c>
      <c r="AW249" t="s">
        <v>8483</v>
      </c>
      <c r="AX249">
        <v>0</v>
      </c>
      <c r="AY249" t="s">
        <v>8461</v>
      </c>
      <c r="AZ249">
        <v>0</v>
      </c>
      <c r="BA249" t="s">
        <v>8460</v>
      </c>
      <c r="BB249">
        <v>1</v>
      </c>
      <c r="BC249" t="s">
        <v>8484</v>
      </c>
      <c r="BD249">
        <v>57.6</v>
      </c>
      <c r="BE249" t="s">
        <v>8455</v>
      </c>
      <c r="BF249" t="s">
        <v>8464</v>
      </c>
      <c r="BG249" t="s">
        <v>8464</v>
      </c>
      <c r="BH249">
        <v>1.20455</v>
      </c>
    </row>
    <row r="250" spans="1:63" x14ac:dyDescent="0.25">
      <c r="A250">
        <v>423</v>
      </c>
      <c r="B250">
        <v>263</v>
      </c>
      <c r="C250" t="s">
        <v>8445</v>
      </c>
      <c r="F250">
        <v>1006100</v>
      </c>
      <c r="G250" t="s">
        <v>2222</v>
      </c>
      <c r="H250" t="s">
        <v>5590</v>
      </c>
      <c r="I250" t="s">
        <v>8489</v>
      </c>
      <c r="J250">
        <v>0</v>
      </c>
      <c r="K250">
        <v>6</v>
      </c>
      <c r="L250">
        <v>0</v>
      </c>
      <c r="M250">
        <v>275800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510</v>
      </c>
      <c r="T250">
        <v>0</v>
      </c>
      <c r="U250">
        <v>0</v>
      </c>
      <c r="V250">
        <v>0</v>
      </c>
      <c r="W250" t="s">
        <v>8466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21</v>
      </c>
      <c r="AR250">
        <v>0</v>
      </c>
      <c r="AS250">
        <v>0</v>
      </c>
      <c r="AT250" t="s">
        <v>8490</v>
      </c>
      <c r="AU250">
        <v>62</v>
      </c>
      <c r="AV250">
        <v>1</v>
      </c>
      <c r="AW250" t="s">
        <v>8491</v>
      </c>
      <c r="AX250">
        <v>0</v>
      </c>
      <c r="AY250" t="s">
        <v>8492</v>
      </c>
      <c r="AZ250">
        <v>1</v>
      </c>
      <c r="BA250" t="s">
        <v>8493</v>
      </c>
      <c r="BB250">
        <v>0</v>
      </c>
      <c r="BC250" t="s">
        <v>8471</v>
      </c>
      <c r="BD250">
        <v>47</v>
      </c>
      <c r="BE250" t="s">
        <v>8453</v>
      </c>
      <c r="BF250" t="s">
        <v>8494</v>
      </c>
      <c r="BG250" t="s">
        <v>8495</v>
      </c>
      <c r="BH250">
        <v>0.477273</v>
      </c>
    </row>
    <row r="251" spans="1:63" x14ac:dyDescent="0.25">
      <c r="A251">
        <v>424</v>
      </c>
      <c r="B251">
        <v>78</v>
      </c>
      <c r="C251" t="s">
        <v>8445</v>
      </c>
      <c r="F251">
        <v>1009317</v>
      </c>
      <c r="G251" t="s">
        <v>4788</v>
      </c>
      <c r="H251" t="s">
        <v>8871</v>
      </c>
      <c r="I251" t="s">
        <v>8524</v>
      </c>
      <c r="J251">
        <v>0</v>
      </c>
      <c r="K251">
        <v>6</v>
      </c>
      <c r="L251">
        <v>0</v>
      </c>
      <c r="M251">
        <v>247100</v>
      </c>
      <c r="N251">
        <v>150</v>
      </c>
      <c r="O251">
        <v>0</v>
      </c>
      <c r="P251">
        <v>4</v>
      </c>
      <c r="Q251">
        <v>0</v>
      </c>
      <c r="R251">
        <v>-28600</v>
      </c>
      <c r="S251">
        <v>399</v>
      </c>
      <c r="T251">
        <v>0</v>
      </c>
      <c r="U251">
        <v>0</v>
      </c>
      <c r="V251">
        <v>262</v>
      </c>
      <c r="W251" t="s">
        <v>8505</v>
      </c>
      <c r="X251">
        <v>0</v>
      </c>
      <c r="Y251">
        <v>25</v>
      </c>
      <c r="Z251">
        <v>0</v>
      </c>
      <c r="AA251">
        <v>13</v>
      </c>
      <c r="AB251">
        <v>0</v>
      </c>
      <c r="AC251">
        <v>14</v>
      </c>
      <c r="AD251">
        <v>0</v>
      </c>
      <c r="AE251">
        <v>8</v>
      </c>
      <c r="AF251">
        <v>0</v>
      </c>
      <c r="AG251">
        <v>0</v>
      </c>
      <c r="AH251">
        <v>0</v>
      </c>
      <c r="AI251">
        <v>-1</v>
      </c>
      <c r="AJ251">
        <v>0</v>
      </c>
      <c r="AK251">
        <v>0</v>
      </c>
      <c r="AL251">
        <v>0</v>
      </c>
      <c r="AM251">
        <v>2</v>
      </c>
      <c r="AN251">
        <v>0</v>
      </c>
      <c r="AO251">
        <v>0</v>
      </c>
      <c r="AP251">
        <v>37.5</v>
      </c>
      <c r="AQ251">
        <v>49</v>
      </c>
      <c r="AR251">
        <v>37.5</v>
      </c>
      <c r="AS251">
        <v>44.333300000000001</v>
      </c>
      <c r="AT251" t="s">
        <v>8525</v>
      </c>
      <c r="AU251">
        <v>0</v>
      </c>
      <c r="AV251">
        <v>0</v>
      </c>
      <c r="AW251" t="s">
        <v>8470</v>
      </c>
      <c r="AX251">
        <v>1</v>
      </c>
      <c r="AY251" t="s">
        <v>8449</v>
      </c>
      <c r="AZ251">
        <v>0</v>
      </c>
      <c r="BA251" t="s">
        <v>8526</v>
      </c>
      <c r="BB251">
        <v>1</v>
      </c>
      <c r="BC251" t="s">
        <v>8527</v>
      </c>
      <c r="BD251">
        <v>50.75</v>
      </c>
      <c r="BE251" t="s">
        <v>8455</v>
      </c>
      <c r="BF251" t="s">
        <v>8494</v>
      </c>
      <c r="BG251" t="s">
        <v>8498</v>
      </c>
      <c r="BH251">
        <v>1.11364</v>
      </c>
      <c r="BJ251" s="1" t="s">
        <v>8872</v>
      </c>
      <c r="BK251" s="1" t="s">
        <v>8873</v>
      </c>
    </row>
    <row r="252" spans="1:63" x14ac:dyDescent="0.25">
      <c r="A252">
        <v>425</v>
      </c>
      <c r="B252">
        <v>604</v>
      </c>
      <c r="C252" t="s">
        <v>8445</v>
      </c>
      <c r="F252">
        <v>1031829</v>
      </c>
      <c r="G252" t="s">
        <v>617</v>
      </c>
      <c r="H252" t="s">
        <v>8874</v>
      </c>
      <c r="I252" t="s">
        <v>8490</v>
      </c>
      <c r="J252">
        <v>0</v>
      </c>
      <c r="K252">
        <v>6</v>
      </c>
      <c r="L252">
        <v>0</v>
      </c>
      <c r="M252">
        <v>308900</v>
      </c>
      <c r="N252">
        <v>323</v>
      </c>
      <c r="O252">
        <v>0</v>
      </c>
      <c r="P252">
        <v>5</v>
      </c>
      <c r="Q252">
        <v>0</v>
      </c>
      <c r="R252">
        <v>33900</v>
      </c>
      <c r="S252">
        <v>220</v>
      </c>
      <c r="T252">
        <v>0</v>
      </c>
      <c r="U252">
        <v>0</v>
      </c>
      <c r="V252">
        <v>539</v>
      </c>
      <c r="W252" t="s">
        <v>8475</v>
      </c>
      <c r="X252">
        <v>0</v>
      </c>
      <c r="Y252">
        <v>39</v>
      </c>
      <c r="Z252">
        <v>0</v>
      </c>
      <c r="AA252">
        <v>42</v>
      </c>
      <c r="AB252">
        <v>0</v>
      </c>
      <c r="AC252">
        <v>16</v>
      </c>
      <c r="AD252">
        <v>0</v>
      </c>
      <c r="AE252">
        <v>11</v>
      </c>
      <c r="AF252">
        <v>0</v>
      </c>
      <c r="AG252">
        <v>3</v>
      </c>
      <c r="AH252">
        <v>0</v>
      </c>
      <c r="AI252">
        <v>-3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64.599999999999994</v>
      </c>
      <c r="AQ252">
        <v>120</v>
      </c>
      <c r="AR252">
        <v>64.599999999999994</v>
      </c>
      <c r="AS252">
        <v>71.666700000000006</v>
      </c>
      <c r="AT252" t="s">
        <v>8489</v>
      </c>
      <c r="AU252">
        <v>0</v>
      </c>
      <c r="AV252">
        <v>0</v>
      </c>
      <c r="AW252" t="s">
        <v>8460</v>
      </c>
      <c r="AX252">
        <v>1</v>
      </c>
      <c r="AY252" t="s">
        <v>8459</v>
      </c>
      <c r="AZ252">
        <v>1</v>
      </c>
      <c r="BA252" t="s">
        <v>8483</v>
      </c>
      <c r="BB252">
        <v>0</v>
      </c>
      <c r="BC252" t="s">
        <v>8471</v>
      </c>
      <c r="BD252">
        <v>65.666700000000006</v>
      </c>
      <c r="BE252" t="s">
        <v>8464</v>
      </c>
      <c r="BF252" t="s">
        <v>8464</v>
      </c>
      <c r="BG252" t="s">
        <v>8464</v>
      </c>
      <c r="BH252">
        <v>2.7272699999999999</v>
      </c>
      <c r="BJ252" s="1" t="s">
        <v>8875</v>
      </c>
      <c r="BK252" s="1" t="s">
        <v>8876</v>
      </c>
    </row>
    <row r="253" spans="1:63" x14ac:dyDescent="0.25">
      <c r="A253">
        <v>426</v>
      </c>
      <c r="B253">
        <v>456</v>
      </c>
      <c r="C253" t="s">
        <v>8445</v>
      </c>
      <c r="F253">
        <v>280824</v>
      </c>
      <c r="G253" t="s">
        <v>1235</v>
      </c>
      <c r="H253" t="s">
        <v>7687</v>
      </c>
      <c r="I253" t="s">
        <v>8501</v>
      </c>
      <c r="J253">
        <v>0</v>
      </c>
      <c r="K253">
        <v>6</v>
      </c>
      <c r="L253">
        <v>0</v>
      </c>
      <c r="M253">
        <v>261900</v>
      </c>
      <c r="N253">
        <v>135</v>
      </c>
      <c r="O253">
        <v>0</v>
      </c>
      <c r="P253">
        <v>3</v>
      </c>
      <c r="Q253">
        <v>0</v>
      </c>
      <c r="R253">
        <v>-12900</v>
      </c>
      <c r="S253">
        <v>408</v>
      </c>
      <c r="T253">
        <v>0</v>
      </c>
      <c r="U253">
        <v>0</v>
      </c>
      <c r="V253">
        <v>288</v>
      </c>
      <c r="W253" t="s">
        <v>8505</v>
      </c>
      <c r="X253">
        <v>0</v>
      </c>
      <c r="Y253">
        <v>16</v>
      </c>
      <c r="Z253">
        <v>0</v>
      </c>
      <c r="AA253">
        <v>7</v>
      </c>
      <c r="AB253">
        <v>0</v>
      </c>
      <c r="AC253">
        <v>8</v>
      </c>
      <c r="AD253">
        <v>0</v>
      </c>
      <c r="AE253">
        <v>5</v>
      </c>
      <c r="AF253">
        <v>0</v>
      </c>
      <c r="AG253">
        <v>2</v>
      </c>
      <c r="AH253">
        <v>0</v>
      </c>
      <c r="AI253">
        <v>-1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2</v>
      </c>
      <c r="AP253">
        <v>45</v>
      </c>
      <c r="AQ253">
        <v>21</v>
      </c>
      <c r="AR253">
        <v>45</v>
      </c>
      <c r="AS253">
        <v>45</v>
      </c>
      <c r="AT253" t="s">
        <v>8502</v>
      </c>
      <c r="AU253">
        <v>49.363599999999998</v>
      </c>
      <c r="AV253">
        <v>0</v>
      </c>
      <c r="AW253" t="s">
        <v>8461</v>
      </c>
      <c r="AX253">
        <v>0</v>
      </c>
      <c r="AY253" t="s">
        <v>8483</v>
      </c>
      <c r="AZ253">
        <v>1</v>
      </c>
      <c r="BA253" t="s">
        <v>8459</v>
      </c>
      <c r="BB253">
        <v>0</v>
      </c>
      <c r="BC253" t="s">
        <v>8484</v>
      </c>
      <c r="BD253">
        <v>59.088900000000002</v>
      </c>
      <c r="BE253" t="s">
        <v>8464</v>
      </c>
      <c r="BF253" t="s">
        <v>8463</v>
      </c>
      <c r="BG253" t="s">
        <v>8464</v>
      </c>
      <c r="BH253">
        <v>0.477273</v>
      </c>
      <c r="BJ253">
        <v>0.46875</v>
      </c>
      <c r="BK253">
        <v>5820</v>
      </c>
    </row>
    <row r="254" spans="1:63" x14ac:dyDescent="0.25">
      <c r="A254">
        <v>427</v>
      </c>
      <c r="B254">
        <v>768</v>
      </c>
      <c r="C254" t="s">
        <v>8445</v>
      </c>
      <c r="F254">
        <v>1006550</v>
      </c>
      <c r="G254" t="s">
        <v>1127</v>
      </c>
      <c r="H254" t="s">
        <v>5876</v>
      </c>
      <c r="I254" t="s">
        <v>8456</v>
      </c>
      <c r="J254">
        <v>0</v>
      </c>
      <c r="K254">
        <v>6</v>
      </c>
      <c r="L254">
        <v>0</v>
      </c>
      <c r="M254">
        <v>272800</v>
      </c>
      <c r="N254">
        <v>22</v>
      </c>
      <c r="O254">
        <v>0</v>
      </c>
      <c r="P254">
        <v>1</v>
      </c>
      <c r="Q254">
        <v>0</v>
      </c>
      <c r="R254">
        <v>0</v>
      </c>
      <c r="S254">
        <v>502</v>
      </c>
      <c r="T254">
        <v>0</v>
      </c>
      <c r="U254">
        <v>0</v>
      </c>
      <c r="V254">
        <v>38</v>
      </c>
      <c r="W254" t="s">
        <v>8466</v>
      </c>
      <c r="X254">
        <v>0</v>
      </c>
      <c r="Y254">
        <v>2</v>
      </c>
      <c r="Z254">
        <v>0</v>
      </c>
      <c r="AA254">
        <v>1</v>
      </c>
      <c r="AB254">
        <v>0</v>
      </c>
      <c r="AC254">
        <v>2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-1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22</v>
      </c>
      <c r="AQ254">
        <v>21</v>
      </c>
      <c r="AR254">
        <v>22</v>
      </c>
      <c r="AS254">
        <v>22</v>
      </c>
      <c r="AT254" t="s">
        <v>8458</v>
      </c>
      <c r="AU254">
        <v>53.428600000000003</v>
      </c>
      <c r="AV254">
        <v>0</v>
      </c>
      <c r="AW254" t="s">
        <v>8459</v>
      </c>
      <c r="AX254">
        <v>1</v>
      </c>
      <c r="AY254" t="s">
        <v>8460</v>
      </c>
      <c r="AZ254">
        <v>0</v>
      </c>
      <c r="BA254" t="s">
        <v>8461</v>
      </c>
      <c r="BB254">
        <v>1</v>
      </c>
      <c r="BC254" t="s">
        <v>8462</v>
      </c>
      <c r="BD254">
        <v>49.571399999999997</v>
      </c>
      <c r="BE254" t="s">
        <v>8455</v>
      </c>
      <c r="BF254" t="s">
        <v>8463</v>
      </c>
      <c r="BG254" t="s">
        <v>8464</v>
      </c>
      <c r="BH254">
        <v>0.477273</v>
      </c>
      <c r="BJ254" s="1" t="s">
        <v>8877</v>
      </c>
      <c r="BK254">
        <v>12400</v>
      </c>
    </row>
    <row r="255" spans="1:63" x14ac:dyDescent="0.25">
      <c r="A255">
        <v>428</v>
      </c>
      <c r="B255">
        <v>583</v>
      </c>
      <c r="C255" t="s">
        <v>8445</v>
      </c>
      <c r="F255">
        <v>1006030</v>
      </c>
      <c r="G255" t="s">
        <v>3830</v>
      </c>
      <c r="H255" t="s">
        <v>5941</v>
      </c>
      <c r="I255" t="s">
        <v>8490</v>
      </c>
      <c r="J255">
        <v>0</v>
      </c>
      <c r="K255">
        <v>6</v>
      </c>
      <c r="L255">
        <v>0</v>
      </c>
      <c r="M255">
        <v>272500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510</v>
      </c>
      <c r="T255">
        <v>0</v>
      </c>
      <c r="U255">
        <v>0</v>
      </c>
      <c r="V255">
        <v>0</v>
      </c>
      <c r="W255" t="s">
        <v>8447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28</v>
      </c>
      <c r="AR255">
        <v>0</v>
      </c>
      <c r="AS255">
        <v>0</v>
      </c>
      <c r="AT255" t="s">
        <v>8489</v>
      </c>
      <c r="AU255">
        <v>42.333300000000001</v>
      </c>
      <c r="AV255">
        <v>0</v>
      </c>
      <c r="AW255" t="s">
        <v>8460</v>
      </c>
      <c r="AX255">
        <v>1</v>
      </c>
      <c r="AY255" t="s">
        <v>8459</v>
      </c>
      <c r="AZ255">
        <v>1</v>
      </c>
      <c r="BA255" t="s">
        <v>8483</v>
      </c>
      <c r="BB255">
        <v>0</v>
      </c>
      <c r="BC255" t="s">
        <v>8471</v>
      </c>
      <c r="BD255">
        <v>52.818199999999997</v>
      </c>
      <c r="BE255" t="s">
        <v>8464</v>
      </c>
      <c r="BF255" t="s">
        <v>8464</v>
      </c>
      <c r="BG255" t="s">
        <v>8464</v>
      </c>
      <c r="BH255">
        <v>0.63636400000000004</v>
      </c>
    </row>
    <row r="256" spans="1:63" x14ac:dyDescent="0.25">
      <c r="A256">
        <v>429</v>
      </c>
      <c r="B256">
        <v>230</v>
      </c>
      <c r="C256" t="s">
        <v>8445</v>
      </c>
      <c r="F256">
        <v>999321</v>
      </c>
      <c r="G256" t="s">
        <v>461</v>
      </c>
      <c r="H256" t="s">
        <v>7943</v>
      </c>
      <c r="I256" t="s">
        <v>8502</v>
      </c>
      <c r="J256">
        <v>0</v>
      </c>
      <c r="K256">
        <v>6</v>
      </c>
      <c r="L256">
        <v>0</v>
      </c>
      <c r="M256">
        <v>298400</v>
      </c>
      <c r="N256">
        <v>311</v>
      </c>
      <c r="O256">
        <v>0</v>
      </c>
      <c r="P256">
        <v>5</v>
      </c>
      <c r="Q256">
        <v>0</v>
      </c>
      <c r="R256">
        <v>26800</v>
      </c>
      <c r="S256">
        <v>239</v>
      </c>
      <c r="T256">
        <v>0</v>
      </c>
      <c r="U256">
        <v>0</v>
      </c>
      <c r="V256">
        <v>515</v>
      </c>
      <c r="W256" t="s">
        <v>8475</v>
      </c>
      <c r="X256">
        <v>0</v>
      </c>
      <c r="Y256">
        <v>46</v>
      </c>
      <c r="Z256">
        <v>0</v>
      </c>
      <c r="AA256">
        <v>19</v>
      </c>
      <c r="AB256">
        <v>0</v>
      </c>
      <c r="AC256">
        <v>24</v>
      </c>
      <c r="AD256">
        <v>0</v>
      </c>
      <c r="AE256">
        <v>9</v>
      </c>
      <c r="AF256">
        <v>0</v>
      </c>
      <c r="AG256">
        <v>1</v>
      </c>
      <c r="AH256">
        <v>0</v>
      </c>
      <c r="AI256">
        <v>-2</v>
      </c>
      <c r="AJ256">
        <v>0</v>
      </c>
      <c r="AK256">
        <v>0</v>
      </c>
      <c r="AL256">
        <v>0</v>
      </c>
      <c r="AM256">
        <v>9</v>
      </c>
      <c r="AN256">
        <v>0</v>
      </c>
      <c r="AO256">
        <v>3</v>
      </c>
      <c r="AP256">
        <v>62.2</v>
      </c>
      <c r="AQ256">
        <v>136</v>
      </c>
      <c r="AR256">
        <v>62.2</v>
      </c>
      <c r="AS256">
        <v>69.666700000000006</v>
      </c>
      <c r="AT256" t="s">
        <v>8501</v>
      </c>
      <c r="AU256">
        <v>60</v>
      </c>
      <c r="AV256">
        <v>1</v>
      </c>
      <c r="AW256" t="s">
        <v>8469</v>
      </c>
      <c r="AX256">
        <v>0</v>
      </c>
      <c r="AY256" t="s">
        <v>8470</v>
      </c>
      <c r="AZ256">
        <v>1</v>
      </c>
      <c r="BA256" t="s">
        <v>8530</v>
      </c>
      <c r="BB256">
        <v>0</v>
      </c>
      <c r="BC256" t="s">
        <v>8484</v>
      </c>
      <c r="BD256">
        <v>66.8</v>
      </c>
      <c r="BE256" t="s">
        <v>8463</v>
      </c>
      <c r="BF256" t="s">
        <v>8455</v>
      </c>
      <c r="BG256" t="s">
        <v>8463</v>
      </c>
      <c r="BH256">
        <v>3.09091</v>
      </c>
      <c r="BJ256" s="1" t="s">
        <v>8878</v>
      </c>
      <c r="BK256" s="1" t="s">
        <v>8879</v>
      </c>
    </row>
    <row r="257" spans="1:63" x14ac:dyDescent="0.25">
      <c r="A257">
        <v>430</v>
      </c>
      <c r="B257">
        <v>719</v>
      </c>
      <c r="C257" t="s">
        <v>8445</v>
      </c>
      <c r="F257">
        <v>998782</v>
      </c>
      <c r="G257" t="s">
        <v>7475</v>
      </c>
      <c r="H257" t="s">
        <v>7476</v>
      </c>
      <c r="I257" t="s">
        <v>8548</v>
      </c>
      <c r="J257">
        <v>0</v>
      </c>
      <c r="K257">
        <v>6</v>
      </c>
      <c r="L257">
        <v>0</v>
      </c>
      <c r="M257">
        <v>301700</v>
      </c>
      <c r="N257">
        <v>271</v>
      </c>
      <c r="O257">
        <v>0</v>
      </c>
      <c r="P257">
        <v>4</v>
      </c>
      <c r="Q257">
        <v>0</v>
      </c>
      <c r="R257">
        <v>30100</v>
      </c>
      <c r="S257">
        <v>279</v>
      </c>
      <c r="T257">
        <v>0</v>
      </c>
      <c r="U257">
        <v>0</v>
      </c>
      <c r="V257">
        <v>461</v>
      </c>
      <c r="W257" t="s">
        <v>8475</v>
      </c>
      <c r="X257">
        <v>0</v>
      </c>
      <c r="Y257">
        <v>25</v>
      </c>
      <c r="Z257">
        <v>0</v>
      </c>
      <c r="AA257">
        <v>22</v>
      </c>
      <c r="AB257">
        <v>0</v>
      </c>
      <c r="AC257">
        <v>19</v>
      </c>
      <c r="AD257">
        <v>0</v>
      </c>
      <c r="AE257">
        <v>12</v>
      </c>
      <c r="AF257">
        <v>0</v>
      </c>
      <c r="AG257">
        <v>2</v>
      </c>
      <c r="AH257">
        <v>0</v>
      </c>
      <c r="AI257">
        <v>-4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67.75</v>
      </c>
      <c r="AQ257">
        <v>111</v>
      </c>
      <c r="AR257">
        <v>67.75</v>
      </c>
      <c r="AS257">
        <v>66.666700000000006</v>
      </c>
      <c r="AT257" t="s">
        <v>8549</v>
      </c>
      <c r="AU257">
        <v>55.5</v>
      </c>
      <c r="AV257">
        <v>0</v>
      </c>
      <c r="AW257" t="s">
        <v>8450</v>
      </c>
      <c r="AX257">
        <v>1</v>
      </c>
      <c r="AY257" t="s">
        <v>8497</v>
      </c>
      <c r="AZ257">
        <v>0</v>
      </c>
      <c r="BA257" t="s">
        <v>8449</v>
      </c>
      <c r="BB257">
        <v>1</v>
      </c>
      <c r="BC257" t="s">
        <v>8471</v>
      </c>
      <c r="BD257">
        <v>51.625</v>
      </c>
      <c r="BE257" t="s">
        <v>8546</v>
      </c>
      <c r="BF257" t="s">
        <v>8534</v>
      </c>
      <c r="BG257" t="s">
        <v>8495</v>
      </c>
      <c r="BH257">
        <v>2.5227300000000001</v>
      </c>
      <c r="BJ257" s="1" t="s">
        <v>8880</v>
      </c>
      <c r="BK257" s="1" t="s">
        <v>8881</v>
      </c>
    </row>
    <row r="258" spans="1:63" x14ac:dyDescent="0.25">
      <c r="A258">
        <v>431</v>
      </c>
      <c r="B258">
        <v>571</v>
      </c>
      <c r="C258" t="s">
        <v>8445</v>
      </c>
      <c r="F258">
        <v>1023275</v>
      </c>
      <c r="G258" t="s">
        <v>7895</v>
      </c>
      <c r="H258" t="s">
        <v>5431</v>
      </c>
      <c r="I258" t="s">
        <v>8490</v>
      </c>
      <c r="J258">
        <v>0</v>
      </c>
      <c r="K258">
        <v>6</v>
      </c>
      <c r="L258">
        <v>0</v>
      </c>
      <c r="M258">
        <v>309900</v>
      </c>
      <c r="N258">
        <v>322</v>
      </c>
      <c r="O258">
        <v>0</v>
      </c>
      <c r="P258">
        <v>5</v>
      </c>
      <c r="Q258">
        <v>0</v>
      </c>
      <c r="R258">
        <v>39200</v>
      </c>
      <c r="S258">
        <v>222</v>
      </c>
      <c r="T258">
        <v>0</v>
      </c>
      <c r="U258">
        <v>0</v>
      </c>
      <c r="V258">
        <v>524</v>
      </c>
      <c r="W258" t="s">
        <v>8475</v>
      </c>
      <c r="X258">
        <v>0</v>
      </c>
      <c r="Y258">
        <v>30</v>
      </c>
      <c r="Z258">
        <v>0</v>
      </c>
      <c r="AA258">
        <v>27</v>
      </c>
      <c r="AB258">
        <v>0</v>
      </c>
      <c r="AC258">
        <v>6</v>
      </c>
      <c r="AD258">
        <v>0</v>
      </c>
      <c r="AE258">
        <v>13</v>
      </c>
      <c r="AF258">
        <v>0</v>
      </c>
      <c r="AG258">
        <v>2</v>
      </c>
      <c r="AH258">
        <v>0</v>
      </c>
      <c r="AI258">
        <v>-4</v>
      </c>
      <c r="AJ258">
        <v>0</v>
      </c>
      <c r="AK258">
        <v>0</v>
      </c>
      <c r="AL258">
        <v>0</v>
      </c>
      <c r="AM258">
        <v>9</v>
      </c>
      <c r="AN258">
        <v>0</v>
      </c>
      <c r="AO258">
        <v>6</v>
      </c>
      <c r="AP258">
        <v>64.400000000000006</v>
      </c>
      <c r="AQ258">
        <v>274</v>
      </c>
      <c r="AR258">
        <v>64.400000000000006</v>
      </c>
      <c r="AS258">
        <v>55</v>
      </c>
      <c r="AT258" t="s">
        <v>8489</v>
      </c>
      <c r="AU258">
        <v>64.5</v>
      </c>
      <c r="AV258">
        <v>0</v>
      </c>
      <c r="AW258" t="s">
        <v>8460</v>
      </c>
      <c r="AX258">
        <v>1</v>
      </c>
      <c r="AY258" t="s">
        <v>8459</v>
      </c>
      <c r="AZ258">
        <v>1</v>
      </c>
      <c r="BA258" t="s">
        <v>8483</v>
      </c>
      <c r="BB258">
        <v>0</v>
      </c>
      <c r="BC258" t="s">
        <v>8471</v>
      </c>
      <c r="BD258">
        <v>53.333300000000001</v>
      </c>
      <c r="BE258" t="s">
        <v>8464</v>
      </c>
      <c r="BF258" t="s">
        <v>8464</v>
      </c>
      <c r="BG258" t="s">
        <v>8464</v>
      </c>
      <c r="BH258">
        <v>6.2272699999999999</v>
      </c>
      <c r="BJ258" s="1" t="s">
        <v>8882</v>
      </c>
      <c r="BK258" s="1" t="s">
        <v>8883</v>
      </c>
    </row>
    <row r="259" spans="1:63" x14ac:dyDescent="0.25">
      <c r="A259">
        <v>432</v>
      </c>
      <c r="B259">
        <v>637</v>
      </c>
      <c r="C259" t="s">
        <v>8445</v>
      </c>
      <c r="F259">
        <v>1024279</v>
      </c>
      <c r="G259" t="s">
        <v>8884</v>
      </c>
      <c r="H259" t="s">
        <v>8885</v>
      </c>
      <c r="I259" t="s">
        <v>8549</v>
      </c>
      <c r="J259">
        <v>0</v>
      </c>
      <c r="K259">
        <v>6</v>
      </c>
      <c r="L259">
        <v>0</v>
      </c>
      <c r="M259">
        <v>270500</v>
      </c>
      <c r="N259">
        <v>66</v>
      </c>
      <c r="O259">
        <v>0</v>
      </c>
      <c r="P259">
        <v>1</v>
      </c>
      <c r="Q259">
        <v>0</v>
      </c>
      <c r="R259">
        <v>0</v>
      </c>
      <c r="S259">
        <v>466</v>
      </c>
      <c r="T259">
        <v>0</v>
      </c>
      <c r="U259">
        <v>0</v>
      </c>
      <c r="V259">
        <v>113</v>
      </c>
      <c r="W259" t="s">
        <v>8505</v>
      </c>
      <c r="X259">
        <v>0</v>
      </c>
      <c r="Y259">
        <v>14</v>
      </c>
      <c r="Z259">
        <v>0</v>
      </c>
      <c r="AA259">
        <v>4</v>
      </c>
      <c r="AB259">
        <v>0</v>
      </c>
      <c r="AC259">
        <v>5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-3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66</v>
      </c>
      <c r="AQ259">
        <v>105</v>
      </c>
      <c r="AR259">
        <v>66</v>
      </c>
      <c r="AS259">
        <v>66</v>
      </c>
      <c r="AT259" t="s">
        <v>8548</v>
      </c>
      <c r="AU259">
        <v>0</v>
      </c>
      <c r="AV259">
        <v>1</v>
      </c>
      <c r="AW259" t="s">
        <v>8492</v>
      </c>
      <c r="AX259">
        <v>0</v>
      </c>
      <c r="AY259" t="s">
        <v>8513</v>
      </c>
      <c r="AZ259">
        <v>0</v>
      </c>
      <c r="BA259" t="s">
        <v>8514</v>
      </c>
      <c r="BB259">
        <v>0</v>
      </c>
      <c r="BC259" t="s">
        <v>8471</v>
      </c>
      <c r="BD259">
        <v>53.5</v>
      </c>
      <c r="BE259" t="s">
        <v>8455</v>
      </c>
      <c r="BF259" t="s">
        <v>8455</v>
      </c>
      <c r="BG259" t="s">
        <v>8464</v>
      </c>
      <c r="BH259">
        <v>2.3863599999999998</v>
      </c>
      <c r="BJ259">
        <v>0.58407079646017701</v>
      </c>
      <c r="BK259" s="1" t="s">
        <v>8886</v>
      </c>
    </row>
    <row r="260" spans="1:63" x14ac:dyDescent="0.25">
      <c r="A260">
        <v>434</v>
      </c>
      <c r="B260">
        <v>657</v>
      </c>
      <c r="C260" t="s">
        <v>8445</v>
      </c>
      <c r="F260">
        <v>1013133</v>
      </c>
      <c r="G260" t="s">
        <v>7009</v>
      </c>
      <c r="H260" t="s">
        <v>5431</v>
      </c>
      <c r="I260" t="s">
        <v>8446</v>
      </c>
      <c r="J260">
        <v>0</v>
      </c>
      <c r="K260">
        <v>6</v>
      </c>
      <c r="L260">
        <v>0</v>
      </c>
      <c r="M260">
        <v>311600</v>
      </c>
      <c r="N260">
        <v>331</v>
      </c>
      <c r="O260">
        <v>0</v>
      </c>
      <c r="P260">
        <v>5</v>
      </c>
      <c r="Q260">
        <v>0</v>
      </c>
      <c r="R260">
        <v>41900</v>
      </c>
      <c r="S260">
        <v>209</v>
      </c>
      <c r="T260">
        <v>0</v>
      </c>
      <c r="U260">
        <v>0</v>
      </c>
      <c r="V260">
        <v>504</v>
      </c>
      <c r="W260" t="s">
        <v>8475</v>
      </c>
      <c r="X260">
        <v>0</v>
      </c>
      <c r="Y260">
        <v>44</v>
      </c>
      <c r="Z260">
        <v>0</v>
      </c>
      <c r="AA260">
        <v>23</v>
      </c>
      <c r="AB260">
        <v>0</v>
      </c>
      <c r="AC260">
        <v>15</v>
      </c>
      <c r="AD260">
        <v>0</v>
      </c>
      <c r="AE260">
        <v>18</v>
      </c>
      <c r="AF260">
        <v>0</v>
      </c>
      <c r="AG260">
        <v>5</v>
      </c>
      <c r="AH260">
        <v>0</v>
      </c>
      <c r="AI260">
        <v>-3</v>
      </c>
      <c r="AJ260">
        <v>0</v>
      </c>
      <c r="AK260">
        <v>0</v>
      </c>
      <c r="AL260">
        <v>0</v>
      </c>
      <c r="AM260">
        <v>4</v>
      </c>
      <c r="AN260">
        <v>0</v>
      </c>
      <c r="AO260">
        <v>3</v>
      </c>
      <c r="AP260">
        <v>66.2</v>
      </c>
      <c r="AQ260">
        <v>316</v>
      </c>
      <c r="AR260">
        <v>66.2</v>
      </c>
      <c r="AS260">
        <v>64.333299999999994</v>
      </c>
      <c r="AT260" t="s">
        <v>8448</v>
      </c>
      <c r="AU260">
        <v>63</v>
      </c>
      <c r="AV260">
        <v>0</v>
      </c>
      <c r="AW260" t="s">
        <v>8449</v>
      </c>
      <c r="AX260">
        <v>1</v>
      </c>
      <c r="AY260" t="s">
        <v>8450</v>
      </c>
      <c r="AZ260">
        <v>0</v>
      </c>
      <c r="BA260" t="s">
        <v>8451</v>
      </c>
      <c r="BB260">
        <v>1</v>
      </c>
      <c r="BC260" t="s">
        <v>8452</v>
      </c>
      <c r="BD260">
        <v>58.677399999999999</v>
      </c>
      <c r="BE260" t="s">
        <v>8453</v>
      </c>
      <c r="BF260" t="s">
        <v>8454</v>
      </c>
      <c r="BG260" t="s">
        <v>8455</v>
      </c>
      <c r="BH260">
        <v>7.1818200000000001</v>
      </c>
      <c r="BJ260" s="1" t="s">
        <v>8887</v>
      </c>
      <c r="BK260" s="1" t="s">
        <v>8888</v>
      </c>
    </row>
    <row r="261" spans="1:63" x14ac:dyDescent="0.25">
      <c r="A261">
        <v>435</v>
      </c>
      <c r="B261">
        <v>54</v>
      </c>
      <c r="C261" t="s">
        <v>8445</v>
      </c>
      <c r="F261">
        <v>1006059</v>
      </c>
      <c r="G261" t="s">
        <v>5105</v>
      </c>
      <c r="H261" t="s">
        <v>5106</v>
      </c>
      <c r="I261" t="s">
        <v>8524</v>
      </c>
      <c r="J261">
        <v>0</v>
      </c>
      <c r="K261">
        <v>6</v>
      </c>
      <c r="L261">
        <v>0</v>
      </c>
      <c r="M261">
        <v>269100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510</v>
      </c>
      <c r="T261">
        <v>0</v>
      </c>
      <c r="U261">
        <v>0</v>
      </c>
      <c r="V261">
        <v>0</v>
      </c>
      <c r="W261" t="s">
        <v>8466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987</v>
      </c>
      <c r="AR261">
        <v>0</v>
      </c>
      <c r="AS261">
        <v>0</v>
      </c>
      <c r="AT261" t="s">
        <v>8525</v>
      </c>
      <c r="AU261">
        <v>68.75</v>
      </c>
      <c r="AV261">
        <v>0</v>
      </c>
      <c r="AW261" t="s">
        <v>8470</v>
      </c>
      <c r="AX261">
        <v>1</v>
      </c>
      <c r="AY261" t="s">
        <v>8449</v>
      </c>
      <c r="AZ261">
        <v>0</v>
      </c>
      <c r="BA261" t="s">
        <v>8526</v>
      </c>
      <c r="BB261">
        <v>1</v>
      </c>
      <c r="BC261" t="s">
        <v>8527</v>
      </c>
      <c r="BD261">
        <v>72.760000000000005</v>
      </c>
      <c r="BE261" t="s">
        <v>8455</v>
      </c>
      <c r="BF261" t="s">
        <v>8494</v>
      </c>
      <c r="BG261" t="s">
        <v>8498</v>
      </c>
      <c r="BH261">
        <v>22.431799999999999</v>
      </c>
    </row>
    <row r="262" spans="1:63" x14ac:dyDescent="0.25">
      <c r="A262">
        <v>437</v>
      </c>
      <c r="B262">
        <v>177</v>
      </c>
      <c r="C262" t="s">
        <v>8445</v>
      </c>
      <c r="F262">
        <v>1015827</v>
      </c>
      <c r="G262" t="s">
        <v>5685</v>
      </c>
      <c r="H262" t="s">
        <v>5686</v>
      </c>
      <c r="I262" t="s">
        <v>8458</v>
      </c>
      <c r="J262">
        <v>0</v>
      </c>
      <c r="K262">
        <v>6</v>
      </c>
      <c r="L262">
        <v>0</v>
      </c>
      <c r="M262">
        <v>268100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510</v>
      </c>
      <c r="T262">
        <v>0</v>
      </c>
      <c r="U262">
        <v>0</v>
      </c>
      <c r="V262">
        <v>0</v>
      </c>
      <c r="W262" t="s">
        <v>8466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36</v>
      </c>
      <c r="AR262">
        <v>0</v>
      </c>
      <c r="AS262">
        <v>0</v>
      </c>
      <c r="AT262" t="s">
        <v>8456</v>
      </c>
      <c r="AU262">
        <v>56.25</v>
      </c>
      <c r="AV262">
        <v>1</v>
      </c>
      <c r="AW262" t="s">
        <v>8530</v>
      </c>
      <c r="AX262">
        <v>1</v>
      </c>
      <c r="AY262" t="s">
        <v>8526</v>
      </c>
      <c r="AZ262">
        <v>0</v>
      </c>
      <c r="BA262" t="s">
        <v>8491</v>
      </c>
      <c r="BB262">
        <v>0</v>
      </c>
      <c r="BC262" t="s">
        <v>8462</v>
      </c>
      <c r="BD262">
        <v>64.666700000000006</v>
      </c>
      <c r="BE262" t="s">
        <v>8464</v>
      </c>
      <c r="BF262" t="s">
        <v>8455</v>
      </c>
      <c r="BG262" t="s">
        <v>8455</v>
      </c>
      <c r="BH262">
        <v>0.81818199999999996</v>
      </c>
    </row>
    <row r="263" spans="1:63" x14ac:dyDescent="0.25">
      <c r="A263">
        <v>438</v>
      </c>
      <c r="B263">
        <v>228</v>
      </c>
      <c r="C263" t="s">
        <v>8445</v>
      </c>
      <c r="F263">
        <v>1020668</v>
      </c>
      <c r="G263" t="s">
        <v>3361</v>
      </c>
      <c r="H263" t="s">
        <v>7723</v>
      </c>
      <c r="I263" t="s">
        <v>8502</v>
      </c>
      <c r="J263">
        <v>0</v>
      </c>
      <c r="K263">
        <v>6</v>
      </c>
      <c r="L263">
        <v>0</v>
      </c>
      <c r="M263">
        <v>252300</v>
      </c>
      <c r="N263">
        <v>253</v>
      </c>
      <c r="O263">
        <v>0</v>
      </c>
      <c r="P263">
        <v>5</v>
      </c>
      <c r="Q263">
        <v>0</v>
      </c>
      <c r="R263">
        <v>-15200</v>
      </c>
      <c r="S263">
        <v>301</v>
      </c>
      <c r="T263">
        <v>0</v>
      </c>
      <c r="U263">
        <v>0</v>
      </c>
      <c r="V263">
        <v>487</v>
      </c>
      <c r="W263" t="s">
        <v>8475</v>
      </c>
      <c r="X263">
        <v>0</v>
      </c>
      <c r="Y263">
        <v>21</v>
      </c>
      <c r="Z263">
        <v>0</v>
      </c>
      <c r="AA263">
        <v>17</v>
      </c>
      <c r="AB263">
        <v>0</v>
      </c>
      <c r="AC263">
        <v>12</v>
      </c>
      <c r="AD263">
        <v>0</v>
      </c>
      <c r="AE263">
        <v>7</v>
      </c>
      <c r="AF263">
        <v>0</v>
      </c>
      <c r="AG263">
        <v>3</v>
      </c>
      <c r="AH263">
        <v>0</v>
      </c>
      <c r="AI263">
        <v>-3</v>
      </c>
      <c r="AJ263">
        <v>0</v>
      </c>
      <c r="AK263">
        <v>3</v>
      </c>
      <c r="AL263">
        <v>0</v>
      </c>
      <c r="AM263">
        <v>0</v>
      </c>
      <c r="AN263">
        <v>0</v>
      </c>
      <c r="AO263">
        <v>0</v>
      </c>
      <c r="AP263">
        <v>50.6</v>
      </c>
      <c r="AQ263">
        <v>46</v>
      </c>
      <c r="AR263">
        <v>50.6</v>
      </c>
      <c r="AS263">
        <v>48</v>
      </c>
      <c r="AT263" t="s">
        <v>8501</v>
      </c>
      <c r="AU263">
        <v>69</v>
      </c>
      <c r="AV263">
        <v>1</v>
      </c>
      <c r="AW263" t="s">
        <v>8469</v>
      </c>
      <c r="AX263">
        <v>0</v>
      </c>
      <c r="AY263" t="s">
        <v>8470</v>
      </c>
      <c r="AZ263">
        <v>1</v>
      </c>
      <c r="BA263" t="s">
        <v>8530</v>
      </c>
      <c r="BB263">
        <v>0</v>
      </c>
      <c r="BC263" t="s">
        <v>8484</v>
      </c>
      <c r="BD263">
        <v>47.5</v>
      </c>
      <c r="BE263" t="s">
        <v>8463</v>
      </c>
      <c r="BF263" t="s">
        <v>8455</v>
      </c>
      <c r="BG263" t="s">
        <v>8463</v>
      </c>
      <c r="BH263">
        <v>1.04545</v>
      </c>
      <c r="BJ263" s="1" t="s">
        <v>8889</v>
      </c>
      <c r="BK263" s="1" t="s">
        <v>8890</v>
      </c>
    </row>
    <row r="264" spans="1:63" x14ac:dyDescent="0.25">
      <c r="A264">
        <v>439</v>
      </c>
      <c r="B264">
        <v>663</v>
      </c>
      <c r="C264" t="s">
        <v>8445</v>
      </c>
      <c r="F264">
        <v>291848</v>
      </c>
      <c r="G264" t="s">
        <v>811</v>
      </c>
      <c r="H264" t="s">
        <v>6140</v>
      </c>
      <c r="I264" t="s">
        <v>8446</v>
      </c>
      <c r="J264">
        <v>0</v>
      </c>
      <c r="K264">
        <v>6</v>
      </c>
      <c r="L264">
        <v>0</v>
      </c>
      <c r="M264">
        <v>266400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510</v>
      </c>
      <c r="T264">
        <v>0</v>
      </c>
      <c r="U264">
        <v>0</v>
      </c>
      <c r="V264">
        <v>0</v>
      </c>
      <c r="W264" t="s">
        <v>8447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29</v>
      </c>
      <c r="AR264">
        <v>0</v>
      </c>
      <c r="AS264">
        <v>0</v>
      </c>
      <c r="AT264" t="s">
        <v>8448</v>
      </c>
      <c r="AU264">
        <v>58.5</v>
      </c>
      <c r="AV264">
        <v>0</v>
      </c>
      <c r="AW264" t="s">
        <v>8449</v>
      </c>
      <c r="AX264">
        <v>1</v>
      </c>
      <c r="AY264" t="s">
        <v>8450</v>
      </c>
      <c r="AZ264">
        <v>0</v>
      </c>
      <c r="BA264" t="s">
        <v>8451</v>
      </c>
      <c r="BB264">
        <v>1</v>
      </c>
      <c r="BC264" t="s">
        <v>8452</v>
      </c>
      <c r="BD264">
        <v>58.947400000000002</v>
      </c>
      <c r="BE264" t="s">
        <v>8453</v>
      </c>
      <c r="BF264" t="s">
        <v>8454</v>
      </c>
      <c r="BG264" t="s">
        <v>8455</v>
      </c>
      <c r="BH264">
        <v>0.65909099999999998</v>
      </c>
    </row>
    <row r="265" spans="1:63" x14ac:dyDescent="0.25">
      <c r="A265">
        <v>440</v>
      </c>
      <c r="B265">
        <v>6</v>
      </c>
      <c r="C265" t="s">
        <v>8445</v>
      </c>
      <c r="F265">
        <v>1018335</v>
      </c>
      <c r="G265" t="s">
        <v>3687</v>
      </c>
      <c r="H265" t="s">
        <v>5620</v>
      </c>
      <c r="I265" t="s">
        <v>8511</v>
      </c>
      <c r="J265">
        <v>0</v>
      </c>
      <c r="K265">
        <v>6</v>
      </c>
      <c r="L265">
        <v>0</v>
      </c>
      <c r="M265">
        <v>265500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510</v>
      </c>
      <c r="T265">
        <v>0</v>
      </c>
      <c r="U265">
        <v>0</v>
      </c>
      <c r="V265">
        <v>0</v>
      </c>
      <c r="W265" t="s">
        <v>8466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19</v>
      </c>
      <c r="AR265">
        <v>0</v>
      </c>
      <c r="AS265">
        <v>0</v>
      </c>
      <c r="AT265" t="s">
        <v>8512</v>
      </c>
      <c r="AU265">
        <v>30</v>
      </c>
      <c r="AV265">
        <v>0</v>
      </c>
      <c r="AW265" t="s">
        <v>8513</v>
      </c>
      <c r="AX265">
        <v>1</v>
      </c>
      <c r="AY265" t="s">
        <v>8514</v>
      </c>
      <c r="AZ265">
        <v>0</v>
      </c>
      <c r="BA265" t="s">
        <v>8497</v>
      </c>
      <c r="BB265">
        <v>1</v>
      </c>
      <c r="BC265" t="s">
        <v>8515</v>
      </c>
      <c r="BD265">
        <v>45.785699999999999</v>
      </c>
      <c r="BE265" t="s">
        <v>8463</v>
      </c>
      <c r="BF265" t="s">
        <v>8472</v>
      </c>
      <c r="BG265" t="s">
        <v>8472</v>
      </c>
      <c r="BH265">
        <v>0.43181799999999998</v>
      </c>
    </row>
    <row r="266" spans="1:63" x14ac:dyDescent="0.25">
      <c r="A266">
        <v>441</v>
      </c>
      <c r="B266">
        <v>351</v>
      </c>
      <c r="C266" t="s">
        <v>8445</v>
      </c>
      <c r="F266">
        <v>1014038</v>
      </c>
      <c r="G266" t="s">
        <v>8158</v>
      </c>
      <c r="H266" t="s">
        <v>2955</v>
      </c>
      <c r="I266" t="s">
        <v>8512</v>
      </c>
      <c r="J266">
        <v>0</v>
      </c>
      <c r="K266">
        <v>6</v>
      </c>
      <c r="L266">
        <v>0</v>
      </c>
      <c r="M266">
        <v>292500</v>
      </c>
      <c r="N266">
        <v>257</v>
      </c>
      <c r="O266">
        <v>0</v>
      </c>
      <c r="P266">
        <v>4</v>
      </c>
      <c r="Q266">
        <v>0</v>
      </c>
      <c r="R266">
        <v>27600</v>
      </c>
      <c r="S266">
        <v>297</v>
      </c>
      <c r="T266">
        <v>0</v>
      </c>
      <c r="U266">
        <v>0</v>
      </c>
      <c r="V266">
        <v>401</v>
      </c>
      <c r="W266" t="s">
        <v>8475</v>
      </c>
      <c r="X266">
        <v>0</v>
      </c>
      <c r="Y266">
        <v>24</v>
      </c>
      <c r="Z266">
        <v>0</v>
      </c>
      <c r="AA266">
        <v>20</v>
      </c>
      <c r="AB266">
        <v>0</v>
      </c>
      <c r="AC266">
        <v>9</v>
      </c>
      <c r="AD266">
        <v>0</v>
      </c>
      <c r="AE266">
        <v>9</v>
      </c>
      <c r="AF266">
        <v>0</v>
      </c>
      <c r="AG266">
        <v>4</v>
      </c>
      <c r="AH266">
        <v>0</v>
      </c>
      <c r="AI266">
        <v>-4</v>
      </c>
      <c r="AJ266">
        <v>0</v>
      </c>
      <c r="AK266">
        <v>13</v>
      </c>
      <c r="AL266">
        <v>0</v>
      </c>
      <c r="AM266">
        <v>2</v>
      </c>
      <c r="AN266">
        <v>0</v>
      </c>
      <c r="AO266">
        <v>2</v>
      </c>
      <c r="AP266">
        <v>64.25</v>
      </c>
      <c r="AQ266">
        <v>64</v>
      </c>
      <c r="AR266">
        <v>64.25</v>
      </c>
      <c r="AS266">
        <v>69.333299999999994</v>
      </c>
      <c r="AT266" t="s">
        <v>8511</v>
      </c>
      <c r="AU266">
        <v>48</v>
      </c>
      <c r="AV266">
        <v>1</v>
      </c>
      <c r="AW266" t="s">
        <v>8493</v>
      </c>
      <c r="AX266">
        <v>0</v>
      </c>
      <c r="AY266" t="s">
        <v>8491</v>
      </c>
      <c r="AZ266">
        <v>1</v>
      </c>
      <c r="BA266" t="s">
        <v>8468</v>
      </c>
      <c r="BB266">
        <v>1</v>
      </c>
      <c r="BC266" t="s">
        <v>8515</v>
      </c>
      <c r="BD266">
        <v>43</v>
      </c>
      <c r="BE266" t="s">
        <v>8546</v>
      </c>
      <c r="BF266" t="s">
        <v>8454</v>
      </c>
      <c r="BG266" t="s">
        <v>8531</v>
      </c>
      <c r="BH266">
        <v>1.45455</v>
      </c>
      <c r="BJ266" s="1" t="s">
        <v>8891</v>
      </c>
      <c r="BK266" s="1" t="s">
        <v>8892</v>
      </c>
    </row>
    <row r="267" spans="1:63" x14ac:dyDescent="0.25">
      <c r="A267">
        <v>442</v>
      </c>
      <c r="B267">
        <v>95</v>
      </c>
      <c r="C267" t="s">
        <v>8445</v>
      </c>
      <c r="F267">
        <v>1016268</v>
      </c>
      <c r="G267" t="s">
        <v>1450</v>
      </c>
      <c r="H267" t="s">
        <v>5820</v>
      </c>
      <c r="I267" t="s">
        <v>8465</v>
      </c>
      <c r="J267">
        <v>0</v>
      </c>
      <c r="K267">
        <v>6</v>
      </c>
      <c r="L267">
        <v>0</v>
      </c>
      <c r="M267">
        <v>263700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510</v>
      </c>
      <c r="T267">
        <v>0</v>
      </c>
      <c r="U267">
        <v>0</v>
      </c>
      <c r="V267">
        <v>0</v>
      </c>
      <c r="W267" t="s">
        <v>8466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16</v>
      </c>
      <c r="AR267">
        <v>0</v>
      </c>
      <c r="AS267">
        <v>0</v>
      </c>
      <c r="AT267" t="s">
        <v>8467</v>
      </c>
      <c r="AU267">
        <v>54</v>
      </c>
      <c r="AV267">
        <v>1</v>
      </c>
      <c r="AW267" t="s">
        <v>8468</v>
      </c>
      <c r="AX267">
        <v>0</v>
      </c>
      <c r="AY267" t="s">
        <v>8469</v>
      </c>
      <c r="AZ267">
        <v>1</v>
      </c>
      <c r="BA267" t="s">
        <v>8470</v>
      </c>
      <c r="BB267">
        <v>1</v>
      </c>
      <c r="BC267" t="s">
        <v>8471</v>
      </c>
      <c r="BD267">
        <v>52</v>
      </c>
      <c r="BE267" t="s">
        <v>8464</v>
      </c>
      <c r="BF267" t="s">
        <v>8472</v>
      </c>
      <c r="BG267" t="s">
        <v>8464</v>
      </c>
      <c r="BH267">
        <v>0.36363600000000001</v>
      </c>
    </row>
    <row r="268" spans="1:63" x14ac:dyDescent="0.25">
      <c r="A268">
        <v>443</v>
      </c>
      <c r="B268">
        <v>674</v>
      </c>
      <c r="C268" t="s">
        <v>8445</v>
      </c>
      <c r="F268">
        <v>997142</v>
      </c>
      <c r="G268" t="s">
        <v>5596</v>
      </c>
      <c r="H268" t="s">
        <v>7030</v>
      </c>
      <c r="I268" t="s">
        <v>8446</v>
      </c>
      <c r="J268">
        <v>0</v>
      </c>
      <c r="K268">
        <v>6</v>
      </c>
      <c r="L268">
        <v>0</v>
      </c>
      <c r="M268">
        <v>261000</v>
      </c>
      <c r="N268">
        <v>153</v>
      </c>
      <c r="O268">
        <v>0</v>
      </c>
      <c r="P268">
        <v>3</v>
      </c>
      <c r="Q268">
        <v>0</v>
      </c>
      <c r="R268">
        <v>-1800</v>
      </c>
      <c r="S268">
        <v>397</v>
      </c>
      <c r="T268">
        <v>0</v>
      </c>
      <c r="U268">
        <v>0</v>
      </c>
      <c r="V268">
        <v>245</v>
      </c>
      <c r="W268" t="s">
        <v>8505</v>
      </c>
      <c r="X268">
        <v>0</v>
      </c>
      <c r="Y268">
        <v>18</v>
      </c>
      <c r="Z268">
        <v>0</v>
      </c>
      <c r="AA268">
        <v>23</v>
      </c>
      <c r="AB268">
        <v>0</v>
      </c>
      <c r="AC268">
        <v>7</v>
      </c>
      <c r="AD268">
        <v>0</v>
      </c>
      <c r="AE268">
        <v>3</v>
      </c>
      <c r="AF268">
        <v>0</v>
      </c>
      <c r="AG268">
        <v>1</v>
      </c>
      <c r="AH268">
        <v>0</v>
      </c>
      <c r="AI268">
        <v>-2</v>
      </c>
      <c r="AJ268">
        <v>0</v>
      </c>
      <c r="AK268">
        <v>25</v>
      </c>
      <c r="AL268">
        <v>0</v>
      </c>
      <c r="AM268">
        <v>2</v>
      </c>
      <c r="AN268">
        <v>0</v>
      </c>
      <c r="AO268">
        <v>1</v>
      </c>
      <c r="AP268">
        <v>51</v>
      </c>
      <c r="AQ268">
        <v>348</v>
      </c>
      <c r="AR268">
        <v>51</v>
      </c>
      <c r="AS268">
        <v>51</v>
      </c>
      <c r="AT268" t="s">
        <v>8448</v>
      </c>
      <c r="AU268">
        <v>66.666700000000006</v>
      </c>
      <c r="AV268">
        <v>0</v>
      </c>
      <c r="AW268" t="s">
        <v>8449</v>
      </c>
      <c r="AX268">
        <v>1</v>
      </c>
      <c r="AY268" t="s">
        <v>8450</v>
      </c>
      <c r="AZ268">
        <v>0</v>
      </c>
      <c r="BA268" t="s">
        <v>8451</v>
      </c>
      <c r="BB268">
        <v>1</v>
      </c>
      <c r="BC268" t="s">
        <v>8452</v>
      </c>
      <c r="BD268">
        <v>81</v>
      </c>
      <c r="BE268" t="s">
        <v>8453</v>
      </c>
      <c r="BF268" t="s">
        <v>8454</v>
      </c>
      <c r="BG268" t="s">
        <v>8455</v>
      </c>
      <c r="BH268">
        <v>7.90909</v>
      </c>
      <c r="BJ268" s="1" t="s">
        <v>8893</v>
      </c>
      <c r="BK268">
        <v>5117.6470588235297</v>
      </c>
    </row>
    <row r="269" spans="1:63" x14ac:dyDescent="0.25">
      <c r="A269">
        <v>444</v>
      </c>
      <c r="B269">
        <v>189</v>
      </c>
      <c r="C269" t="s">
        <v>8445</v>
      </c>
      <c r="F269">
        <v>1017088</v>
      </c>
      <c r="G269" t="s">
        <v>670</v>
      </c>
      <c r="H269" t="s">
        <v>7756</v>
      </c>
      <c r="I269" t="s">
        <v>8458</v>
      </c>
      <c r="J269">
        <v>0</v>
      </c>
      <c r="K269">
        <v>6</v>
      </c>
      <c r="L269">
        <v>0</v>
      </c>
      <c r="M269">
        <v>285300</v>
      </c>
      <c r="N269">
        <v>254</v>
      </c>
      <c r="O269">
        <v>0</v>
      </c>
      <c r="P269">
        <v>4</v>
      </c>
      <c r="Q269">
        <v>0</v>
      </c>
      <c r="R269">
        <v>22600</v>
      </c>
      <c r="S269">
        <v>300</v>
      </c>
      <c r="T269">
        <v>0</v>
      </c>
      <c r="U269">
        <v>0</v>
      </c>
      <c r="V269">
        <v>349</v>
      </c>
      <c r="W269" t="s">
        <v>8475</v>
      </c>
      <c r="X269">
        <v>0</v>
      </c>
      <c r="Y269">
        <v>24</v>
      </c>
      <c r="Z269">
        <v>0</v>
      </c>
      <c r="AA269">
        <v>44</v>
      </c>
      <c r="AB269">
        <v>0</v>
      </c>
      <c r="AC269">
        <v>6</v>
      </c>
      <c r="AD269">
        <v>0</v>
      </c>
      <c r="AE269">
        <v>16</v>
      </c>
      <c r="AF269">
        <v>0</v>
      </c>
      <c r="AG269">
        <v>3</v>
      </c>
      <c r="AH269">
        <v>0</v>
      </c>
      <c r="AI269">
        <v>-4</v>
      </c>
      <c r="AJ269">
        <v>0</v>
      </c>
      <c r="AK269">
        <v>0</v>
      </c>
      <c r="AL269">
        <v>0</v>
      </c>
      <c r="AM269">
        <v>2</v>
      </c>
      <c r="AN269">
        <v>0</v>
      </c>
      <c r="AO269">
        <v>1</v>
      </c>
      <c r="AP269">
        <v>63.5</v>
      </c>
      <c r="AQ269">
        <v>452</v>
      </c>
      <c r="AR269">
        <v>63.5</v>
      </c>
      <c r="AS269">
        <v>64.666700000000006</v>
      </c>
      <c r="AT269" t="s">
        <v>8456</v>
      </c>
      <c r="AU269">
        <v>46.5</v>
      </c>
      <c r="AV269">
        <v>1</v>
      </c>
      <c r="AW269" t="s">
        <v>8530</v>
      </c>
      <c r="AX269">
        <v>1</v>
      </c>
      <c r="AY269" t="s">
        <v>8526</v>
      </c>
      <c r="AZ269">
        <v>0</v>
      </c>
      <c r="BA269" t="s">
        <v>8491</v>
      </c>
      <c r="BB269">
        <v>0</v>
      </c>
      <c r="BC269" t="s">
        <v>8462</v>
      </c>
      <c r="BD269">
        <v>59</v>
      </c>
      <c r="BE269" t="s">
        <v>8464</v>
      </c>
      <c r="BF269" t="s">
        <v>8455</v>
      </c>
      <c r="BG269" t="s">
        <v>8455</v>
      </c>
      <c r="BH269">
        <v>10.2727</v>
      </c>
      <c r="BJ269" s="1" t="s">
        <v>8894</v>
      </c>
      <c r="BK269" s="1" t="s">
        <v>8895</v>
      </c>
    </row>
    <row r="270" spans="1:63" x14ac:dyDescent="0.25">
      <c r="A270">
        <v>445</v>
      </c>
      <c r="B270">
        <v>400</v>
      </c>
      <c r="C270" t="s">
        <v>8445</v>
      </c>
      <c r="F270">
        <v>293738</v>
      </c>
      <c r="G270" t="s">
        <v>958</v>
      </c>
      <c r="H270" t="s">
        <v>1128</v>
      </c>
      <c r="I270" t="s">
        <v>8480</v>
      </c>
      <c r="J270">
        <v>0</v>
      </c>
      <c r="K270">
        <v>6</v>
      </c>
      <c r="L270">
        <v>0</v>
      </c>
      <c r="M270">
        <v>262600</v>
      </c>
      <c r="N270">
        <v>34</v>
      </c>
      <c r="O270">
        <v>0</v>
      </c>
      <c r="P270">
        <v>2</v>
      </c>
      <c r="Q270">
        <v>0</v>
      </c>
      <c r="R270">
        <v>0</v>
      </c>
      <c r="S270">
        <v>494</v>
      </c>
      <c r="T270">
        <v>0</v>
      </c>
      <c r="U270">
        <v>0</v>
      </c>
      <c r="V270">
        <v>120</v>
      </c>
      <c r="W270" t="s">
        <v>8466</v>
      </c>
      <c r="X270">
        <v>0</v>
      </c>
      <c r="Y270">
        <v>6</v>
      </c>
      <c r="Z270">
        <v>0</v>
      </c>
      <c r="AA270">
        <v>2</v>
      </c>
      <c r="AB270">
        <v>0</v>
      </c>
      <c r="AC270">
        <v>0</v>
      </c>
      <c r="AD270">
        <v>0</v>
      </c>
      <c r="AE270">
        <v>2</v>
      </c>
      <c r="AF270">
        <v>0</v>
      </c>
      <c r="AG270">
        <v>2</v>
      </c>
      <c r="AH270">
        <v>0</v>
      </c>
      <c r="AI270">
        <v>-3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17</v>
      </c>
      <c r="AQ270">
        <v>34</v>
      </c>
      <c r="AR270">
        <v>17</v>
      </c>
      <c r="AS270">
        <v>17</v>
      </c>
      <c r="AT270" t="s">
        <v>8482</v>
      </c>
      <c r="AU270">
        <v>59.555599999999998</v>
      </c>
      <c r="AV270">
        <v>1</v>
      </c>
      <c r="AW270" t="s">
        <v>8483</v>
      </c>
      <c r="AX270">
        <v>0</v>
      </c>
      <c r="AY270" t="s">
        <v>8461</v>
      </c>
      <c r="AZ270">
        <v>0</v>
      </c>
      <c r="BA270" t="s">
        <v>8460</v>
      </c>
      <c r="BB270">
        <v>1</v>
      </c>
      <c r="BC270" t="s">
        <v>8484</v>
      </c>
      <c r="BD270">
        <v>61.3521</v>
      </c>
      <c r="BE270" t="s">
        <v>8455</v>
      </c>
      <c r="BF270" t="s">
        <v>8464</v>
      </c>
      <c r="BG270" t="s">
        <v>8464</v>
      </c>
      <c r="BH270">
        <v>0.77272700000000005</v>
      </c>
      <c r="BJ270" s="1" t="s">
        <v>482</v>
      </c>
      <c r="BK270" s="1" t="s">
        <v>8896</v>
      </c>
    </row>
    <row r="271" spans="1:63" x14ac:dyDescent="0.25">
      <c r="A271">
        <v>447</v>
      </c>
      <c r="B271">
        <v>458</v>
      </c>
      <c r="C271" t="s">
        <v>8445</v>
      </c>
      <c r="F271">
        <v>1013165</v>
      </c>
      <c r="G271" t="s">
        <v>2842</v>
      </c>
      <c r="H271" t="s">
        <v>8897</v>
      </c>
      <c r="I271" t="s">
        <v>8501</v>
      </c>
      <c r="J271">
        <v>0</v>
      </c>
      <c r="K271">
        <v>6</v>
      </c>
      <c r="L271">
        <v>0</v>
      </c>
      <c r="M271">
        <v>260300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510</v>
      </c>
      <c r="T271">
        <v>0</v>
      </c>
      <c r="U271">
        <v>0</v>
      </c>
      <c r="V271">
        <v>0</v>
      </c>
      <c r="W271" t="s">
        <v>8447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26</v>
      </c>
      <c r="AR271">
        <v>0</v>
      </c>
      <c r="AS271">
        <v>0</v>
      </c>
      <c r="AT271" t="s">
        <v>8502</v>
      </c>
      <c r="AU271">
        <v>53</v>
      </c>
      <c r="AV271">
        <v>0</v>
      </c>
      <c r="AW271" t="s">
        <v>8461</v>
      </c>
      <c r="AX271">
        <v>0</v>
      </c>
      <c r="AY271" t="s">
        <v>8483</v>
      </c>
      <c r="AZ271">
        <v>1</v>
      </c>
      <c r="BA271" t="s">
        <v>8459</v>
      </c>
      <c r="BB271">
        <v>0</v>
      </c>
      <c r="BC271" t="s">
        <v>8484</v>
      </c>
      <c r="BD271">
        <v>54.666699999999999</v>
      </c>
      <c r="BE271" t="s">
        <v>8464</v>
      </c>
      <c r="BF271" t="s">
        <v>8463</v>
      </c>
      <c r="BG271" t="s">
        <v>8464</v>
      </c>
      <c r="BH271">
        <v>0.59090900000000002</v>
      </c>
    </row>
    <row r="272" spans="1:63" x14ac:dyDescent="0.25">
      <c r="A272">
        <v>449</v>
      </c>
      <c r="B272">
        <v>732</v>
      </c>
      <c r="C272" t="s">
        <v>8445</v>
      </c>
      <c r="F272">
        <v>1005000</v>
      </c>
      <c r="G272" t="s">
        <v>6389</v>
      </c>
      <c r="H272" t="s">
        <v>6390</v>
      </c>
      <c r="I272" t="s">
        <v>8548</v>
      </c>
      <c r="J272">
        <v>0</v>
      </c>
      <c r="K272">
        <v>6</v>
      </c>
      <c r="L272">
        <v>0</v>
      </c>
      <c r="M272">
        <v>275200</v>
      </c>
      <c r="N272">
        <v>246</v>
      </c>
      <c r="O272">
        <v>0</v>
      </c>
      <c r="P272">
        <v>4</v>
      </c>
      <c r="Q272">
        <v>0</v>
      </c>
      <c r="R272">
        <v>15600</v>
      </c>
      <c r="S272">
        <v>311</v>
      </c>
      <c r="T272">
        <v>0</v>
      </c>
      <c r="U272">
        <v>0</v>
      </c>
      <c r="V272">
        <v>349</v>
      </c>
      <c r="W272" t="s">
        <v>8475</v>
      </c>
      <c r="X272">
        <v>0</v>
      </c>
      <c r="Y272">
        <v>23</v>
      </c>
      <c r="Z272">
        <v>0</v>
      </c>
      <c r="AA272">
        <v>23</v>
      </c>
      <c r="AB272">
        <v>0</v>
      </c>
      <c r="AC272">
        <v>8</v>
      </c>
      <c r="AD272">
        <v>0</v>
      </c>
      <c r="AE272">
        <v>7</v>
      </c>
      <c r="AF272">
        <v>0</v>
      </c>
      <c r="AG272">
        <v>5</v>
      </c>
      <c r="AH272">
        <v>0</v>
      </c>
      <c r="AI272">
        <v>-6</v>
      </c>
      <c r="AJ272">
        <v>0</v>
      </c>
      <c r="AK272">
        <v>0</v>
      </c>
      <c r="AL272">
        <v>0</v>
      </c>
      <c r="AM272">
        <v>5</v>
      </c>
      <c r="AN272">
        <v>0</v>
      </c>
      <c r="AO272">
        <v>1</v>
      </c>
      <c r="AP272">
        <v>61.5</v>
      </c>
      <c r="AQ272">
        <v>292</v>
      </c>
      <c r="AR272">
        <v>61.5</v>
      </c>
      <c r="AS272">
        <v>43.666699999999999</v>
      </c>
      <c r="AT272" t="s">
        <v>8549</v>
      </c>
      <c r="AU272">
        <v>39.5</v>
      </c>
      <c r="AV272">
        <v>0</v>
      </c>
      <c r="AW272" t="s">
        <v>8450</v>
      </c>
      <c r="AX272">
        <v>1</v>
      </c>
      <c r="AY272" t="s">
        <v>8497</v>
      </c>
      <c r="AZ272">
        <v>0</v>
      </c>
      <c r="BA272" t="s">
        <v>8449</v>
      </c>
      <c r="BB272">
        <v>1</v>
      </c>
      <c r="BC272" t="s">
        <v>8471</v>
      </c>
      <c r="BD272">
        <v>57.781199999999998</v>
      </c>
      <c r="BE272" t="s">
        <v>8546</v>
      </c>
      <c r="BF272" t="s">
        <v>8534</v>
      </c>
      <c r="BG272" t="s">
        <v>8495</v>
      </c>
      <c r="BH272">
        <v>6.6363599999999998</v>
      </c>
      <c r="BJ272" s="1" t="s">
        <v>8898</v>
      </c>
      <c r="BK272">
        <v>4474.7967479674799</v>
      </c>
    </row>
    <row r="273" spans="1:63" x14ac:dyDescent="0.25">
      <c r="A273">
        <v>450</v>
      </c>
      <c r="B273">
        <v>157</v>
      </c>
      <c r="C273" t="s">
        <v>8445</v>
      </c>
      <c r="F273">
        <v>297504</v>
      </c>
      <c r="G273" t="s">
        <v>289</v>
      </c>
      <c r="H273" t="s">
        <v>6950</v>
      </c>
      <c r="I273" t="s">
        <v>8525</v>
      </c>
      <c r="J273">
        <v>0</v>
      </c>
      <c r="K273">
        <v>6</v>
      </c>
      <c r="L273">
        <v>0</v>
      </c>
      <c r="M273">
        <v>319600</v>
      </c>
      <c r="N273">
        <v>354</v>
      </c>
      <c r="O273">
        <v>0</v>
      </c>
      <c r="P273">
        <v>5</v>
      </c>
      <c r="Q273">
        <v>0</v>
      </c>
      <c r="R273">
        <v>60100</v>
      </c>
      <c r="S273">
        <v>171</v>
      </c>
      <c r="T273">
        <v>0</v>
      </c>
      <c r="U273">
        <v>0</v>
      </c>
      <c r="V273">
        <v>520</v>
      </c>
      <c r="W273" t="s">
        <v>8475</v>
      </c>
      <c r="X273">
        <v>0</v>
      </c>
      <c r="Y273">
        <v>36</v>
      </c>
      <c r="Z273">
        <v>0</v>
      </c>
      <c r="AA273">
        <v>24</v>
      </c>
      <c r="AB273">
        <v>0</v>
      </c>
      <c r="AC273">
        <v>22</v>
      </c>
      <c r="AD273">
        <v>0</v>
      </c>
      <c r="AE273">
        <v>16</v>
      </c>
      <c r="AF273">
        <v>0</v>
      </c>
      <c r="AG273">
        <v>5</v>
      </c>
      <c r="AH273">
        <v>0</v>
      </c>
      <c r="AI273">
        <v>-2</v>
      </c>
      <c r="AJ273">
        <v>0</v>
      </c>
      <c r="AK273">
        <v>32</v>
      </c>
      <c r="AL273">
        <v>0</v>
      </c>
      <c r="AM273">
        <v>5</v>
      </c>
      <c r="AN273">
        <v>0</v>
      </c>
      <c r="AO273">
        <v>6</v>
      </c>
      <c r="AP273">
        <v>70.8</v>
      </c>
      <c r="AQ273">
        <v>671</v>
      </c>
      <c r="AR273">
        <v>70.8</v>
      </c>
      <c r="AS273">
        <v>64.333299999999994</v>
      </c>
      <c r="AT273" t="s">
        <v>8524</v>
      </c>
      <c r="AU273">
        <v>68.333299999999994</v>
      </c>
      <c r="AV273">
        <v>1</v>
      </c>
      <c r="AW273" t="s">
        <v>8451</v>
      </c>
      <c r="AX273">
        <v>0</v>
      </c>
      <c r="AY273" t="s">
        <v>8468</v>
      </c>
      <c r="AZ273">
        <v>0</v>
      </c>
      <c r="BA273" t="s">
        <v>8513</v>
      </c>
      <c r="BB273">
        <v>1</v>
      </c>
      <c r="BC273" t="s">
        <v>8527</v>
      </c>
      <c r="BD273">
        <v>55.075000000000003</v>
      </c>
      <c r="BE273" t="s">
        <v>8464</v>
      </c>
      <c r="BF273" t="s">
        <v>8464</v>
      </c>
      <c r="BG273" t="s">
        <v>8463</v>
      </c>
      <c r="BH273">
        <v>15.25</v>
      </c>
      <c r="BJ273" s="1" t="s">
        <v>8899</v>
      </c>
      <c r="BK273" s="1" t="s">
        <v>8900</v>
      </c>
    </row>
    <row r="274" spans="1:63" x14ac:dyDescent="0.25">
      <c r="A274">
        <v>451</v>
      </c>
      <c r="B274">
        <v>412</v>
      </c>
      <c r="C274" t="s">
        <v>8445</v>
      </c>
      <c r="F274">
        <v>1009421</v>
      </c>
      <c r="G274" t="s">
        <v>8126</v>
      </c>
      <c r="H274" t="s">
        <v>8364</v>
      </c>
      <c r="I274" t="s">
        <v>8480</v>
      </c>
      <c r="J274">
        <v>0</v>
      </c>
      <c r="K274">
        <v>6</v>
      </c>
      <c r="L274">
        <v>0</v>
      </c>
      <c r="M274">
        <v>271900</v>
      </c>
      <c r="N274">
        <v>271</v>
      </c>
      <c r="O274">
        <v>0</v>
      </c>
      <c r="P274">
        <v>5</v>
      </c>
      <c r="Q274">
        <v>0</v>
      </c>
      <c r="R274">
        <v>13300</v>
      </c>
      <c r="S274">
        <v>279</v>
      </c>
      <c r="T274">
        <v>0</v>
      </c>
      <c r="U274">
        <v>0</v>
      </c>
      <c r="V274">
        <v>519</v>
      </c>
      <c r="W274" t="s">
        <v>8475</v>
      </c>
      <c r="X274">
        <v>0</v>
      </c>
      <c r="Y274">
        <v>35</v>
      </c>
      <c r="Z274">
        <v>0</v>
      </c>
      <c r="AA274">
        <v>43</v>
      </c>
      <c r="AB274">
        <v>0</v>
      </c>
      <c r="AC274">
        <v>15</v>
      </c>
      <c r="AD274">
        <v>0</v>
      </c>
      <c r="AE274">
        <v>8</v>
      </c>
      <c r="AF274">
        <v>0</v>
      </c>
      <c r="AG274">
        <v>1</v>
      </c>
      <c r="AH274">
        <v>0</v>
      </c>
      <c r="AI274">
        <v>-4</v>
      </c>
      <c r="AJ274">
        <v>0</v>
      </c>
      <c r="AK274">
        <v>0</v>
      </c>
      <c r="AL274">
        <v>0</v>
      </c>
      <c r="AM274">
        <v>2</v>
      </c>
      <c r="AN274">
        <v>0</v>
      </c>
      <c r="AO274">
        <v>5</v>
      </c>
      <c r="AP274">
        <v>54.2</v>
      </c>
      <c r="AQ274">
        <v>175</v>
      </c>
      <c r="AR274">
        <v>54.2</v>
      </c>
      <c r="AS274">
        <v>51.666699999999999</v>
      </c>
      <c r="AT274" t="s">
        <v>8482</v>
      </c>
      <c r="AU274">
        <v>38</v>
      </c>
      <c r="AV274">
        <v>1</v>
      </c>
      <c r="AW274" t="s">
        <v>8483</v>
      </c>
      <c r="AX274">
        <v>0</v>
      </c>
      <c r="AY274" t="s">
        <v>8461</v>
      </c>
      <c r="AZ274">
        <v>0</v>
      </c>
      <c r="BA274" t="s">
        <v>8460</v>
      </c>
      <c r="BB274">
        <v>1</v>
      </c>
      <c r="BC274" t="s">
        <v>8484</v>
      </c>
      <c r="BD274">
        <v>37.200000000000003</v>
      </c>
      <c r="BE274" t="s">
        <v>8455</v>
      </c>
      <c r="BF274" t="s">
        <v>8464</v>
      </c>
      <c r="BG274" t="s">
        <v>8464</v>
      </c>
      <c r="BH274">
        <v>3.9772699999999999</v>
      </c>
      <c r="BJ274" s="1" t="s">
        <v>8901</v>
      </c>
      <c r="BK274" s="1" t="s">
        <v>8902</v>
      </c>
    </row>
    <row r="275" spans="1:63" x14ac:dyDescent="0.25">
      <c r="A275">
        <v>452</v>
      </c>
      <c r="B275">
        <v>511</v>
      </c>
      <c r="C275" t="s">
        <v>8445</v>
      </c>
      <c r="F275">
        <v>1004848</v>
      </c>
      <c r="G275" t="s">
        <v>1986</v>
      </c>
      <c r="H275" t="s">
        <v>7064</v>
      </c>
      <c r="I275" t="s">
        <v>8467</v>
      </c>
      <c r="J275">
        <v>0</v>
      </c>
      <c r="K275">
        <v>6</v>
      </c>
      <c r="L275">
        <v>0</v>
      </c>
      <c r="M275">
        <v>251100</v>
      </c>
      <c r="N275">
        <v>184</v>
      </c>
      <c r="O275">
        <v>0</v>
      </c>
      <c r="P275">
        <v>4</v>
      </c>
      <c r="Q275">
        <v>0</v>
      </c>
      <c r="R275">
        <v>-7500</v>
      </c>
      <c r="S275">
        <v>367</v>
      </c>
      <c r="T275">
        <v>0</v>
      </c>
      <c r="U275">
        <v>0</v>
      </c>
      <c r="V275">
        <v>283</v>
      </c>
      <c r="W275" t="s">
        <v>8505</v>
      </c>
      <c r="X275">
        <v>0</v>
      </c>
      <c r="Y275">
        <v>30</v>
      </c>
      <c r="Z275">
        <v>0</v>
      </c>
      <c r="AA275">
        <v>25</v>
      </c>
      <c r="AB275">
        <v>0</v>
      </c>
      <c r="AC275">
        <v>17</v>
      </c>
      <c r="AD275">
        <v>0</v>
      </c>
      <c r="AE275">
        <v>4</v>
      </c>
      <c r="AF275">
        <v>0</v>
      </c>
      <c r="AG275">
        <v>2</v>
      </c>
      <c r="AH275">
        <v>0</v>
      </c>
      <c r="AI275">
        <v>-2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46</v>
      </c>
      <c r="AQ275">
        <v>64</v>
      </c>
      <c r="AR275">
        <v>46</v>
      </c>
      <c r="AS275">
        <v>56.666699999999999</v>
      </c>
      <c r="AT275" t="s">
        <v>8465</v>
      </c>
      <c r="AU275">
        <v>61</v>
      </c>
      <c r="AV275">
        <v>0</v>
      </c>
      <c r="AW275" t="s">
        <v>8497</v>
      </c>
      <c r="AX275">
        <v>1</v>
      </c>
      <c r="AY275" t="s">
        <v>8451</v>
      </c>
      <c r="AZ275">
        <v>1</v>
      </c>
      <c r="BA275" t="s">
        <v>8492</v>
      </c>
      <c r="BB275">
        <v>0</v>
      </c>
      <c r="BC275" t="s">
        <v>8471</v>
      </c>
      <c r="BD275">
        <v>41.666699999999999</v>
      </c>
      <c r="BE275" t="s">
        <v>8472</v>
      </c>
      <c r="BF275" t="s">
        <v>8455</v>
      </c>
      <c r="BG275" t="s">
        <v>8498</v>
      </c>
      <c r="BH275">
        <v>1.45455</v>
      </c>
      <c r="BJ275" s="1" t="s">
        <v>8903</v>
      </c>
      <c r="BK275" s="1" t="s">
        <v>8904</v>
      </c>
    </row>
    <row r="276" spans="1:63" x14ac:dyDescent="0.25">
      <c r="A276">
        <v>453</v>
      </c>
      <c r="B276">
        <v>353</v>
      </c>
      <c r="C276" t="s">
        <v>8445</v>
      </c>
      <c r="F276">
        <v>1019038</v>
      </c>
      <c r="G276" t="s">
        <v>2456</v>
      </c>
      <c r="H276" t="s">
        <v>8143</v>
      </c>
      <c r="I276" t="s">
        <v>8512</v>
      </c>
      <c r="J276">
        <v>0</v>
      </c>
      <c r="K276">
        <v>6</v>
      </c>
      <c r="L276">
        <v>0</v>
      </c>
      <c r="M276">
        <v>261200</v>
      </c>
      <c r="N276">
        <v>246</v>
      </c>
      <c r="O276">
        <v>0</v>
      </c>
      <c r="P276">
        <v>5</v>
      </c>
      <c r="Q276">
        <v>0</v>
      </c>
      <c r="R276">
        <v>4100</v>
      </c>
      <c r="S276">
        <v>311</v>
      </c>
      <c r="T276">
        <v>0</v>
      </c>
      <c r="U276">
        <v>0</v>
      </c>
      <c r="V276">
        <v>481</v>
      </c>
      <c r="W276" t="s">
        <v>8475</v>
      </c>
      <c r="X276">
        <v>0</v>
      </c>
      <c r="Y276">
        <v>26</v>
      </c>
      <c r="Z276">
        <v>0</v>
      </c>
      <c r="AA276">
        <v>12</v>
      </c>
      <c r="AB276">
        <v>0</v>
      </c>
      <c r="AC276">
        <v>18</v>
      </c>
      <c r="AD276">
        <v>0</v>
      </c>
      <c r="AE276">
        <v>9</v>
      </c>
      <c r="AF276">
        <v>0</v>
      </c>
      <c r="AG276">
        <v>5</v>
      </c>
      <c r="AH276">
        <v>0</v>
      </c>
      <c r="AI276">
        <v>-6</v>
      </c>
      <c r="AJ276">
        <v>0</v>
      </c>
      <c r="AK276">
        <v>0</v>
      </c>
      <c r="AL276">
        <v>0</v>
      </c>
      <c r="AM276">
        <v>6</v>
      </c>
      <c r="AN276">
        <v>0</v>
      </c>
      <c r="AO276">
        <v>7</v>
      </c>
      <c r="AP276">
        <v>49.2</v>
      </c>
      <c r="AQ276">
        <v>119</v>
      </c>
      <c r="AR276">
        <v>49.2</v>
      </c>
      <c r="AS276">
        <v>55.333300000000001</v>
      </c>
      <c r="AT276" t="s">
        <v>8511</v>
      </c>
      <c r="AU276">
        <v>32</v>
      </c>
      <c r="AV276">
        <v>1</v>
      </c>
      <c r="AW276" t="s">
        <v>8493</v>
      </c>
      <c r="AX276">
        <v>0</v>
      </c>
      <c r="AY276" t="s">
        <v>8491</v>
      </c>
      <c r="AZ276">
        <v>1</v>
      </c>
      <c r="BA276" t="s">
        <v>8468</v>
      </c>
      <c r="BB276">
        <v>1</v>
      </c>
      <c r="BC276" t="s">
        <v>8515</v>
      </c>
      <c r="BD276">
        <v>32</v>
      </c>
      <c r="BE276" t="s">
        <v>8546</v>
      </c>
      <c r="BF276" t="s">
        <v>8454</v>
      </c>
      <c r="BG276" t="s">
        <v>8531</v>
      </c>
      <c r="BH276">
        <v>2.7045499999999998</v>
      </c>
      <c r="BJ276" s="1" t="s">
        <v>8905</v>
      </c>
      <c r="BK276" s="1" t="s">
        <v>8906</v>
      </c>
    </row>
    <row r="277" spans="1:63" x14ac:dyDescent="0.25">
      <c r="A277">
        <v>454</v>
      </c>
      <c r="B277">
        <v>694</v>
      </c>
      <c r="C277" t="s">
        <v>8445</v>
      </c>
      <c r="F277">
        <v>1008855</v>
      </c>
      <c r="G277" t="s">
        <v>6638</v>
      </c>
      <c r="H277" t="s">
        <v>6639</v>
      </c>
      <c r="I277" t="s">
        <v>8548</v>
      </c>
      <c r="J277">
        <v>0</v>
      </c>
      <c r="K277">
        <v>6</v>
      </c>
      <c r="L277">
        <v>0</v>
      </c>
      <c r="M277">
        <v>246400</v>
      </c>
      <c r="N277">
        <v>130</v>
      </c>
      <c r="O277">
        <v>0</v>
      </c>
      <c r="P277">
        <v>3</v>
      </c>
      <c r="Q277">
        <v>0</v>
      </c>
      <c r="R277">
        <v>-10600</v>
      </c>
      <c r="S277">
        <v>415</v>
      </c>
      <c r="T277">
        <v>0</v>
      </c>
      <c r="U277">
        <v>0</v>
      </c>
      <c r="V277">
        <v>206</v>
      </c>
      <c r="W277" t="s">
        <v>8505</v>
      </c>
      <c r="X277">
        <v>0</v>
      </c>
      <c r="Y277">
        <v>30</v>
      </c>
      <c r="Z277">
        <v>0</v>
      </c>
      <c r="AA277">
        <v>9</v>
      </c>
      <c r="AB277">
        <v>0</v>
      </c>
      <c r="AC277">
        <v>15</v>
      </c>
      <c r="AD277">
        <v>0</v>
      </c>
      <c r="AE277">
        <v>2</v>
      </c>
      <c r="AF277">
        <v>0</v>
      </c>
      <c r="AG277">
        <v>2</v>
      </c>
      <c r="AH277">
        <v>0</v>
      </c>
      <c r="AI277">
        <v>-3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43.333300000000001</v>
      </c>
      <c r="AQ277">
        <v>34</v>
      </c>
      <c r="AR277">
        <v>43.333300000000001</v>
      </c>
      <c r="AS277">
        <v>43.333300000000001</v>
      </c>
      <c r="AT277" t="s">
        <v>8549</v>
      </c>
      <c r="AU277">
        <v>40.5</v>
      </c>
      <c r="AV277">
        <v>0</v>
      </c>
      <c r="AW277" t="s">
        <v>8450</v>
      </c>
      <c r="AX277">
        <v>1</v>
      </c>
      <c r="AY277" t="s">
        <v>8497</v>
      </c>
      <c r="AZ277">
        <v>0</v>
      </c>
      <c r="BA277" t="s">
        <v>8449</v>
      </c>
      <c r="BB277">
        <v>1</v>
      </c>
      <c r="BC277" t="s">
        <v>8471</v>
      </c>
      <c r="BD277">
        <v>50.333300000000001</v>
      </c>
      <c r="BE277" t="s">
        <v>8546</v>
      </c>
      <c r="BF277" t="s">
        <v>8534</v>
      </c>
      <c r="BG277" t="s">
        <v>8495</v>
      </c>
      <c r="BH277">
        <v>0.77272700000000005</v>
      </c>
      <c r="BJ277" s="1" t="s">
        <v>8907</v>
      </c>
      <c r="BK277" s="1" t="s">
        <v>8908</v>
      </c>
    </row>
    <row r="278" spans="1:63" x14ac:dyDescent="0.25">
      <c r="A278">
        <v>455</v>
      </c>
      <c r="B278">
        <v>57</v>
      </c>
      <c r="C278" t="s">
        <v>8445</v>
      </c>
      <c r="F278">
        <v>1000932</v>
      </c>
      <c r="G278" t="s">
        <v>776</v>
      </c>
      <c r="H278" t="s">
        <v>4679</v>
      </c>
      <c r="I278" t="s">
        <v>8524</v>
      </c>
      <c r="J278">
        <v>0</v>
      </c>
      <c r="K278">
        <v>6</v>
      </c>
      <c r="L278">
        <v>0</v>
      </c>
      <c r="M278">
        <v>256800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510</v>
      </c>
      <c r="T278">
        <v>0</v>
      </c>
      <c r="U278">
        <v>0</v>
      </c>
      <c r="V278">
        <v>0</v>
      </c>
      <c r="W278" t="s">
        <v>8466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98</v>
      </c>
      <c r="AR278">
        <v>0</v>
      </c>
      <c r="AS278">
        <v>0</v>
      </c>
      <c r="AT278" t="s">
        <v>8525</v>
      </c>
      <c r="AU278">
        <v>75.166700000000006</v>
      </c>
      <c r="AV278">
        <v>0</v>
      </c>
      <c r="AW278" t="s">
        <v>8470</v>
      </c>
      <c r="AX278">
        <v>1</v>
      </c>
      <c r="AY278" t="s">
        <v>8449</v>
      </c>
      <c r="AZ278">
        <v>0</v>
      </c>
      <c r="BA278" t="s">
        <v>8526</v>
      </c>
      <c r="BB278">
        <v>1</v>
      </c>
      <c r="BC278" t="s">
        <v>8527</v>
      </c>
      <c r="BD278">
        <v>59</v>
      </c>
      <c r="BE278" t="s">
        <v>8455</v>
      </c>
      <c r="BF278" t="s">
        <v>8494</v>
      </c>
      <c r="BG278" t="s">
        <v>8498</v>
      </c>
      <c r="BH278">
        <v>2.2272699999999999</v>
      </c>
    </row>
    <row r="279" spans="1:63" x14ac:dyDescent="0.25">
      <c r="A279">
        <v>456</v>
      </c>
      <c r="B279">
        <v>760</v>
      </c>
      <c r="C279" t="s">
        <v>8445</v>
      </c>
      <c r="F279">
        <v>1011243</v>
      </c>
      <c r="G279" t="s">
        <v>3661</v>
      </c>
      <c r="H279" t="s">
        <v>8909</v>
      </c>
      <c r="I279" t="s">
        <v>8456</v>
      </c>
      <c r="J279">
        <v>0</v>
      </c>
      <c r="K279">
        <v>6</v>
      </c>
      <c r="L279">
        <v>0</v>
      </c>
      <c r="M279">
        <v>254300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510</v>
      </c>
      <c r="T279">
        <v>0</v>
      </c>
      <c r="U279">
        <v>0</v>
      </c>
      <c r="V279">
        <v>0</v>
      </c>
      <c r="W279" t="s">
        <v>8457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12</v>
      </c>
      <c r="AR279">
        <v>0</v>
      </c>
      <c r="AS279">
        <v>0</v>
      </c>
      <c r="AT279" t="s">
        <v>8458</v>
      </c>
      <c r="AU279">
        <v>-4</v>
      </c>
      <c r="AV279">
        <v>0</v>
      </c>
      <c r="AW279" t="s">
        <v>8459</v>
      </c>
      <c r="AX279">
        <v>1</v>
      </c>
      <c r="AY279" t="s">
        <v>8460</v>
      </c>
      <c r="AZ279">
        <v>0</v>
      </c>
      <c r="BA279" t="s">
        <v>8461</v>
      </c>
      <c r="BB279">
        <v>1</v>
      </c>
      <c r="BC279" t="s">
        <v>8462</v>
      </c>
      <c r="BD279">
        <v>37</v>
      </c>
      <c r="BE279" t="s">
        <v>8455</v>
      </c>
      <c r="BF279" t="s">
        <v>8463</v>
      </c>
      <c r="BG279" t="s">
        <v>8464</v>
      </c>
      <c r="BH279">
        <v>0.272727</v>
      </c>
    </row>
    <row r="280" spans="1:63" x14ac:dyDescent="0.25">
      <c r="A280">
        <v>457</v>
      </c>
      <c r="B280">
        <v>22</v>
      </c>
      <c r="C280" t="s">
        <v>8445</v>
      </c>
      <c r="F280">
        <v>990882</v>
      </c>
      <c r="G280" t="s">
        <v>6683</v>
      </c>
      <c r="H280" t="s">
        <v>6684</v>
      </c>
      <c r="I280" t="s">
        <v>8511</v>
      </c>
      <c r="J280">
        <v>0</v>
      </c>
      <c r="K280">
        <v>6</v>
      </c>
      <c r="L280">
        <v>0</v>
      </c>
      <c r="M280">
        <v>307200</v>
      </c>
      <c r="N280">
        <v>365</v>
      </c>
      <c r="O280">
        <v>0</v>
      </c>
      <c r="P280">
        <v>5</v>
      </c>
      <c r="Q280">
        <v>0</v>
      </c>
      <c r="R280">
        <v>53200</v>
      </c>
      <c r="S280">
        <v>147</v>
      </c>
      <c r="T280">
        <v>0</v>
      </c>
      <c r="U280">
        <v>0</v>
      </c>
      <c r="V280">
        <v>508</v>
      </c>
      <c r="W280" t="s">
        <v>8481</v>
      </c>
      <c r="X280">
        <v>0</v>
      </c>
      <c r="Y280">
        <v>53</v>
      </c>
      <c r="Z280">
        <v>0</v>
      </c>
      <c r="AA280">
        <v>29</v>
      </c>
      <c r="AB280">
        <v>0</v>
      </c>
      <c r="AC280">
        <v>19</v>
      </c>
      <c r="AD280">
        <v>0</v>
      </c>
      <c r="AE280">
        <v>11</v>
      </c>
      <c r="AF280">
        <v>0</v>
      </c>
      <c r="AG280">
        <v>0</v>
      </c>
      <c r="AH280">
        <v>0</v>
      </c>
      <c r="AI280">
        <v>-3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1</v>
      </c>
      <c r="AP280">
        <v>73</v>
      </c>
      <c r="AQ280">
        <v>526</v>
      </c>
      <c r="AR280">
        <v>73</v>
      </c>
      <c r="AS280">
        <v>73.666700000000006</v>
      </c>
      <c r="AT280" t="s">
        <v>8512</v>
      </c>
      <c r="AU280">
        <v>70.714299999999994</v>
      </c>
      <c r="AV280">
        <v>0</v>
      </c>
      <c r="AW280" t="s">
        <v>8513</v>
      </c>
      <c r="AX280">
        <v>1</v>
      </c>
      <c r="AY280" t="s">
        <v>8514</v>
      </c>
      <c r="AZ280">
        <v>0</v>
      </c>
      <c r="BA280" t="s">
        <v>8497</v>
      </c>
      <c r="BB280">
        <v>1</v>
      </c>
      <c r="BC280" t="s">
        <v>8515</v>
      </c>
      <c r="BD280">
        <v>71.034499999999994</v>
      </c>
      <c r="BE280" t="s">
        <v>8463</v>
      </c>
      <c r="BF280" t="s">
        <v>8472</v>
      </c>
      <c r="BG280" t="s">
        <v>8472</v>
      </c>
      <c r="BH280">
        <v>11.954499999999999</v>
      </c>
      <c r="BJ280">
        <v>0.71850393700787396</v>
      </c>
      <c r="BK280" s="1" t="s">
        <v>8910</v>
      </c>
    </row>
    <row r="281" spans="1:63" x14ac:dyDescent="0.25">
      <c r="A281">
        <v>458</v>
      </c>
      <c r="B281">
        <v>112</v>
      </c>
      <c r="C281" t="s">
        <v>8445</v>
      </c>
      <c r="F281">
        <v>1032108</v>
      </c>
      <c r="G281" t="s">
        <v>8011</v>
      </c>
      <c r="H281" t="s">
        <v>8262</v>
      </c>
      <c r="I281" t="s">
        <v>8465</v>
      </c>
      <c r="J281">
        <v>0</v>
      </c>
      <c r="K281">
        <v>6</v>
      </c>
      <c r="L281">
        <v>0</v>
      </c>
      <c r="M281">
        <v>240600</v>
      </c>
      <c r="N281">
        <v>188</v>
      </c>
      <c r="O281">
        <v>0</v>
      </c>
      <c r="P281">
        <v>4</v>
      </c>
      <c r="Q281">
        <v>0</v>
      </c>
      <c r="R281">
        <v>-13200</v>
      </c>
      <c r="S281">
        <v>362</v>
      </c>
      <c r="T281">
        <v>0</v>
      </c>
      <c r="U281">
        <v>0</v>
      </c>
      <c r="V281">
        <v>256</v>
      </c>
      <c r="W281" t="s">
        <v>8505</v>
      </c>
      <c r="X281">
        <v>0</v>
      </c>
      <c r="Y281">
        <v>27</v>
      </c>
      <c r="Z281">
        <v>0</v>
      </c>
      <c r="AA281">
        <v>23</v>
      </c>
      <c r="AB281">
        <v>0</v>
      </c>
      <c r="AC281">
        <v>15</v>
      </c>
      <c r="AD281">
        <v>0</v>
      </c>
      <c r="AE281">
        <v>11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47</v>
      </c>
      <c r="AQ281">
        <v>100</v>
      </c>
      <c r="AR281">
        <v>47</v>
      </c>
      <c r="AS281">
        <v>44</v>
      </c>
      <c r="AT281" t="s">
        <v>8467</v>
      </c>
      <c r="AU281">
        <v>0</v>
      </c>
      <c r="AV281">
        <v>1</v>
      </c>
      <c r="AW281" t="s">
        <v>8468</v>
      </c>
      <c r="AX281">
        <v>0</v>
      </c>
      <c r="AY281" t="s">
        <v>8469</v>
      </c>
      <c r="AZ281">
        <v>1</v>
      </c>
      <c r="BA281" t="s">
        <v>8470</v>
      </c>
      <c r="BB281">
        <v>1</v>
      </c>
      <c r="BC281" t="s">
        <v>8471</v>
      </c>
      <c r="BD281">
        <v>88</v>
      </c>
      <c r="BE281" t="s">
        <v>8464</v>
      </c>
      <c r="BF281" t="s">
        <v>8472</v>
      </c>
      <c r="BG281" t="s">
        <v>8464</v>
      </c>
      <c r="BH281">
        <v>2.2727300000000001</v>
      </c>
      <c r="BJ281">
        <v>0.734375</v>
      </c>
      <c r="BK281" s="1" t="s">
        <v>8911</v>
      </c>
    </row>
    <row r="282" spans="1:63" x14ac:dyDescent="0.25">
      <c r="A282">
        <v>459</v>
      </c>
      <c r="B282">
        <v>153</v>
      </c>
      <c r="C282" t="s">
        <v>8445</v>
      </c>
      <c r="F282">
        <v>298358</v>
      </c>
      <c r="G282" t="s">
        <v>5533</v>
      </c>
      <c r="H282" t="s">
        <v>5534</v>
      </c>
      <c r="I282" t="s">
        <v>8525</v>
      </c>
      <c r="J282">
        <v>0</v>
      </c>
      <c r="K282">
        <v>6</v>
      </c>
      <c r="L282">
        <v>0</v>
      </c>
      <c r="M282">
        <v>253300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510</v>
      </c>
      <c r="T282">
        <v>0</v>
      </c>
      <c r="U282">
        <v>0</v>
      </c>
      <c r="V282">
        <v>0</v>
      </c>
      <c r="W282" t="s">
        <v>8466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21</v>
      </c>
      <c r="AR282">
        <v>0</v>
      </c>
      <c r="AS282">
        <v>0</v>
      </c>
      <c r="AT282" t="s">
        <v>8524</v>
      </c>
      <c r="AU282">
        <v>48.333300000000001</v>
      </c>
      <c r="AV282">
        <v>1</v>
      </c>
      <c r="AW282" t="s">
        <v>8451</v>
      </c>
      <c r="AX282">
        <v>0</v>
      </c>
      <c r="AY282" t="s">
        <v>8468</v>
      </c>
      <c r="AZ282">
        <v>0</v>
      </c>
      <c r="BA282" t="s">
        <v>8513</v>
      </c>
      <c r="BB282">
        <v>1</v>
      </c>
      <c r="BC282" t="s">
        <v>8527</v>
      </c>
      <c r="BD282">
        <v>35.5</v>
      </c>
      <c r="BE282" t="s">
        <v>8464</v>
      </c>
      <c r="BF282" t="s">
        <v>8464</v>
      </c>
      <c r="BG282" t="s">
        <v>8463</v>
      </c>
      <c r="BH282">
        <v>0.477273</v>
      </c>
    </row>
    <row r="283" spans="1:63" x14ac:dyDescent="0.25">
      <c r="A283">
        <v>460</v>
      </c>
      <c r="B283">
        <v>566</v>
      </c>
      <c r="C283" t="s">
        <v>8445</v>
      </c>
      <c r="F283">
        <v>1013197</v>
      </c>
      <c r="G283" t="s">
        <v>958</v>
      </c>
      <c r="H283" t="s">
        <v>7860</v>
      </c>
      <c r="I283" t="s">
        <v>8490</v>
      </c>
      <c r="J283">
        <v>0</v>
      </c>
      <c r="K283">
        <v>6</v>
      </c>
      <c r="L283">
        <v>0</v>
      </c>
      <c r="M283">
        <v>266100</v>
      </c>
      <c r="N283">
        <v>240</v>
      </c>
      <c r="O283">
        <v>0</v>
      </c>
      <c r="P283">
        <v>4</v>
      </c>
      <c r="Q283">
        <v>0</v>
      </c>
      <c r="R283">
        <v>13600</v>
      </c>
      <c r="S283">
        <v>316</v>
      </c>
      <c r="T283">
        <v>0</v>
      </c>
      <c r="U283">
        <v>0</v>
      </c>
      <c r="V283">
        <v>346</v>
      </c>
      <c r="W283" t="s">
        <v>8475</v>
      </c>
      <c r="X283">
        <v>0</v>
      </c>
      <c r="Y283">
        <v>29</v>
      </c>
      <c r="Z283">
        <v>0</v>
      </c>
      <c r="AA283">
        <v>35</v>
      </c>
      <c r="AB283">
        <v>0</v>
      </c>
      <c r="AC283">
        <v>7</v>
      </c>
      <c r="AD283">
        <v>0</v>
      </c>
      <c r="AE283">
        <v>6</v>
      </c>
      <c r="AF283">
        <v>0</v>
      </c>
      <c r="AG283">
        <v>3</v>
      </c>
      <c r="AH283">
        <v>0</v>
      </c>
      <c r="AI283">
        <v>-1</v>
      </c>
      <c r="AJ283">
        <v>0</v>
      </c>
      <c r="AK283">
        <v>0</v>
      </c>
      <c r="AL283">
        <v>0</v>
      </c>
      <c r="AM283">
        <v>2</v>
      </c>
      <c r="AN283">
        <v>0</v>
      </c>
      <c r="AO283">
        <v>0</v>
      </c>
      <c r="AP283">
        <v>60</v>
      </c>
      <c r="AQ283">
        <v>106</v>
      </c>
      <c r="AR283">
        <v>60</v>
      </c>
      <c r="AS283">
        <v>55</v>
      </c>
      <c r="AT283" t="s">
        <v>8489</v>
      </c>
      <c r="AU283">
        <v>44</v>
      </c>
      <c r="AV283">
        <v>0</v>
      </c>
      <c r="AW283" t="s">
        <v>8460</v>
      </c>
      <c r="AX283">
        <v>1</v>
      </c>
      <c r="AY283" t="s">
        <v>8459</v>
      </c>
      <c r="AZ283">
        <v>1</v>
      </c>
      <c r="BA283" t="s">
        <v>8483</v>
      </c>
      <c r="BB283">
        <v>0</v>
      </c>
      <c r="BC283" t="s">
        <v>8471</v>
      </c>
      <c r="BD283">
        <v>73</v>
      </c>
      <c r="BE283" t="s">
        <v>8464</v>
      </c>
      <c r="BF283" t="s">
        <v>8464</v>
      </c>
      <c r="BG283" t="s">
        <v>8464</v>
      </c>
      <c r="BH283">
        <v>2.40909</v>
      </c>
      <c r="BJ283" s="1" t="s">
        <v>8912</v>
      </c>
      <c r="BK283">
        <v>4435</v>
      </c>
    </row>
    <row r="284" spans="1:63" x14ac:dyDescent="0.25">
      <c r="A284">
        <v>461</v>
      </c>
      <c r="B284">
        <v>616</v>
      </c>
      <c r="C284" t="s">
        <v>8445</v>
      </c>
      <c r="F284">
        <v>991939</v>
      </c>
      <c r="G284" t="s">
        <v>6257</v>
      </c>
      <c r="H284" t="s">
        <v>6258</v>
      </c>
      <c r="I284" t="s">
        <v>8549</v>
      </c>
      <c r="J284">
        <v>0</v>
      </c>
      <c r="K284">
        <v>6</v>
      </c>
      <c r="L284">
        <v>0</v>
      </c>
      <c r="M284">
        <v>251200</v>
      </c>
      <c r="N284">
        <v>31</v>
      </c>
      <c r="O284">
        <v>0</v>
      </c>
      <c r="P284">
        <v>1</v>
      </c>
      <c r="Q284">
        <v>0</v>
      </c>
      <c r="R284">
        <v>0</v>
      </c>
      <c r="S284">
        <v>498</v>
      </c>
      <c r="T284">
        <v>0</v>
      </c>
      <c r="U284">
        <v>0</v>
      </c>
      <c r="V284">
        <v>108</v>
      </c>
      <c r="W284" t="s">
        <v>8466</v>
      </c>
      <c r="X284">
        <v>0</v>
      </c>
      <c r="Y284">
        <v>2</v>
      </c>
      <c r="Z284">
        <v>0</v>
      </c>
      <c r="AA284">
        <v>2</v>
      </c>
      <c r="AB284">
        <v>0</v>
      </c>
      <c r="AC284">
        <v>2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31</v>
      </c>
      <c r="AQ284">
        <v>16</v>
      </c>
      <c r="AR284">
        <v>31</v>
      </c>
      <c r="AS284">
        <v>31</v>
      </c>
      <c r="AT284" t="s">
        <v>8548</v>
      </c>
      <c r="AU284">
        <v>51</v>
      </c>
      <c r="AV284">
        <v>1</v>
      </c>
      <c r="AW284" t="s">
        <v>8492</v>
      </c>
      <c r="AX284">
        <v>0</v>
      </c>
      <c r="AY284" t="s">
        <v>8513</v>
      </c>
      <c r="AZ284">
        <v>0</v>
      </c>
      <c r="BA284" t="s">
        <v>8514</v>
      </c>
      <c r="BB284">
        <v>0</v>
      </c>
      <c r="BC284" t="s">
        <v>8471</v>
      </c>
      <c r="BD284">
        <v>53.092300000000002</v>
      </c>
      <c r="BE284" t="s">
        <v>8455</v>
      </c>
      <c r="BF284" t="s">
        <v>8455</v>
      </c>
      <c r="BG284" t="s">
        <v>8464</v>
      </c>
      <c r="BH284">
        <v>0.36363600000000001</v>
      </c>
      <c r="BJ284" s="1" t="s">
        <v>8913</v>
      </c>
      <c r="BK284" s="1" t="s">
        <v>8914</v>
      </c>
    </row>
    <row r="285" spans="1:63" x14ac:dyDescent="0.25">
      <c r="A285">
        <v>462</v>
      </c>
      <c r="B285">
        <v>142</v>
      </c>
      <c r="C285" t="s">
        <v>8445</v>
      </c>
      <c r="F285">
        <v>1015332</v>
      </c>
      <c r="G285" t="s">
        <v>1020</v>
      </c>
      <c r="H285" t="s">
        <v>7674</v>
      </c>
      <c r="I285" t="s">
        <v>8525</v>
      </c>
      <c r="J285">
        <v>0</v>
      </c>
      <c r="K285">
        <v>6</v>
      </c>
      <c r="L285">
        <v>0</v>
      </c>
      <c r="M285">
        <v>251000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510</v>
      </c>
      <c r="T285">
        <v>0</v>
      </c>
      <c r="U285">
        <v>0</v>
      </c>
      <c r="V285">
        <v>0</v>
      </c>
      <c r="W285" t="s">
        <v>8466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16</v>
      </c>
      <c r="AR285">
        <v>0</v>
      </c>
      <c r="AS285">
        <v>0</v>
      </c>
      <c r="AT285" t="s">
        <v>8524</v>
      </c>
      <c r="AU285">
        <v>0</v>
      </c>
      <c r="AV285">
        <v>1</v>
      </c>
      <c r="AW285" t="s">
        <v>8451</v>
      </c>
      <c r="AX285">
        <v>0</v>
      </c>
      <c r="AY285" t="s">
        <v>8468</v>
      </c>
      <c r="AZ285">
        <v>0</v>
      </c>
      <c r="BA285" t="s">
        <v>8513</v>
      </c>
      <c r="BB285">
        <v>1</v>
      </c>
      <c r="BC285" t="s">
        <v>8527</v>
      </c>
      <c r="BD285">
        <v>0</v>
      </c>
      <c r="BE285" t="s">
        <v>8464</v>
      </c>
      <c r="BF285" t="s">
        <v>8464</v>
      </c>
      <c r="BG285" t="s">
        <v>8463</v>
      </c>
      <c r="BH285">
        <v>0.36363600000000001</v>
      </c>
    </row>
    <row r="286" spans="1:63" x14ac:dyDescent="0.25">
      <c r="A286">
        <v>463</v>
      </c>
      <c r="B286">
        <v>52</v>
      </c>
      <c r="C286" t="s">
        <v>8445</v>
      </c>
      <c r="F286">
        <v>1028105</v>
      </c>
      <c r="G286" t="s">
        <v>8915</v>
      </c>
      <c r="H286" t="s">
        <v>8916</v>
      </c>
      <c r="I286" t="s">
        <v>8524</v>
      </c>
      <c r="J286">
        <v>0</v>
      </c>
      <c r="K286">
        <v>6</v>
      </c>
      <c r="L286">
        <v>0</v>
      </c>
      <c r="M286">
        <v>250300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510</v>
      </c>
      <c r="T286">
        <v>0</v>
      </c>
      <c r="U286">
        <v>0</v>
      </c>
      <c r="V286">
        <v>0</v>
      </c>
      <c r="W286" t="s">
        <v>8466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16</v>
      </c>
      <c r="AR286">
        <v>0</v>
      </c>
      <c r="AS286">
        <v>0</v>
      </c>
      <c r="AT286" t="s">
        <v>8525</v>
      </c>
      <c r="AU286">
        <v>59</v>
      </c>
      <c r="AV286">
        <v>0</v>
      </c>
      <c r="AW286" t="s">
        <v>8470</v>
      </c>
      <c r="AX286">
        <v>1</v>
      </c>
      <c r="AY286" t="s">
        <v>8449</v>
      </c>
      <c r="AZ286">
        <v>0</v>
      </c>
      <c r="BA286" t="s">
        <v>8526</v>
      </c>
      <c r="BB286">
        <v>1</v>
      </c>
      <c r="BC286" t="s">
        <v>8527</v>
      </c>
      <c r="BD286">
        <v>59</v>
      </c>
      <c r="BE286" t="s">
        <v>8455</v>
      </c>
      <c r="BF286" t="s">
        <v>8494</v>
      </c>
      <c r="BG286" t="s">
        <v>8498</v>
      </c>
      <c r="BH286">
        <v>0.36363600000000001</v>
      </c>
    </row>
    <row r="287" spans="1:63" x14ac:dyDescent="0.25">
      <c r="A287">
        <v>464</v>
      </c>
      <c r="B287">
        <v>442</v>
      </c>
      <c r="C287" t="s">
        <v>8445</v>
      </c>
      <c r="F287">
        <v>996692</v>
      </c>
      <c r="G287" t="s">
        <v>8917</v>
      </c>
      <c r="H287" t="s">
        <v>8918</v>
      </c>
      <c r="I287" t="s">
        <v>8501</v>
      </c>
      <c r="J287">
        <v>0</v>
      </c>
      <c r="K287">
        <v>6</v>
      </c>
      <c r="L287">
        <v>0</v>
      </c>
      <c r="M287">
        <v>249700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510</v>
      </c>
      <c r="T287">
        <v>0</v>
      </c>
      <c r="U287">
        <v>0</v>
      </c>
      <c r="V287">
        <v>0</v>
      </c>
      <c r="W287" t="s">
        <v>8447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15</v>
      </c>
      <c r="AR287">
        <v>0</v>
      </c>
      <c r="AS287">
        <v>0</v>
      </c>
      <c r="AT287" t="s">
        <v>8502</v>
      </c>
      <c r="AU287">
        <v>49</v>
      </c>
      <c r="AV287">
        <v>0</v>
      </c>
      <c r="AW287" t="s">
        <v>8461</v>
      </c>
      <c r="AX287">
        <v>0</v>
      </c>
      <c r="AY287" t="s">
        <v>8483</v>
      </c>
      <c r="AZ287">
        <v>1</v>
      </c>
      <c r="BA287" t="s">
        <v>8459</v>
      </c>
      <c r="BB287">
        <v>0</v>
      </c>
      <c r="BC287" t="s">
        <v>8484</v>
      </c>
      <c r="BD287">
        <v>59.769199999999998</v>
      </c>
      <c r="BE287" t="s">
        <v>8464</v>
      </c>
      <c r="BF287" t="s">
        <v>8463</v>
      </c>
      <c r="BG287" t="s">
        <v>8464</v>
      </c>
      <c r="BH287">
        <v>0.34090900000000002</v>
      </c>
    </row>
    <row r="288" spans="1:63" x14ac:dyDescent="0.25">
      <c r="A288">
        <v>465</v>
      </c>
      <c r="B288">
        <v>557</v>
      </c>
      <c r="C288" t="s">
        <v>8445</v>
      </c>
      <c r="F288">
        <v>1017128</v>
      </c>
      <c r="G288" t="s">
        <v>8919</v>
      </c>
      <c r="H288" t="s">
        <v>8920</v>
      </c>
      <c r="I288" t="s">
        <v>8448</v>
      </c>
      <c r="J288">
        <v>0</v>
      </c>
      <c r="K288">
        <v>6</v>
      </c>
      <c r="L288">
        <v>0</v>
      </c>
      <c r="M288">
        <v>248900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510</v>
      </c>
      <c r="T288">
        <v>0</v>
      </c>
      <c r="U288">
        <v>0</v>
      </c>
      <c r="V288">
        <v>0</v>
      </c>
      <c r="W288" t="s">
        <v>8447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65</v>
      </c>
      <c r="AR288">
        <v>0</v>
      </c>
      <c r="AS288">
        <v>0</v>
      </c>
      <c r="AT288" t="s">
        <v>8446</v>
      </c>
      <c r="AU288">
        <v>0</v>
      </c>
      <c r="AV288">
        <v>1</v>
      </c>
      <c r="AW288" t="s">
        <v>8526</v>
      </c>
      <c r="AX288">
        <v>0</v>
      </c>
      <c r="AY288" t="s">
        <v>8493</v>
      </c>
      <c r="AZ288">
        <v>1</v>
      </c>
      <c r="BA288" t="s">
        <v>8469</v>
      </c>
      <c r="BB288">
        <v>0</v>
      </c>
      <c r="BC288" t="s">
        <v>8452</v>
      </c>
      <c r="BD288">
        <v>0</v>
      </c>
      <c r="BE288" t="s">
        <v>8472</v>
      </c>
      <c r="BF288" t="s">
        <v>8534</v>
      </c>
      <c r="BG288" t="s">
        <v>8472</v>
      </c>
      <c r="BH288">
        <v>1.4772700000000001</v>
      </c>
    </row>
    <row r="289" spans="1:63" x14ac:dyDescent="0.25">
      <c r="A289">
        <v>466</v>
      </c>
      <c r="B289">
        <v>708</v>
      </c>
      <c r="C289" t="s">
        <v>8445</v>
      </c>
      <c r="F289">
        <v>1017087</v>
      </c>
      <c r="G289" t="s">
        <v>1020</v>
      </c>
      <c r="H289" t="s">
        <v>6647</v>
      </c>
      <c r="I289" t="s">
        <v>8548</v>
      </c>
      <c r="J289">
        <v>0</v>
      </c>
      <c r="K289">
        <v>6</v>
      </c>
      <c r="L289">
        <v>0</v>
      </c>
      <c r="M289">
        <v>234000</v>
      </c>
      <c r="N289">
        <v>172</v>
      </c>
      <c r="O289">
        <v>0</v>
      </c>
      <c r="P289">
        <v>4</v>
      </c>
      <c r="Q289">
        <v>0</v>
      </c>
      <c r="R289">
        <v>-14400</v>
      </c>
      <c r="S289">
        <v>380</v>
      </c>
      <c r="T289">
        <v>0</v>
      </c>
      <c r="U289">
        <v>0</v>
      </c>
      <c r="V289">
        <v>361</v>
      </c>
      <c r="W289" t="s">
        <v>8505</v>
      </c>
      <c r="X289">
        <v>0</v>
      </c>
      <c r="Y289">
        <v>35</v>
      </c>
      <c r="Z289">
        <v>0</v>
      </c>
      <c r="AA289">
        <v>15</v>
      </c>
      <c r="AB289">
        <v>0</v>
      </c>
      <c r="AC289">
        <v>13</v>
      </c>
      <c r="AD289">
        <v>0</v>
      </c>
      <c r="AE289">
        <v>5</v>
      </c>
      <c r="AF289">
        <v>0</v>
      </c>
      <c r="AG289">
        <v>3</v>
      </c>
      <c r="AH289">
        <v>0</v>
      </c>
      <c r="AI289">
        <v>-3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43</v>
      </c>
      <c r="AQ289">
        <v>57</v>
      </c>
      <c r="AR289">
        <v>43</v>
      </c>
      <c r="AS289">
        <v>40.333300000000001</v>
      </c>
      <c r="AT289" t="s">
        <v>8549</v>
      </c>
      <c r="AU289">
        <v>50</v>
      </c>
      <c r="AV289">
        <v>0</v>
      </c>
      <c r="AW289" t="s">
        <v>8450</v>
      </c>
      <c r="AX289">
        <v>1</v>
      </c>
      <c r="AY289" t="s">
        <v>8497</v>
      </c>
      <c r="AZ289">
        <v>0</v>
      </c>
      <c r="BA289" t="s">
        <v>8449</v>
      </c>
      <c r="BB289">
        <v>1</v>
      </c>
      <c r="BC289" t="s">
        <v>8471</v>
      </c>
      <c r="BD289">
        <v>46.923099999999998</v>
      </c>
      <c r="BE289" t="s">
        <v>8546</v>
      </c>
      <c r="BF289" t="s">
        <v>8534</v>
      </c>
      <c r="BG289" t="s">
        <v>8495</v>
      </c>
      <c r="BH289">
        <v>1.29545</v>
      </c>
      <c r="BJ289" s="1" t="s">
        <v>8921</v>
      </c>
      <c r="BK289" s="1" t="s">
        <v>8922</v>
      </c>
    </row>
    <row r="290" spans="1:63" x14ac:dyDescent="0.25">
      <c r="A290">
        <v>467</v>
      </c>
      <c r="B290">
        <v>476</v>
      </c>
      <c r="C290" t="s">
        <v>8445</v>
      </c>
      <c r="F290">
        <v>1020968</v>
      </c>
      <c r="G290" t="s">
        <v>2003</v>
      </c>
      <c r="H290" t="s">
        <v>6230</v>
      </c>
      <c r="I290" t="s">
        <v>8467</v>
      </c>
      <c r="J290">
        <v>0</v>
      </c>
      <c r="K290">
        <v>6</v>
      </c>
      <c r="L290">
        <v>0</v>
      </c>
      <c r="M290">
        <v>247900</v>
      </c>
      <c r="N290">
        <v>35</v>
      </c>
      <c r="O290">
        <v>0</v>
      </c>
      <c r="P290">
        <v>1</v>
      </c>
      <c r="Q290">
        <v>0</v>
      </c>
      <c r="R290">
        <v>0</v>
      </c>
      <c r="S290">
        <v>492</v>
      </c>
      <c r="T290">
        <v>0</v>
      </c>
      <c r="U290">
        <v>0</v>
      </c>
      <c r="V290">
        <v>100</v>
      </c>
      <c r="W290" t="s">
        <v>8466</v>
      </c>
      <c r="X290">
        <v>0</v>
      </c>
      <c r="Y290">
        <v>7</v>
      </c>
      <c r="Z290">
        <v>0</v>
      </c>
      <c r="AA290">
        <v>4</v>
      </c>
      <c r="AB290">
        <v>0</v>
      </c>
      <c r="AC290">
        <v>3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-1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35</v>
      </c>
      <c r="AQ290">
        <v>23</v>
      </c>
      <c r="AR290">
        <v>35</v>
      </c>
      <c r="AS290">
        <v>35</v>
      </c>
      <c r="AT290" t="s">
        <v>8465</v>
      </c>
      <c r="AU290">
        <v>41</v>
      </c>
      <c r="AV290">
        <v>0</v>
      </c>
      <c r="AW290" t="s">
        <v>8497</v>
      </c>
      <c r="AX290">
        <v>1</v>
      </c>
      <c r="AY290" t="s">
        <v>8451</v>
      </c>
      <c r="AZ290">
        <v>1</v>
      </c>
      <c r="BA290" t="s">
        <v>8492</v>
      </c>
      <c r="BB290">
        <v>0</v>
      </c>
      <c r="BC290" t="s">
        <v>8471</v>
      </c>
      <c r="BD290">
        <v>43.166699999999999</v>
      </c>
      <c r="BE290" t="s">
        <v>8472</v>
      </c>
      <c r="BF290" t="s">
        <v>8455</v>
      </c>
      <c r="BG290" t="s">
        <v>8498</v>
      </c>
      <c r="BH290">
        <v>0.52272700000000005</v>
      </c>
      <c r="BJ290">
        <v>0.35</v>
      </c>
      <c r="BK290" s="1" t="s">
        <v>8923</v>
      </c>
    </row>
    <row r="291" spans="1:63" x14ac:dyDescent="0.25">
      <c r="A291">
        <v>468</v>
      </c>
      <c r="B291">
        <v>589</v>
      </c>
      <c r="C291" t="s">
        <v>8445</v>
      </c>
      <c r="F291">
        <v>294592</v>
      </c>
      <c r="G291" t="s">
        <v>7841</v>
      </c>
      <c r="H291" t="s">
        <v>7842</v>
      </c>
      <c r="I291" t="s">
        <v>8490</v>
      </c>
      <c r="J291">
        <v>0</v>
      </c>
      <c r="K291">
        <v>6</v>
      </c>
      <c r="L291">
        <v>0</v>
      </c>
      <c r="M291">
        <v>322200</v>
      </c>
      <c r="N291">
        <v>364</v>
      </c>
      <c r="O291">
        <v>0</v>
      </c>
      <c r="P291">
        <v>5</v>
      </c>
      <c r="Q291">
        <v>0</v>
      </c>
      <c r="R291">
        <v>74600</v>
      </c>
      <c r="S291">
        <v>152</v>
      </c>
      <c r="T291">
        <v>0</v>
      </c>
      <c r="U291">
        <v>0</v>
      </c>
      <c r="V291">
        <v>498</v>
      </c>
      <c r="W291" t="s">
        <v>8481</v>
      </c>
      <c r="X291">
        <v>0</v>
      </c>
      <c r="Y291">
        <v>47</v>
      </c>
      <c r="Z291">
        <v>0</v>
      </c>
      <c r="AA291">
        <v>34</v>
      </c>
      <c r="AB291">
        <v>0</v>
      </c>
      <c r="AC291">
        <v>23</v>
      </c>
      <c r="AD291">
        <v>0</v>
      </c>
      <c r="AE291">
        <v>24</v>
      </c>
      <c r="AF291">
        <v>0</v>
      </c>
      <c r="AG291">
        <v>0</v>
      </c>
      <c r="AH291">
        <v>0</v>
      </c>
      <c r="AI291">
        <v>-4</v>
      </c>
      <c r="AJ291">
        <v>0</v>
      </c>
      <c r="AK291">
        <v>1</v>
      </c>
      <c r="AL291">
        <v>0</v>
      </c>
      <c r="AM291">
        <v>3</v>
      </c>
      <c r="AN291">
        <v>0</v>
      </c>
      <c r="AO291">
        <v>0</v>
      </c>
      <c r="AP291">
        <v>72.8</v>
      </c>
      <c r="AQ291">
        <v>355</v>
      </c>
      <c r="AR291">
        <v>72.8</v>
      </c>
      <c r="AS291">
        <v>72</v>
      </c>
      <c r="AT291" t="s">
        <v>8489</v>
      </c>
      <c r="AU291">
        <v>61.5</v>
      </c>
      <c r="AV291">
        <v>0</v>
      </c>
      <c r="AW291" t="s">
        <v>8460</v>
      </c>
      <c r="AX291">
        <v>1</v>
      </c>
      <c r="AY291" t="s">
        <v>8459</v>
      </c>
      <c r="AZ291">
        <v>1</v>
      </c>
      <c r="BA291" t="s">
        <v>8483</v>
      </c>
      <c r="BB291">
        <v>0</v>
      </c>
      <c r="BC291" t="s">
        <v>8471</v>
      </c>
      <c r="BD291">
        <v>61.769199999999998</v>
      </c>
      <c r="BE291" t="s">
        <v>8464</v>
      </c>
      <c r="BF291" t="s">
        <v>8464</v>
      </c>
      <c r="BG291" t="s">
        <v>8464</v>
      </c>
      <c r="BH291">
        <v>8.0681799999999999</v>
      </c>
      <c r="BJ291" s="1" t="s">
        <v>8924</v>
      </c>
      <c r="BK291" s="1" t="s">
        <v>8925</v>
      </c>
    </row>
    <row r="292" spans="1:63" x14ac:dyDescent="0.25">
      <c r="A292">
        <v>469</v>
      </c>
      <c r="B292">
        <v>64</v>
      </c>
      <c r="C292" t="s">
        <v>8445</v>
      </c>
      <c r="F292">
        <v>1003520</v>
      </c>
      <c r="G292" t="s">
        <v>5786</v>
      </c>
      <c r="H292" t="s">
        <v>3098</v>
      </c>
      <c r="I292" t="s">
        <v>8524</v>
      </c>
      <c r="J292">
        <v>0</v>
      </c>
      <c r="K292">
        <v>6</v>
      </c>
      <c r="L292">
        <v>0</v>
      </c>
      <c r="M292">
        <v>247300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510</v>
      </c>
      <c r="T292">
        <v>0</v>
      </c>
      <c r="U292">
        <v>0</v>
      </c>
      <c r="V292">
        <v>0</v>
      </c>
      <c r="W292" t="s">
        <v>8466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10</v>
      </c>
      <c r="AR292">
        <v>0</v>
      </c>
      <c r="AS292">
        <v>0</v>
      </c>
      <c r="AT292" t="s">
        <v>8525</v>
      </c>
      <c r="AU292">
        <v>42.5</v>
      </c>
      <c r="AV292">
        <v>0</v>
      </c>
      <c r="AW292" t="s">
        <v>8470</v>
      </c>
      <c r="AX292">
        <v>1</v>
      </c>
      <c r="AY292" t="s">
        <v>8449</v>
      </c>
      <c r="AZ292">
        <v>0</v>
      </c>
      <c r="BA292" t="s">
        <v>8526</v>
      </c>
      <c r="BB292">
        <v>1</v>
      </c>
      <c r="BC292" t="s">
        <v>8527</v>
      </c>
      <c r="BD292">
        <v>47</v>
      </c>
      <c r="BE292" t="s">
        <v>8455</v>
      </c>
      <c r="BF292" t="s">
        <v>8494</v>
      </c>
      <c r="BG292" t="s">
        <v>8498</v>
      </c>
      <c r="BH292">
        <v>0.227273</v>
      </c>
    </row>
    <row r="293" spans="1:63" x14ac:dyDescent="0.25">
      <c r="A293">
        <v>470</v>
      </c>
      <c r="B293">
        <v>568</v>
      </c>
      <c r="C293" t="s">
        <v>8445</v>
      </c>
      <c r="F293">
        <v>1013229</v>
      </c>
      <c r="G293" t="s">
        <v>3830</v>
      </c>
      <c r="H293" t="s">
        <v>8926</v>
      </c>
      <c r="I293" t="s">
        <v>8490</v>
      </c>
      <c r="J293">
        <v>0</v>
      </c>
      <c r="K293">
        <v>6</v>
      </c>
      <c r="L293">
        <v>0</v>
      </c>
      <c r="M293">
        <v>281700</v>
      </c>
      <c r="N293">
        <v>285</v>
      </c>
      <c r="O293">
        <v>0</v>
      </c>
      <c r="P293">
        <v>5</v>
      </c>
      <c r="Q293">
        <v>0</v>
      </c>
      <c r="R293">
        <v>35300</v>
      </c>
      <c r="S293">
        <v>264</v>
      </c>
      <c r="T293">
        <v>0</v>
      </c>
      <c r="U293">
        <v>0</v>
      </c>
      <c r="V293">
        <v>518</v>
      </c>
      <c r="W293" t="s">
        <v>8475</v>
      </c>
      <c r="X293">
        <v>0</v>
      </c>
      <c r="Y293">
        <v>31</v>
      </c>
      <c r="Z293">
        <v>0</v>
      </c>
      <c r="AA293">
        <v>22</v>
      </c>
      <c r="AB293">
        <v>0</v>
      </c>
      <c r="AC293">
        <v>28</v>
      </c>
      <c r="AD293">
        <v>0</v>
      </c>
      <c r="AE293">
        <v>6</v>
      </c>
      <c r="AF293">
        <v>0</v>
      </c>
      <c r="AG293">
        <v>4</v>
      </c>
      <c r="AH293">
        <v>0</v>
      </c>
      <c r="AI293">
        <v>0</v>
      </c>
      <c r="AJ293">
        <v>0</v>
      </c>
      <c r="AK293">
        <v>19</v>
      </c>
      <c r="AL293">
        <v>0</v>
      </c>
      <c r="AM293">
        <v>3</v>
      </c>
      <c r="AN293">
        <v>0</v>
      </c>
      <c r="AO293">
        <v>1</v>
      </c>
      <c r="AP293">
        <v>57</v>
      </c>
      <c r="AQ293">
        <v>84</v>
      </c>
      <c r="AR293">
        <v>57</v>
      </c>
      <c r="AS293">
        <v>61.333300000000001</v>
      </c>
      <c r="AT293" t="s">
        <v>8489</v>
      </c>
      <c r="AU293">
        <v>0</v>
      </c>
      <c r="AV293">
        <v>0</v>
      </c>
      <c r="AW293" t="s">
        <v>8460</v>
      </c>
      <c r="AX293">
        <v>1</v>
      </c>
      <c r="AY293" t="s">
        <v>8459</v>
      </c>
      <c r="AZ293">
        <v>1</v>
      </c>
      <c r="BA293" t="s">
        <v>8483</v>
      </c>
      <c r="BB293">
        <v>0</v>
      </c>
      <c r="BC293" t="s">
        <v>8471</v>
      </c>
      <c r="BD293">
        <v>74</v>
      </c>
      <c r="BE293" t="s">
        <v>8464</v>
      </c>
      <c r="BF293" t="s">
        <v>8464</v>
      </c>
      <c r="BG293" t="s">
        <v>8464</v>
      </c>
      <c r="BH293">
        <v>1.90909</v>
      </c>
      <c r="BJ293" s="1" t="s">
        <v>8927</v>
      </c>
      <c r="BK293" s="1" t="s">
        <v>8928</v>
      </c>
    </row>
    <row r="294" spans="1:63" x14ac:dyDescent="0.25">
      <c r="A294">
        <v>472</v>
      </c>
      <c r="B294">
        <v>498</v>
      </c>
      <c r="C294" t="s">
        <v>8445</v>
      </c>
      <c r="F294">
        <v>997933</v>
      </c>
      <c r="G294" t="s">
        <v>1732</v>
      </c>
      <c r="H294" t="s">
        <v>7120</v>
      </c>
      <c r="I294" t="s">
        <v>8467</v>
      </c>
      <c r="J294">
        <v>0</v>
      </c>
      <c r="K294">
        <v>6</v>
      </c>
      <c r="L294">
        <v>0</v>
      </c>
      <c r="M294">
        <v>261700</v>
      </c>
      <c r="N294">
        <v>184</v>
      </c>
      <c r="O294">
        <v>0</v>
      </c>
      <c r="P294">
        <v>3</v>
      </c>
      <c r="Q294">
        <v>0</v>
      </c>
      <c r="R294">
        <v>16500</v>
      </c>
      <c r="S294">
        <v>367</v>
      </c>
      <c r="T294">
        <v>0</v>
      </c>
      <c r="U294">
        <v>0</v>
      </c>
      <c r="V294">
        <v>299</v>
      </c>
      <c r="W294" t="s">
        <v>8505</v>
      </c>
      <c r="X294">
        <v>0</v>
      </c>
      <c r="Y294">
        <v>18</v>
      </c>
      <c r="Z294">
        <v>0</v>
      </c>
      <c r="AA294">
        <v>12</v>
      </c>
      <c r="AB294">
        <v>0</v>
      </c>
      <c r="AC294">
        <v>12</v>
      </c>
      <c r="AD294">
        <v>0</v>
      </c>
      <c r="AE294">
        <v>5</v>
      </c>
      <c r="AF294">
        <v>0</v>
      </c>
      <c r="AG294">
        <v>1</v>
      </c>
      <c r="AH294">
        <v>0</v>
      </c>
      <c r="AI294">
        <v>-5</v>
      </c>
      <c r="AJ294">
        <v>0</v>
      </c>
      <c r="AK294">
        <v>3</v>
      </c>
      <c r="AL294">
        <v>0</v>
      </c>
      <c r="AM294">
        <v>0</v>
      </c>
      <c r="AN294">
        <v>0</v>
      </c>
      <c r="AO294">
        <v>0</v>
      </c>
      <c r="AP294">
        <v>61.333300000000001</v>
      </c>
      <c r="AQ294">
        <v>43</v>
      </c>
      <c r="AR294">
        <v>61.333300000000001</v>
      </c>
      <c r="AS294">
        <v>61.333300000000001</v>
      </c>
      <c r="AT294" t="s">
        <v>8465</v>
      </c>
      <c r="AU294">
        <v>66.400000000000006</v>
      </c>
      <c r="AV294">
        <v>0</v>
      </c>
      <c r="AW294" t="s">
        <v>8497</v>
      </c>
      <c r="AX294">
        <v>1</v>
      </c>
      <c r="AY294" t="s">
        <v>8451</v>
      </c>
      <c r="AZ294">
        <v>1</v>
      </c>
      <c r="BA294" t="s">
        <v>8492</v>
      </c>
      <c r="BB294">
        <v>0</v>
      </c>
      <c r="BC294" t="s">
        <v>8471</v>
      </c>
      <c r="BD294">
        <v>64.789500000000004</v>
      </c>
      <c r="BE294" t="s">
        <v>8472</v>
      </c>
      <c r="BF294" t="s">
        <v>8455</v>
      </c>
      <c r="BG294" t="s">
        <v>8498</v>
      </c>
      <c r="BH294">
        <v>0.97727299999999995</v>
      </c>
      <c r="BJ294" s="1" t="s">
        <v>8929</v>
      </c>
      <c r="BK294" s="1" t="s">
        <v>8930</v>
      </c>
    </row>
    <row r="295" spans="1:63" x14ac:dyDescent="0.25">
      <c r="A295">
        <v>473</v>
      </c>
      <c r="B295">
        <v>422</v>
      </c>
      <c r="C295" t="s">
        <v>8445</v>
      </c>
      <c r="F295">
        <v>1001024</v>
      </c>
      <c r="G295" t="s">
        <v>5352</v>
      </c>
      <c r="H295" t="s">
        <v>5368</v>
      </c>
      <c r="I295" t="s">
        <v>8480</v>
      </c>
      <c r="J295">
        <v>0</v>
      </c>
      <c r="K295">
        <v>6</v>
      </c>
      <c r="L295">
        <v>0</v>
      </c>
      <c r="M295">
        <v>244600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510</v>
      </c>
      <c r="T295">
        <v>0</v>
      </c>
      <c r="U295">
        <v>0</v>
      </c>
      <c r="V295">
        <v>0</v>
      </c>
      <c r="W295" t="s">
        <v>8447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99</v>
      </c>
      <c r="AR295">
        <v>0</v>
      </c>
      <c r="AS295">
        <v>0</v>
      </c>
      <c r="AT295" t="s">
        <v>8482</v>
      </c>
      <c r="AU295">
        <v>32.5</v>
      </c>
      <c r="AV295">
        <v>1</v>
      </c>
      <c r="AW295" t="s">
        <v>8483</v>
      </c>
      <c r="AX295">
        <v>0</v>
      </c>
      <c r="AY295" t="s">
        <v>8461</v>
      </c>
      <c r="AZ295">
        <v>0</v>
      </c>
      <c r="BA295" t="s">
        <v>8460</v>
      </c>
      <c r="BB295">
        <v>1</v>
      </c>
      <c r="BC295" t="s">
        <v>8484</v>
      </c>
      <c r="BD295">
        <v>61.473700000000001</v>
      </c>
      <c r="BE295" t="s">
        <v>8455</v>
      </c>
      <c r="BF295" t="s">
        <v>8464</v>
      </c>
      <c r="BG295" t="s">
        <v>8464</v>
      </c>
      <c r="BH295">
        <v>2.25</v>
      </c>
    </row>
    <row r="296" spans="1:63" x14ac:dyDescent="0.25">
      <c r="A296">
        <v>474</v>
      </c>
      <c r="B296">
        <v>513</v>
      </c>
      <c r="C296" t="s">
        <v>8445</v>
      </c>
      <c r="F296">
        <v>1007591</v>
      </c>
      <c r="G296" t="s">
        <v>8931</v>
      </c>
      <c r="H296" t="s">
        <v>8932</v>
      </c>
      <c r="I296" t="s">
        <v>8467</v>
      </c>
      <c r="J296">
        <v>0</v>
      </c>
      <c r="K296">
        <v>6</v>
      </c>
      <c r="L296">
        <v>0</v>
      </c>
      <c r="M296">
        <v>244400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510</v>
      </c>
      <c r="T296">
        <v>0</v>
      </c>
      <c r="U296">
        <v>0</v>
      </c>
      <c r="V296">
        <v>0</v>
      </c>
      <c r="W296" t="s">
        <v>8447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14</v>
      </c>
      <c r="AR296">
        <v>0</v>
      </c>
      <c r="AS296">
        <v>0</v>
      </c>
      <c r="AT296" t="s">
        <v>8465</v>
      </c>
      <c r="AU296">
        <v>56</v>
      </c>
      <c r="AV296">
        <v>0</v>
      </c>
      <c r="AW296" t="s">
        <v>8497</v>
      </c>
      <c r="AX296">
        <v>1</v>
      </c>
      <c r="AY296" t="s">
        <v>8451</v>
      </c>
      <c r="AZ296">
        <v>1</v>
      </c>
      <c r="BA296" t="s">
        <v>8492</v>
      </c>
      <c r="BB296">
        <v>0</v>
      </c>
      <c r="BC296" t="s">
        <v>8471</v>
      </c>
      <c r="BD296">
        <v>51</v>
      </c>
      <c r="BE296" t="s">
        <v>8472</v>
      </c>
      <c r="BF296" t="s">
        <v>8455</v>
      </c>
      <c r="BG296" t="s">
        <v>8498</v>
      </c>
      <c r="BH296">
        <v>0.31818200000000002</v>
      </c>
    </row>
    <row r="297" spans="1:63" x14ac:dyDescent="0.25">
      <c r="A297">
        <v>475</v>
      </c>
      <c r="B297">
        <v>588</v>
      </c>
      <c r="C297" t="s">
        <v>8445</v>
      </c>
      <c r="F297">
        <v>1019916</v>
      </c>
      <c r="G297" t="s">
        <v>4258</v>
      </c>
      <c r="H297" t="s">
        <v>8933</v>
      </c>
      <c r="I297" t="s">
        <v>8490</v>
      </c>
      <c r="J297">
        <v>0</v>
      </c>
      <c r="K297">
        <v>6</v>
      </c>
      <c r="L297">
        <v>0</v>
      </c>
      <c r="M297">
        <v>244300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510</v>
      </c>
      <c r="T297">
        <v>0</v>
      </c>
      <c r="U297">
        <v>0</v>
      </c>
      <c r="V297">
        <v>0</v>
      </c>
      <c r="W297" t="s">
        <v>8447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44</v>
      </c>
      <c r="AR297">
        <v>0</v>
      </c>
      <c r="AS297">
        <v>0</v>
      </c>
      <c r="AT297" t="s">
        <v>8489</v>
      </c>
      <c r="AU297">
        <v>0</v>
      </c>
      <c r="AV297">
        <v>0</v>
      </c>
      <c r="AW297" t="s">
        <v>8460</v>
      </c>
      <c r="AX297">
        <v>1</v>
      </c>
      <c r="AY297" t="s">
        <v>8459</v>
      </c>
      <c r="AZ297">
        <v>1</v>
      </c>
      <c r="BA297" t="s">
        <v>8483</v>
      </c>
      <c r="BB297">
        <v>0</v>
      </c>
      <c r="BC297" t="s">
        <v>8471</v>
      </c>
      <c r="BD297">
        <v>0</v>
      </c>
      <c r="BE297" t="s">
        <v>8464</v>
      </c>
      <c r="BF297" t="s">
        <v>8464</v>
      </c>
      <c r="BG297" t="s">
        <v>8464</v>
      </c>
      <c r="BH297">
        <v>1</v>
      </c>
    </row>
    <row r="298" spans="1:63" x14ac:dyDescent="0.25">
      <c r="A298">
        <v>476</v>
      </c>
      <c r="B298">
        <v>347</v>
      </c>
      <c r="C298" t="s">
        <v>8445</v>
      </c>
      <c r="F298">
        <v>1015777</v>
      </c>
      <c r="G298" t="s">
        <v>1332</v>
      </c>
      <c r="H298" t="s">
        <v>8934</v>
      </c>
      <c r="I298" t="s">
        <v>8512</v>
      </c>
      <c r="J298">
        <v>0</v>
      </c>
      <c r="K298">
        <v>6</v>
      </c>
      <c r="L298">
        <v>0</v>
      </c>
      <c r="M298">
        <v>242500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510</v>
      </c>
      <c r="T298">
        <v>0</v>
      </c>
      <c r="U298">
        <v>0</v>
      </c>
      <c r="V298">
        <v>0</v>
      </c>
      <c r="W298" t="s">
        <v>8447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21</v>
      </c>
      <c r="AR298">
        <v>0</v>
      </c>
      <c r="AS298">
        <v>0</v>
      </c>
      <c r="AT298" t="s">
        <v>8511</v>
      </c>
      <c r="AU298">
        <v>75</v>
      </c>
      <c r="AV298">
        <v>1</v>
      </c>
      <c r="AW298" t="s">
        <v>8493</v>
      </c>
      <c r="AX298">
        <v>0</v>
      </c>
      <c r="AY298" t="s">
        <v>8491</v>
      </c>
      <c r="AZ298">
        <v>1</v>
      </c>
      <c r="BA298" t="s">
        <v>8468</v>
      </c>
      <c r="BB298">
        <v>1</v>
      </c>
      <c r="BC298" t="s">
        <v>8515</v>
      </c>
      <c r="BD298">
        <v>75</v>
      </c>
      <c r="BE298" t="s">
        <v>8546</v>
      </c>
      <c r="BF298" t="s">
        <v>8454</v>
      </c>
      <c r="BG298" t="s">
        <v>8531</v>
      </c>
      <c r="BH298">
        <v>0.477273</v>
      </c>
    </row>
    <row r="299" spans="1:63" x14ac:dyDescent="0.25">
      <c r="A299">
        <v>477</v>
      </c>
      <c r="B299">
        <v>693</v>
      </c>
      <c r="C299" t="s">
        <v>8445</v>
      </c>
      <c r="F299">
        <v>1006232</v>
      </c>
      <c r="G299" t="s">
        <v>958</v>
      </c>
      <c r="H299" t="s">
        <v>7012</v>
      </c>
      <c r="I299" t="s">
        <v>8446</v>
      </c>
      <c r="J299">
        <v>0</v>
      </c>
      <c r="K299">
        <v>6</v>
      </c>
      <c r="L299">
        <v>0</v>
      </c>
      <c r="M299">
        <v>243900</v>
      </c>
      <c r="N299">
        <v>259</v>
      </c>
      <c r="O299">
        <v>0</v>
      </c>
      <c r="P299">
        <v>5</v>
      </c>
      <c r="Q299">
        <v>0</v>
      </c>
      <c r="R299">
        <v>2400</v>
      </c>
      <c r="S299">
        <v>296</v>
      </c>
      <c r="T299">
        <v>0</v>
      </c>
      <c r="U299">
        <v>0</v>
      </c>
      <c r="V299">
        <v>523</v>
      </c>
      <c r="W299" t="s">
        <v>8475</v>
      </c>
      <c r="X299">
        <v>0</v>
      </c>
      <c r="Y299">
        <v>49</v>
      </c>
      <c r="Z299">
        <v>0</v>
      </c>
      <c r="AA299">
        <v>25</v>
      </c>
      <c r="AB299">
        <v>0</v>
      </c>
      <c r="AC299">
        <v>11</v>
      </c>
      <c r="AD299">
        <v>0</v>
      </c>
      <c r="AE299">
        <v>15</v>
      </c>
      <c r="AF299">
        <v>0</v>
      </c>
      <c r="AG299">
        <v>6</v>
      </c>
      <c r="AH299">
        <v>0</v>
      </c>
      <c r="AI299">
        <v>-9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51.8</v>
      </c>
      <c r="AQ299">
        <v>102</v>
      </c>
      <c r="AR299">
        <v>51.8</v>
      </c>
      <c r="AS299">
        <v>50.333300000000001</v>
      </c>
      <c r="AT299" t="s">
        <v>8448</v>
      </c>
      <c r="AU299">
        <v>41</v>
      </c>
      <c r="AV299">
        <v>0</v>
      </c>
      <c r="AW299" t="s">
        <v>8449</v>
      </c>
      <c r="AX299">
        <v>1</v>
      </c>
      <c r="AY299" t="s">
        <v>8450</v>
      </c>
      <c r="AZ299">
        <v>0</v>
      </c>
      <c r="BA299" t="s">
        <v>8451</v>
      </c>
      <c r="BB299">
        <v>1</v>
      </c>
      <c r="BC299" t="s">
        <v>8452</v>
      </c>
      <c r="BD299">
        <v>55.576900000000002</v>
      </c>
      <c r="BE299" t="s">
        <v>8453</v>
      </c>
      <c r="BF299" t="s">
        <v>8454</v>
      </c>
      <c r="BG299" t="s">
        <v>8455</v>
      </c>
      <c r="BH299">
        <v>2.3181799999999999</v>
      </c>
      <c r="BJ299" s="1" t="s">
        <v>8935</v>
      </c>
      <c r="BK299" s="1" t="s">
        <v>8936</v>
      </c>
    </row>
    <row r="300" spans="1:63" x14ac:dyDescent="0.25">
      <c r="A300">
        <v>478</v>
      </c>
      <c r="B300">
        <v>62</v>
      </c>
      <c r="C300" t="s">
        <v>8445</v>
      </c>
      <c r="F300">
        <v>296269</v>
      </c>
      <c r="G300" t="s">
        <v>3105</v>
      </c>
      <c r="H300" t="s">
        <v>5246</v>
      </c>
      <c r="I300" t="s">
        <v>8524</v>
      </c>
      <c r="J300">
        <v>0</v>
      </c>
      <c r="K300">
        <v>6</v>
      </c>
      <c r="L300">
        <v>0</v>
      </c>
      <c r="M300">
        <v>241100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510</v>
      </c>
      <c r="T300">
        <v>0</v>
      </c>
      <c r="U300">
        <v>0</v>
      </c>
      <c r="V300">
        <v>0</v>
      </c>
      <c r="W300" t="s">
        <v>8466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14</v>
      </c>
      <c r="AR300">
        <v>0</v>
      </c>
      <c r="AS300">
        <v>0</v>
      </c>
      <c r="AT300" t="s">
        <v>8525</v>
      </c>
      <c r="AU300">
        <v>55.555599999999998</v>
      </c>
      <c r="AV300">
        <v>0</v>
      </c>
      <c r="AW300" t="s">
        <v>8470</v>
      </c>
      <c r="AX300">
        <v>1</v>
      </c>
      <c r="AY300" t="s">
        <v>8449</v>
      </c>
      <c r="AZ300">
        <v>0</v>
      </c>
      <c r="BA300" t="s">
        <v>8526</v>
      </c>
      <c r="BB300">
        <v>1</v>
      </c>
      <c r="BC300" t="s">
        <v>8527</v>
      </c>
      <c r="BD300">
        <v>63.584400000000002</v>
      </c>
      <c r="BE300" t="s">
        <v>8455</v>
      </c>
      <c r="BF300" t="s">
        <v>8494</v>
      </c>
      <c r="BG300" t="s">
        <v>8498</v>
      </c>
      <c r="BH300">
        <v>0.31818200000000002</v>
      </c>
    </row>
    <row r="301" spans="1:63" x14ac:dyDescent="0.25">
      <c r="A301">
        <v>479</v>
      </c>
      <c r="B301">
        <v>743</v>
      </c>
      <c r="C301" t="s">
        <v>8445</v>
      </c>
      <c r="F301">
        <v>1017057</v>
      </c>
      <c r="G301" t="s">
        <v>5431</v>
      </c>
      <c r="H301" t="s">
        <v>5882</v>
      </c>
      <c r="I301" t="s">
        <v>8456</v>
      </c>
      <c r="J301">
        <v>0</v>
      </c>
      <c r="K301">
        <v>6</v>
      </c>
      <c r="L301">
        <v>0</v>
      </c>
      <c r="M301">
        <v>239200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510</v>
      </c>
      <c r="T301">
        <v>0</v>
      </c>
      <c r="U301">
        <v>0</v>
      </c>
      <c r="V301">
        <v>0</v>
      </c>
      <c r="W301" t="s">
        <v>8457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24</v>
      </c>
      <c r="AR301">
        <v>0</v>
      </c>
      <c r="AS301">
        <v>0</v>
      </c>
      <c r="AT301" t="s">
        <v>8458</v>
      </c>
      <c r="AU301">
        <v>47.666699999999999</v>
      </c>
      <c r="AV301">
        <v>0</v>
      </c>
      <c r="AW301" t="s">
        <v>8459</v>
      </c>
      <c r="AX301">
        <v>1</v>
      </c>
      <c r="AY301" t="s">
        <v>8460</v>
      </c>
      <c r="AZ301">
        <v>0</v>
      </c>
      <c r="BA301" t="s">
        <v>8461</v>
      </c>
      <c r="BB301">
        <v>1</v>
      </c>
      <c r="BC301" t="s">
        <v>8462</v>
      </c>
      <c r="BD301">
        <v>42</v>
      </c>
      <c r="BE301" t="s">
        <v>8455</v>
      </c>
      <c r="BF301" t="s">
        <v>8463</v>
      </c>
      <c r="BG301" t="s">
        <v>8464</v>
      </c>
      <c r="BH301">
        <v>0.54545500000000002</v>
      </c>
    </row>
    <row r="302" spans="1:63" x14ac:dyDescent="0.25">
      <c r="A302">
        <v>480</v>
      </c>
      <c r="B302">
        <v>774</v>
      </c>
      <c r="C302" t="s">
        <v>8445</v>
      </c>
      <c r="F302">
        <v>296296</v>
      </c>
      <c r="G302" t="s">
        <v>3581</v>
      </c>
      <c r="H302" t="s">
        <v>5377</v>
      </c>
      <c r="I302" t="s">
        <v>8456</v>
      </c>
      <c r="J302">
        <v>0</v>
      </c>
      <c r="K302">
        <v>6</v>
      </c>
      <c r="L302">
        <v>0</v>
      </c>
      <c r="M302">
        <v>238400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510</v>
      </c>
      <c r="T302">
        <v>0</v>
      </c>
      <c r="U302">
        <v>0</v>
      </c>
      <c r="V302">
        <v>0</v>
      </c>
      <c r="W302" t="s">
        <v>8457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30</v>
      </c>
      <c r="AR302">
        <v>0</v>
      </c>
      <c r="AS302">
        <v>0</v>
      </c>
      <c r="AT302" t="s">
        <v>8458</v>
      </c>
      <c r="AU302">
        <v>67.625</v>
      </c>
      <c r="AV302">
        <v>0</v>
      </c>
      <c r="AW302" t="s">
        <v>8459</v>
      </c>
      <c r="AX302">
        <v>1</v>
      </c>
      <c r="AY302" t="s">
        <v>8460</v>
      </c>
      <c r="AZ302">
        <v>0</v>
      </c>
      <c r="BA302" t="s">
        <v>8461</v>
      </c>
      <c r="BB302">
        <v>1</v>
      </c>
      <c r="BC302" t="s">
        <v>8462</v>
      </c>
      <c r="BD302">
        <v>85.641499999999994</v>
      </c>
      <c r="BE302" t="s">
        <v>8455</v>
      </c>
      <c r="BF302" t="s">
        <v>8463</v>
      </c>
      <c r="BG302" t="s">
        <v>8464</v>
      </c>
      <c r="BH302">
        <v>0.68181800000000004</v>
      </c>
    </row>
    <row r="303" spans="1:63" x14ac:dyDescent="0.25">
      <c r="A303">
        <v>481</v>
      </c>
      <c r="B303">
        <v>152</v>
      </c>
      <c r="C303" t="s">
        <v>8445</v>
      </c>
      <c r="F303">
        <v>1012828</v>
      </c>
      <c r="G303" t="s">
        <v>8937</v>
      </c>
      <c r="H303" t="s">
        <v>8046</v>
      </c>
      <c r="I303" t="s">
        <v>8525</v>
      </c>
      <c r="J303">
        <v>0</v>
      </c>
      <c r="K303">
        <v>6</v>
      </c>
      <c r="L303">
        <v>0</v>
      </c>
      <c r="M303">
        <v>237700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510</v>
      </c>
      <c r="T303">
        <v>0</v>
      </c>
      <c r="U303">
        <v>0</v>
      </c>
      <c r="V303">
        <v>0</v>
      </c>
      <c r="W303" t="s">
        <v>8466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36</v>
      </c>
      <c r="AR303">
        <v>0</v>
      </c>
      <c r="AS303">
        <v>0</v>
      </c>
      <c r="AT303" t="s">
        <v>8524</v>
      </c>
      <c r="AU303">
        <v>38.5</v>
      </c>
      <c r="AV303">
        <v>1</v>
      </c>
      <c r="AW303" t="s">
        <v>8451</v>
      </c>
      <c r="AX303">
        <v>0</v>
      </c>
      <c r="AY303" t="s">
        <v>8468</v>
      </c>
      <c r="AZ303">
        <v>0</v>
      </c>
      <c r="BA303" t="s">
        <v>8513</v>
      </c>
      <c r="BB303">
        <v>1</v>
      </c>
      <c r="BC303" t="s">
        <v>8527</v>
      </c>
      <c r="BD303">
        <v>38.5</v>
      </c>
      <c r="BE303" t="s">
        <v>8464</v>
      </c>
      <c r="BF303" t="s">
        <v>8464</v>
      </c>
      <c r="BG303" t="s">
        <v>8463</v>
      </c>
      <c r="BH303">
        <v>0.81818199999999996</v>
      </c>
    </row>
    <row r="304" spans="1:63" x14ac:dyDescent="0.25">
      <c r="A304">
        <v>482</v>
      </c>
      <c r="B304">
        <v>4</v>
      </c>
      <c r="C304" t="s">
        <v>8445</v>
      </c>
      <c r="F304">
        <v>1000068</v>
      </c>
      <c r="G304" t="s">
        <v>315</v>
      </c>
      <c r="H304" t="s">
        <v>5345</v>
      </c>
      <c r="I304" t="s">
        <v>8511</v>
      </c>
      <c r="J304">
        <v>0</v>
      </c>
      <c r="K304">
        <v>6</v>
      </c>
      <c r="L304">
        <v>0</v>
      </c>
      <c r="M304">
        <v>237600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510</v>
      </c>
      <c r="T304">
        <v>0</v>
      </c>
      <c r="U304">
        <v>0</v>
      </c>
      <c r="V304">
        <v>0</v>
      </c>
      <c r="W304" t="s">
        <v>8466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13</v>
      </c>
      <c r="AR304">
        <v>0</v>
      </c>
      <c r="AS304">
        <v>0</v>
      </c>
      <c r="AT304" t="s">
        <v>8512</v>
      </c>
      <c r="AU304">
        <v>62.333300000000001</v>
      </c>
      <c r="AV304">
        <v>0</v>
      </c>
      <c r="AW304" t="s">
        <v>8513</v>
      </c>
      <c r="AX304">
        <v>1</v>
      </c>
      <c r="AY304" t="s">
        <v>8514</v>
      </c>
      <c r="AZ304">
        <v>0</v>
      </c>
      <c r="BA304" t="s">
        <v>8497</v>
      </c>
      <c r="BB304">
        <v>1</v>
      </c>
      <c r="BC304" t="s">
        <v>8515</v>
      </c>
      <c r="BD304">
        <v>45.142899999999997</v>
      </c>
      <c r="BE304" t="s">
        <v>8463</v>
      </c>
      <c r="BF304" t="s">
        <v>8472</v>
      </c>
      <c r="BG304" t="s">
        <v>8472</v>
      </c>
      <c r="BH304">
        <v>0.29545500000000002</v>
      </c>
    </row>
    <row r="305" spans="1:63" x14ac:dyDescent="0.25">
      <c r="A305">
        <v>483</v>
      </c>
      <c r="B305">
        <v>308</v>
      </c>
      <c r="C305" t="s">
        <v>8445</v>
      </c>
      <c r="F305">
        <v>1023537</v>
      </c>
      <c r="G305" t="s">
        <v>8938</v>
      </c>
      <c r="H305" t="s">
        <v>6320</v>
      </c>
      <c r="I305" t="s">
        <v>8482</v>
      </c>
      <c r="J305">
        <v>0</v>
      </c>
      <c r="K305">
        <v>6</v>
      </c>
      <c r="L305">
        <v>0</v>
      </c>
      <c r="M305">
        <v>229900</v>
      </c>
      <c r="N305">
        <v>124</v>
      </c>
      <c r="O305">
        <v>0</v>
      </c>
      <c r="P305">
        <v>3</v>
      </c>
      <c r="Q305">
        <v>0</v>
      </c>
      <c r="R305">
        <v>-7500</v>
      </c>
      <c r="S305">
        <v>425</v>
      </c>
      <c r="T305">
        <v>0</v>
      </c>
      <c r="U305">
        <v>0</v>
      </c>
      <c r="V305">
        <v>185</v>
      </c>
      <c r="W305" t="s">
        <v>8505</v>
      </c>
      <c r="X305">
        <v>0</v>
      </c>
      <c r="Y305">
        <v>21</v>
      </c>
      <c r="Z305">
        <v>0</v>
      </c>
      <c r="AA305">
        <v>10</v>
      </c>
      <c r="AB305">
        <v>0</v>
      </c>
      <c r="AC305">
        <v>4</v>
      </c>
      <c r="AD305">
        <v>0</v>
      </c>
      <c r="AE305">
        <v>10</v>
      </c>
      <c r="AF305">
        <v>0</v>
      </c>
      <c r="AG305">
        <v>2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2</v>
      </c>
      <c r="AP305">
        <v>41.333300000000001</v>
      </c>
      <c r="AQ305">
        <v>71</v>
      </c>
      <c r="AR305">
        <v>41.333300000000001</v>
      </c>
      <c r="AS305">
        <v>41.333300000000001</v>
      </c>
      <c r="AT305" t="s">
        <v>8480</v>
      </c>
      <c r="AU305">
        <v>62</v>
      </c>
      <c r="AV305">
        <v>0</v>
      </c>
      <c r="AW305" t="s">
        <v>8514</v>
      </c>
      <c r="AX305">
        <v>1</v>
      </c>
      <c r="AY305" t="s">
        <v>8530</v>
      </c>
      <c r="AZ305">
        <v>1</v>
      </c>
      <c r="BA305" t="s">
        <v>8450</v>
      </c>
      <c r="BB305">
        <v>0</v>
      </c>
      <c r="BC305" t="s">
        <v>8484</v>
      </c>
      <c r="BD305">
        <v>50.333300000000001</v>
      </c>
      <c r="BE305" t="s">
        <v>8464</v>
      </c>
      <c r="BF305" t="s">
        <v>8464</v>
      </c>
      <c r="BG305" t="s">
        <v>8531</v>
      </c>
      <c r="BH305">
        <v>1.61364</v>
      </c>
      <c r="BJ305" s="1" t="s">
        <v>8939</v>
      </c>
      <c r="BK305" s="1" t="s">
        <v>8940</v>
      </c>
    </row>
    <row r="306" spans="1:63" x14ac:dyDescent="0.25">
      <c r="A306">
        <v>484</v>
      </c>
      <c r="B306">
        <v>596</v>
      </c>
      <c r="C306" t="s">
        <v>8445</v>
      </c>
      <c r="F306">
        <v>1012386</v>
      </c>
      <c r="G306" t="s">
        <v>5704</v>
      </c>
      <c r="H306" t="s">
        <v>1332</v>
      </c>
      <c r="I306" t="s">
        <v>8490</v>
      </c>
      <c r="J306">
        <v>0</v>
      </c>
      <c r="K306">
        <v>6</v>
      </c>
      <c r="L306">
        <v>0</v>
      </c>
      <c r="M306">
        <v>237100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510</v>
      </c>
      <c r="T306">
        <v>0</v>
      </c>
      <c r="U306">
        <v>0</v>
      </c>
      <c r="V306">
        <v>0</v>
      </c>
      <c r="W306" t="s">
        <v>8447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95</v>
      </c>
      <c r="AR306">
        <v>0</v>
      </c>
      <c r="AS306">
        <v>0</v>
      </c>
      <c r="AT306" t="s">
        <v>8489</v>
      </c>
      <c r="AU306">
        <v>43</v>
      </c>
      <c r="AV306">
        <v>0</v>
      </c>
      <c r="AW306" t="s">
        <v>8460</v>
      </c>
      <c r="AX306">
        <v>1</v>
      </c>
      <c r="AY306" t="s">
        <v>8459</v>
      </c>
      <c r="AZ306">
        <v>1</v>
      </c>
      <c r="BA306" t="s">
        <v>8483</v>
      </c>
      <c r="BB306">
        <v>0</v>
      </c>
      <c r="BC306" t="s">
        <v>8471</v>
      </c>
      <c r="BD306">
        <v>49.5</v>
      </c>
      <c r="BE306" t="s">
        <v>8464</v>
      </c>
      <c r="BF306" t="s">
        <v>8464</v>
      </c>
      <c r="BG306" t="s">
        <v>8464</v>
      </c>
      <c r="BH306">
        <v>2.15909</v>
      </c>
    </row>
    <row r="307" spans="1:63" x14ac:dyDescent="0.25">
      <c r="A307">
        <v>485</v>
      </c>
      <c r="B307">
        <v>255</v>
      </c>
      <c r="C307" t="s">
        <v>8445</v>
      </c>
      <c r="F307">
        <v>281007</v>
      </c>
      <c r="G307" t="s">
        <v>461</v>
      </c>
      <c r="H307" t="s">
        <v>6000</v>
      </c>
      <c r="I307" t="s">
        <v>8502</v>
      </c>
      <c r="J307">
        <v>0</v>
      </c>
      <c r="K307">
        <v>6</v>
      </c>
      <c r="L307">
        <v>0</v>
      </c>
      <c r="M307">
        <v>236800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510</v>
      </c>
      <c r="T307">
        <v>0</v>
      </c>
      <c r="U307">
        <v>0</v>
      </c>
      <c r="V307">
        <v>0</v>
      </c>
      <c r="W307" t="s">
        <v>8466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25</v>
      </c>
      <c r="AR307">
        <v>0</v>
      </c>
      <c r="AS307">
        <v>0</v>
      </c>
      <c r="AT307" t="s">
        <v>8501</v>
      </c>
      <c r="AU307">
        <v>82.153800000000004</v>
      </c>
      <c r="AV307">
        <v>1</v>
      </c>
      <c r="AW307" t="s">
        <v>8469</v>
      </c>
      <c r="AX307">
        <v>0</v>
      </c>
      <c r="AY307" t="s">
        <v>8470</v>
      </c>
      <c r="AZ307">
        <v>1</v>
      </c>
      <c r="BA307" t="s">
        <v>8530</v>
      </c>
      <c r="BB307">
        <v>0</v>
      </c>
      <c r="BC307" t="s">
        <v>8484</v>
      </c>
      <c r="BD307">
        <v>76.1875</v>
      </c>
      <c r="BE307" t="s">
        <v>8463</v>
      </c>
      <c r="BF307" t="s">
        <v>8455</v>
      </c>
      <c r="BG307" t="s">
        <v>8463</v>
      </c>
      <c r="BH307">
        <v>0.56818199999999996</v>
      </c>
    </row>
    <row r="308" spans="1:63" x14ac:dyDescent="0.25">
      <c r="A308">
        <v>486</v>
      </c>
      <c r="B308">
        <v>606</v>
      </c>
      <c r="C308" t="s">
        <v>8445</v>
      </c>
      <c r="F308">
        <v>1018433</v>
      </c>
      <c r="G308" t="s">
        <v>5290</v>
      </c>
      <c r="H308" t="s">
        <v>3007</v>
      </c>
      <c r="I308" t="s">
        <v>8490</v>
      </c>
      <c r="J308">
        <v>0</v>
      </c>
      <c r="K308">
        <v>6</v>
      </c>
      <c r="L308">
        <v>0</v>
      </c>
      <c r="M308">
        <v>235900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510</v>
      </c>
      <c r="T308">
        <v>0</v>
      </c>
      <c r="U308">
        <v>0</v>
      </c>
      <c r="V308">
        <v>0</v>
      </c>
      <c r="W308" t="s">
        <v>8447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16</v>
      </c>
      <c r="AR308">
        <v>0</v>
      </c>
      <c r="AS308">
        <v>0</v>
      </c>
      <c r="AT308" t="s">
        <v>8489</v>
      </c>
      <c r="AU308">
        <v>39</v>
      </c>
      <c r="AV308">
        <v>0</v>
      </c>
      <c r="AW308" t="s">
        <v>8460</v>
      </c>
      <c r="AX308">
        <v>1</v>
      </c>
      <c r="AY308" t="s">
        <v>8459</v>
      </c>
      <c r="AZ308">
        <v>1</v>
      </c>
      <c r="BA308" t="s">
        <v>8483</v>
      </c>
      <c r="BB308">
        <v>0</v>
      </c>
      <c r="BC308" t="s">
        <v>8471</v>
      </c>
      <c r="BD308">
        <v>48</v>
      </c>
      <c r="BE308" t="s">
        <v>8464</v>
      </c>
      <c r="BF308" t="s">
        <v>8464</v>
      </c>
      <c r="BG308" t="s">
        <v>8464</v>
      </c>
      <c r="BH308">
        <v>0.36363600000000001</v>
      </c>
    </row>
    <row r="309" spans="1:63" x14ac:dyDescent="0.25">
      <c r="A309">
        <v>487</v>
      </c>
      <c r="B309">
        <v>374</v>
      </c>
      <c r="C309" t="s">
        <v>8445</v>
      </c>
      <c r="F309">
        <v>1027971</v>
      </c>
      <c r="G309" t="s">
        <v>4983</v>
      </c>
      <c r="H309" t="s">
        <v>8941</v>
      </c>
      <c r="I309" t="s">
        <v>8512</v>
      </c>
      <c r="J309">
        <v>0</v>
      </c>
      <c r="K309">
        <v>6</v>
      </c>
      <c r="L309">
        <v>0</v>
      </c>
      <c r="M309">
        <v>235800</v>
      </c>
      <c r="N309">
        <v>12</v>
      </c>
      <c r="O309">
        <v>0</v>
      </c>
      <c r="P309">
        <v>1</v>
      </c>
      <c r="Q309">
        <v>0</v>
      </c>
      <c r="R309">
        <v>0</v>
      </c>
      <c r="S309">
        <v>507</v>
      </c>
      <c r="T309">
        <v>0</v>
      </c>
      <c r="U309">
        <v>0</v>
      </c>
      <c r="V309">
        <v>11</v>
      </c>
      <c r="W309" t="s">
        <v>8466</v>
      </c>
      <c r="X309">
        <v>0</v>
      </c>
      <c r="Y309">
        <v>4</v>
      </c>
      <c r="Z309">
        <v>0</v>
      </c>
      <c r="AA309">
        <v>1</v>
      </c>
      <c r="AB309">
        <v>0</v>
      </c>
      <c r="AC309">
        <v>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2</v>
      </c>
      <c r="AP309">
        <v>12</v>
      </c>
      <c r="AQ309">
        <v>16</v>
      </c>
      <c r="AR309">
        <v>12</v>
      </c>
      <c r="AS309">
        <v>12</v>
      </c>
      <c r="AT309" t="s">
        <v>8511</v>
      </c>
      <c r="AU309">
        <v>16</v>
      </c>
      <c r="AV309">
        <v>1</v>
      </c>
      <c r="AW309" t="s">
        <v>8493</v>
      </c>
      <c r="AX309">
        <v>0</v>
      </c>
      <c r="AY309" t="s">
        <v>8491</v>
      </c>
      <c r="AZ309">
        <v>1</v>
      </c>
      <c r="BA309" t="s">
        <v>8468</v>
      </c>
      <c r="BB309">
        <v>1</v>
      </c>
      <c r="BC309" t="s">
        <v>8515</v>
      </c>
      <c r="BD309">
        <v>18</v>
      </c>
      <c r="BE309" t="s">
        <v>8546</v>
      </c>
      <c r="BF309" t="s">
        <v>8454</v>
      </c>
      <c r="BG309" t="s">
        <v>8531</v>
      </c>
      <c r="BH309">
        <v>0.36363600000000001</v>
      </c>
      <c r="BJ309" s="1" t="s">
        <v>8942</v>
      </c>
      <c r="BK309">
        <v>19650</v>
      </c>
    </row>
    <row r="310" spans="1:63" x14ac:dyDescent="0.25">
      <c r="A310">
        <v>488</v>
      </c>
      <c r="B310">
        <v>764</v>
      </c>
      <c r="C310" t="s">
        <v>8445</v>
      </c>
      <c r="F310">
        <v>1023496</v>
      </c>
      <c r="G310" t="s">
        <v>5462</v>
      </c>
      <c r="H310" t="s">
        <v>6472</v>
      </c>
      <c r="I310" t="s">
        <v>8456</v>
      </c>
      <c r="J310">
        <v>0</v>
      </c>
      <c r="K310">
        <v>6</v>
      </c>
      <c r="L310">
        <v>0</v>
      </c>
      <c r="M310">
        <v>191600</v>
      </c>
      <c r="N310">
        <v>95</v>
      </c>
      <c r="O310">
        <v>0</v>
      </c>
      <c r="P310">
        <v>4</v>
      </c>
      <c r="Q310">
        <v>0</v>
      </c>
      <c r="R310">
        <v>-43900</v>
      </c>
      <c r="S310">
        <v>442</v>
      </c>
      <c r="T310">
        <v>0</v>
      </c>
      <c r="U310">
        <v>0</v>
      </c>
      <c r="V310">
        <v>380</v>
      </c>
      <c r="W310" t="s">
        <v>8505</v>
      </c>
      <c r="X310">
        <v>0</v>
      </c>
      <c r="Y310">
        <v>11</v>
      </c>
      <c r="Z310">
        <v>0</v>
      </c>
      <c r="AA310">
        <v>17</v>
      </c>
      <c r="AB310">
        <v>0</v>
      </c>
      <c r="AC310">
        <v>6</v>
      </c>
      <c r="AD310">
        <v>0</v>
      </c>
      <c r="AE310">
        <v>3</v>
      </c>
      <c r="AF310">
        <v>0</v>
      </c>
      <c r="AG310">
        <v>0</v>
      </c>
      <c r="AH310">
        <v>0</v>
      </c>
      <c r="AI310">
        <v>-1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23.75</v>
      </c>
      <c r="AQ310">
        <v>15</v>
      </c>
      <c r="AR310">
        <v>23.75</v>
      </c>
      <c r="AS310">
        <v>26.333300000000001</v>
      </c>
      <c r="AT310" t="s">
        <v>8458</v>
      </c>
      <c r="AU310">
        <v>37</v>
      </c>
      <c r="AV310">
        <v>0</v>
      </c>
      <c r="AW310" t="s">
        <v>8459</v>
      </c>
      <c r="AX310">
        <v>1</v>
      </c>
      <c r="AY310" t="s">
        <v>8460</v>
      </c>
      <c r="AZ310">
        <v>0</v>
      </c>
      <c r="BA310" t="s">
        <v>8461</v>
      </c>
      <c r="BB310">
        <v>1</v>
      </c>
      <c r="BC310" t="s">
        <v>8462</v>
      </c>
      <c r="BD310">
        <v>50.25</v>
      </c>
      <c r="BE310" t="s">
        <v>8455</v>
      </c>
      <c r="BF310" t="s">
        <v>8463</v>
      </c>
      <c r="BG310" t="s">
        <v>8464</v>
      </c>
      <c r="BH310">
        <v>0.34090900000000002</v>
      </c>
      <c r="BJ310">
        <v>0.25</v>
      </c>
      <c r="BK310" s="1" t="s">
        <v>8943</v>
      </c>
    </row>
    <row r="311" spans="1:63" x14ac:dyDescent="0.25">
      <c r="A311">
        <v>489</v>
      </c>
      <c r="B311">
        <v>39</v>
      </c>
      <c r="C311" t="s">
        <v>8445</v>
      </c>
      <c r="F311">
        <v>1017065</v>
      </c>
      <c r="G311" t="s">
        <v>1139</v>
      </c>
      <c r="H311" t="s">
        <v>1422</v>
      </c>
      <c r="I311" t="s">
        <v>8511</v>
      </c>
      <c r="J311">
        <v>0</v>
      </c>
      <c r="K311">
        <v>6</v>
      </c>
      <c r="L311">
        <v>0</v>
      </c>
      <c r="M311">
        <v>235300</v>
      </c>
      <c r="N311">
        <v>50</v>
      </c>
      <c r="O311">
        <v>0</v>
      </c>
      <c r="P311">
        <v>1</v>
      </c>
      <c r="Q311">
        <v>0</v>
      </c>
      <c r="R311">
        <v>0</v>
      </c>
      <c r="S311">
        <v>478</v>
      </c>
      <c r="T311">
        <v>0</v>
      </c>
      <c r="U311">
        <v>0</v>
      </c>
      <c r="V311">
        <v>46</v>
      </c>
      <c r="W311" t="s">
        <v>8505</v>
      </c>
      <c r="X311">
        <v>0</v>
      </c>
      <c r="Y311">
        <v>4</v>
      </c>
      <c r="Z311">
        <v>0</v>
      </c>
      <c r="AA311">
        <v>4</v>
      </c>
      <c r="AB311">
        <v>0</v>
      </c>
      <c r="AC311">
        <v>2</v>
      </c>
      <c r="AD311">
        <v>0</v>
      </c>
      <c r="AE311">
        <v>3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50</v>
      </c>
      <c r="AQ311">
        <v>41</v>
      </c>
      <c r="AR311">
        <v>50</v>
      </c>
      <c r="AS311">
        <v>50</v>
      </c>
      <c r="AT311" t="s">
        <v>8512</v>
      </c>
      <c r="AU311">
        <v>4</v>
      </c>
      <c r="AV311">
        <v>0</v>
      </c>
      <c r="AW311" t="s">
        <v>8513</v>
      </c>
      <c r="AX311">
        <v>1</v>
      </c>
      <c r="AY311" t="s">
        <v>8514</v>
      </c>
      <c r="AZ311">
        <v>0</v>
      </c>
      <c r="BA311" t="s">
        <v>8497</v>
      </c>
      <c r="BB311">
        <v>1</v>
      </c>
      <c r="BC311" t="s">
        <v>8515</v>
      </c>
      <c r="BD311">
        <v>37.666699999999999</v>
      </c>
      <c r="BE311" t="s">
        <v>8463</v>
      </c>
      <c r="BF311" t="s">
        <v>8472</v>
      </c>
      <c r="BG311" t="s">
        <v>8472</v>
      </c>
      <c r="BH311">
        <v>0.93181800000000004</v>
      </c>
      <c r="BJ311" s="1" t="s">
        <v>8944</v>
      </c>
      <c r="BK311">
        <v>4706</v>
      </c>
    </row>
    <row r="312" spans="1:63" x14ac:dyDescent="0.25">
      <c r="A312">
        <v>490</v>
      </c>
      <c r="B312">
        <v>470</v>
      </c>
      <c r="C312" t="s">
        <v>8445</v>
      </c>
      <c r="F312">
        <v>1020959</v>
      </c>
      <c r="G312" t="s">
        <v>289</v>
      </c>
      <c r="H312" t="s">
        <v>4944</v>
      </c>
      <c r="I312" t="s">
        <v>8501</v>
      </c>
      <c r="J312">
        <v>0</v>
      </c>
      <c r="K312">
        <v>6</v>
      </c>
      <c r="L312">
        <v>0</v>
      </c>
      <c r="M312">
        <v>234600</v>
      </c>
      <c r="N312">
        <v>114</v>
      </c>
      <c r="O312">
        <v>0</v>
      </c>
      <c r="P312">
        <v>2</v>
      </c>
      <c r="Q312">
        <v>0</v>
      </c>
      <c r="R312">
        <v>0</v>
      </c>
      <c r="S312">
        <v>431</v>
      </c>
      <c r="T312">
        <v>0</v>
      </c>
      <c r="U312">
        <v>0</v>
      </c>
      <c r="V312">
        <v>185</v>
      </c>
      <c r="W312" t="s">
        <v>8505</v>
      </c>
      <c r="X312">
        <v>0</v>
      </c>
      <c r="Y312">
        <v>10</v>
      </c>
      <c r="Z312">
        <v>0</v>
      </c>
      <c r="AA312">
        <v>5</v>
      </c>
      <c r="AB312">
        <v>0</v>
      </c>
      <c r="AC312">
        <v>7</v>
      </c>
      <c r="AD312">
        <v>0</v>
      </c>
      <c r="AE312">
        <v>5</v>
      </c>
      <c r="AF312">
        <v>0</v>
      </c>
      <c r="AG312">
        <v>3</v>
      </c>
      <c r="AH312">
        <v>0</v>
      </c>
      <c r="AI312">
        <v>-1</v>
      </c>
      <c r="AJ312">
        <v>0</v>
      </c>
      <c r="AK312">
        <v>0</v>
      </c>
      <c r="AL312">
        <v>0</v>
      </c>
      <c r="AM312">
        <v>2</v>
      </c>
      <c r="AN312">
        <v>0</v>
      </c>
      <c r="AO312">
        <v>3</v>
      </c>
      <c r="AP312">
        <v>57</v>
      </c>
      <c r="AQ312">
        <v>18</v>
      </c>
      <c r="AR312">
        <v>57</v>
      </c>
      <c r="AS312">
        <v>57</v>
      </c>
      <c r="AT312" t="s">
        <v>8502</v>
      </c>
      <c r="AU312">
        <v>17.5</v>
      </c>
      <c r="AV312">
        <v>0</v>
      </c>
      <c r="AW312" t="s">
        <v>8461</v>
      </c>
      <c r="AX312">
        <v>0</v>
      </c>
      <c r="AY312" t="s">
        <v>8483</v>
      </c>
      <c r="AZ312">
        <v>1</v>
      </c>
      <c r="BA312" t="s">
        <v>8459</v>
      </c>
      <c r="BB312">
        <v>0</v>
      </c>
      <c r="BC312" t="s">
        <v>8484</v>
      </c>
      <c r="BD312">
        <v>44.090899999999998</v>
      </c>
      <c r="BE312" t="s">
        <v>8464</v>
      </c>
      <c r="BF312" t="s">
        <v>8463</v>
      </c>
      <c r="BG312" t="s">
        <v>8464</v>
      </c>
      <c r="BH312">
        <v>0.40909099999999998</v>
      </c>
      <c r="BJ312" s="1" t="s">
        <v>8945</v>
      </c>
      <c r="BK312" s="1" t="s">
        <v>8946</v>
      </c>
    </row>
    <row r="313" spans="1:63" x14ac:dyDescent="0.25">
      <c r="A313">
        <v>491</v>
      </c>
      <c r="B313">
        <v>522</v>
      </c>
      <c r="C313" t="s">
        <v>8445</v>
      </c>
      <c r="F313">
        <v>294472</v>
      </c>
      <c r="G313" t="s">
        <v>4099</v>
      </c>
      <c r="H313" t="s">
        <v>5265</v>
      </c>
      <c r="I313" t="s">
        <v>8448</v>
      </c>
      <c r="J313">
        <v>0</v>
      </c>
      <c r="K313">
        <v>6</v>
      </c>
      <c r="L313">
        <v>0</v>
      </c>
      <c r="M313">
        <v>233700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510</v>
      </c>
      <c r="T313">
        <v>0</v>
      </c>
      <c r="U313">
        <v>0</v>
      </c>
      <c r="V313">
        <v>0</v>
      </c>
      <c r="W313" t="s">
        <v>8447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13</v>
      </c>
      <c r="AR313">
        <v>0</v>
      </c>
      <c r="AS313">
        <v>0</v>
      </c>
      <c r="AT313" t="s">
        <v>8446</v>
      </c>
      <c r="AU313">
        <v>81.142899999999997</v>
      </c>
      <c r="AV313">
        <v>1</v>
      </c>
      <c r="AW313" t="s">
        <v>8526</v>
      </c>
      <c r="AX313">
        <v>0</v>
      </c>
      <c r="AY313" t="s">
        <v>8493</v>
      </c>
      <c r="AZ313">
        <v>1</v>
      </c>
      <c r="BA313" t="s">
        <v>8469</v>
      </c>
      <c r="BB313">
        <v>0</v>
      </c>
      <c r="BC313" t="s">
        <v>8452</v>
      </c>
      <c r="BD313">
        <v>84.5</v>
      </c>
      <c r="BE313" t="s">
        <v>8472</v>
      </c>
      <c r="BF313" t="s">
        <v>8534</v>
      </c>
      <c r="BG313" t="s">
        <v>8472</v>
      </c>
      <c r="BH313">
        <v>0.29545500000000002</v>
      </c>
    </row>
    <row r="314" spans="1:63" x14ac:dyDescent="0.25">
      <c r="A314">
        <v>492</v>
      </c>
      <c r="B314">
        <v>296</v>
      </c>
      <c r="C314" t="s">
        <v>8445</v>
      </c>
      <c r="F314">
        <v>290832</v>
      </c>
      <c r="G314" t="s">
        <v>409</v>
      </c>
      <c r="H314" t="s">
        <v>1670</v>
      </c>
      <c r="I314" t="s">
        <v>8489</v>
      </c>
      <c r="J314">
        <v>0</v>
      </c>
      <c r="K314">
        <v>6</v>
      </c>
      <c r="L314">
        <v>0</v>
      </c>
      <c r="M314">
        <v>233600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510</v>
      </c>
      <c r="T314">
        <v>0</v>
      </c>
      <c r="U314">
        <v>0</v>
      </c>
      <c r="V314">
        <v>0</v>
      </c>
      <c r="W314" t="s">
        <v>8447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21</v>
      </c>
      <c r="AR314">
        <v>0</v>
      </c>
      <c r="AS314">
        <v>0</v>
      </c>
      <c r="AT314" t="s">
        <v>8490</v>
      </c>
      <c r="AU314">
        <v>91.7273</v>
      </c>
      <c r="AV314">
        <v>1</v>
      </c>
      <c r="AW314" t="s">
        <v>8491</v>
      </c>
      <c r="AX314">
        <v>0</v>
      </c>
      <c r="AY314" t="s">
        <v>8492</v>
      </c>
      <c r="AZ314">
        <v>1</v>
      </c>
      <c r="BA314" t="s">
        <v>8493</v>
      </c>
      <c r="BB314">
        <v>0</v>
      </c>
      <c r="BC314" t="s">
        <v>8471</v>
      </c>
      <c r="BD314">
        <v>77.218800000000002</v>
      </c>
      <c r="BE314" t="s">
        <v>8453</v>
      </c>
      <c r="BF314" t="s">
        <v>8494</v>
      </c>
      <c r="BG314" t="s">
        <v>8495</v>
      </c>
      <c r="BH314">
        <v>0.477273</v>
      </c>
    </row>
    <row r="315" spans="1:63" x14ac:dyDescent="0.25">
      <c r="A315">
        <v>493</v>
      </c>
      <c r="B315">
        <v>759</v>
      </c>
      <c r="C315" t="s">
        <v>8445</v>
      </c>
      <c r="F315">
        <v>1036098</v>
      </c>
      <c r="G315" t="s">
        <v>1127</v>
      </c>
      <c r="H315" t="s">
        <v>8947</v>
      </c>
      <c r="I315" t="s">
        <v>8456</v>
      </c>
      <c r="J315">
        <v>0</v>
      </c>
      <c r="K315">
        <v>6</v>
      </c>
      <c r="L315">
        <v>0</v>
      </c>
      <c r="M315">
        <v>233500</v>
      </c>
      <c r="N315">
        <v>114</v>
      </c>
      <c r="O315">
        <v>0</v>
      </c>
      <c r="P315">
        <v>2</v>
      </c>
      <c r="Q315">
        <v>0</v>
      </c>
      <c r="R315">
        <v>0</v>
      </c>
      <c r="S315">
        <v>431</v>
      </c>
      <c r="T315">
        <v>0</v>
      </c>
      <c r="U315">
        <v>0</v>
      </c>
      <c r="V315">
        <v>182</v>
      </c>
      <c r="W315" t="s">
        <v>8505</v>
      </c>
      <c r="X315">
        <v>0</v>
      </c>
      <c r="Y315">
        <v>12</v>
      </c>
      <c r="Z315">
        <v>0</v>
      </c>
      <c r="AA315">
        <v>12</v>
      </c>
      <c r="AB315">
        <v>0</v>
      </c>
      <c r="AC315">
        <v>6</v>
      </c>
      <c r="AD315">
        <v>0</v>
      </c>
      <c r="AE315">
        <v>11</v>
      </c>
      <c r="AF315">
        <v>0</v>
      </c>
      <c r="AG315">
        <v>2</v>
      </c>
      <c r="AH315">
        <v>0</v>
      </c>
      <c r="AI315">
        <v>-2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57</v>
      </c>
      <c r="AQ315">
        <v>89</v>
      </c>
      <c r="AR315">
        <v>57</v>
      </c>
      <c r="AS315">
        <v>57</v>
      </c>
      <c r="AT315" t="s">
        <v>8458</v>
      </c>
      <c r="AU315">
        <v>6</v>
      </c>
      <c r="AV315">
        <v>0</v>
      </c>
      <c r="AW315" t="s">
        <v>8459</v>
      </c>
      <c r="AX315">
        <v>1</v>
      </c>
      <c r="AY315" t="s">
        <v>8460</v>
      </c>
      <c r="AZ315">
        <v>0</v>
      </c>
      <c r="BA315" t="s">
        <v>8461</v>
      </c>
      <c r="BB315">
        <v>1</v>
      </c>
      <c r="BC315" t="s">
        <v>8462</v>
      </c>
      <c r="BD315">
        <v>43.25</v>
      </c>
      <c r="BE315" t="s">
        <v>8455</v>
      </c>
      <c r="BF315" t="s">
        <v>8463</v>
      </c>
      <c r="BG315" t="s">
        <v>8464</v>
      </c>
      <c r="BH315">
        <v>2.0227300000000001</v>
      </c>
      <c r="BJ315" s="1" t="s">
        <v>8948</v>
      </c>
      <c r="BK315" s="1" t="s">
        <v>8949</v>
      </c>
    </row>
    <row r="316" spans="1:63" x14ac:dyDescent="0.25">
      <c r="A316">
        <v>494</v>
      </c>
      <c r="B316">
        <v>786</v>
      </c>
      <c r="C316" t="s">
        <v>8445</v>
      </c>
      <c r="F316">
        <v>1017255</v>
      </c>
      <c r="G316" t="s">
        <v>5966</v>
      </c>
      <c r="H316" t="s">
        <v>6385</v>
      </c>
      <c r="I316" t="s">
        <v>8465</v>
      </c>
      <c r="J316">
        <v>0</v>
      </c>
      <c r="K316">
        <v>6</v>
      </c>
      <c r="L316">
        <v>0</v>
      </c>
      <c r="M316">
        <v>233200</v>
      </c>
      <c r="N316">
        <v>59</v>
      </c>
      <c r="O316">
        <v>0</v>
      </c>
      <c r="P316">
        <v>2</v>
      </c>
      <c r="Q316">
        <v>0</v>
      </c>
      <c r="R316">
        <v>0</v>
      </c>
      <c r="S316">
        <v>474</v>
      </c>
      <c r="T316">
        <v>0</v>
      </c>
      <c r="U316">
        <v>0</v>
      </c>
      <c r="V316">
        <v>179</v>
      </c>
      <c r="W316" t="s">
        <v>8505</v>
      </c>
      <c r="X316">
        <v>0</v>
      </c>
      <c r="Y316">
        <v>10</v>
      </c>
      <c r="Z316">
        <v>0</v>
      </c>
      <c r="AA316">
        <v>4</v>
      </c>
      <c r="AB316">
        <v>0</v>
      </c>
      <c r="AC316">
        <v>3</v>
      </c>
      <c r="AD316">
        <v>0</v>
      </c>
      <c r="AE316">
        <v>2</v>
      </c>
      <c r="AF316">
        <v>0</v>
      </c>
      <c r="AG316">
        <v>1</v>
      </c>
      <c r="AH316">
        <v>0</v>
      </c>
      <c r="AI316">
        <v>-5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29.5</v>
      </c>
      <c r="AQ316">
        <v>9</v>
      </c>
      <c r="AR316">
        <v>29.5</v>
      </c>
      <c r="AS316">
        <v>29.5</v>
      </c>
      <c r="AT316" t="s">
        <v>8467</v>
      </c>
      <c r="AU316">
        <v>0</v>
      </c>
      <c r="AV316">
        <v>1</v>
      </c>
      <c r="AW316" t="s">
        <v>8468</v>
      </c>
      <c r="AX316">
        <v>0</v>
      </c>
      <c r="AY316" t="s">
        <v>8469</v>
      </c>
      <c r="AZ316">
        <v>1</v>
      </c>
      <c r="BA316" t="s">
        <v>8470</v>
      </c>
      <c r="BB316">
        <v>1</v>
      </c>
      <c r="BC316" t="s">
        <v>8471</v>
      </c>
      <c r="BD316">
        <v>33</v>
      </c>
      <c r="BE316" t="s">
        <v>8464</v>
      </c>
      <c r="BF316" t="s">
        <v>8472</v>
      </c>
      <c r="BG316" t="s">
        <v>8464</v>
      </c>
      <c r="BH316">
        <v>0.204545</v>
      </c>
      <c r="BJ316">
        <v>0.32960893854748602</v>
      </c>
      <c r="BK316" s="1" t="s">
        <v>8950</v>
      </c>
    </row>
    <row r="317" spans="1:63" x14ac:dyDescent="0.25">
      <c r="A317">
        <v>495</v>
      </c>
      <c r="B317">
        <v>554</v>
      </c>
      <c r="C317" t="s">
        <v>8445</v>
      </c>
      <c r="F317">
        <v>1017078</v>
      </c>
      <c r="G317" t="s">
        <v>1318</v>
      </c>
      <c r="H317" t="s">
        <v>8951</v>
      </c>
      <c r="I317" t="s">
        <v>8448</v>
      </c>
      <c r="J317">
        <v>0</v>
      </c>
      <c r="K317">
        <v>6</v>
      </c>
      <c r="L317">
        <v>0</v>
      </c>
      <c r="M317">
        <v>290300</v>
      </c>
      <c r="N317">
        <v>313</v>
      </c>
      <c r="O317">
        <v>0</v>
      </c>
      <c r="P317">
        <v>5</v>
      </c>
      <c r="Q317">
        <v>0</v>
      </c>
      <c r="R317">
        <v>60800</v>
      </c>
      <c r="S317">
        <v>238</v>
      </c>
      <c r="T317">
        <v>0</v>
      </c>
      <c r="U317">
        <v>0</v>
      </c>
      <c r="V317">
        <v>469</v>
      </c>
      <c r="W317" t="s">
        <v>8475</v>
      </c>
      <c r="X317">
        <v>0</v>
      </c>
      <c r="Y317">
        <v>62</v>
      </c>
      <c r="Z317">
        <v>0</v>
      </c>
      <c r="AA317">
        <v>15</v>
      </c>
      <c r="AB317">
        <v>0</v>
      </c>
      <c r="AC317">
        <v>23</v>
      </c>
      <c r="AD317">
        <v>0</v>
      </c>
      <c r="AE317">
        <v>4</v>
      </c>
      <c r="AF317">
        <v>0</v>
      </c>
      <c r="AG317">
        <v>2</v>
      </c>
      <c r="AH317">
        <v>0</v>
      </c>
      <c r="AI317">
        <v>-2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62.6</v>
      </c>
      <c r="AQ317">
        <v>283</v>
      </c>
      <c r="AR317">
        <v>62.6</v>
      </c>
      <c r="AS317">
        <v>57.333300000000001</v>
      </c>
      <c r="AT317" t="s">
        <v>8446</v>
      </c>
      <c r="AU317">
        <v>0</v>
      </c>
      <c r="AV317">
        <v>1</v>
      </c>
      <c r="AW317" t="s">
        <v>8526</v>
      </c>
      <c r="AX317">
        <v>0</v>
      </c>
      <c r="AY317" t="s">
        <v>8493</v>
      </c>
      <c r="AZ317">
        <v>1</v>
      </c>
      <c r="BA317" t="s">
        <v>8469</v>
      </c>
      <c r="BB317">
        <v>0</v>
      </c>
      <c r="BC317" t="s">
        <v>8452</v>
      </c>
      <c r="BD317">
        <v>0</v>
      </c>
      <c r="BE317" t="s">
        <v>8472</v>
      </c>
      <c r="BF317" t="s">
        <v>8534</v>
      </c>
      <c r="BG317" t="s">
        <v>8472</v>
      </c>
      <c r="BH317">
        <v>6.4318200000000001</v>
      </c>
      <c r="BJ317" s="1" t="s">
        <v>8952</v>
      </c>
      <c r="BK317" s="1" t="s">
        <v>8953</v>
      </c>
    </row>
    <row r="318" spans="1:63" x14ac:dyDescent="0.25">
      <c r="A318">
        <v>496</v>
      </c>
      <c r="B318">
        <v>741</v>
      </c>
      <c r="C318" t="s">
        <v>8445</v>
      </c>
      <c r="F318">
        <v>1013511</v>
      </c>
      <c r="G318" t="s">
        <v>4269</v>
      </c>
      <c r="H318" t="s">
        <v>6600</v>
      </c>
      <c r="I318" t="s">
        <v>8456</v>
      </c>
      <c r="J318">
        <v>0</v>
      </c>
      <c r="K318">
        <v>6</v>
      </c>
      <c r="L318">
        <v>0</v>
      </c>
      <c r="M318">
        <v>221400</v>
      </c>
      <c r="N318">
        <v>169</v>
      </c>
      <c r="O318">
        <v>0</v>
      </c>
      <c r="P318">
        <v>4</v>
      </c>
      <c r="Q318">
        <v>0</v>
      </c>
      <c r="R318">
        <v>-5400</v>
      </c>
      <c r="S318">
        <v>382</v>
      </c>
      <c r="T318">
        <v>0</v>
      </c>
      <c r="U318">
        <v>0</v>
      </c>
      <c r="V318">
        <v>412</v>
      </c>
      <c r="W318" t="s">
        <v>8505</v>
      </c>
      <c r="X318">
        <v>0</v>
      </c>
      <c r="Y318">
        <v>15</v>
      </c>
      <c r="Z318">
        <v>0</v>
      </c>
      <c r="AA318">
        <v>22</v>
      </c>
      <c r="AB318">
        <v>0</v>
      </c>
      <c r="AC318">
        <v>6</v>
      </c>
      <c r="AD318">
        <v>0</v>
      </c>
      <c r="AE318">
        <v>7</v>
      </c>
      <c r="AF318">
        <v>0</v>
      </c>
      <c r="AG318">
        <v>4</v>
      </c>
      <c r="AH318">
        <v>0</v>
      </c>
      <c r="AI318">
        <v>-5</v>
      </c>
      <c r="AJ318">
        <v>0</v>
      </c>
      <c r="AK318">
        <v>0</v>
      </c>
      <c r="AL318">
        <v>0</v>
      </c>
      <c r="AM318">
        <v>3</v>
      </c>
      <c r="AN318">
        <v>0</v>
      </c>
      <c r="AO318">
        <v>2</v>
      </c>
      <c r="AP318">
        <v>42.25</v>
      </c>
      <c r="AQ318">
        <v>11</v>
      </c>
      <c r="AR318">
        <v>42.25</v>
      </c>
      <c r="AS318">
        <v>41.333300000000001</v>
      </c>
      <c r="AT318" t="s">
        <v>8458</v>
      </c>
      <c r="AU318">
        <v>43</v>
      </c>
      <c r="AV318">
        <v>0</v>
      </c>
      <c r="AW318" t="s">
        <v>8459</v>
      </c>
      <c r="AX318">
        <v>1</v>
      </c>
      <c r="AY318" t="s">
        <v>8460</v>
      </c>
      <c r="AZ318">
        <v>0</v>
      </c>
      <c r="BA318" t="s">
        <v>8461</v>
      </c>
      <c r="BB318">
        <v>1</v>
      </c>
      <c r="BC318" t="s">
        <v>8462</v>
      </c>
      <c r="BD318">
        <v>44.555599999999998</v>
      </c>
      <c r="BE318" t="s">
        <v>8455</v>
      </c>
      <c r="BF318" t="s">
        <v>8463</v>
      </c>
      <c r="BG318" t="s">
        <v>8464</v>
      </c>
      <c r="BH318">
        <v>0.25</v>
      </c>
      <c r="BJ318" s="1" t="s">
        <v>8954</v>
      </c>
      <c r="BK318" s="1" t="s">
        <v>8955</v>
      </c>
    </row>
    <row r="319" spans="1:63" x14ac:dyDescent="0.25">
      <c r="A319">
        <v>497</v>
      </c>
      <c r="B319">
        <v>280</v>
      </c>
      <c r="C319" t="s">
        <v>8445</v>
      </c>
      <c r="F319">
        <v>1024666</v>
      </c>
      <c r="G319" t="s">
        <v>3400</v>
      </c>
      <c r="H319" t="s">
        <v>8956</v>
      </c>
      <c r="I319" t="s">
        <v>8489</v>
      </c>
      <c r="J319">
        <v>0</v>
      </c>
      <c r="K319">
        <v>6</v>
      </c>
      <c r="L319">
        <v>0</v>
      </c>
      <c r="M319">
        <v>226500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510</v>
      </c>
      <c r="T319">
        <v>0</v>
      </c>
      <c r="U319">
        <v>0</v>
      </c>
      <c r="V319">
        <v>0</v>
      </c>
      <c r="W319" t="s">
        <v>8466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7</v>
      </c>
      <c r="AR319">
        <v>0</v>
      </c>
      <c r="AS319">
        <v>0</v>
      </c>
      <c r="AT319" t="s">
        <v>8490</v>
      </c>
      <c r="AU319">
        <v>0</v>
      </c>
      <c r="AV319">
        <v>1</v>
      </c>
      <c r="AW319" t="s">
        <v>8491</v>
      </c>
      <c r="AX319">
        <v>0</v>
      </c>
      <c r="AY319" t="s">
        <v>8492</v>
      </c>
      <c r="AZ319">
        <v>1</v>
      </c>
      <c r="BA319" t="s">
        <v>8493</v>
      </c>
      <c r="BB319">
        <v>0</v>
      </c>
      <c r="BC319" t="s">
        <v>8471</v>
      </c>
      <c r="BD319">
        <v>48</v>
      </c>
      <c r="BE319" t="s">
        <v>8453</v>
      </c>
      <c r="BF319" t="s">
        <v>8494</v>
      </c>
      <c r="BG319" t="s">
        <v>8495</v>
      </c>
      <c r="BH319">
        <v>0.15909100000000001</v>
      </c>
    </row>
    <row r="320" spans="1:63" x14ac:dyDescent="0.25">
      <c r="A320">
        <v>498</v>
      </c>
      <c r="B320">
        <v>2</v>
      </c>
      <c r="C320" t="s">
        <v>8445</v>
      </c>
      <c r="F320">
        <v>1023534</v>
      </c>
      <c r="G320" t="s">
        <v>5274</v>
      </c>
      <c r="H320" t="s">
        <v>8957</v>
      </c>
      <c r="I320" t="s">
        <v>8511</v>
      </c>
      <c r="J320">
        <v>0</v>
      </c>
      <c r="K320">
        <v>6</v>
      </c>
      <c r="L320">
        <v>0</v>
      </c>
      <c r="M320">
        <v>225200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510</v>
      </c>
      <c r="T320">
        <v>0</v>
      </c>
      <c r="U320">
        <v>0</v>
      </c>
      <c r="V320">
        <v>0</v>
      </c>
      <c r="W320" t="s">
        <v>8466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17</v>
      </c>
      <c r="AR320">
        <v>0</v>
      </c>
      <c r="AS320">
        <v>0</v>
      </c>
      <c r="AT320" t="s">
        <v>8512</v>
      </c>
      <c r="AU320">
        <v>0</v>
      </c>
      <c r="AV320">
        <v>0</v>
      </c>
      <c r="AW320" t="s">
        <v>8513</v>
      </c>
      <c r="AX320">
        <v>1</v>
      </c>
      <c r="AY320" t="s">
        <v>8514</v>
      </c>
      <c r="AZ320">
        <v>0</v>
      </c>
      <c r="BA320" t="s">
        <v>8497</v>
      </c>
      <c r="BB320">
        <v>1</v>
      </c>
      <c r="BC320" t="s">
        <v>8515</v>
      </c>
      <c r="BD320">
        <v>54.5</v>
      </c>
      <c r="BE320" t="s">
        <v>8463</v>
      </c>
      <c r="BF320" t="s">
        <v>8472</v>
      </c>
      <c r="BG320" t="s">
        <v>8472</v>
      </c>
      <c r="BH320">
        <v>0.38636399999999999</v>
      </c>
    </row>
    <row r="321" spans="1:63" x14ac:dyDescent="0.25">
      <c r="A321">
        <v>499</v>
      </c>
      <c r="B321">
        <v>613</v>
      </c>
      <c r="C321" t="s">
        <v>8445</v>
      </c>
      <c r="F321">
        <v>1013233</v>
      </c>
      <c r="G321" t="s">
        <v>1127</v>
      </c>
      <c r="H321" t="s">
        <v>8958</v>
      </c>
      <c r="I321" t="s">
        <v>8549</v>
      </c>
      <c r="J321">
        <v>0</v>
      </c>
      <c r="K321">
        <v>6</v>
      </c>
      <c r="L321">
        <v>0</v>
      </c>
      <c r="M321">
        <v>224500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510</v>
      </c>
      <c r="T321">
        <v>0</v>
      </c>
      <c r="U321">
        <v>0</v>
      </c>
      <c r="V321">
        <v>0</v>
      </c>
      <c r="W321" t="s">
        <v>8447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14</v>
      </c>
      <c r="AR321">
        <v>0</v>
      </c>
      <c r="AS321">
        <v>0</v>
      </c>
      <c r="AT321" t="s">
        <v>8548</v>
      </c>
      <c r="AU321">
        <v>0</v>
      </c>
      <c r="AV321">
        <v>1</v>
      </c>
      <c r="AW321" t="s">
        <v>8492</v>
      </c>
      <c r="AX321">
        <v>0</v>
      </c>
      <c r="AY321" t="s">
        <v>8513</v>
      </c>
      <c r="AZ321">
        <v>0</v>
      </c>
      <c r="BA321" t="s">
        <v>8514</v>
      </c>
      <c r="BB321">
        <v>0</v>
      </c>
      <c r="BC321" t="s">
        <v>8471</v>
      </c>
      <c r="BD321">
        <v>42.181800000000003</v>
      </c>
      <c r="BE321" t="s">
        <v>8455</v>
      </c>
      <c r="BF321" t="s">
        <v>8455</v>
      </c>
      <c r="BG321" t="s">
        <v>8464</v>
      </c>
      <c r="BH321">
        <v>0.31818200000000002</v>
      </c>
    </row>
    <row r="322" spans="1:63" x14ac:dyDescent="0.25">
      <c r="A322">
        <v>500</v>
      </c>
      <c r="B322">
        <v>252</v>
      </c>
      <c r="C322" t="s">
        <v>8445</v>
      </c>
      <c r="F322">
        <v>1017754</v>
      </c>
      <c r="G322" t="s">
        <v>3697</v>
      </c>
      <c r="H322" t="s">
        <v>8959</v>
      </c>
      <c r="I322" t="s">
        <v>8502</v>
      </c>
      <c r="J322">
        <v>0</v>
      </c>
      <c r="K322">
        <v>6</v>
      </c>
      <c r="L322">
        <v>0</v>
      </c>
      <c r="M322">
        <v>249200</v>
      </c>
      <c r="N322">
        <v>214</v>
      </c>
      <c r="O322">
        <v>0</v>
      </c>
      <c r="P322">
        <v>4</v>
      </c>
      <c r="Q322">
        <v>0</v>
      </c>
      <c r="R322">
        <v>25400</v>
      </c>
      <c r="S322">
        <v>342</v>
      </c>
      <c r="T322">
        <v>0</v>
      </c>
      <c r="U322">
        <v>0</v>
      </c>
      <c r="V322">
        <v>395</v>
      </c>
      <c r="W322" t="s">
        <v>8505</v>
      </c>
      <c r="X322">
        <v>0</v>
      </c>
      <c r="Y322">
        <v>25</v>
      </c>
      <c r="Z322">
        <v>0</v>
      </c>
      <c r="AA322">
        <v>19</v>
      </c>
      <c r="AB322">
        <v>0</v>
      </c>
      <c r="AC322">
        <v>14</v>
      </c>
      <c r="AD322">
        <v>0</v>
      </c>
      <c r="AE322">
        <v>12</v>
      </c>
      <c r="AF322">
        <v>0</v>
      </c>
      <c r="AG322">
        <v>4</v>
      </c>
      <c r="AH322">
        <v>0</v>
      </c>
      <c r="AI322">
        <v>-7</v>
      </c>
      <c r="AJ322">
        <v>0</v>
      </c>
      <c r="AK322">
        <v>19</v>
      </c>
      <c r="AL322">
        <v>0</v>
      </c>
      <c r="AM322">
        <v>3</v>
      </c>
      <c r="AN322">
        <v>0</v>
      </c>
      <c r="AO322">
        <v>7</v>
      </c>
      <c r="AP322">
        <v>53.5</v>
      </c>
      <c r="AQ322">
        <v>21</v>
      </c>
      <c r="AR322">
        <v>53.5</v>
      </c>
      <c r="AS322">
        <v>57.666699999999999</v>
      </c>
      <c r="AT322" t="s">
        <v>8501</v>
      </c>
      <c r="AU322">
        <v>0</v>
      </c>
      <c r="AV322">
        <v>1</v>
      </c>
      <c r="AW322" t="s">
        <v>8469</v>
      </c>
      <c r="AX322">
        <v>0</v>
      </c>
      <c r="AY322" t="s">
        <v>8470</v>
      </c>
      <c r="AZ322">
        <v>1</v>
      </c>
      <c r="BA322" t="s">
        <v>8530</v>
      </c>
      <c r="BB322">
        <v>0</v>
      </c>
      <c r="BC322" t="s">
        <v>8484</v>
      </c>
      <c r="BD322">
        <v>0</v>
      </c>
      <c r="BE322" t="s">
        <v>8463</v>
      </c>
      <c r="BF322" t="s">
        <v>8455</v>
      </c>
      <c r="BG322" t="s">
        <v>8463</v>
      </c>
      <c r="BH322">
        <v>0.477273</v>
      </c>
      <c r="BJ322" s="1" t="s">
        <v>8960</v>
      </c>
      <c r="BK322" s="1" t="s">
        <v>8961</v>
      </c>
    </row>
    <row r="323" spans="1:63" x14ac:dyDescent="0.25">
      <c r="A323">
        <v>502</v>
      </c>
      <c r="B323">
        <v>38</v>
      </c>
      <c r="C323" t="s">
        <v>8445</v>
      </c>
      <c r="F323">
        <v>1008752</v>
      </c>
      <c r="G323" t="s">
        <v>8962</v>
      </c>
      <c r="H323" t="s">
        <v>8963</v>
      </c>
      <c r="I323" t="s">
        <v>8511</v>
      </c>
      <c r="J323">
        <v>0</v>
      </c>
      <c r="K323">
        <v>6</v>
      </c>
      <c r="L323">
        <v>0</v>
      </c>
      <c r="M323">
        <v>223100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510</v>
      </c>
      <c r="T323">
        <v>0</v>
      </c>
      <c r="U323">
        <v>0</v>
      </c>
      <c r="V323">
        <v>0</v>
      </c>
      <c r="W323" t="s">
        <v>8466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36</v>
      </c>
      <c r="AR323">
        <v>0</v>
      </c>
      <c r="AS323">
        <v>0</v>
      </c>
      <c r="AT323" t="s">
        <v>8512</v>
      </c>
      <c r="AU323">
        <v>0</v>
      </c>
      <c r="AV323">
        <v>0</v>
      </c>
      <c r="AW323" t="s">
        <v>8513</v>
      </c>
      <c r="AX323">
        <v>1</v>
      </c>
      <c r="AY323" t="s">
        <v>8514</v>
      </c>
      <c r="AZ323">
        <v>0</v>
      </c>
      <c r="BA323" t="s">
        <v>8497</v>
      </c>
      <c r="BB323">
        <v>1</v>
      </c>
      <c r="BC323" t="s">
        <v>8515</v>
      </c>
      <c r="BD323">
        <v>78.599999999999994</v>
      </c>
      <c r="BE323" t="s">
        <v>8463</v>
      </c>
      <c r="BF323" t="s">
        <v>8472</v>
      </c>
      <c r="BG323" t="s">
        <v>8472</v>
      </c>
      <c r="BH323">
        <v>0.81818199999999996</v>
      </c>
    </row>
    <row r="324" spans="1:63" x14ac:dyDescent="0.25">
      <c r="A324">
        <v>503</v>
      </c>
      <c r="B324">
        <v>394</v>
      </c>
      <c r="C324" t="s">
        <v>8445</v>
      </c>
      <c r="F324">
        <v>280744</v>
      </c>
      <c r="G324" t="s">
        <v>176</v>
      </c>
      <c r="H324" t="s">
        <v>8351</v>
      </c>
      <c r="I324" t="s">
        <v>8480</v>
      </c>
      <c r="J324">
        <v>0</v>
      </c>
      <c r="K324">
        <v>6</v>
      </c>
      <c r="L324">
        <v>0</v>
      </c>
      <c r="M324">
        <v>220300</v>
      </c>
      <c r="N324">
        <v>48</v>
      </c>
      <c r="O324">
        <v>0</v>
      </c>
      <c r="P324">
        <v>2</v>
      </c>
      <c r="Q324">
        <v>0</v>
      </c>
      <c r="R324">
        <v>0</v>
      </c>
      <c r="S324">
        <v>481</v>
      </c>
      <c r="T324">
        <v>0</v>
      </c>
      <c r="U324">
        <v>0</v>
      </c>
      <c r="V324">
        <v>70</v>
      </c>
      <c r="W324" t="s">
        <v>8466</v>
      </c>
      <c r="X324">
        <v>0</v>
      </c>
      <c r="Y324">
        <v>6</v>
      </c>
      <c r="Z324">
        <v>0</v>
      </c>
      <c r="AA324">
        <v>3</v>
      </c>
      <c r="AB324">
        <v>0</v>
      </c>
      <c r="AC324">
        <v>1</v>
      </c>
      <c r="AD324">
        <v>0</v>
      </c>
      <c r="AE324">
        <v>4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24</v>
      </c>
      <c r="AQ324">
        <v>13</v>
      </c>
      <c r="AR324">
        <v>24</v>
      </c>
      <c r="AS324">
        <v>24</v>
      </c>
      <c r="AT324" t="s">
        <v>8482</v>
      </c>
      <c r="AU324">
        <v>67.7273</v>
      </c>
      <c r="AV324">
        <v>1</v>
      </c>
      <c r="AW324" t="s">
        <v>8483</v>
      </c>
      <c r="AX324">
        <v>0</v>
      </c>
      <c r="AY324" t="s">
        <v>8461</v>
      </c>
      <c r="AZ324">
        <v>0</v>
      </c>
      <c r="BA324" t="s">
        <v>8460</v>
      </c>
      <c r="BB324">
        <v>1</v>
      </c>
      <c r="BC324" t="s">
        <v>8484</v>
      </c>
      <c r="BD324">
        <v>76.958699999999993</v>
      </c>
      <c r="BE324" t="s">
        <v>8455</v>
      </c>
      <c r="BF324" t="s">
        <v>8464</v>
      </c>
      <c r="BG324" t="s">
        <v>8464</v>
      </c>
      <c r="BH324">
        <v>0.29545500000000002</v>
      </c>
      <c r="BJ324" s="1" t="s">
        <v>8964</v>
      </c>
      <c r="BK324" s="1" t="s">
        <v>8965</v>
      </c>
    </row>
    <row r="325" spans="1:63" x14ac:dyDescent="0.25">
      <c r="A325">
        <v>504</v>
      </c>
      <c r="B325">
        <v>699</v>
      </c>
      <c r="C325" t="s">
        <v>8445</v>
      </c>
      <c r="F325">
        <v>1005717</v>
      </c>
      <c r="G325" t="s">
        <v>740</v>
      </c>
      <c r="H325" t="s">
        <v>5727</v>
      </c>
      <c r="I325" t="s">
        <v>8548</v>
      </c>
      <c r="J325">
        <v>0</v>
      </c>
      <c r="K325">
        <v>6</v>
      </c>
      <c r="L325">
        <v>0</v>
      </c>
      <c r="M325">
        <v>218200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510</v>
      </c>
      <c r="T325">
        <v>0</v>
      </c>
      <c r="U325">
        <v>0</v>
      </c>
      <c r="V325">
        <v>0</v>
      </c>
      <c r="W325" t="s">
        <v>8457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11</v>
      </c>
      <c r="AR325">
        <v>0</v>
      </c>
      <c r="AS325">
        <v>0</v>
      </c>
      <c r="AT325" t="s">
        <v>8549</v>
      </c>
      <c r="AU325">
        <v>0</v>
      </c>
      <c r="AV325">
        <v>0</v>
      </c>
      <c r="AW325" t="s">
        <v>8450</v>
      </c>
      <c r="AX325">
        <v>1</v>
      </c>
      <c r="AY325" t="s">
        <v>8497</v>
      </c>
      <c r="AZ325">
        <v>0</v>
      </c>
      <c r="BA325" t="s">
        <v>8449</v>
      </c>
      <c r="BB325">
        <v>1</v>
      </c>
      <c r="BC325" t="s">
        <v>8471</v>
      </c>
      <c r="BD325">
        <v>60.136400000000002</v>
      </c>
      <c r="BE325" t="s">
        <v>8546</v>
      </c>
      <c r="BF325" t="s">
        <v>8534</v>
      </c>
      <c r="BG325" t="s">
        <v>8495</v>
      </c>
      <c r="BH325">
        <v>0.25</v>
      </c>
    </row>
    <row r="326" spans="1:63" x14ac:dyDescent="0.25">
      <c r="A326">
        <v>505</v>
      </c>
      <c r="B326">
        <v>610</v>
      </c>
      <c r="C326" t="s">
        <v>8445</v>
      </c>
      <c r="F326">
        <v>992374</v>
      </c>
      <c r="G326" t="s">
        <v>4512</v>
      </c>
      <c r="H326" t="s">
        <v>1295</v>
      </c>
      <c r="I326" t="s">
        <v>8549</v>
      </c>
      <c r="J326">
        <v>0</v>
      </c>
      <c r="K326">
        <v>6</v>
      </c>
      <c r="L326">
        <v>0</v>
      </c>
      <c r="M326">
        <v>216500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510</v>
      </c>
      <c r="T326">
        <v>0</v>
      </c>
      <c r="U326">
        <v>0</v>
      </c>
      <c r="V326">
        <v>0</v>
      </c>
      <c r="W326" t="s">
        <v>8447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14</v>
      </c>
      <c r="AR326">
        <v>0</v>
      </c>
      <c r="AS326">
        <v>0</v>
      </c>
      <c r="AT326" t="s">
        <v>8548</v>
      </c>
      <c r="AU326">
        <v>48.166699999999999</v>
      </c>
      <c r="AV326">
        <v>1</v>
      </c>
      <c r="AW326" t="s">
        <v>8492</v>
      </c>
      <c r="AX326">
        <v>0</v>
      </c>
      <c r="AY326" t="s">
        <v>8513</v>
      </c>
      <c r="AZ326">
        <v>0</v>
      </c>
      <c r="BA326" t="s">
        <v>8514</v>
      </c>
      <c r="BB326">
        <v>0</v>
      </c>
      <c r="BC326" t="s">
        <v>8471</v>
      </c>
      <c r="BD326">
        <v>55.333300000000001</v>
      </c>
      <c r="BE326" t="s">
        <v>8455</v>
      </c>
      <c r="BF326" t="s">
        <v>8455</v>
      </c>
      <c r="BG326" t="s">
        <v>8464</v>
      </c>
      <c r="BH326">
        <v>0.31818200000000002</v>
      </c>
    </row>
    <row r="327" spans="1:63" x14ac:dyDescent="0.25">
      <c r="A327">
        <v>506</v>
      </c>
      <c r="B327">
        <v>567</v>
      </c>
      <c r="C327" t="s">
        <v>8445</v>
      </c>
      <c r="F327">
        <v>1021152</v>
      </c>
      <c r="G327" t="s">
        <v>3830</v>
      </c>
      <c r="H327" t="s">
        <v>8966</v>
      </c>
      <c r="I327" t="s">
        <v>8490</v>
      </c>
      <c r="J327">
        <v>0</v>
      </c>
      <c r="K327">
        <v>6</v>
      </c>
      <c r="L327">
        <v>0</v>
      </c>
      <c r="M327">
        <v>163500</v>
      </c>
      <c r="N327">
        <v>127</v>
      </c>
      <c r="O327">
        <v>0</v>
      </c>
      <c r="P327">
        <v>5</v>
      </c>
      <c r="Q327">
        <v>0</v>
      </c>
      <c r="R327">
        <v>-52800</v>
      </c>
      <c r="S327">
        <v>422</v>
      </c>
      <c r="T327">
        <v>0</v>
      </c>
      <c r="U327">
        <v>0</v>
      </c>
      <c r="V327">
        <v>380</v>
      </c>
      <c r="W327" t="s">
        <v>8505</v>
      </c>
      <c r="X327">
        <v>0</v>
      </c>
      <c r="Y327">
        <v>16</v>
      </c>
      <c r="Z327">
        <v>0</v>
      </c>
      <c r="AA327">
        <v>10</v>
      </c>
      <c r="AB327">
        <v>0</v>
      </c>
      <c r="AC327">
        <v>11</v>
      </c>
      <c r="AD327">
        <v>0</v>
      </c>
      <c r="AE327">
        <v>4</v>
      </c>
      <c r="AF327">
        <v>0</v>
      </c>
      <c r="AG327">
        <v>3</v>
      </c>
      <c r="AH327">
        <v>0</v>
      </c>
      <c r="AI327">
        <v>-2</v>
      </c>
      <c r="AJ327">
        <v>0</v>
      </c>
      <c r="AK327">
        <v>1</v>
      </c>
      <c r="AL327">
        <v>0</v>
      </c>
      <c r="AM327">
        <v>3</v>
      </c>
      <c r="AN327">
        <v>0</v>
      </c>
      <c r="AO327">
        <v>3</v>
      </c>
      <c r="AP327">
        <v>25.4</v>
      </c>
      <c r="AQ327">
        <v>17</v>
      </c>
      <c r="AR327">
        <v>25.4</v>
      </c>
      <c r="AS327">
        <v>16</v>
      </c>
      <c r="AT327" t="s">
        <v>8489</v>
      </c>
      <c r="AU327">
        <v>61</v>
      </c>
      <c r="AV327">
        <v>0</v>
      </c>
      <c r="AW327" t="s">
        <v>8460</v>
      </c>
      <c r="AX327">
        <v>1</v>
      </c>
      <c r="AY327" t="s">
        <v>8459</v>
      </c>
      <c r="AZ327">
        <v>1</v>
      </c>
      <c r="BA327" t="s">
        <v>8483</v>
      </c>
      <c r="BB327">
        <v>0</v>
      </c>
      <c r="BC327" t="s">
        <v>8471</v>
      </c>
      <c r="BD327">
        <v>34.5</v>
      </c>
      <c r="BE327" t="s">
        <v>8464</v>
      </c>
      <c r="BF327" t="s">
        <v>8464</v>
      </c>
      <c r="BG327" t="s">
        <v>8464</v>
      </c>
      <c r="BH327">
        <v>0.38636399999999999</v>
      </c>
      <c r="BJ327" s="1" t="s">
        <v>8967</v>
      </c>
      <c r="BK327" s="1" t="s">
        <v>8968</v>
      </c>
    </row>
    <row r="328" spans="1:63" x14ac:dyDescent="0.25">
      <c r="A328">
        <v>507</v>
      </c>
      <c r="B328">
        <v>104</v>
      </c>
      <c r="C328" t="s">
        <v>8445</v>
      </c>
      <c r="F328">
        <v>296334</v>
      </c>
      <c r="G328" t="s">
        <v>6076</v>
      </c>
      <c r="H328" t="s">
        <v>6077</v>
      </c>
      <c r="I328" t="s">
        <v>8465</v>
      </c>
      <c r="J328">
        <v>0</v>
      </c>
      <c r="K328">
        <v>6</v>
      </c>
      <c r="L328">
        <v>0</v>
      </c>
      <c r="M328">
        <v>215100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510</v>
      </c>
      <c r="T328">
        <v>0</v>
      </c>
      <c r="U328">
        <v>0</v>
      </c>
      <c r="V328">
        <v>0</v>
      </c>
      <c r="W328" t="s">
        <v>8466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12</v>
      </c>
      <c r="AR328">
        <v>0</v>
      </c>
      <c r="AS328">
        <v>0</v>
      </c>
      <c r="AT328" t="s">
        <v>8467</v>
      </c>
      <c r="AU328">
        <v>78.375</v>
      </c>
      <c r="AV328">
        <v>1</v>
      </c>
      <c r="AW328" t="s">
        <v>8468</v>
      </c>
      <c r="AX328">
        <v>0</v>
      </c>
      <c r="AY328" t="s">
        <v>8469</v>
      </c>
      <c r="AZ328">
        <v>1</v>
      </c>
      <c r="BA328" t="s">
        <v>8470</v>
      </c>
      <c r="BB328">
        <v>1</v>
      </c>
      <c r="BC328" t="s">
        <v>8471</v>
      </c>
      <c r="BD328">
        <v>65.473699999999994</v>
      </c>
      <c r="BE328" t="s">
        <v>8464</v>
      </c>
      <c r="BF328" t="s">
        <v>8472</v>
      </c>
      <c r="BG328" t="s">
        <v>8464</v>
      </c>
      <c r="BH328">
        <v>0.272727</v>
      </c>
    </row>
    <row r="329" spans="1:63" x14ac:dyDescent="0.25">
      <c r="A329">
        <v>508</v>
      </c>
      <c r="B329">
        <v>664</v>
      </c>
      <c r="C329" t="s">
        <v>8445</v>
      </c>
      <c r="F329">
        <v>990816</v>
      </c>
      <c r="G329" t="s">
        <v>2456</v>
      </c>
      <c r="H329" t="s">
        <v>5966</v>
      </c>
      <c r="I329" t="s">
        <v>8446</v>
      </c>
      <c r="J329">
        <v>0</v>
      </c>
      <c r="K329">
        <v>6</v>
      </c>
      <c r="L329">
        <v>0</v>
      </c>
      <c r="M329">
        <v>213800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510</v>
      </c>
      <c r="T329">
        <v>0</v>
      </c>
      <c r="U329">
        <v>0</v>
      </c>
      <c r="V329">
        <v>0</v>
      </c>
      <c r="W329" t="s">
        <v>8447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10</v>
      </c>
      <c r="AR329">
        <v>0</v>
      </c>
      <c r="AS329">
        <v>0</v>
      </c>
      <c r="AT329" t="s">
        <v>8448</v>
      </c>
      <c r="AU329">
        <v>71</v>
      </c>
      <c r="AV329">
        <v>0</v>
      </c>
      <c r="AW329" t="s">
        <v>8449</v>
      </c>
      <c r="AX329">
        <v>1</v>
      </c>
      <c r="AY329" t="s">
        <v>8450</v>
      </c>
      <c r="AZ329">
        <v>0</v>
      </c>
      <c r="BA329" t="s">
        <v>8451</v>
      </c>
      <c r="BB329">
        <v>1</v>
      </c>
      <c r="BC329" t="s">
        <v>8452</v>
      </c>
      <c r="BD329">
        <v>54.615400000000001</v>
      </c>
      <c r="BE329" t="s">
        <v>8453</v>
      </c>
      <c r="BF329" t="s">
        <v>8454</v>
      </c>
      <c r="BG329" t="s">
        <v>8455</v>
      </c>
      <c r="BH329">
        <v>0.227273</v>
      </c>
    </row>
    <row r="330" spans="1:63" x14ac:dyDescent="0.25">
      <c r="A330">
        <v>509</v>
      </c>
      <c r="B330">
        <v>601</v>
      </c>
      <c r="C330" t="s">
        <v>8445</v>
      </c>
      <c r="F330">
        <v>1017114</v>
      </c>
      <c r="G330" t="s">
        <v>4269</v>
      </c>
      <c r="H330" t="s">
        <v>7869</v>
      </c>
      <c r="I330" t="s">
        <v>8490</v>
      </c>
      <c r="J330">
        <v>0</v>
      </c>
      <c r="K330">
        <v>6</v>
      </c>
      <c r="L330">
        <v>0</v>
      </c>
      <c r="M330">
        <v>191200</v>
      </c>
      <c r="N330">
        <v>136</v>
      </c>
      <c r="O330">
        <v>0</v>
      </c>
      <c r="P330">
        <v>4</v>
      </c>
      <c r="Q330">
        <v>0</v>
      </c>
      <c r="R330">
        <v>-22000</v>
      </c>
      <c r="S330">
        <v>407</v>
      </c>
      <c r="T330">
        <v>0</v>
      </c>
      <c r="U330">
        <v>0</v>
      </c>
      <c r="V330">
        <v>338</v>
      </c>
      <c r="W330" t="s">
        <v>8505</v>
      </c>
      <c r="X330">
        <v>0</v>
      </c>
      <c r="Y330">
        <v>26</v>
      </c>
      <c r="Z330">
        <v>0</v>
      </c>
      <c r="AA330">
        <v>15</v>
      </c>
      <c r="AB330">
        <v>0</v>
      </c>
      <c r="AC330">
        <v>14</v>
      </c>
      <c r="AD330">
        <v>0</v>
      </c>
      <c r="AE330">
        <v>4</v>
      </c>
      <c r="AF330">
        <v>0</v>
      </c>
      <c r="AG330">
        <v>1</v>
      </c>
      <c r="AH330">
        <v>0</v>
      </c>
      <c r="AI330">
        <v>-1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4</v>
      </c>
      <c r="AP330">
        <v>34</v>
      </c>
      <c r="AQ330">
        <v>35</v>
      </c>
      <c r="AR330">
        <v>34</v>
      </c>
      <c r="AS330">
        <v>35.333300000000001</v>
      </c>
      <c r="AT330" t="s">
        <v>8489</v>
      </c>
      <c r="AU330">
        <v>-6</v>
      </c>
      <c r="AV330">
        <v>0</v>
      </c>
      <c r="AW330" t="s">
        <v>8460</v>
      </c>
      <c r="AX330">
        <v>1</v>
      </c>
      <c r="AY330" t="s">
        <v>8459</v>
      </c>
      <c r="AZ330">
        <v>1</v>
      </c>
      <c r="BA330" t="s">
        <v>8483</v>
      </c>
      <c r="BB330">
        <v>0</v>
      </c>
      <c r="BC330" t="s">
        <v>8471</v>
      </c>
      <c r="BD330">
        <v>35.75</v>
      </c>
      <c r="BE330" t="s">
        <v>8464</v>
      </c>
      <c r="BF330" t="s">
        <v>8464</v>
      </c>
      <c r="BG330" t="s">
        <v>8464</v>
      </c>
      <c r="BH330">
        <v>0.79545500000000002</v>
      </c>
      <c r="BJ330" s="1" t="s">
        <v>8969</v>
      </c>
      <c r="BK330" s="1" t="s">
        <v>8970</v>
      </c>
    </row>
    <row r="331" spans="1:63" x14ac:dyDescent="0.25">
      <c r="A331">
        <v>510</v>
      </c>
      <c r="B331">
        <v>332</v>
      </c>
      <c r="C331" t="s">
        <v>8445</v>
      </c>
      <c r="F331">
        <v>1024982</v>
      </c>
      <c r="G331" t="s">
        <v>6852</v>
      </c>
      <c r="H331" t="s">
        <v>6853</v>
      </c>
      <c r="I331" t="s">
        <v>8482</v>
      </c>
      <c r="J331">
        <v>0</v>
      </c>
      <c r="K331">
        <v>6</v>
      </c>
      <c r="L331">
        <v>0</v>
      </c>
      <c r="M331">
        <v>247700</v>
      </c>
      <c r="N331">
        <v>230</v>
      </c>
      <c r="O331">
        <v>0</v>
      </c>
      <c r="P331">
        <v>5</v>
      </c>
      <c r="Q331">
        <v>0</v>
      </c>
      <c r="R331">
        <v>35400</v>
      </c>
      <c r="S331">
        <v>328</v>
      </c>
      <c r="T331">
        <v>0</v>
      </c>
      <c r="U331">
        <v>0</v>
      </c>
      <c r="V331">
        <v>520</v>
      </c>
      <c r="W331" t="s">
        <v>8475</v>
      </c>
      <c r="X331">
        <v>0</v>
      </c>
      <c r="Y331">
        <v>33</v>
      </c>
      <c r="Z331">
        <v>0</v>
      </c>
      <c r="AA331">
        <v>19</v>
      </c>
      <c r="AB331">
        <v>0</v>
      </c>
      <c r="AC331">
        <v>22</v>
      </c>
      <c r="AD331">
        <v>0</v>
      </c>
      <c r="AE331">
        <v>10</v>
      </c>
      <c r="AF331">
        <v>0</v>
      </c>
      <c r="AG331">
        <v>3</v>
      </c>
      <c r="AH331">
        <v>0</v>
      </c>
      <c r="AI331">
        <v>-6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46</v>
      </c>
      <c r="AQ331">
        <v>38</v>
      </c>
      <c r="AR331">
        <v>46</v>
      </c>
      <c r="AS331">
        <v>57.333300000000001</v>
      </c>
      <c r="AT331" t="s">
        <v>8480</v>
      </c>
      <c r="AU331">
        <v>59</v>
      </c>
      <c r="AV331">
        <v>0</v>
      </c>
      <c r="AW331" t="s">
        <v>8514</v>
      </c>
      <c r="AX331">
        <v>1</v>
      </c>
      <c r="AY331" t="s">
        <v>8530</v>
      </c>
      <c r="AZ331">
        <v>1</v>
      </c>
      <c r="BA331" t="s">
        <v>8450</v>
      </c>
      <c r="BB331">
        <v>0</v>
      </c>
      <c r="BC331" t="s">
        <v>8484</v>
      </c>
      <c r="BD331">
        <v>39</v>
      </c>
      <c r="BE331" t="s">
        <v>8464</v>
      </c>
      <c r="BF331" t="s">
        <v>8464</v>
      </c>
      <c r="BG331" t="s">
        <v>8531</v>
      </c>
      <c r="BH331">
        <v>0.86363599999999996</v>
      </c>
      <c r="BJ331" s="1" t="s">
        <v>8971</v>
      </c>
      <c r="BK331" s="1" t="s">
        <v>8972</v>
      </c>
    </row>
    <row r="332" spans="1:63" x14ac:dyDescent="0.25">
      <c r="A332">
        <v>511</v>
      </c>
      <c r="B332">
        <v>293</v>
      </c>
      <c r="C332" t="s">
        <v>8445</v>
      </c>
      <c r="F332">
        <v>1005986</v>
      </c>
      <c r="G332" t="s">
        <v>5581</v>
      </c>
      <c r="H332" t="s">
        <v>5582</v>
      </c>
      <c r="I332" t="s">
        <v>8489</v>
      </c>
      <c r="J332">
        <v>0</v>
      </c>
      <c r="K332">
        <v>6</v>
      </c>
      <c r="L332">
        <v>0</v>
      </c>
      <c r="M332">
        <v>212000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510</v>
      </c>
      <c r="T332">
        <v>0</v>
      </c>
      <c r="U332">
        <v>0</v>
      </c>
      <c r="V332">
        <v>0</v>
      </c>
      <c r="W332" t="s">
        <v>8447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7</v>
      </c>
      <c r="AR332">
        <v>0</v>
      </c>
      <c r="AS332">
        <v>0</v>
      </c>
      <c r="AT332" t="s">
        <v>8490</v>
      </c>
      <c r="AU332">
        <v>34.666699999999999</v>
      </c>
      <c r="AV332">
        <v>1</v>
      </c>
      <c r="AW332" t="s">
        <v>8491</v>
      </c>
      <c r="AX332">
        <v>0</v>
      </c>
      <c r="AY332" t="s">
        <v>8492</v>
      </c>
      <c r="AZ332">
        <v>1</v>
      </c>
      <c r="BA332" t="s">
        <v>8493</v>
      </c>
      <c r="BB332">
        <v>0</v>
      </c>
      <c r="BC332" t="s">
        <v>8471</v>
      </c>
      <c r="BD332">
        <v>57.2</v>
      </c>
      <c r="BE332" t="s">
        <v>8453</v>
      </c>
      <c r="BF332" t="s">
        <v>8494</v>
      </c>
      <c r="BG332" t="s">
        <v>8495</v>
      </c>
      <c r="BH332">
        <v>0.15909100000000001</v>
      </c>
    </row>
    <row r="333" spans="1:63" x14ac:dyDescent="0.25">
      <c r="A333">
        <v>512</v>
      </c>
      <c r="B333">
        <v>292</v>
      </c>
      <c r="C333" t="s">
        <v>8445</v>
      </c>
      <c r="F333">
        <v>1018123</v>
      </c>
      <c r="G333" t="s">
        <v>1235</v>
      </c>
      <c r="H333" t="s">
        <v>8973</v>
      </c>
      <c r="I333" t="s">
        <v>8489</v>
      </c>
      <c r="J333">
        <v>0</v>
      </c>
      <c r="K333">
        <v>6</v>
      </c>
      <c r="L333">
        <v>0</v>
      </c>
      <c r="M333">
        <v>201600</v>
      </c>
      <c r="N333">
        <v>189</v>
      </c>
      <c r="O333">
        <v>0</v>
      </c>
      <c r="P333">
        <v>4</v>
      </c>
      <c r="Q333">
        <v>0</v>
      </c>
      <c r="R333">
        <v>-8500</v>
      </c>
      <c r="S333">
        <v>361</v>
      </c>
      <c r="T333">
        <v>0</v>
      </c>
      <c r="U333">
        <v>0</v>
      </c>
      <c r="V333">
        <v>264</v>
      </c>
      <c r="W333" t="s">
        <v>8505</v>
      </c>
      <c r="X333">
        <v>0</v>
      </c>
      <c r="Y333">
        <v>19</v>
      </c>
      <c r="Z333">
        <v>0</v>
      </c>
      <c r="AA333">
        <v>19</v>
      </c>
      <c r="AB333">
        <v>0</v>
      </c>
      <c r="AC333">
        <v>7</v>
      </c>
      <c r="AD333">
        <v>0</v>
      </c>
      <c r="AE333">
        <v>4</v>
      </c>
      <c r="AF333">
        <v>0</v>
      </c>
      <c r="AG333">
        <v>1</v>
      </c>
      <c r="AH333">
        <v>0</v>
      </c>
      <c r="AI333">
        <v>-1</v>
      </c>
      <c r="AJ333">
        <v>0</v>
      </c>
      <c r="AK333">
        <v>0</v>
      </c>
      <c r="AL333">
        <v>0</v>
      </c>
      <c r="AM333">
        <v>4</v>
      </c>
      <c r="AN333">
        <v>0</v>
      </c>
      <c r="AO333">
        <v>0</v>
      </c>
      <c r="AP333">
        <v>47.25</v>
      </c>
      <c r="AQ333">
        <v>82</v>
      </c>
      <c r="AR333">
        <v>47.25</v>
      </c>
      <c r="AS333">
        <v>36.666699999999999</v>
      </c>
      <c r="AT333" t="s">
        <v>8490</v>
      </c>
      <c r="AU333">
        <v>22</v>
      </c>
      <c r="AV333">
        <v>1</v>
      </c>
      <c r="AW333" t="s">
        <v>8491</v>
      </c>
      <c r="AX333">
        <v>0</v>
      </c>
      <c r="AY333" t="s">
        <v>8492</v>
      </c>
      <c r="AZ333">
        <v>1</v>
      </c>
      <c r="BA333" t="s">
        <v>8493</v>
      </c>
      <c r="BB333">
        <v>0</v>
      </c>
      <c r="BC333" t="s">
        <v>8471</v>
      </c>
      <c r="BD333">
        <v>25</v>
      </c>
      <c r="BE333" t="s">
        <v>8453</v>
      </c>
      <c r="BF333" t="s">
        <v>8494</v>
      </c>
      <c r="BG333" t="s">
        <v>8495</v>
      </c>
      <c r="BH333">
        <v>1.86364</v>
      </c>
      <c r="BJ333" s="1" t="s">
        <v>8974</v>
      </c>
      <c r="BK333" s="1" t="s">
        <v>8975</v>
      </c>
    </row>
    <row r="334" spans="1:63" x14ac:dyDescent="0.25">
      <c r="A334">
        <v>513</v>
      </c>
      <c r="B334">
        <v>506</v>
      </c>
      <c r="C334" t="s">
        <v>8445</v>
      </c>
      <c r="F334">
        <v>1002138</v>
      </c>
      <c r="G334" t="s">
        <v>4983</v>
      </c>
      <c r="H334" t="s">
        <v>8976</v>
      </c>
      <c r="I334" t="s">
        <v>8467</v>
      </c>
      <c r="J334">
        <v>0</v>
      </c>
      <c r="K334">
        <v>6</v>
      </c>
      <c r="L334">
        <v>0</v>
      </c>
      <c r="M334">
        <v>209400</v>
      </c>
      <c r="N334">
        <v>130</v>
      </c>
      <c r="O334">
        <v>0</v>
      </c>
      <c r="P334">
        <v>2</v>
      </c>
      <c r="Q334">
        <v>0</v>
      </c>
      <c r="R334">
        <v>0</v>
      </c>
      <c r="S334">
        <v>415</v>
      </c>
      <c r="T334">
        <v>0</v>
      </c>
      <c r="U334">
        <v>0</v>
      </c>
      <c r="V334">
        <v>240</v>
      </c>
      <c r="W334" t="s">
        <v>8505</v>
      </c>
      <c r="X334">
        <v>0</v>
      </c>
      <c r="Y334">
        <v>21</v>
      </c>
      <c r="Z334">
        <v>0</v>
      </c>
      <c r="AA334">
        <v>4</v>
      </c>
      <c r="AB334">
        <v>0</v>
      </c>
      <c r="AC334">
        <v>15</v>
      </c>
      <c r="AD334">
        <v>0</v>
      </c>
      <c r="AE334">
        <v>4</v>
      </c>
      <c r="AF334">
        <v>0</v>
      </c>
      <c r="AG334">
        <v>1</v>
      </c>
      <c r="AH334">
        <v>0</v>
      </c>
      <c r="AI334">
        <v>-3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65</v>
      </c>
      <c r="AQ334">
        <v>18</v>
      </c>
      <c r="AR334">
        <v>65</v>
      </c>
      <c r="AS334">
        <v>65</v>
      </c>
      <c r="AT334" t="s">
        <v>8465</v>
      </c>
      <c r="AU334">
        <v>19</v>
      </c>
      <c r="AV334">
        <v>0</v>
      </c>
      <c r="AW334" t="s">
        <v>8497</v>
      </c>
      <c r="AX334">
        <v>1</v>
      </c>
      <c r="AY334" t="s">
        <v>8451</v>
      </c>
      <c r="AZ334">
        <v>1</v>
      </c>
      <c r="BA334" t="s">
        <v>8492</v>
      </c>
      <c r="BB334">
        <v>0</v>
      </c>
      <c r="BC334" t="s">
        <v>8471</v>
      </c>
      <c r="BD334">
        <v>37.444400000000002</v>
      </c>
      <c r="BE334" t="s">
        <v>8472</v>
      </c>
      <c r="BF334" t="s">
        <v>8455</v>
      </c>
      <c r="BG334" t="s">
        <v>8498</v>
      </c>
      <c r="BH334">
        <v>0.40909099999999998</v>
      </c>
      <c r="BJ334" s="1" t="s">
        <v>8977</v>
      </c>
      <c r="BK334" s="1" t="s">
        <v>8978</v>
      </c>
    </row>
    <row r="335" spans="1:63" x14ac:dyDescent="0.25">
      <c r="A335">
        <v>514</v>
      </c>
      <c r="B335">
        <v>103</v>
      </c>
      <c r="C335" t="s">
        <v>8445</v>
      </c>
      <c r="F335">
        <v>1008510</v>
      </c>
      <c r="G335" t="s">
        <v>1072</v>
      </c>
      <c r="H335" t="s">
        <v>5561</v>
      </c>
      <c r="I335" t="s">
        <v>8465</v>
      </c>
      <c r="J335">
        <v>0</v>
      </c>
      <c r="K335">
        <v>6</v>
      </c>
      <c r="L335">
        <v>0</v>
      </c>
      <c r="M335">
        <v>208900</v>
      </c>
      <c r="N335">
        <v>91</v>
      </c>
      <c r="O335">
        <v>0</v>
      </c>
      <c r="P335">
        <v>1</v>
      </c>
      <c r="Q335">
        <v>0</v>
      </c>
      <c r="R335">
        <v>0</v>
      </c>
      <c r="S335">
        <v>444</v>
      </c>
      <c r="T335">
        <v>0</v>
      </c>
      <c r="U335">
        <v>0</v>
      </c>
      <c r="V335">
        <v>104</v>
      </c>
      <c r="W335" t="s">
        <v>8505</v>
      </c>
      <c r="X335">
        <v>0</v>
      </c>
      <c r="Y335">
        <v>8</v>
      </c>
      <c r="Z335">
        <v>0</v>
      </c>
      <c r="AA335">
        <v>3</v>
      </c>
      <c r="AB335">
        <v>0</v>
      </c>
      <c r="AC335">
        <v>5</v>
      </c>
      <c r="AD335">
        <v>0</v>
      </c>
      <c r="AE335">
        <v>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4</v>
      </c>
      <c r="AN335">
        <v>0</v>
      </c>
      <c r="AO335">
        <v>1</v>
      </c>
      <c r="AP335">
        <v>91</v>
      </c>
      <c r="AQ335">
        <v>161</v>
      </c>
      <c r="AR335">
        <v>91</v>
      </c>
      <c r="AS335">
        <v>91</v>
      </c>
      <c r="AT335" t="s">
        <v>8467</v>
      </c>
      <c r="AU335">
        <v>59</v>
      </c>
      <c r="AV335">
        <v>1</v>
      </c>
      <c r="AW335" t="s">
        <v>8468</v>
      </c>
      <c r="AX335">
        <v>0</v>
      </c>
      <c r="AY335" t="s">
        <v>8469</v>
      </c>
      <c r="AZ335">
        <v>1</v>
      </c>
      <c r="BA335" t="s">
        <v>8470</v>
      </c>
      <c r="BB335">
        <v>1</v>
      </c>
      <c r="BC335" t="s">
        <v>8471</v>
      </c>
      <c r="BD335">
        <v>49.117600000000003</v>
      </c>
      <c r="BE335" t="s">
        <v>8464</v>
      </c>
      <c r="BF335" t="s">
        <v>8472</v>
      </c>
      <c r="BG335" t="s">
        <v>8464</v>
      </c>
      <c r="BH335">
        <v>3.65909</v>
      </c>
      <c r="BJ335">
        <v>0.875</v>
      </c>
      <c r="BK335" s="1" t="s">
        <v>8979</v>
      </c>
    </row>
    <row r="336" spans="1:63" x14ac:dyDescent="0.25">
      <c r="A336">
        <v>515</v>
      </c>
      <c r="B336">
        <v>283</v>
      </c>
      <c r="C336" t="s">
        <v>8445</v>
      </c>
      <c r="F336">
        <v>294013</v>
      </c>
      <c r="G336" t="s">
        <v>974</v>
      </c>
      <c r="H336" t="s">
        <v>5947</v>
      </c>
      <c r="I336" t="s">
        <v>8489</v>
      </c>
      <c r="J336">
        <v>0</v>
      </c>
      <c r="K336">
        <v>6</v>
      </c>
      <c r="L336">
        <v>0</v>
      </c>
      <c r="M336">
        <v>207500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510</v>
      </c>
      <c r="T336">
        <v>0</v>
      </c>
      <c r="U336">
        <v>0</v>
      </c>
      <c r="V336">
        <v>0</v>
      </c>
      <c r="W336" t="s">
        <v>8466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7</v>
      </c>
      <c r="AR336">
        <v>0</v>
      </c>
      <c r="AS336">
        <v>0</v>
      </c>
      <c r="AT336" t="s">
        <v>8490</v>
      </c>
      <c r="AU336">
        <v>47</v>
      </c>
      <c r="AV336">
        <v>1</v>
      </c>
      <c r="AW336" t="s">
        <v>8491</v>
      </c>
      <c r="AX336">
        <v>0</v>
      </c>
      <c r="AY336" t="s">
        <v>8492</v>
      </c>
      <c r="AZ336">
        <v>1</v>
      </c>
      <c r="BA336" t="s">
        <v>8493</v>
      </c>
      <c r="BB336">
        <v>0</v>
      </c>
      <c r="BC336" t="s">
        <v>8471</v>
      </c>
      <c r="BD336">
        <v>50.142899999999997</v>
      </c>
      <c r="BE336" t="s">
        <v>8453</v>
      </c>
      <c r="BF336" t="s">
        <v>8494</v>
      </c>
      <c r="BG336" t="s">
        <v>8495</v>
      </c>
      <c r="BH336">
        <v>0.15909100000000001</v>
      </c>
    </row>
    <row r="337" spans="1:63" x14ac:dyDescent="0.25">
      <c r="A337">
        <v>516</v>
      </c>
      <c r="B337">
        <v>541</v>
      </c>
      <c r="C337" t="s">
        <v>8445</v>
      </c>
      <c r="F337">
        <v>1012881</v>
      </c>
      <c r="G337" t="s">
        <v>8211</v>
      </c>
      <c r="H337" t="s">
        <v>8262</v>
      </c>
      <c r="I337" t="s">
        <v>8448</v>
      </c>
      <c r="J337">
        <v>0</v>
      </c>
      <c r="K337">
        <v>6</v>
      </c>
      <c r="L337">
        <v>0</v>
      </c>
      <c r="M337">
        <v>204500</v>
      </c>
      <c r="N337">
        <v>135</v>
      </c>
      <c r="O337">
        <v>0</v>
      </c>
      <c r="P337">
        <v>2</v>
      </c>
      <c r="Q337">
        <v>0</v>
      </c>
      <c r="R337">
        <v>0</v>
      </c>
      <c r="S337">
        <v>408</v>
      </c>
      <c r="T337">
        <v>0</v>
      </c>
      <c r="U337">
        <v>0</v>
      </c>
      <c r="V337">
        <v>212</v>
      </c>
      <c r="W337" t="s">
        <v>8505</v>
      </c>
      <c r="X337">
        <v>0</v>
      </c>
      <c r="Y337">
        <v>12</v>
      </c>
      <c r="Z337">
        <v>0</v>
      </c>
      <c r="AA337">
        <v>5</v>
      </c>
      <c r="AB337">
        <v>0</v>
      </c>
      <c r="AC337">
        <v>8</v>
      </c>
      <c r="AD337">
        <v>0</v>
      </c>
      <c r="AE337">
        <v>0</v>
      </c>
      <c r="AF337">
        <v>0</v>
      </c>
      <c r="AG337">
        <v>2</v>
      </c>
      <c r="AH337">
        <v>0</v>
      </c>
      <c r="AI337">
        <v>-1</v>
      </c>
      <c r="AJ337">
        <v>0</v>
      </c>
      <c r="AK337">
        <v>0</v>
      </c>
      <c r="AL337">
        <v>0</v>
      </c>
      <c r="AM337">
        <v>4</v>
      </c>
      <c r="AN337">
        <v>0</v>
      </c>
      <c r="AO337">
        <v>2</v>
      </c>
      <c r="AP337">
        <v>67.5</v>
      </c>
      <c r="AQ337">
        <v>131</v>
      </c>
      <c r="AR337">
        <v>67.5</v>
      </c>
      <c r="AS337">
        <v>67.5</v>
      </c>
      <c r="AT337" t="s">
        <v>8446</v>
      </c>
      <c r="AU337">
        <v>0</v>
      </c>
      <c r="AV337">
        <v>1</v>
      </c>
      <c r="AW337" t="s">
        <v>8526</v>
      </c>
      <c r="AX337">
        <v>0</v>
      </c>
      <c r="AY337" t="s">
        <v>8493</v>
      </c>
      <c r="AZ337">
        <v>1</v>
      </c>
      <c r="BA337" t="s">
        <v>8469</v>
      </c>
      <c r="BB337">
        <v>0</v>
      </c>
      <c r="BC337" t="s">
        <v>8452</v>
      </c>
      <c r="BD337">
        <v>0</v>
      </c>
      <c r="BE337" t="s">
        <v>8472</v>
      </c>
      <c r="BF337" t="s">
        <v>8534</v>
      </c>
      <c r="BG337" t="s">
        <v>8472</v>
      </c>
      <c r="BH337">
        <v>2.9772699999999999</v>
      </c>
      <c r="BJ337" s="1" t="s">
        <v>8980</v>
      </c>
      <c r="BK337" s="1" t="s">
        <v>8981</v>
      </c>
    </row>
    <row r="338" spans="1:63" x14ac:dyDescent="0.25">
      <c r="A338">
        <v>517</v>
      </c>
      <c r="B338">
        <v>584</v>
      </c>
      <c r="C338" t="s">
        <v>8445</v>
      </c>
      <c r="F338">
        <v>1028491</v>
      </c>
      <c r="G338" t="s">
        <v>958</v>
      </c>
      <c r="H338" t="s">
        <v>8982</v>
      </c>
      <c r="I338" t="s">
        <v>8490</v>
      </c>
      <c r="J338">
        <v>0</v>
      </c>
      <c r="K338">
        <v>6</v>
      </c>
      <c r="L338">
        <v>0</v>
      </c>
      <c r="M338">
        <v>248300</v>
      </c>
      <c r="N338">
        <v>270</v>
      </c>
      <c r="O338">
        <v>0</v>
      </c>
      <c r="P338">
        <v>4</v>
      </c>
      <c r="Q338">
        <v>0</v>
      </c>
      <c r="R338">
        <v>44800</v>
      </c>
      <c r="S338">
        <v>281</v>
      </c>
      <c r="T338">
        <v>0</v>
      </c>
      <c r="U338">
        <v>0</v>
      </c>
      <c r="V338">
        <v>424</v>
      </c>
      <c r="W338" t="s">
        <v>8475</v>
      </c>
      <c r="X338">
        <v>0</v>
      </c>
      <c r="Y338">
        <v>28</v>
      </c>
      <c r="Z338">
        <v>0</v>
      </c>
      <c r="AA338">
        <v>33</v>
      </c>
      <c r="AB338">
        <v>0</v>
      </c>
      <c r="AC338">
        <v>13</v>
      </c>
      <c r="AD338">
        <v>0</v>
      </c>
      <c r="AE338">
        <v>11</v>
      </c>
      <c r="AF338">
        <v>0</v>
      </c>
      <c r="AG338">
        <v>6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5</v>
      </c>
      <c r="AN338">
        <v>0</v>
      </c>
      <c r="AO338">
        <v>2</v>
      </c>
      <c r="AP338">
        <v>67.5</v>
      </c>
      <c r="AQ338">
        <v>1188</v>
      </c>
      <c r="AR338">
        <v>67.5</v>
      </c>
      <c r="AS338">
        <v>65.333299999999994</v>
      </c>
      <c r="AT338" t="s">
        <v>8489</v>
      </c>
      <c r="AU338">
        <v>0</v>
      </c>
      <c r="AV338">
        <v>0</v>
      </c>
      <c r="AW338" t="s">
        <v>8460</v>
      </c>
      <c r="AX338">
        <v>1</v>
      </c>
      <c r="AY338" t="s">
        <v>8459</v>
      </c>
      <c r="AZ338">
        <v>1</v>
      </c>
      <c r="BA338" t="s">
        <v>8483</v>
      </c>
      <c r="BB338">
        <v>0</v>
      </c>
      <c r="BC338" t="s">
        <v>8471</v>
      </c>
      <c r="BD338">
        <v>45</v>
      </c>
      <c r="BE338" t="s">
        <v>8464</v>
      </c>
      <c r="BF338" t="s">
        <v>8464</v>
      </c>
      <c r="BG338" t="s">
        <v>8464</v>
      </c>
      <c r="BH338">
        <v>27</v>
      </c>
      <c r="BJ338" s="1" t="s">
        <v>8980</v>
      </c>
      <c r="BK338" s="1" t="s">
        <v>8983</v>
      </c>
    </row>
    <row r="339" spans="1:63" x14ac:dyDescent="0.25">
      <c r="A339">
        <v>518</v>
      </c>
      <c r="B339">
        <v>415</v>
      </c>
      <c r="C339" t="s">
        <v>8445</v>
      </c>
      <c r="F339">
        <v>1018016</v>
      </c>
      <c r="G339" t="s">
        <v>5448</v>
      </c>
      <c r="H339" t="s">
        <v>1812</v>
      </c>
      <c r="I339" t="s">
        <v>8480</v>
      </c>
      <c r="J339">
        <v>0</v>
      </c>
      <c r="K339">
        <v>6</v>
      </c>
      <c r="L339">
        <v>0</v>
      </c>
      <c r="M339">
        <v>202100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510</v>
      </c>
      <c r="T339">
        <v>0</v>
      </c>
      <c r="U339">
        <v>0</v>
      </c>
      <c r="V339">
        <v>0</v>
      </c>
      <c r="W339" t="s">
        <v>8447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12</v>
      </c>
      <c r="AR339">
        <v>0</v>
      </c>
      <c r="AS339">
        <v>0</v>
      </c>
      <c r="AT339" t="s">
        <v>8482</v>
      </c>
      <c r="AU339">
        <v>39</v>
      </c>
      <c r="AV339">
        <v>1</v>
      </c>
      <c r="AW339" t="s">
        <v>8483</v>
      </c>
      <c r="AX339">
        <v>0</v>
      </c>
      <c r="AY339" t="s">
        <v>8461</v>
      </c>
      <c r="AZ339">
        <v>0</v>
      </c>
      <c r="BA339" t="s">
        <v>8460</v>
      </c>
      <c r="BB339">
        <v>1</v>
      </c>
      <c r="BC339" t="s">
        <v>8484</v>
      </c>
      <c r="BD339">
        <v>52.714300000000001</v>
      </c>
      <c r="BE339" t="s">
        <v>8455</v>
      </c>
      <c r="BF339" t="s">
        <v>8464</v>
      </c>
      <c r="BG339" t="s">
        <v>8464</v>
      </c>
      <c r="BH339">
        <v>0.272727</v>
      </c>
    </row>
    <row r="340" spans="1:63" x14ac:dyDescent="0.25">
      <c r="A340">
        <v>519</v>
      </c>
      <c r="B340">
        <v>34</v>
      </c>
      <c r="C340" t="s">
        <v>8445</v>
      </c>
      <c r="F340">
        <v>1008543</v>
      </c>
      <c r="G340" t="s">
        <v>2192</v>
      </c>
      <c r="H340" t="s">
        <v>5411</v>
      </c>
      <c r="I340" t="s">
        <v>8511</v>
      </c>
      <c r="J340">
        <v>0</v>
      </c>
      <c r="K340">
        <v>6</v>
      </c>
      <c r="L340">
        <v>0</v>
      </c>
      <c r="M340">
        <v>201500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510</v>
      </c>
      <c r="T340">
        <v>0</v>
      </c>
      <c r="U340">
        <v>0</v>
      </c>
      <c r="V340">
        <v>0</v>
      </c>
      <c r="W340" t="s">
        <v>8466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11</v>
      </c>
      <c r="AR340">
        <v>0</v>
      </c>
      <c r="AS340">
        <v>0</v>
      </c>
      <c r="AT340" t="s">
        <v>8512</v>
      </c>
      <c r="AU340">
        <v>50.75</v>
      </c>
      <c r="AV340">
        <v>0</v>
      </c>
      <c r="AW340" t="s">
        <v>8513</v>
      </c>
      <c r="AX340">
        <v>1</v>
      </c>
      <c r="AY340" t="s">
        <v>8514</v>
      </c>
      <c r="AZ340">
        <v>0</v>
      </c>
      <c r="BA340" t="s">
        <v>8497</v>
      </c>
      <c r="BB340">
        <v>1</v>
      </c>
      <c r="BC340" t="s">
        <v>8515</v>
      </c>
      <c r="BD340">
        <v>59.285699999999999</v>
      </c>
      <c r="BE340" t="s">
        <v>8463</v>
      </c>
      <c r="BF340" t="s">
        <v>8472</v>
      </c>
      <c r="BG340" t="s">
        <v>8472</v>
      </c>
      <c r="BH340">
        <v>0.25</v>
      </c>
    </row>
    <row r="341" spans="1:63" x14ac:dyDescent="0.25">
      <c r="A341">
        <v>521</v>
      </c>
      <c r="B341">
        <v>156</v>
      </c>
      <c r="C341" t="s">
        <v>8445</v>
      </c>
      <c r="F341">
        <v>1013278</v>
      </c>
      <c r="G341" t="s">
        <v>6237</v>
      </c>
      <c r="H341" t="s">
        <v>6238</v>
      </c>
      <c r="I341" t="s">
        <v>8525</v>
      </c>
      <c r="J341">
        <v>0</v>
      </c>
      <c r="K341">
        <v>6</v>
      </c>
      <c r="L341">
        <v>0</v>
      </c>
      <c r="M341">
        <v>198500</v>
      </c>
      <c r="N341">
        <v>108</v>
      </c>
      <c r="O341">
        <v>0</v>
      </c>
      <c r="P341">
        <v>3</v>
      </c>
      <c r="Q341">
        <v>0</v>
      </c>
      <c r="R341">
        <v>-2100</v>
      </c>
      <c r="S341">
        <v>436</v>
      </c>
      <c r="T341">
        <v>0</v>
      </c>
      <c r="U341">
        <v>0</v>
      </c>
      <c r="V341">
        <v>219</v>
      </c>
      <c r="W341" t="s">
        <v>8505</v>
      </c>
      <c r="X341">
        <v>0</v>
      </c>
      <c r="Y341">
        <v>17</v>
      </c>
      <c r="Z341">
        <v>0</v>
      </c>
      <c r="AA341">
        <v>7</v>
      </c>
      <c r="AB341">
        <v>0</v>
      </c>
      <c r="AC341">
        <v>9</v>
      </c>
      <c r="AD341">
        <v>0</v>
      </c>
      <c r="AE341">
        <v>3</v>
      </c>
      <c r="AF341">
        <v>0</v>
      </c>
      <c r="AG341">
        <v>2</v>
      </c>
      <c r="AH341">
        <v>0</v>
      </c>
      <c r="AI341">
        <v>-1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36</v>
      </c>
      <c r="AQ341">
        <v>38</v>
      </c>
      <c r="AR341">
        <v>36</v>
      </c>
      <c r="AS341">
        <v>36</v>
      </c>
      <c r="AT341" t="s">
        <v>8524</v>
      </c>
      <c r="AU341">
        <v>33.666699999999999</v>
      </c>
      <c r="AV341">
        <v>1</v>
      </c>
      <c r="AW341" t="s">
        <v>8451</v>
      </c>
      <c r="AX341">
        <v>0</v>
      </c>
      <c r="AY341" t="s">
        <v>8468</v>
      </c>
      <c r="AZ341">
        <v>0</v>
      </c>
      <c r="BA341" t="s">
        <v>8513</v>
      </c>
      <c r="BB341">
        <v>1</v>
      </c>
      <c r="BC341" t="s">
        <v>8527</v>
      </c>
      <c r="BD341">
        <v>33.666699999999999</v>
      </c>
      <c r="BE341" t="s">
        <v>8464</v>
      </c>
      <c r="BF341" t="s">
        <v>8464</v>
      </c>
      <c r="BG341" t="s">
        <v>8463</v>
      </c>
      <c r="BH341">
        <v>0.86363599999999996</v>
      </c>
      <c r="BJ341" s="1" t="s">
        <v>8984</v>
      </c>
      <c r="BK341" s="1" t="s">
        <v>8985</v>
      </c>
    </row>
    <row r="342" spans="1:63" x14ac:dyDescent="0.25">
      <c r="A342">
        <v>522</v>
      </c>
      <c r="B342">
        <v>545</v>
      </c>
      <c r="C342" t="s">
        <v>8445</v>
      </c>
      <c r="F342">
        <v>1004819</v>
      </c>
      <c r="G342" t="s">
        <v>710</v>
      </c>
      <c r="H342" t="s">
        <v>6008</v>
      </c>
      <c r="I342" t="s">
        <v>8448</v>
      </c>
      <c r="J342">
        <v>0</v>
      </c>
      <c r="K342">
        <v>6</v>
      </c>
      <c r="L342">
        <v>0</v>
      </c>
      <c r="M342">
        <v>200600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510</v>
      </c>
      <c r="T342">
        <v>0</v>
      </c>
      <c r="U342">
        <v>0</v>
      </c>
      <c r="V342">
        <v>0</v>
      </c>
      <c r="W342" t="s">
        <v>8447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8</v>
      </c>
      <c r="AR342">
        <v>0</v>
      </c>
      <c r="AS342">
        <v>0</v>
      </c>
      <c r="AT342" t="s">
        <v>8446</v>
      </c>
      <c r="AU342">
        <v>49</v>
      </c>
      <c r="AV342">
        <v>1</v>
      </c>
      <c r="AW342" t="s">
        <v>8526</v>
      </c>
      <c r="AX342">
        <v>0</v>
      </c>
      <c r="AY342" t="s">
        <v>8493</v>
      </c>
      <c r="AZ342">
        <v>1</v>
      </c>
      <c r="BA342" t="s">
        <v>8469</v>
      </c>
      <c r="BB342">
        <v>0</v>
      </c>
      <c r="BC342" t="s">
        <v>8452</v>
      </c>
      <c r="BD342">
        <v>49</v>
      </c>
      <c r="BE342" t="s">
        <v>8472</v>
      </c>
      <c r="BF342" t="s">
        <v>8534</v>
      </c>
      <c r="BG342" t="s">
        <v>8472</v>
      </c>
      <c r="BH342">
        <v>0.18181800000000001</v>
      </c>
    </row>
    <row r="343" spans="1:63" x14ac:dyDescent="0.25">
      <c r="A343">
        <v>523</v>
      </c>
      <c r="B343">
        <v>502</v>
      </c>
      <c r="C343" t="s">
        <v>8445</v>
      </c>
      <c r="F343">
        <v>1028495</v>
      </c>
      <c r="G343" t="s">
        <v>8126</v>
      </c>
      <c r="H343" t="s">
        <v>8986</v>
      </c>
      <c r="I343" t="s">
        <v>8467</v>
      </c>
      <c r="J343">
        <v>0</v>
      </c>
      <c r="K343">
        <v>6</v>
      </c>
      <c r="L343">
        <v>0</v>
      </c>
      <c r="M343">
        <v>221200</v>
      </c>
      <c r="N343">
        <v>206</v>
      </c>
      <c r="O343">
        <v>0</v>
      </c>
      <c r="P343">
        <v>4</v>
      </c>
      <c r="Q343">
        <v>0</v>
      </c>
      <c r="R343">
        <v>22200</v>
      </c>
      <c r="S343">
        <v>349</v>
      </c>
      <c r="T343">
        <v>0</v>
      </c>
      <c r="U343">
        <v>0</v>
      </c>
      <c r="V343">
        <v>431</v>
      </c>
      <c r="W343" t="s">
        <v>8505</v>
      </c>
      <c r="X343">
        <v>0</v>
      </c>
      <c r="Y343">
        <v>35</v>
      </c>
      <c r="Z343">
        <v>0</v>
      </c>
      <c r="AA343">
        <v>24</v>
      </c>
      <c r="AB343">
        <v>0</v>
      </c>
      <c r="AC343">
        <v>11</v>
      </c>
      <c r="AD343">
        <v>0</v>
      </c>
      <c r="AE343">
        <v>3</v>
      </c>
      <c r="AF343">
        <v>0</v>
      </c>
      <c r="AG343">
        <v>1</v>
      </c>
      <c r="AH343">
        <v>0</v>
      </c>
      <c r="AI343">
        <v>-3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51.5</v>
      </c>
      <c r="AQ343">
        <v>540</v>
      </c>
      <c r="AR343">
        <v>51.5</v>
      </c>
      <c r="AS343">
        <v>51.666699999999999</v>
      </c>
      <c r="AT343" t="s">
        <v>8465</v>
      </c>
      <c r="AU343">
        <v>0</v>
      </c>
      <c r="AV343">
        <v>0</v>
      </c>
      <c r="AW343" t="s">
        <v>8497</v>
      </c>
      <c r="AX343">
        <v>1</v>
      </c>
      <c r="AY343" t="s">
        <v>8451</v>
      </c>
      <c r="AZ343">
        <v>1</v>
      </c>
      <c r="BA343" t="s">
        <v>8492</v>
      </c>
      <c r="BB343">
        <v>0</v>
      </c>
      <c r="BC343" t="s">
        <v>8471</v>
      </c>
      <c r="BD343">
        <v>46.5</v>
      </c>
      <c r="BE343" t="s">
        <v>8472</v>
      </c>
      <c r="BF343" t="s">
        <v>8455</v>
      </c>
      <c r="BG343" t="s">
        <v>8498</v>
      </c>
      <c r="BH343">
        <v>12.2727</v>
      </c>
      <c r="BJ343" s="1" t="s">
        <v>8987</v>
      </c>
      <c r="BK343" s="1" t="s">
        <v>8988</v>
      </c>
    </row>
    <row r="344" spans="1:63" x14ac:dyDescent="0.25">
      <c r="A344">
        <v>524</v>
      </c>
      <c r="B344">
        <v>239</v>
      </c>
      <c r="C344" t="s">
        <v>8445</v>
      </c>
      <c r="F344">
        <v>1013220</v>
      </c>
      <c r="G344" t="s">
        <v>508</v>
      </c>
      <c r="H344" t="s">
        <v>6622</v>
      </c>
      <c r="I344" t="s">
        <v>8502</v>
      </c>
      <c r="J344">
        <v>0</v>
      </c>
      <c r="K344">
        <v>6</v>
      </c>
      <c r="L344">
        <v>0</v>
      </c>
      <c r="M344">
        <v>309800</v>
      </c>
      <c r="N344">
        <v>336</v>
      </c>
      <c r="O344">
        <v>0</v>
      </c>
      <c r="P344">
        <v>4</v>
      </c>
      <c r="Q344">
        <v>0</v>
      </c>
      <c r="R344">
        <v>111800</v>
      </c>
      <c r="S344">
        <v>201</v>
      </c>
      <c r="T344">
        <v>0</v>
      </c>
      <c r="U344">
        <v>0</v>
      </c>
      <c r="V344">
        <v>363</v>
      </c>
      <c r="W344" t="s">
        <v>8475</v>
      </c>
      <c r="X344">
        <v>0</v>
      </c>
      <c r="Y344">
        <v>49</v>
      </c>
      <c r="Z344">
        <v>0</v>
      </c>
      <c r="AA344">
        <v>35</v>
      </c>
      <c r="AB344">
        <v>0</v>
      </c>
      <c r="AC344">
        <v>12</v>
      </c>
      <c r="AD344">
        <v>0</v>
      </c>
      <c r="AE344">
        <v>19</v>
      </c>
      <c r="AF344">
        <v>0</v>
      </c>
      <c r="AG344">
        <v>7</v>
      </c>
      <c r="AH344">
        <v>0</v>
      </c>
      <c r="AI344">
        <v>-5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1</v>
      </c>
      <c r="AP344">
        <v>84</v>
      </c>
      <c r="AQ344">
        <v>1243</v>
      </c>
      <c r="AR344">
        <v>84</v>
      </c>
      <c r="AS344">
        <v>81.666700000000006</v>
      </c>
      <c r="AT344" t="s">
        <v>8501</v>
      </c>
      <c r="AU344">
        <v>70</v>
      </c>
      <c r="AV344">
        <v>1</v>
      </c>
      <c r="AW344" t="s">
        <v>8469</v>
      </c>
      <c r="AX344">
        <v>0</v>
      </c>
      <c r="AY344" t="s">
        <v>8470</v>
      </c>
      <c r="AZ344">
        <v>1</v>
      </c>
      <c r="BA344" t="s">
        <v>8530</v>
      </c>
      <c r="BB344">
        <v>0</v>
      </c>
      <c r="BC344" t="s">
        <v>8484</v>
      </c>
      <c r="BD344">
        <v>42.5</v>
      </c>
      <c r="BE344" t="s">
        <v>8463</v>
      </c>
      <c r="BF344" t="s">
        <v>8455</v>
      </c>
      <c r="BG344" t="s">
        <v>8463</v>
      </c>
      <c r="BH344">
        <v>28.25</v>
      </c>
      <c r="BJ344" s="1" t="s">
        <v>8989</v>
      </c>
      <c r="BK344" s="1" t="s">
        <v>8990</v>
      </c>
    </row>
    <row r="345" spans="1:63" x14ac:dyDescent="0.25">
      <c r="A345">
        <v>525</v>
      </c>
      <c r="B345">
        <v>124</v>
      </c>
      <c r="C345" t="s">
        <v>8445</v>
      </c>
      <c r="F345">
        <v>1028515</v>
      </c>
      <c r="G345" t="s">
        <v>8991</v>
      </c>
      <c r="H345" t="s">
        <v>1538</v>
      </c>
      <c r="I345" t="s">
        <v>8465</v>
      </c>
      <c r="J345">
        <v>0</v>
      </c>
      <c r="K345">
        <v>6</v>
      </c>
      <c r="L345">
        <v>0</v>
      </c>
      <c r="M345">
        <v>194500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510</v>
      </c>
      <c r="T345">
        <v>0</v>
      </c>
      <c r="U345">
        <v>0</v>
      </c>
      <c r="V345">
        <v>0</v>
      </c>
      <c r="W345" t="s">
        <v>8466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392</v>
      </c>
      <c r="AR345">
        <v>0</v>
      </c>
      <c r="AS345">
        <v>0</v>
      </c>
      <c r="AT345" t="s">
        <v>8467</v>
      </c>
      <c r="AU345">
        <v>0</v>
      </c>
      <c r="AV345">
        <v>1</v>
      </c>
      <c r="AW345" t="s">
        <v>8468</v>
      </c>
      <c r="AX345">
        <v>0</v>
      </c>
      <c r="AY345" t="s">
        <v>8469</v>
      </c>
      <c r="AZ345">
        <v>1</v>
      </c>
      <c r="BA345" t="s">
        <v>8470</v>
      </c>
      <c r="BB345">
        <v>1</v>
      </c>
      <c r="BC345" t="s">
        <v>8471</v>
      </c>
      <c r="BD345">
        <v>0</v>
      </c>
      <c r="BE345" t="s">
        <v>8464</v>
      </c>
      <c r="BF345" t="s">
        <v>8472</v>
      </c>
      <c r="BG345" t="s">
        <v>8464</v>
      </c>
      <c r="BH345">
        <v>8.9090900000000008</v>
      </c>
    </row>
    <row r="346" spans="1:63" x14ac:dyDescent="0.25">
      <c r="A346">
        <v>526</v>
      </c>
      <c r="B346">
        <v>487</v>
      </c>
      <c r="C346" t="s">
        <v>8445</v>
      </c>
      <c r="F346">
        <v>1023494</v>
      </c>
      <c r="G346" t="s">
        <v>8992</v>
      </c>
      <c r="H346" t="s">
        <v>7782</v>
      </c>
      <c r="I346" t="s">
        <v>8467</v>
      </c>
      <c r="J346">
        <v>0</v>
      </c>
      <c r="K346">
        <v>6</v>
      </c>
      <c r="L346">
        <v>0</v>
      </c>
      <c r="M346">
        <v>194400</v>
      </c>
      <c r="N346">
        <v>44</v>
      </c>
      <c r="O346">
        <v>0</v>
      </c>
      <c r="P346">
        <v>1</v>
      </c>
      <c r="Q346">
        <v>0</v>
      </c>
      <c r="R346">
        <v>0</v>
      </c>
      <c r="S346">
        <v>485</v>
      </c>
      <c r="T346">
        <v>0</v>
      </c>
      <c r="U346">
        <v>0</v>
      </c>
      <c r="V346">
        <v>77</v>
      </c>
      <c r="W346" t="s">
        <v>8466</v>
      </c>
      <c r="X346">
        <v>0</v>
      </c>
      <c r="Y346">
        <v>6</v>
      </c>
      <c r="Z346">
        <v>0</v>
      </c>
      <c r="AA346">
        <v>3</v>
      </c>
      <c r="AB346">
        <v>0</v>
      </c>
      <c r="AC346">
        <v>4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2</v>
      </c>
      <c r="AN346">
        <v>0</v>
      </c>
      <c r="AO346">
        <v>1</v>
      </c>
      <c r="AP346">
        <v>44</v>
      </c>
      <c r="AQ346">
        <v>103</v>
      </c>
      <c r="AR346">
        <v>44</v>
      </c>
      <c r="AS346">
        <v>44</v>
      </c>
      <c r="AT346" t="s">
        <v>8465</v>
      </c>
      <c r="AU346">
        <v>29</v>
      </c>
      <c r="AV346">
        <v>0</v>
      </c>
      <c r="AW346" t="s">
        <v>8497</v>
      </c>
      <c r="AX346">
        <v>1</v>
      </c>
      <c r="AY346" t="s">
        <v>8451</v>
      </c>
      <c r="AZ346">
        <v>1</v>
      </c>
      <c r="BA346" t="s">
        <v>8492</v>
      </c>
      <c r="BB346">
        <v>0</v>
      </c>
      <c r="BC346" t="s">
        <v>8471</v>
      </c>
      <c r="BD346">
        <v>34.333300000000001</v>
      </c>
      <c r="BE346" t="s">
        <v>8472</v>
      </c>
      <c r="BF346" t="s">
        <v>8455</v>
      </c>
      <c r="BG346" t="s">
        <v>8498</v>
      </c>
      <c r="BH346">
        <v>2.34091</v>
      </c>
      <c r="BJ346" s="1" t="s">
        <v>8993</v>
      </c>
      <c r="BK346" s="1" t="s">
        <v>8994</v>
      </c>
    </row>
    <row r="347" spans="1:63" x14ac:dyDescent="0.25">
      <c r="A347">
        <v>527</v>
      </c>
      <c r="B347">
        <v>130</v>
      </c>
      <c r="C347" t="s">
        <v>8445</v>
      </c>
      <c r="F347">
        <v>1022915</v>
      </c>
      <c r="G347" t="s">
        <v>8995</v>
      </c>
      <c r="H347" t="s">
        <v>8996</v>
      </c>
      <c r="I347" t="s">
        <v>8525</v>
      </c>
      <c r="J347">
        <v>0</v>
      </c>
      <c r="K347">
        <v>6</v>
      </c>
      <c r="L347">
        <v>0</v>
      </c>
      <c r="M347">
        <v>194000</v>
      </c>
      <c r="N347">
        <v>76</v>
      </c>
      <c r="O347">
        <v>0</v>
      </c>
      <c r="P347">
        <v>2</v>
      </c>
      <c r="Q347">
        <v>0</v>
      </c>
      <c r="R347">
        <v>0</v>
      </c>
      <c r="S347">
        <v>460</v>
      </c>
      <c r="T347">
        <v>0</v>
      </c>
      <c r="U347">
        <v>0</v>
      </c>
      <c r="V347">
        <v>125</v>
      </c>
      <c r="W347" t="s">
        <v>8505</v>
      </c>
      <c r="X347">
        <v>0</v>
      </c>
      <c r="Y347">
        <v>5</v>
      </c>
      <c r="Z347">
        <v>0</v>
      </c>
      <c r="AA347">
        <v>15</v>
      </c>
      <c r="AB347">
        <v>0</v>
      </c>
      <c r="AC347">
        <v>1</v>
      </c>
      <c r="AD347">
        <v>0</v>
      </c>
      <c r="AE347">
        <v>3</v>
      </c>
      <c r="AF347">
        <v>0</v>
      </c>
      <c r="AG347">
        <v>1</v>
      </c>
      <c r="AH347">
        <v>0</v>
      </c>
      <c r="AI347">
        <v>-1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38</v>
      </c>
      <c r="AQ347">
        <v>107</v>
      </c>
      <c r="AR347">
        <v>38</v>
      </c>
      <c r="AS347">
        <v>38</v>
      </c>
      <c r="AT347" t="s">
        <v>8524</v>
      </c>
      <c r="AU347">
        <v>0</v>
      </c>
      <c r="AV347">
        <v>1</v>
      </c>
      <c r="AW347" t="s">
        <v>8451</v>
      </c>
      <c r="AX347">
        <v>0</v>
      </c>
      <c r="AY347" t="s">
        <v>8468</v>
      </c>
      <c r="AZ347">
        <v>0</v>
      </c>
      <c r="BA347" t="s">
        <v>8513</v>
      </c>
      <c r="BB347">
        <v>1</v>
      </c>
      <c r="BC347" t="s">
        <v>8527</v>
      </c>
      <c r="BD347">
        <v>0</v>
      </c>
      <c r="BE347" t="s">
        <v>8464</v>
      </c>
      <c r="BF347" t="s">
        <v>8464</v>
      </c>
      <c r="BG347" t="s">
        <v>8463</v>
      </c>
      <c r="BH347">
        <v>2.4318200000000001</v>
      </c>
      <c r="BJ347">
        <v>0.60799999999999998</v>
      </c>
      <c r="BK347" s="1" t="s">
        <v>8997</v>
      </c>
    </row>
    <row r="348" spans="1:63" x14ac:dyDescent="0.25">
      <c r="A348">
        <v>528</v>
      </c>
      <c r="B348">
        <v>220</v>
      </c>
      <c r="C348" t="s">
        <v>8445</v>
      </c>
      <c r="F348">
        <v>998129</v>
      </c>
      <c r="G348" t="s">
        <v>2115</v>
      </c>
      <c r="H348" t="s">
        <v>4649</v>
      </c>
      <c r="I348" t="s">
        <v>8502</v>
      </c>
      <c r="J348">
        <v>0</v>
      </c>
      <c r="K348">
        <v>6</v>
      </c>
      <c r="L348">
        <v>0</v>
      </c>
      <c r="M348">
        <v>191800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510</v>
      </c>
      <c r="T348">
        <v>0</v>
      </c>
      <c r="U348">
        <v>0</v>
      </c>
      <c r="V348">
        <v>0</v>
      </c>
      <c r="W348" t="s">
        <v>8466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34</v>
      </c>
      <c r="AR348">
        <v>0</v>
      </c>
      <c r="AS348">
        <v>0</v>
      </c>
      <c r="AT348" t="s">
        <v>8501</v>
      </c>
      <c r="AU348">
        <v>80</v>
      </c>
      <c r="AV348">
        <v>1</v>
      </c>
      <c r="AW348" t="s">
        <v>8469</v>
      </c>
      <c r="AX348">
        <v>0</v>
      </c>
      <c r="AY348" t="s">
        <v>8470</v>
      </c>
      <c r="AZ348">
        <v>1</v>
      </c>
      <c r="BA348" t="s">
        <v>8530</v>
      </c>
      <c r="BB348">
        <v>0</v>
      </c>
      <c r="BC348" t="s">
        <v>8484</v>
      </c>
      <c r="BD348">
        <v>98</v>
      </c>
      <c r="BE348" t="s">
        <v>8463</v>
      </c>
      <c r="BF348" t="s">
        <v>8455</v>
      </c>
      <c r="BG348" t="s">
        <v>8463</v>
      </c>
      <c r="BH348">
        <v>0.77272700000000005</v>
      </c>
    </row>
    <row r="349" spans="1:63" x14ac:dyDescent="0.25">
      <c r="A349">
        <v>529</v>
      </c>
      <c r="B349">
        <v>211</v>
      </c>
      <c r="C349" t="s">
        <v>8445</v>
      </c>
      <c r="F349">
        <v>1023785</v>
      </c>
      <c r="G349" t="s">
        <v>6071</v>
      </c>
      <c r="H349" t="s">
        <v>8998</v>
      </c>
      <c r="I349" t="s">
        <v>8458</v>
      </c>
      <c r="J349">
        <v>0</v>
      </c>
      <c r="K349">
        <v>6</v>
      </c>
      <c r="L349">
        <v>0</v>
      </c>
      <c r="M349">
        <v>191200</v>
      </c>
      <c r="N349">
        <v>128</v>
      </c>
      <c r="O349">
        <v>0</v>
      </c>
      <c r="P349">
        <v>2</v>
      </c>
      <c r="Q349">
        <v>0</v>
      </c>
      <c r="R349">
        <v>0</v>
      </c>
      <c r="S349">
        <v>418</v>
      </c>
      <c r="T349">
        <v>0</v>
      </c>
      <c r="U349">
        <v>0</v>
      </c>
      <c r="V349">
        <v>157</v>
      </c>
      <c r="W349" t="s">
        <v>8505</v>
      </c>
      <c r="X349">
        <v>0</v>
      </c>
      <c r="Y349">
        <v>21</v>
      </c>
      <c r="Z349">
        <v>0</v>
      </c>
      <c r="AA349">
        <v>22</v>
      </c>
      <c r="AB349">
        <v>0</v>
      </c>
      <c r="AC349">
        <v>2</v>
      </c>
      <c r="AD349">
        <v>0</v>
      </c>
      <c r="AE349">
        <v>3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64</v>
      </c>
      <c r="AQ349">
        <v>571</v>
      </c>
      <c r="AR349">
        <v>64</v>
      </c>
      <c r="AS349">
        <v>64</v>
      </c>
      <c r="AT349" t="s">
        <v>8456</v>
      </c>
      <c r="AU349">
        <v>41</v>
      </c>
      <c r="AV349">
        <v>1</v>
      </c>
      <c r="AW349" t="s">
        <v>8530</v>
      </c>
      <c r="AX349">
        <v>1</v>
      </c>
      <c r="AY349" t="s">
        <v>8526</v>
      </c>
      <c r="AZ349">
        <v>0</v>
      </c>
      <c r="BA349" t="s">
        <v>8491</v>
      </c>
      <c r="BB349">
        <v>0</v>
      </c>
      <c r="BC349" t="s">
        <v>8462</v>
      </c>
      <c r="BD349">
        <v>0</v>
      </c>
      <c r="BE349" t="s">
        <v>8464</v>
      </c>
      <c r="BF349" t="s">
        <v>8455</v>
      </c>
      <c r="BG349" t="s">
        <v>8455</v>
      </c>
      <c r="BH349">
        <v>12.9773</v>
      </c>
      <c r="BJ349" s="1" t="s">
        <v>8999</v>
      </c>
      <c r="BK349">
        <v>2987.5</v>
      </c>
    </row>
    <row r="350" spans="1:63" x14ac:dyDescent="0.25">
      <c r="A350">
        <v>530</v>
      </c>
      <c r="B350">
        <v>117</v>
      </c>
      <c r="C350" t="s">
        <v>8445</v>
      </c>
      <c r="F350">
        <v>1017700</v>
      </c>
      <c r="G350" t="s">
        <v>1184</v>
      </c>
      <c r="H350" t="s">
        <v>4232</v>
      </c>
      <c r="I350" t="s">
        <v>8465</v>
      </c>
      <c r="J350">
        <v>0</v>
      </c>
      <c r="K350">
        <v>6</v>
      </c>
      <c r="L350">
        <v>0</v>
      </c>
      <c r="M350">
        <v>253800</v>
      </c>
      <c r="N350">
        <v>289</v>
      </c>
      <c r="O350">
        <v>0</v>
      </c>
      <c r="P350">
        <v>5</v>
      </c>
      <c r="Q350">
        <v>0</v>
      </c>
      <c r="R350">
        <v>63100</v>
      </c>
      <c r="S350">
        <v>261</v>
      </c>
      <c r="T350">
        <v>0</v>
      </c>
      <c r="U350">
        <v>0</v>
      </c>
      <c r="V350">
        <v>497</v>
      </c>
      <c r="W350" t="s">
        <v>8475</v>
      </c>
      <c r="X350">
        <v>0</v>
      </c>
      <c r="Y350">
        <v>43</v>
      </c>
      <c r="Z350">
        <v>0</v>
      </c>
      <c r="AA350">
        <v>23</v>
      </c>
      <c r="AB350">
        <v>0</v>
      </c>
      <c r="AC350">
        <v>11</v>
      </c>
      <c r="AD350">
        <v>0</v>
      </c>
      <c r="AE350">
        <v>19</v>
      </c>
      <c r="AF350">
        <v>0</v>
      </c>
      <c r="AG350">
        <v>8</v>
      </c>
      <c r="AH350">
        <v>0</v>
      </c>
      <c r="AI350">
        <v>-7</v>
      </c>
      <c r="AJ350">
        <v>0</v>
      </c>
      <c r="AK350">
        <v>0</v>
      </c>
      <c r="AL350">
        <v>0</v>
      </c>
      <c r="AM350">
        <v>2</v>
      </c>
      <c r="AN350">
        <v>0</v>
      </c>
      <c r="AO350">
        <v>8</v>
      </c>
      <c r="AP350">
        <v>57.8</v>
      </c>
      <c r="AQ350">
        <v>105</v>
      </c>
      <c r="AR350">
        <v>57.8</v>
      </c>
      <c r="AS350">
        <v>56</v>
      </c>
      <c r="AT350" t="s">
        <v>8467</v>
      </c>
      <c r="AU350">
        <v>56</v>
      </c>
      <c r="AV350">
        <v>1</v>
      </c>
      <c r="AW350" t="s">
        <v>8468</v>
      </c>
      <c r="AX350">
        <v>0</v>
      </c>
      <c r="AY350" t="s">
        <v>8469</v>
      </c>
      <c r="AZ350">
        <v>1</v>
      </c>
      <c r="BA350" t="s">
        <v>8470</v>
      </c>
      <c r="BB350">
        <v>1</v>
      </c>
      <c r="BC350" t="s">
        <v>8471</v>
      </c>
      <c r="BD350">
        <v>49.866700000000002</v>
      </c>
      <c r="BE350" t="s">
        <v>8464</v>
      </c>
      <c r="BF350" t="s">
        <v>8472</v>
      </c>
      <c r="BG350" t="s">
        <v>8464</v>
      </c>
      <c r="BH350">
        <v>2.3863599999999998</v>
      </c>
      <c r="BJ350" s="1" t="s">
        <v>9000</v>
      </c>
      <c r="BK350" s="1" t="s">
        <v>9001</v>
      </c>
    </row>
    <row r="351" spans="1:63" x14ac:dyDescent="0.25">
      <c r="A351">
        <v>531</v>
      </c>
      <c r="B351">
        <v>60</v>
      </c>
      <c r="C351" t="s">
        <v>8445</v>
      </c>
      <c r="F351">
        <v>298211</v>
      </c>
      <c r="G351" t="s">
        <v>3105</v>
      </c>
      <c r="H351" t="s">
        <v>6215</v>
      </c>
      <c r="I351" t="s">
        <v>8524</v>
      </c>
      <c r="J351">
        <v>0</v>
      </c>
      <c r="K351">
        <v>6</v>
      </c>
      <c r="L351">
        <v>0</v>
      </c>
      <c r="M351">
        <v>190500</v>
      </c>
      <c r="N351">
        <v>143</v>
      </c>
      <c r="O351">
        <v>0</v>
      </c>
      <c r="P351">
        <v>2</v>
      </c>
      <c r="Q351">
        <v>0</v>
      </c>
      <c r="R351">
        <v>0</v>
      </c>
      <c r="S351">
        <v>405</v>
      </c>
      <c r="T351">
        <v>0</v>
      </c>
      <c r="U351">
        <v>0</v>
      </c>
      <c r="V351">
        <v>199</v>
      </c>
      <c r="W351" t="s">
        <v>8505</v>
      </c>
      <c r="X351">
        <v>0</v>
      </c>
      <c r="Y351">
        <v>18</v>
      </c>
      <c r="Z351">
        <v>0</v>
      </c>
      <c r="AA351">
        <v>6</v>
      </c>
      <c r="AB351">
        <v>0</v>
      </c>
      <c r="AC351">
        <v>4</v>
      </c>
      <c r="AD351">
        <v>0</v>
      </c>
      <c r="AE351">
        <v>4</v>
      </c>
      <c r="AF351">
        <v>0</v>
      </c>
      <c r="AG351">
        <v>3</v>
      </c>
      <c r="AH351">
        <v>0</v>
      </c>
      <c r="AI351">
        <v>-4</v>
      </c>
      <c r="AJ351">
        <v>0</v>
      </c>
      <c r="AK351">
        <v>51</v>
      </c>
      <c r="AL351">
        <v>0</v>
      </c>
      <c r="AM351">
        <v>1</v>
      </c>
      <c r="AN351">
        <v>0</v>
      </c>
      <c r="AO351">
        <v>1</v>
      </c>
      <c r="AP351">
        <v>71.5</v>
      </c>
      <c r="AQ351">
        <v>233</v>
      </c>
      <c r="AR351">
        <v>71.5</v>
      </c>
      <c r="AS351">
        <v>71.5</v>
      </c>
      <c r="AT351" t="s">
        <v>8525</v>
      </c>
      <c r="AU351">
        <v>41</v>
      </c>
      <c r="AV351">
        <v>0</v>
      </c>
      <c r="AW351" t="s">
        <v>8470</v>
      </c>
      <c r="AX351">
        <v>1</v>
      </c>
      <c r="AY351" t="s">
        <v>8449</v>
      </c>
      <c r="AZ351">
        <v>0</v>
      </c>
      <c r="BA351" t="s">
        <v>8526</v>
      </c>
      <c r="BB351">
        <v>1</v>
      </c>
      <c r="BC351" t="s">
        <v>8527</v>
      </c>
      <c r="BD351">
        <v>52.769199999999998</v>
      </c>
      <c r="BE351" t="s">
        <v>8455</v>
      </c>
      <c r="BF351" t="s">
        <v>8494</v>
      </c>
      <c r="BG351" t="s">
        <v>8498</v>
      </c>
      <c r="BH351">
        <v>5.2954499999999998</v>
      </c>
      <c r="BJ351" s="1" t="s">
        <v>9002</v>
      </c>
      <c r="BK351" s="1" t="s">
        <v>9003</v>
      </c>
    </row>
    <row r="352" spans="1:63" x14ac:dyDescent="0.25">
      <c r="A352">
        <v>532</v>
      </c>
      <c r="B352">
        <v>298</v>
      </c>
      <c r="C352" t="s">
        <v>8445</v>
      </c>
      <c r="F352">
        <v>1023736</v>
      </c>
      <c r="G352" t="s">
        <v>710</v>
      </c>
      <c r="H352" t="s">
        <v>9004</v>
      </c>
      <c r="I352" t="s">
        <v>8489</v>
      </c>
      <c r="J352">
        <v>0</v>
      </c>
      <c r="K352">
        <v>6</v>
      </c>
      <c r="L352">
        <v>0</v>
      </c>
      <c r="M352">
        <v>216600</v>
      </c>
      <c r="N352">
        <v>173</v>
      </c>
      <c r="O352">
        <v>0</v>
      </c>
      <c r="P352">
        <v>3</v>
      </c>
      <c r="Q352">
        <v>0</v>
      </c>
      <c r="R352">
        <v>26100</v>
      </c>
      <c r="S352">
        <v>379</v>
      </c>
      <c r="T352">
        <v>0</v>
      </c>
      <c r="U352">
        <v>0</v>
      </c>
      <c r="V352">
        <v>246</v>
      </c>
      <c r="W352" t="s">
        <v>8505</v>
      </c>
      <c r="X352">
        <v>0</v>
      </c>
      <c r="Y352">
        <v>17</v>
      </c>
      <c r="Z352">
        <v>0</v>
      </c>
      <c r="AA352">
        <v>13</v>
      </c>
      <c r="AB352">
        <v>0</v>
      </c>
      <c r="AC352">
        <v>10</v>
      </c>
      <c r="AD352">
        <v>0</v>
      </c>
      <c r="AE352">
        <v>1</v>
      </c>
      <c r="AF352">
        <v>0</v>
      </c>
      <c r="AG352">
        <v>6</v>
      </c>
      <c r="AH352">
        <v>0</v>
      </c>
      <c r="AI352">
        <v>-2</v>
      </c>
      <c r="AJ352">
        <v>0</v>
      </c>
      <c r="AK352">
        <v>0</v>
      </c>
      <c r="AL352">
        <v>0</v>
      </c>
      <c r="AM352">
        <v>5</v>
      </c>
      <c r="AN352">
        <v>0</v>
      </c>
      <c r="AO352">
        <v>3</v>
      </c>
      <c r="AP352">
        <v>57.666699999999999</v>
      </c>
      <c r="AQ352">
        <v>98</v>
      </c>
      <c r="AR352">
        <v>57.666699999999999</v>
      </c>
      <c r="AS352">
        <v>57.666699999999999</v>
      </c>
      <c r="AT352" t="s">
        <v>8490</v>
      </c>
      <c r="AU352">
        <v>0</v>
      </c>
      <c r="AV352">
        <v>1</v>
      </c>
      <c r="AW352" t="s">
        <v>8491</v>
      </c>
      <c r="AX352">
        <v>0</v>
      </c>
      <c r="AY352" t="s">
        <v>8492</v>
      </c>
      <c r="AZ352">
        <v>1</v>
      </c>
      <c r="BA352" t="s">
        <v>8493</v>
      </c>
      <c r="BB352">
        <v>0</v>
      </c>
      <c r="BC352" t="s">
        <v>8471</v>
      </c>
      <c r="BD352">
        <v>18</v>
      </c>
      <c r="BE352" t="s">
        <v>8453</v>
      </c>
      <c r="BF352" t="s">
        <v>8494</v>
      </c>
      <c r="BG352" t="s">
        <v>8495</v>
      </c>
      <c r="BH352">
        <v>2.2272699999999999</v>
      </c>
      <c r="BJ352" s="1" t="s">
        <v>9005</v>
      </c>
      <c r="BK352" s="1" t="s">
        <v>9006</v>
      </c>
    </row>
    <row r="353" spans="1:63" x14ac:dyDescent="0.25">
      <c r="A353">
        <v>533</v>
      </c>
      <c r="B353">
        <v>12</v>
      </c>
      <c r="C353" t="s">
        <v>8445</v>
      </c>
      <c r="F353">
        <v>1022607</v>
      </c>
      <c r="G353" t="s">
        <v>9007</v>
      </c>
      <c r="H353" t="s">
        <v>7723</v>
      </c>
      <c r="I353" t="s">
        <v>8511</v>
      </c>
      <c r="J353">
        <v>0</v>
      </c>
      <c r="K353">
        <v>6</v>
      </c>
      <c r="L353">
        <v>0</v>
      </c>
      <c r="M353">
        <v>204000</v>
      </c>
      <c r="N353">
        <v>193</v>
      </c>
      <c r="O353">
        <v>0</v>
      </c>
      <c r="P353">
        <v>5</v>
      </c>
      <c r="Q353">
        <v>0</v>
      </c>
      <c r="R353">
        <v>14000</v>
      </c>
      <c r="S353">
        <v>357</v>
      </c>
      <c r="T353">
        <v>0</v>
      </c>
      <c r="U353">
        <v>0</v>
      </c>
      <c r="V353">
        <v>316</v>
      </c>
      <c r="W353" t="s">
        <v>8505</v>
      </c>
      <c r="X353">
        <v>0</v>
      </c>
      <c r="Y353">
        <v>22</v>
      </c>
      <c r="Z353">
        <v>0</v>
      </c>
      <c r="AA353">
        <v>24</v>
      </c>
      <c r="AB353">
        <v>0</v>
      </c>
      <c r="AC353">
        <v>7</v>
      </c>
      <c r="AD353">
        <v>0</v>
      </c>
      <c r="AE353">
        <v>17</v>
      </c>
      <c r="AF353">
        <v>0</v>
      </c>
      <c r="AG353">
        <v>1</v>
      </c>
      <c r="AH353">
        <v>0</v>
      </c>
      <c r="AI353">
        <v>-5</v>
      </c>
      <c r="AJ353">
        <v>0</v>
      </c>
      <c r="AK353">
        <v>0</v>
      </c>
      <c r="AL353">
        <v>0</v>
      </c>
      <c r="AM353">
        <v>3</v>
      </c>
      <c r="AN353">
        <v>0</v>
      </c>
      <c r="AO353">
        <v>1</v>
      </c>
      <c r="AP353">
        <v>38.6</v>
      </c>
      <c r="AQ353">
        <v>467</v>
      </c>
      <c r="AR353">
        <v>38.6</v>
      </c>
      <c r="AS353">
        <v>48.666699999999999</v>
      </c>
      <c r="AT353" t="s">
        <v>8512</v>
      </c>
      <c r="AU353">
        <v>0</v>
      </c>
      <c r="AV353">
        <v>0</v>
      </c>
      <c r="AW353" t="s">
        <v>8513</v>
      </c>
      <c r="AX353">
        <v>1</v>
      </c>
      <c r="AY353" t="s">
        <v>8514</v>
      </c>
      <c r="AZ353">
        <v>0</v>
      </c>
      <c r="BA353" t="s">
        <v>8497</v>
      </c>
      <c r="BB353">
        <v>1</v>
      </c>
      <c r="BC353" t="s">
        <v>8515</v>
      </c>
      <c r="BD353">
        <v>39</v>
      </c>
      <c r="BE353" t="s">
        <v>8463</v>
      </c>
      <c r="BF353" t="s">
        <v>8472</v>
      </c>
      <c r="BG353" t="s">
        <v>8472</v>
      </c>
      <c r="BH353">
        <v>10.6136</v>
      </c>
      <c r="BJ353" s="1" t="s">
        <v>9008</v>
      </c>
      <c r="BK353" s="1" t="s">
        <v>9009</v>
      </c>
    </row>
    <row r="354" spans="1:63" x14ac:dyDescent="0.25">
      <c r="A354">
        <v>534</v>
      </c>
      <c r="B354">
        <v>466</v>
      </c>
      <c r="C354" t="s">
        <v>8445</v>
      </c>
      <c r="F354">
        <v>1007099</v>
      </c>
      <c r="G354" t="s">
        <v>2192</v>
      </c>
      <c r="H354" t="s">
        <v>7702</v>
      </c>
      <c r="I354" t="s">
        <v>8501</v>
      </c>
      <c r="J354">
        <v>0</v>
      </c>
      <c r="K354">
        <v>6</v>
      </c>
      <c r="L354">
        <v>0</v>
      </c>
      <c r="M354">
        <v>208500</v>
      </c>
      <c r="N354">
        <v>203</v>
      </c>
      <c r="O354">
        <v>0</v>
      </c>
      <c r="P354">
        <v>5</v>
      </c>
      <c r="Q354">
        <v>0</v>
      </c>
      <c r="R354">
        <v>19400</v>
      </c>
      <c r="S354">
        <v>352</v>
      </c>
      <c r="T354">
        <v>0</v>
      </c>
      <c r="U354">
        <v>0</v>
      </c>
      <c r="V354">
        <v>394</v>
      </c>
      <c r="W354" t="s">
        <v>8505</v>
      </c>
      <c r="X354">
        <v>0</v>
      </c>
      <c r="Y354">
        <v>27</v>
      </c>
      <c r="Z354">
        <v>0</v>
      </c>
      <c r="AA354">
        <v>12</v>
      </c>
      <c r="AB354">
        <v>0</v>
      </c>
      <c r="AC354">
        <v>13</v>
      </c>
      <c r="AD354">
        <v>0</v>
      </c>
      <c r="AE354">
        <v>6</v>
      </c>
      <c r="AF354">
        <v>0</v>
      </c>
      <c r="AG354">
        <v>2</v>
      </c>
      <c r="AH354">
        <v>0</v>
      </c>
      <c r="AI354">
        <v>-2</v>
      </c>
      <c r="AJ354">
        <v>0</v>
      </c>
      <c r="AK354">
        <v>0</v>
      </c>
      <c r="AL354">
        <v>0</v>
      </c>
      <c r="AM354">
        <v>4</v>
      </c>
      <c r="AN354">
        <v>0</v>
      </c>
      <c r="AO354">
        <v>2</v>
      </c>
      <c r="AP354">
        <v>40.6</v>
      </c>
      <c r="AQ354">
        <v>56</v>
      </c>
      <c r="AR354">
        <v>40.6</v>
      </c>
      <c r="AS354">
        <v>41</v>
      </c>
      <c r="AT354" t="s">
        <v>8502</v>
      </c>
      <c r="AU354">
        <v>0</v>
      </c>
      <c r="AV354">
        <v>0</v>
      </c>
      <c r="AW354" t="s">
        <v>8461</v>
      </c>
      <c r="AX354">
        <v>0</v>
      </c>
      <c r="AY354" t="s">
        <v>8483</v>
      </c>
      <c r="AZ354">
        <v>1</v>
      </c>
      <c r="BA354" t="s">
        <v>8459</v>
      </c>
      <c r="BB354">
        <v>0</v>
      </c>
      <c r="BC354" t="s">
        <v>8484</v>
      </c>
      <c r="BD354">
        <v>52.666699999999999</v>
      </c>
      <c r="BE354" t="s">
        <v>8464</v>
      </c>
      <c r="BF354" t="s">
        <v>8463</v>
      </c>
      <c r="BG354" t="s">
        <v>8464</v>
      </c>
      <c r="BH354">
        <v>1.2727299999999999</v>
      </c>
      <c r="BJ354" s="1" t="s">
        <v>9010</v>
      </c>
      <c r="BK354" s="1" t="s">
        <v>9011</v>
      </c>
    </row>
    <row r="355" spans="1:63" x14ac:dyDescent="0.25">
      <c r="A355">
        <v>536</v>
      </c>
      <c r="B355">
        <v>256</v>
      </c>
      <c r="C355" t="s">
        <v>8445</v>
      </c>
      <c r="F355">
        <v>1021015</v>
      </c>
      <c r="G355" t="s">
        <v>8303</v>
      </c>
      <c r="H355" t="s">
        <v>9012</v>
      </c>
      <c r="I355" t="s">
        <v>8502</v>
      </c>
      <c r="J355">
        <v>0</v>
      </c>
      <c r="K355">
        <v>6</v>
      </c>
      <c r="L355">
        <v>0</v>
      </c>
      <c r="M355">
        <v>212700</v>
      </c>
      <c r="N355">
        <v>206</v>
      </c>
      <c r="O355">
        <v>0</v>
      </c>
      <c r="P355">
        <v>4</v>
      </c>
      <c r="Q355">
        <v>0</v>
      </c>
      <c r="R355">
        <v>27300</v>
      </c>
      <c r="S355">
        <v>349</v>
      </c>
      <c r="T355">
        <v>0</v>
      </c>
      <c r="U355">
        <v>0</v>
      </c>
      <c r="V355">
        <v>342</v>
      </c>
      <c r="W355" t="s">
        <v>8505</v>
      </c>
      <c r="X355">
        <v>0</v>
      </c>
      <c r="Y355">
        <v>30</v>
      </c>
      <c r="Z355">
        <v>0</v>
      </c>
      <c r="AA355">
        <v>21</v>
      </c>
      <c r="AB355">
        <v>0</v>
      </c>
      <c r="AC355">
        <v>14</v>
      </c>
      <c r="AD355">
        <v>0</v>
      </c>
      <c r="AE355">
        <v>7</v>
      </c>
      <c r="AF355">
        <v>0</v>
      </c>
      <c r="AG355">
        <v>1</v>
      </c>
      <c r="AH355">
        <v>0</v>
      </c>
      <c r="AI355">
        <v>-1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51.5</v>
      </c>
      <c r="AQ355">
        <v>29</v>
      </c>
      <c r="AR355">
        <v>51.5</v>
      </c>
      <c r="AS355">
        <v>53.666699999999999</v>
      </c>
      <c r="AT355" t="s">
        <v>8501</v>
      </c>
      <c r="AU355">
        <v>0</v>
      </c>
      <c r="AV355">
        <v>1</v>
      </c>
      <c r="AW355" t="s">
        <v>8469</v>
      </c>
      <c r="AX355">
        <v>0</v>
      </c>
      <c r="AY355" t="s">
        <v>8470</v>
      </c>
      <c r="AZ355">
        <v>1</v>
      </c>
      <c r="BA355" t="s">
        <v>8530</v>
      </c>
      <c r="BB355">
        <v>0</v>
      </c>
      <c r="BC355" t="s">
        <v>8484</v>
      </c>
      <c r="BD355">
        <v>44</v>
      </c>
      <c r="BE355" t="s">
        <v>8463</v>
      </c>
      <c r="BF355" t="s">
        <v>8455</v>
      </c>
      <c r="BG355" t="s">
        <v>8463</v>
      </c>
      <c r="BH355">
        <v>0.65909099999999998</v>
      </c>
      <c r="BJ355" s="1" t="s">
        <v>9013</v>
      </c>
      <c r="BK355" s="1" t="s">
        <v>9014</v>
      </c>
    </row>
    <row r="356" spans="1:63" x14ac:dyDescent="0.25">
      <c r="A356">
        <v>537</v>
      </c>
      <c r="B356">
        <v>426</v>
      </c>
      <c r="C356" t="s">
        <v>8445</v>
      </c>
      <c r="F356">
        <v>1017091</v>
      </c>
      <c r="G356" t="s">
        <v>8274</v>
      </c>
      <c r="H356" t="s">
        <v>7917</v>
      </c>
      <c r="I356" t="s">
        <v>8480</v>
      </c>
      <c r="J356">
        <v>0</v>
      </c>
      <c r="K356">
        <v>6</v>
      </c>
      <c r="L356">
        <v>0</v>
      </c>
      <c r="M356">
        <v>185400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510</v>
      </c>
      <c r="T356">
        <v>0</v>
      </c>
      <c r="U356">
        <v>0</v>
      </c>
      <c r="V356">
        <v>0</v>
      </c>
      <c r="W356" t="s">
        <v>8447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14</v>
      </c>
      <c r="AR356">
        <v>0</v>
      </c>
      <c r="AS356">
        <v>0</v>
      </c>
      <c r="AT356" t="s">
        <v>8482</v>
      </c>
      <c r="AU356">
        <v>0</v>
      </c>
      <c r="AV356">
        <v>1</v>
      </c>
      <c r="AW356" t="s">
        <v>8483</v>
      </c>
      <c r="AX356">
        <v>0</v>
      </c>
      <c r="AY356" t="s">
        <v>8461</v>
      </c>
      <c r="AZ356">
        <v>0</v>
      </c>
      <c r="BA356" t="s">
        <v>8460</v>
      </c>
      <c r="BB356">
        <v>1</v>
      </c>
      <c r="BC356" t="s">
        <v>8484</v>
      </c>
      <c r="BD356">
        <v>31</v>
      </c>
      <c r="BE356" t="s">
        <v>8455</v>
      </c>
      <c r="BF356" t="s">
        <v>8464</v>
      </c>
      <c r="BG356" t="s">
        <v>8464</v>
      </c>
      <c r="BH356">
        <v>0.31818200000000002</v>
      </c>
    </row>
    <row r="357" spans="1:63" x14ac:dyDescent="0.25">
      <c r="A357">
        <v>538</v>
      </c>
      <c r="B357">
        <v>560</v>
      </c>
      <c r="C357" t="s">
        <v>8445</v>
      </c>
      <c r="F357">
        <v>1009195</v>
      </c>
      <c r="G357" t="s">
        <v>1986</v>
      </c>
      <c r="H357" t="s">
        <v>3370</v>
      </c>
      <c r="I357" t="s">
        <v>8448</v>
      </c>
      <c r="J357">
        <v>0</v>
      </c>
      <c r="K357">
        <v>6</v>
      </c>
      <c r="L357">
        <v>0</v>
      </c>
      <c r="M357">
        <v>183600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510</v>
      </c>
      <c r="T357">
        <v>0</v>
      </c>
      <c r="U357">
        <v>0</v>
      </c>
      <c r="V357">
        <v>0</v>
      </c>
      <c r="W357" t="s">
        <v>8447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11</v>
      </c>
      <c r="AR357">
        <v>0</v>
      </c>
      <c r="AS357">
        <v>0</v>
      </c>
      <c r="AT357" t="s">
        <v>8446</v>
      </c>
      <c r="AU357">
        <v>47</v>
      </c>
      <c r="AV357">
        <v>1</v>
      </c>
      <c r="AW357" t="s">
        <v>8526</v>
      </c>
      <c r="AX357">
        <v>0</v>
      </c>
      <c r="AY357" t="s">
        <v>8493</v>
      </c>
      <c r="AZ357">
        <v>1</v>
      </c>
      <c r="BA357" t="s">
        <v>8469</v>
      </c>
      <c r="BB357">
        <v>0</v>
      </c>
      <c r="BC357" t="s">
        <v>8452</v>
      </c>
      <c r="BD357">
        <v>64</v>
      </c>
      <c r="BE357" t="s">
        <v>8472</v>
      </c>
      <c r="BF357" t="s">
        <v>8534</v>
      </c>
      <c r="BG357" t="s">
        <v>8472</v>
      </c>
      <c r="BH357">
        <v>0.25</v>
      </c>
    </row>
    <row r="358" spans="1:63" x14ac:dyDescent="0.25">
      <c r="A358">
        <v>539</v>
      </c>
      <c r="B358">
        <v>586</v>
      </c>
      <c r="C358" t="s">
        <v>8445</v>
      </c>
      <c r="F358">
        <v>293813</v>
      </c>
      <c r="G358" t="s">
        <v>776</v>
      </c>
      <c r="H358" t="s">
        <v>3943</v>
      </c>
      <c r="I358" t="s">
        <v>8490</v>
      </c>
      <c r="J358">
        <v>0</v>
      </c>
      <c r="K358">
        <v>6</v>
      </c>
      <c r="L358">
        <v>0</v>
      </c>
      <c r="M358">
        <v>194600</v>
      </c>
      <c r="N358">
        <v>174</v>
      </c>
      <c r="O358">
        <v>0</v>
      </c>
      <c r="P358">
        <v>4</v>
      </c>
      <c r="Q358">
        <v>0</v>
      </c>
      <c r="R358">
        <v>11400</v>
      </c>
      <c r="S358">
        <v>378</v>
      </c>
      <c r="T358">
        <v>0</v>
      </c>
      <c r="U358">
        <v>0</v>
      </c>
      <c r="V358">
        <v>402</v>
      </c>
      <c r="W358" t="s">
        <v>8505</v>
      </c>
      <c r="X358">
        <v>0</v>
      </c>
      <c r="Y358">
        <v>19</v>
      </c>
      <c r="Z358">
        <v>0</v>
      </c>
      <c r="AA358">
        <v>13</v>
      </c>
      <c r="AB358">
        <v>0</v>
      </c>
      <c r="AC358">
        <v>13</v>
      </c>
      <c r="AD358">
        <v>0</v>
      </c>
      <c r="AE358">
        <v>4</v>
      </c>
      <c r="AF358">
        <v>0</v>
      </c>
      <c r="AG358">
        <v>2</v>
      </c>
      <c r="AH358">
        <v>0</v>
      </c>
      <c r="AI358">
        <v>-3</v>
      </c>
      <c r="AJ358">
        <v>0</v>
      </c>
      <c r="AK358">
        <v>0</v>
      </c>
      <c r="AL358">
        <v>0</v>
      </c>
      <c r="AM358">
        <v>4</v>
      </c>
      <c r="AN358">
        <v>0</v>
      </c>
      <c r="AO358">
        <v>2</v>
      </c>
      <c r="AP358">
        <v>43.5</v>
      </c>
      <c r="AQ358">
        <v>192</v>
      </c>
      <c r="AR358">
        <v>43.5</v>
      </c>
      <c r="AS358">
        <v>37.666699999999999</v>
      </c>
      <c r="AT358" t="s">
        <v>8489</v>
      </c>
      <c r="AU358">
        <v>69.25</v>
      </c>
      <c r="AV358">
        <v>0</v>
      </c>
      <c r="AW358" t="s">
        <v>8460</v>
      </c>
      <c r="AX358">
        <v>1</v>
      </c>
      <c r="AY358" t="s">
        <v>8459</v>
      </c>
      <c r="AZ358">
        <v>1</v>
      </c>
      <c r="BA358" t="s">
        <v>8483</v>
      </c>
      <c r="BB358">
        <v>0</v>
      </c>
      <c r="BC358" t="s">
        <v>8471</v>
      </c>
      <c r="BD358">
        <v>82.2</v>
      </c>
      <c r="BE358" t="s">
        <v>8464</v>
      </c>
      <c r="BF358" t="s">
        <v>8464</v>
      </c>
      <c r="BG358" t="s">
        <v>8464</v>
      </c>
      <c r="BH358">
        <v>4.3636400000000002</v>
      </c>
      <c r="BJ358" s="1" t="s">
        <v>9015</v>
      </c>
      <c r="BK358" s="1" t="s">
        <v>9016</v>
      </c>
    </row>
    <row r="359" spans="1:63" x14ac:dyDescent="0.25">
      <c r="A359">
        <v>540</v>
      </c>
      <c r="B359">
        <v>199</v>
      </c>
      <c r="C359" t="s">
        <v>8445</v>
      </c>
      <c r="F359">
        <v>1013201</v>
      </c>
      <c r="G359" t="s">
        <v>6357</v>
      </c>
      <c r="H359" t="s">
        <v>7741</v>
      </c>
      <c r="I359" t="s">
        <v>8458</v>
      </c>
      <c r="J359">
        <v>0</v>
      </c>
      <c r="K359">
        <v>6</v>
      </c>
      <c r="L359">
        <v>0</v>
      </c>
      <c r="M359">
        <v>204800</v>
      </c>
      <c r="N359">
        <v>159</v>
      </c>
      <c r="O359">
        <v>0</v>
      </c>
      <c r="P359">
        <v>3</v>
      </c>
      <c r="Q359">
        <v>0</v>
      </c>
      <c r="R359">
        <v>22000</v>
      </c>
      <c r="S359">
        <v>392</v>
      </c>
      <c r="T359">
        <v>0</v>
      </c>
      <c r="U359">
        <v>0</v>
      </c>
      <c r="V359">
        <v>184</v>
      </c>
      <c r="W359" t="s">
        <v>8505</v>
      </c>
      <c r="X359">
        <v>0</v>
      </c>
      <c r="Y359">
        <v>20</v>
      </c>
      <c r="Z359">
        <v>0</v>
      </c>
      <c r="AA359">
        <v>8</v>
      </c>
      <c r="AB359">
        <v>0</v>
      </c>
      <c r="AC359">
        <v>12</v>
      </c>
      <c r="AD359">
        <v>0</v>
      </c>
      <c r="AE359">
        <v>3</v>
      </c>
      <c r="AF359">
        <v>0</v>
      </c>
      <c r="AG359">
        <v>1</v>
      </c>
      <c r="AH359">
        <v>0</v>
      </c>
      <c r="AI359">
        <v>-2</v>
      </c>
      <c r="AJ359">
        <v>0</v>
      </c>
      <c r="AK359">
        <v>0</v>
      </c>
      <c r="AL359">
        <v>0</v>
      </c>
      <c r="AM359">
        <v>5</v>
      </c>
      <c r="AN359">
        <v>0</v>
      </c>
      <c r="AO359">
        <v>2</v>
      </c>
      <c r="AP359">
        <v>53</v>
      </c>
      <c r="AQ359">
        <v>48</v>
      </c>
      <c r="AR359">
        <v>53</v>
      </c>
      <c r="AS359">
        <v>53</v>
      </c>
      <c r="AT359" t="s">
        <v>8456</v>
      </c>
      <c r="AU359">
        <v>39.666699999999999</v>
      </c>
      <c r="AV359">
        <v>1</v>
      </c>
      <c r="AW359" t="s">
        <v>8530</v>
      </c>
      <c r="AX359">
        <v>1</v>
      </c>
      <c r="AY359" t="s">
        <v>8526</v>
      </c>
      <c r="AZ359">
        <v>0</v>
      </c>
      <c r="BA359" t="s">
        <v>8491</v>
      </c>
      <c r="BB359">
        <v>0</v>
      </c>
      <c r="BC359" t="s">
        <v>8462</v>
      </c>
      <c r="BD359">
        <v>39.5</v>
      </c>
      <c r="BE359" t="s">
        <v>8464</v>
      </c>
      <c r="BF359" t="s">
        <v>8455</v>
      </c>
      <c r="BG359" t="s">
        <v>8455</v>
      </c>
      <c r="BH359">
        <v>1.09091</v>
      </c>
      <c r="BJ359" s="1" t="s">
        <v>9017</v>
      </c>
      <c r="BK359" s="1" t="s">
        <v>9018</v>
      </c>
    </row>
    <row r="360" spans="1:63" x14ac:dyDescent="0.25">
      <c r="A360">
        <v>541</v>
      </c>
      <c r="B360">
        <v>579</v>
      </c>
      <c r="C360" t="s">
        <v>8445</v>
      </c>
      <c r="F360">
        <v>1023056</v>
      </c>
      <c r="G360" t="s">
        <v>9019</v>
      </c>
      <c r="H360" t="s">
        <v>2073</v>
      </c>
      <c r="I360" t="s">
        <v>8490</v>
      </c>
      <c r="J360">
        <v>0</v>
      </c>
      <c r="K360">
        <v>6</v>
      </c>
      <c r="L360">
        <v>0</v>
      </c>
      <c r="M360">
        <v>221500</v>
      </c>
      <c r="N360">
        <v>223</v>
      </c>
      <c r="O360">
        <v>0</v>
      </c>
      <c r="P360">
        <v>5</v>
      </c>
      <c r="Q360">
        <v>0</v>
      </c>
      <c r="R360">
        <v>38800</v>
      </c>
      <c r="S360">
        <v>332</v>
      </c>
      <c r="T360">
        <v>0</v>
      </c>
      <c r="U360">
        <v>0</v>
      </c>
      <c r="V360">
        <v>519</v>
      </c>
      <c r="W360" t="s">
        <v>8475</v>
      </c>
      <c r="X360">
        <v>0</v>
      </c>
      <c r="Y360">
        <v>33</v>
      </c>
      <c r="Z360">
        <v>0</v>
      </c>
      <c r="AA360">
        <v>20</v>
      </c>
      <c r="AB360">
        <v>0</v>
      </c>
      <c r="AC360">
        <v>12</v>
      </c>
      <c r="AD360">
        <v>0</v>
      </c>
      <c r="AE360">
        <v>8</v>
      </c>
      <c r="AF360">
        <v>0</v>
      </c>
      <c r="AG360">
        <v>2</v>
      </c>
      <c r="AH360">
        <v>0</v>
      </c>
      <c r="AI360">
        <v>-5</v>
      </c>
      <c r="AJ360">
        <v>0</v>
      </c>
      <c r="AK360">
        <v>0</v>
      </c>
      <c r="AL360">
        <v>0</v>
      </c>
      <c r="AM360">
        <v>3</v>
      </c>
      <c r="AN360">
        <v>0</v>
      </c>
      <c r="AO360">
        <v>1</v>
      </c>
      <c r="AP360">
        <v>44.6</v>
      </c>
      <c r="AQ360">
        <v>20</v>
      </c>
      <c r="AR360">
        <v>44.6</v>
      </c>
      <c r="AS360">
        <v>54</v>
      </c>
      <c r="AT360" t="s">
        <v>8489</v>
      </c>
      <c r="AU360">
        <v>0</v>
      </c>
      <c r="AV360">
        <v>0</v>
      </c>
      <c r="AW360" t="s">
        <v>8460</v>
      </c>
      <c r="AX360">
        <v>1</v>
      </c>
      <c r="AY360" t="s">
        <v>8459</v>
      </c>
      <c r="AZ360">
        <v>1</v>
      </c>
      <c r="BA360" t="s">
        <v>8483</v>
      </c>
      <c r="BB360">
        <v>0</v>
      </c>
      <c r="BC360" t="s">
        <v>8471</v>
      </c>
      <c r="BD360">
        <v>42</v>
      </c>
      <c r="BE360" t="s">
        <v>8464</v>
      </c>
      <c r="BF360" t="s">
        <v>8464</v>
      </c>
      <c r="BG360" t="s">
        <v>8464</v>
      </c>
      <c r="BH360">
        <v>0.45454499999999998</v>
      </c>
      <c r="BJ360" s="1" t="s">
        <v>9020</v>
      </c>
      <c r="BK360" s="1" t="s">
        <v>9021</v>
      </c>
    </row>
    <row r="361" spans="1:63" x14ac:dyDescent="0.25">
      <c r="A361">
        <v>542</v>
      </c>
      <c r="B361">
        <v>162</v>
      </c>
      <c r="C361" t="s">
        <v>8445</v>
      </c>
      <c r="F361">
        <v>1012873</v>
      </c>
      <c r="G361" t="s">
        <v>7193</v>
      </c>
      <c r="H361" t="s">
        <v>4070</v>
      </c>
      <c r="I361" t="s">
        <v>8525</v>
      </c>
      <c r="J361">
        <v>0</v>
      </c>
      <c r="K361">
        <v>6</v>
      </c>
      <c r="L361">
        <v>0</v>
      </c>
      <c r="M361">
        <v>181000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510</v>
      </c>
      <c r="T361">
        <v>0</v>
      </c>
      <c r="U361">
        <v>0</v>
      </c>
      <c r="V361">
        <v>0</v>
      </c>
      <c r="W361" t="s">
        <v>8466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13</v>
      </c>
      <c r="AR361">
        <v>0</v>
      </c>
      <c r="AS361">
        <v>0</v>
      </c>
      <c r="AT361" t="s">
        <v>8524</v>
      </c>
      <c r="AU361">
        <v>28</v>
      </c>
      <c r="AV361">
        <v>1</v>
      </c>
      <c r="AW361" t="s">
        <v>8451</v>
      </c>
      <c r="AX361">
        <v>0</v>
      </c>
      <c r="AY361" t="s">
        <v>8468</v>
      </c>
      <c r="AZ361">
        <v>0</v>
      </c>
      <c r="BA361" t="s">
        <v>8513</v>
      </c>
      <c r="BB361">
        <v>1</v>
      </c>
      <c r="BC361" t="s">
        <v>8527</v>
      </c>
      <c r="BD361">
        <v>0</v>
      </c>
      <c r="BE361" t="s">
        <v>8464</v>
      </c>
      <c r="BF361" t="s">
        <v>8464</v>
      </c>
      <c r="BG361" t="s">
        <v>8463</v>
      </c>
      <c r="BH361">
        <v>0.29545500000000002</v>
      </c>
    </row>
    <row r="362" spans="1:63" x14ac:dyDescent="0.25">
      <c r="A362">
        <v>543</v>
      </c>
      <c r="B362">
        <v>448</v>
      </c>
      <c r="C362" t="s">
        <v>8445</v>
      </c>
      <c r="F362">
        <v>1028546</v>
      </c>
      <c r="G362" t="s">
        <v>1020</v>
      </c>
      <c r="H362" t="s">
        <v>2116</v>
      </c>
      <c r="I362" t="s">
        <v>8501</v>
      </c>
      <c r="J362">
        <v>0</v>
      </c>
      <c r="K362">
        <v>6</v>
      </c>
      <c r="L362">
        <v>0</v>
      </c>
      <c r="M362">
        <v>230000</v>
      </c>
      <c r="N362">
        <v>211</v>
      </c>
      <c r="O362">
        <v>0</v>
      </c>
      <c r="P362">
        <v>4</v>
      </c>
      <c r="Q362">
        <v>0</v>
      </c>
      <c r="R362">
        <v>49000</v>
      </c>
      <c r="S362">
        <v>343</v>
      </c>
      <c r="T362">
        <v>0</v>
      </c>
      <c r="U362">
        <v>0</v>
      </c>
      <c r="V362">
        <v>279</v>
      </c>
      <c r="W362" t="s">
        <v>8505</v>
      </c>
      <c r="X362">
        <v>0</v>
      </c>
      <c r="Y362">
        <v>28</v>
      </c>
      <c r="Z362">
        <v>0</v>
      </c>
      <c r="AA362">
        <v>37</v>
      </c>
      <c r="AB362">
        <v>0</v>
      </c>
      <c r="AC362">
        <v>9</v>
      </c>
      <c r="AD362">
        <v>0</v>
      </c>
      <c r="AE362">
        <v>3</v>
      </c>
      <c r="AF362">
        <v>0</v>
      </c>
      <c r="AG362">
        <v>3</v>
      </c>
      <c r="AH362">
        <v>0</v>
      </c>
      <c r="AI362">
        <v>-3</v>
      </c>
      <c r="AJ362">
        <v>0</v>
      </c>
      <c r="AK362">
        <v>0</v>
      </c>
      <c r="AL362">
        <v>0</v>
      </c>
      <c r="AM362">
        <v>2</v>
      </c>
      <c r="AN362">
        <v>0</v>
      </c>
      <c r="AO362">
        <v>1</v>
      </c>
      <c r="AP362">
        <v>52.75</v>
      </c>
      <c r="AQ362">
        <v>454</v>
      </c>
      <c r="AR362">
        <v>52.75</v>
      </c>
      <c r="AS362">
        <v>64.333299999999994</v>
      </c>
      <c r="AT362" t="s">
        <v>8502</v>
      </c>
      <c r="AU362">
        <v>0</v>
      </c>
      <c r="AV362">
        <v>0</v>
      </c>
      <c r="AW362" t="s">
        <v>8461</v>
      </c>
      <c r="AX362">
        <v>0</v>
      </c>
      <c r="AY362" t="s">
        <v>8483</v>
      </c>
      <c r="AZ362">
        <v>1</v>
      </c>
      <c r="BA362" t="s">
        <v>8459</v>
      </c>
      <c r="BB362">
        <v>0</v>
      </c>
      <c r="BC362" t="s">
        <v>8484</v>
      </c>
      <c r="BD362">
        <v>52.5</v>
      </c>
      <c r="BE362" t="s">
        <v>8464</v>
      </c>
      <c r="BF362" t="s">
        <v>8463</v>
      </c>
      <c r="BG362" t="s">
        <v>8464</v>
      </c>
      <c r="BH362">
        <v>10.318199999999999</v>
      </c>
      <c r="BJ362" s="1" t="s">
        <v>9022</v>
      </c>
      <c r="BK362" s="1" t="s">
        <v>9023</v>
      </c>
    </row>
    <row r="363" spans="1:63" x14ac:dyDescent="0.25">
      <c r="A363">
        <v>544</v>
      </c>
      <c r="B363">
        <v>549</v>
      </c>
      <c r="C363" t="s">
        <v>8445</v>
      </c>
      <c r="F363">
        <v>993979</v>
      </c>
      <c r="G363" t="s">
        <v>958</v>
      </c>
      <c r="H363" t="s">
        <v>8222</v>
      </c>
      <c r="I363" t="s">
        <v>8448</v>
      </c>
      <c r="J363">
        <v>0</v>
      </c>
      <c r="K363">
        <v>6</v>
      </c>
      <c r="L363">
        <v>0</v>
      </c>
      <c r="M363">
        <v>272700</v>
      </c>
      <c r="N363">
        <v>324</v>
      </c>
      <c r="O363">
        <v>0</v>
      </c>
      <c r="P363">
        <v>5</v>
      </c>
      <c r="Q363">
        <v>0</v>
      </c>
      <c r="R363">
        <v>92200</v>
      </c>
      <c r="S363">
        <v>218</v>
      </c>
      <c r="T363">
        <v>0</v>
      </c>
      <c r="U363">
        <v>0</v>
      </c>
      <c r="V363">
        <v>527</v>
      </c>
      <c r="W363" t="s">
        <v>8475</v>
      </c>
      <c r="X363">
        <v>0</v>
      </c>
      <c r="Y363">
        <v>35</v>
      </c>
      <c r="Z363">
        <v>0</v>
      </c>
      <c r="AA363">
        <v>30</v>
      </c>
      <c r="AB363">
        <v>0</v>
      </c>
      <c r="AC363">
        <v>23</v>
      </c>
      <c r="AD363">
        <v>0</v>
      </c>
      <c r="AE363">
        <v>17</v>
      </c>
      <c r="AF363">
        <v>0</v>
      </c>
      <c r="AG363">
        <v>4</v>
      </c>
      <c r="AH363">
        <v>0</v>
      </c>
      <c r="AI363">
        <v>-5</v>
      </c>
      <c r="AJ363">
        <v>0</v>
      </c>
      <c r="AK363">
        <v>0</v>
      </c>
      <c r="AL363">
        <v>0</v>
      </c>
      <c r="AM363">
        <v>6</v>
      </c>
      <c r="AN363">
        <v>0</v>
      </c>
      <c r="AO363">
        <v>8</v>
      </c>
      <c r="AP363">
        <v>64.8</v>
      </c>
      <c r="AQ363">
        <v>472</v>
      </c>
      <c r="AR363">
        <v>64.8</v>
      </c>
      <c r="AS363">
        <v>74.333299999999994</v>
      </c>
      <c r="AT363" t="s">
        <v>8446</v>
      </c>
      <c r="AU363">
        <v>71.142899999999997</v>
      </c>
      <c r="AV363">
        <v>1</v>
      </c>
      <c r="AW363" t="s">
        <v>8526</v>
      </c>
      <c r="AX363">
        <v>0</v>
      </c>
      <c r="AY363" t="s">
        <v>8493</v>
      </c>
      <c r="AZ363">
        <v>1</v>
      </c>
      <c r="BA363" t="s">
        <v>8469</v>
      </c>
      <c r="BB363">
        <v>0</v>
      </c>
      <c r="BC363" t="s">
        <v>8452</v>
      </c>
      <c r="BD363">
        <v>70</v>
      </c>
      <c r="BE363" t="s">
        <v>8472</v>
      </c>
      <c r="BF363" t="s">
        <v>8534</v>
      </c>
      <c r="BG363" t="s">
        <v>8472</v>
      </c>
      <c r="BH363">
        <v>10.7273</v>
      </c>
      <c r="BJ363" s="1" t="s">
        <v>9024</v>
      </c>
      <c r="BK363" s="1" t="s">
        <v>9025</v>
      </c>
    </row>
    <row r="364" spans="1:63" x14ac:dyDescent="0.25">
      <c r="A364">
        <v>545</v>
      </c>
      <c r="B364">
        <v>370</v>
      </c>
      <c r="C364" t="s">
        <v>8445</v>
      </c>
      <c r="F364">
        <v>290314</v>
      </c>
      <c r="G364" t="s">
        <v>1658</v>
      </c>
      <c r="H364" t="s">
        <v>6440</v>
      </c>
      <c r="I364" t="s">
        <v>8512</v>
      </c>
      <c r="J364">
        <v>0</v>
      </c>
      <c r="K364">
        <v>6</v>
      </c>
      <c r="L364">
        <v>0</v>
      </c>
      <c r="M364">
        <v>211300</v>
      </c>
      <c r="N364">
        <v>178</v>
      </c>
      <c r="O364">
        <v>0</v>
      </c>
      <c r="P364">
        <v>3</v>
      </c>
      <c r="Q364">
        <v>0</v>
      </c>
      <c r="R364">
        <v>31500</v>
      </c>
      <c r="S364">
        <v>375</v>
      </c>
      <c r="T364">
        <v>0</v>
      </c>
      <c r="U364">
        <v>0</v>
      </c>
      <c r="V364">
        <v>273</v>
      </c>
      <c r="W364" t="s">
        <v>8505</v>
      </c>
      <c r="X364">
        <v>0</v>
      </c>
      <c r="Y364">
        <v>19</v>
      </c>
      <c r="Z364">
        <v>0</v>
      </c>
      <c r="AA364">
        <v>10</v>
      </c>
      <c r="AB364">
        <v>0</v>
      </c>
      <c r="AC364">
        <v>1</v>
      </c>
      <c r="AD364">
        <v>0</v>
      </c>
      <c r="AE364">
        <v>13</v>
      </c>
      <c r="AF364">
        <v>0</v>
      </c>
      <c r="AG364">
        <v>4</v>
      </c>
      <c r="AH364">
        <v>0</v>
      </c>
      <c r="AI364">
        <v>-8</v>
      </c>
      <c r="AJ364">
        <v>0</v>
      </c>
      <c r="AK364">
        <v>36</v>
      </c>
      <c r="AL364">
        <v>0</v>
      </c>
      <c r="AM364">
        <v>1</v>
      </c>
      <c r="AN364">
        <v>0</v>
      </c>
      <c r="AO364">
        <v>0</v>
      </c>
      <c r="AP364">
        <v>59.333300000000001</v>
      </c>
      <c r="AQ364">
        <v>247</v>
      </c>
      <c r="AR364">
        <v>59.333300000000001</v>
      </c>
      <c r="AS364">
        <v>59.333300000000001</v>
      </c>
      <c r="AT364" t="s">
        <v>8511</v>
      </c>
      <c r="AU364">
        <v>51.571399999999997</v>
      </c>
      <c r="AV364">
        <v>1</v>
      </c>
      <c r="AW364" t="s">
        <v>8493</v>
      </c>
      <c r="AX364">
        <v>0</v>
      </c>
      <c r="AY364" t="s">
        <v>8491</v>
      </c>
      <c r="AZ364">
        <v>1</v>
      </c>
      <c r="BA364" t="s">
        <v>8468</v>
      </c>
      <c r="BB364">
        <v>1</v>
      </c>
      <c r="BC364" t="s">
        <v>8515</v>
      </c>
      <c r="BD364">
        <v>48.75</v>
      </c>
      <c r="BE364" t="s">
        <v>8546</v>
      </c>
      <c r="BF364" t="s">
        <v>8454</v>
      </c>
      <c r="BG364" t="s">
        <v>8531</v>
      </c>
      <c r="BH364">
        <v>5.6136400000000002</v>
      </c>
      <c r="BJ364">
        <v>0.65201465201465203</v>
      </c>
      <c r="BK364" s="1" t="s">
        <v>9026</v>
      </c>
    </row>
    <row r="365" spans="1:63" x14ac:dyDescent="0.25">
      <c r="A365">
        <v>546</v>
      </c>
      <c r="B365">
        <v>408</v>
      </c>
      <c r="C365" t="s">
        <v>8445</v>
      </c>
      <c r="F365">
        <v>1000887</v>
      </c>
      <c r="G365" t="s">
        <v>1718</v>
      </c>
      <c r="H365" t="s">
        <v>2975</v>
      </c>
      <c r="I365" t="s">
        <v>8480</v>
      </c>
      <c r="J365">
        <v>0</v>
      </c>
      <c r="K365">
        <v>6</v>
      </c>
      <c r="L365">
        <v>0</v>
      </c>
      <c r="M365">
        <v>178900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510</v>
      </c>
      <c r="T365">
        <v>0</v>
      </c>
      <c r="U365">
        <v>0</v>
      </c>
      <c r="V365">
        <v>0</v>
      </c>
      <c r="W365" t="s">
        <v>8447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29</v>
      </c>
      <c r="AR365">
        <v>0</v>
      </c>
      <c r="AS365">
        <v>0</v>
      </c>
      <c r="AT365" t="s">
        <v>8482</v>
      </c>
      <c r="AU365">
        <v>69.833299999999994</v>
      </c>
      <c r="AV365">
        <v>1</v>
      </c>
      <c r="AW365" t="s">
        <v>8483</v>
      </c>
      <c r="AX365">
        <v>0</v>
      </c>
      <c r="AY365" t="s">
        <v>8461</v>
      </c>
      <c r="AZ365">
        <v>0</v>
      </c>
      <c r="BA365" t="s">
        <v>8460</v>
      </c>
      <c r="BB365">
        <v>1</v>
      </c>
      <c r="BC365" t="s">
        <v>8484</v>
      </c>
      <c r="BD365">
        <v>64.666700000000006</v>
      </c>
      <c r="BE365" t="s">
        <v>8455</v>
      </c>
      <c r="BF365" t="s">
        <v>8464</v>
      </c>
      <c r="BG365" t="s">
        <v>8464</v>
      </c>
      <c r="BH365">
        <v>0.65909099999999998</v>
      </c>
    </row>
    <row r="366" spans="1:63" x14ac:dyDescent="0.25">
      <c r="A366">
        <v>547</v>
      </c>
      <c r="B366">
        <v>599</v>
      </c>
      <c r="C366" t="s">
        <v>8445</v>
      </c>
      <c r="F366">
        <v>1028572</v>
      </c>
      <c r="G366" t="s">
        <v>1318</v>
      </c>
      <c r="H366" t="s">
        <v>9027</v>
      </c>
      <c r="I366" t="s">
        <v>8490</v>
      </c>
      <c r="J366">
        <v>0</v>
      </c>
      <c r="K366">
        <v>6</v>
      </c>
      <c r="L366">
        <v>0</v>
      </c>
      <c r="M366">
        <v>176500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510</v>
      </c>
      <c r="T366">
        <v>0</v>
      </c>
      <c r="U366">
        <v>0</v>
      </c>
      <c r="V366">
        <v>0</v>
      </c>
      <c r="W366" t="s">
        <v>8447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321</v>
      </c>
      <c r="AR366">
        <v>0</v>
      </c>
      <c r="AS366">
        <v>0</v>
      </c>
      <c r="AT366" t="s">
        <v>8489</v>
      </c>
      <c r="AU366">
        <v>0</v>
      </c>
      <c r="AV366">
        <v>0</v>
      </c>
      <c r="AW366" t="s">
        <v>8460</v>
      </c>
      <c r="AX366">
        <v>1</v>
      </c>
      <c r="AY366" t="s">
        <v>8459</v>
      </c>
      <c r="AZ366">
        <v>1</v>
      </c>
      <c r="BA366" t="s">
        <v>8483</v>
      </c>
      <c r="BB366">
        <v>0</v>
      </c>
      <c r="BC366" t="s">
        <v>8471</v>
      </c>
      <c r="BD366">
        <v>0</v>
      </c>
      <c r="BE366" t="s">
        <v>8464</v>
      </c>
      <c r="BF366" t="s">
        <v>8464</v>
      </c>
      <c r="BG366" t="s">
        <v>8464</v>
      </c>
      <c r="BH366">
        <v>7.2954499999999998</v>
      </c>
    </row>
    <row r="367" spans="1:63" x14ac:dyDescent="0.25">
      <c r="A367">
        <v>548</v>
      </c>
      <c r="B367">
        <v>302</v>
      </c>
      <c r="C367" t="s">
        <v>8445</v>
      </c>
      <c r="F367">
        <v>293883</v>
      </c>
      <c r="G367" t="s">
        <v>710</v>
      </c>
      <c r="H367" t="s">
        <v>6120</v>
      </c>
      <c r="I367" t="s">
        <v>8482</v>
      </c>
      <c r="J367">
        <v>0</v>
      </c>
      <c r="K367">
        <v>6</v>
      </c>
      <c r="L367">
        <v>0</v>
      </c>
      <c r="M367">
        <v>172200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510</v>
      </c>
      <c r="T367">
        <v>0</v>
      </c>
      <c r="U367">
        <v>0</v>
      </c>
      <c r="V367">
        <v>0</v>
      </c>
      <c r="W367" t="s">
        <v>8447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12</v>
      </c>
      <c r="AR367">
        <v>0</v>
      </c>
      <c r="AS367">
        <v>0</v>
      </c>
      <c r="AT367" t="s">
        <v>8480</v>
      </c>
      <c r="AU367">
        <v>34.375</v>
      </c>
      <c r="AV367">
        <v>0</v>
      </c>
      <c r="AW367" t="s">
        <v>8514</v>
      </c>
      <c r="AX367">
        <v>1</v>
      </c>
      <c r="AY367" t="s">
        <v>8530</v>
      </c>
      <c r="AZ367">
        <v>1</v>
      </c>
      <c r="BA367" t="s">
        <v>8450</v>
      </c>
      <c r="BB367">
        <v>0</v>
      </c>
      <c r="BC367" t="s">
        <v>8484</v>
      </c>
      <c r="BD367">
        <v>46.406199999999998</v>
      </c>
      <c r="BE367" t="s">
        <v>8464</v>
      </c>
      <c r="BF367" t="s">
        <v>8464</v>
      </c>
      <c r="BG367" t="s">
        <v>8531</v>
      </c>
      <c r="BH367">
        <v>0.272727</v>
      </c>
    </row>
    <row r="368" spans="1:63" x14ac:dyDescent="0.25">
      <c r="A368">
        <v>549</v>
      </c>
      <c r="B368">
        <v>643</v>
      </c>
      <c r="C368" t="s">
        <v>8445</v>
      </c>
      <c r="F368">
        <v>1028538</v>
      </c>
      <c r="G368" t="s">
        <v>9028</v>
      </c>
      <c r="H368" t="s">
        <v>9029</v>
      </c>
      <c r="I368" t="s">
        <v>8549</v>
      </c>
      <c r="J368">
        <v>0</v>
      </c>
      <c r="K368">
        <v>6</v>
      </c>
      <c r="L368">
        <v>0</v>
      </c>
      <c r="M368">
        <v>195400</v>
      </c>
      <c r="N368">
        <v>156</v>
      </c>
      <c r="O368">
        <v>0</v>
      </c>
      <c r="P368">
        <v>3</v>
      </c>
      <c r="Q368">
        <v>0</v>
      </c>
      <c r="R368">
        <v>23400</v>
      </c>
      <c r="S368">
        <v>395</v>
      </c>
      <c r="T368">
        <v>0</v>
      </c>
      <c r="U368">
        <v>0</v>
      </c>
      <c r="V368">
        <v>270</v>
      </c>
      <c r="W368" t="s">
        <v>8505</v>
      </c>
      <c r="X368">
        <v>0</v>
      </c>
      <c r="Y368">
        <v>15</v>
      </c>
      <c r="Z368">
        <v>0</v>
      </c>
      <c r="AA368">
        <v>20</v>
      </c>
      <c r="AB368">
        <v>0</v>
      </c>
      <c r="AC368">
        <v>5</v>
      </c>
      <c r="AD368">
        <v>0</v>
      </c>
      <c r="AE368">
        <v>9</v>
      </c>
      <c r="AF368">
        <v>0</v>
      </c>
      <c r="AG368">
        <v>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1</v>
      </c>
      <c r="AP368">
        <v>52</v>
      </c>
      <c r="AQ368">
        <v>456</v>
      </c>
      <c r="AR368">
        <v>52</v>
      </c>
      <c r="AS368">
        <v>52</v>
      </c>
      <c r="AT368" t="s">
        <v>8548</v>
      </c>
      <c r="AU368">
        <v>0</v>
      </c>
      <c r="AV368">
        <v>1</v>
      </c>
      <c r="AW368" t="s">
        <v>8492</v>
      </c>
      <c r="AX368">
        <v>0</v>
      </c>
      <c r="AY368" t="s">
        <v>8513</v>
      </c>
      <c r="AZ368">
        <v>0</v>
      </c>
      <c r="BA368" t="s">
        <v>8514</v>
      </c>
      <c r="BB368">
        <v>0</v>
      </c>
      <c r="BC368" t="s">
        <v>8471</v>
      </c>
      <c r="BD368">
        <v>83</v>
      </c>
      <c r="BE368" t="s">
        <v>8455</v>
      </c>
      <c r="BF368" t="s">
        <v>8455</v>
      </c>
      <c r="BG368" t="s">
        <v>8464</v>
      </c>
      <c r="BH368">
        <v>10.3636</v>
      </c>
      <c r="BJ368" s="1" t="s">
        <v>9030</v>
      </c>
      <c r="BK368" s="1" t="s">
        <v>9031</v>
      </c>
    </row>
    <row r="369" spans="1:63" x14ac:dyDescent="0.25">
      <c r="A369">
        <v>550</v>
      </c>
      <c r="B369">
        <v>698</v>
      </c>
      <c r="C369" t="s">
        <v>8445</v>
      </c>
      <c r="F369">
        <v>1015929</v>
      </c>
      <c r="G369" t="s">
        <v>176</v>
      </c>
      <c r="H369" t="s">
        <v>9032</v>
      </c>
      <c r="I369" t="s">
        <v>8548</v>
      </c>
      <c r="J369">
        <v>0</v>
      </c>
      <c r="K369">
        <v>6</v>
      </c>
      <c r="L369">
        <v>0</v>
      </c>
      <c r="M369">
        <v>171600</v>
      </c>
      <c r="N369">
        <v>86</v>
      </c>
      <c r="O369">
        <v>0</v>
      </c>
      <c r="P369">
        <v>2</v>
      </c>
      <c r="Q369">
        <v>0</v>
      </c>
      <c r="R369">
        <v>0</v>
      </c>
      <c r="S369">
        <v>450</v>
      </c>
      <c r="T369">
        <v>0</v>
      </c>
      <c r="U369">
        <v>0</v>
      </c>
      <c r="V369">
        <v>207</v>
      </c>
      <c r="W369" t="s">
        <v>8505</v>
      </c>
      <c r="X369">
        <v>0</v>
      </c>
      <c r="Y369">
        <v>11</v>
      </c>
      <c r="Z369">
        <v>0</v>
      </c>
      <c r="AA369">
        <v>9</v>
      </c>
      <c r="AB369">
        <v>0</v>
      </c>
      <c r="AC369">
        <v>8</v>
      </c>
      <c r="AD369">
        <v>0</v>
      </c>
      <c r="AE369">
        <v>2</v>
      </c>
      <c r="AF369">
        <v>0</v>
      </c>
      <c r="AG369">
        <v>2</v>
      </c>
      <c r="AH369">
        <v>0</v>
      </c>
      <c r="AI369">
        <v>-2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43</v>
      </c>
      <c r="AQ369">
        <v>23</v>
      </c>
      <c r="AR369">
        <v>43</v>
      </c>
      <c r="AS369">
        <v>43</v>
      </c>
      <c r="AT369" t="s">
        <v>8549</v>
      </c>
      <c r="AU369">
        <v>0</v>
      </c>
      <c r="AV369">
        <v>0</v>
      </c>
      <c r="AW369" t="s">
        <v>8450</v>
      </c>
      <c r="AX369">
        <v>1</v>
      </c>
      <c r="AY369" t="s">
        <v>8497</v>
      </c>
      <c r="AZ369">
        <v>0</v>
      </c>
      <c r="BA369" t="s">
        <v>8449</v>
      </c>
      <c r="BB369">
        <v>1</v>
      </c>
      <c r="BC369" t="s">
        <v>8471</v>
      </c>
      <c r="BD369">
        <v>43</v>
      </c>
      <c r="BE369" t="s">
        <v>8546</v>
      </c>
      <c r="BF369" t="s">
        <v>8534</v>
      </c>
      <c r="BG369" t="s">
        <v>8495</v>
      </c>
      <c r="BH369">
        <v>0.52272700000000005</v>
      </c>
      <c r="BJ369" s="1" t="s">
        <v>9033</v>
      </c>
      <c r="BK369" s="1" t="s">
        <v>9034</v>
      </c>
    </row>
    <row r="370" spans="1:63" x14ac:dyDescent="0.25">
      <c r="A370">
        <v>551</v>
      </c>
      <c r="B370">
        <v>89</v>
      </c>
      <c r="C370" t="s">
        <v>8445</v>
      </c>
      <c r="F370">
        <v>1023533</v>
      </c>
      <c r="G370" t="s">
        <v>7790</v>
      </c>
      <c r="H370" t="s">
        <v>9035</v>
      </c>
      <c r="I370" t="s">
        <v>8465</v>
      </c>
      <c r="J370">
        <v>0</v>
      </c>
      <c r="K370">
        <v>6</v>
      </c>
      <c r="L370">
        <v>0</v>
      </c>
      <c r="M370">
        <v>171000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510</v>
      </c>
      <c r="T370">
        <v>0</v>
      </c>
      <c r="U370">
        <v>0</v>
      </c>
      <c r="V370">
        <v>0</v>
      </c>
      <c r="W370" t="s">
        <v>8466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16</v>
      </c>
      <c r="AR370">
        <v>0</v>
      </c>
      <c r="AS370">
        <v>0</v>
      </c>
      <c r="AT370" t="s">
        <v>8467</v>
      </c>
      <c r="AU370">
        <v>0</v>
      </c>
      <c r="AV370">
        <v>1</v>
      </c>
      <c r="AW370" t="s">
        <v>8468</v>
      </c>
      <c r="AX370">
        <v>0</v>
      </c>
      <c r="AY370" t="s">
        <v>8469</v>
      </c>
      <c r="AZ370">
        <v>1</v>
      </c>
      <c r="BA370" t="s">
        <v>8470</v>
      </c>
      <c r="BB370">
        <v>1</v>
      </c>
      <c r="BC370" t="s">
        <v>8471</v>
      </c>
      <c r="BD370">
        <v>66</v>
      </c>
      <c r="BE370" t="s">
        <v>8464</v>
      </c>
      <c r="BF370" t="s">
        <v>8472</v>
      </c>
      <c r="BG370" t="s">
        <v>8464</v>
      </c>
      <c r="BH370">
        <v>0.36363600000000001</v>
      </c>
    </row>
    <row r="371" spans="1:63" x14ac:dyDescent="0.25">
      <c r="A371">
        <v>552</v>
      </c>
      <c r="B371">
        <v>632</v>
      </c>
      <c r="C371" t="s">
        <v>8445</v>
      </c>
      <c r="F371">
        <v>1017077</v>
      </c>
      <c r="G371" t="s">
        <v>1561</v>
      </c>
      <c r="H371" t="s">
        <v>9036</v>
      </c>
      <c r="I371" t="s">
        <v>8549</v>
      </c>
      <c r="J371">
        <v>0</v>
      </c>
      <c r="K371">
        <v>6</v>
      </c>
      <c r="L371">
        <v>0</v>
      </c>
      <c r="M371">
        <v>169700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510</v>
      </c>
      <c r="T371">
        <v>0</v>
      </c>
      <c r="U371">
        <v>0</v>
      </c>
      <c r="V371">
        <v>0</v>
      </c>
      <c r="W371" t="s">
        <v>8447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7</v>
      </c>
      <c r="AR371">
        <v>0</v>
      </c>
      <c r="AS371">
        <v>0</v>
      </c>
      <c r="AT371" t="s">
        <v>8548</v>
      </c>
      <c r="AU371">
        <v>0</v>
      </c>
      <c r="AV371">
        <v>1</v>
      </c>
      <c r="AW371" t="s">
        <v>8492</v>
      </c>
      <c r="AX371">
        <v>0</v>
      </c>
      <c r="AY371" t="s">
        <v>8513</v>
      </c>
      <c r="AZ371">
        <v>0</v>
      </c>
      <c r="BA371" t="s">
        <v>8514</v>
      </c>
      <c r="BB371">
        <v>0</v>
      </c>
      <c r="BC371" t="s">
        <v>8471</v>
      </c>
      <c r="BD371">
        <v>52.5</v>
      </c>
      <c r="BE371" t="s">
        <v>8455</v>
      </c>
      <c r="BF371" t="s">
        <v>8455</v>
      </c>
      <c r="BG371" t="s">
        <v>8464</v>
      </c>
      <c r="BH371">
        <v>0.15909100000000001</v>
      </c>
    </row>
    <row r="372" spans="1:63" x14ac:dyDescent="0.25">
      <c r="A372">
        <v>553</v>
      </c>
      <c r="B372">
        <v>81</v>
      </c>
      <c r="C372" t="s">
        <v>8445</v>
      </c>
      <c r="F372">
        <v>1016189</v>
      </c>
      <c r="G372" t="s">
        <v>1249</v>
      </c>
      <c r="H372" t="s">
        <v>1538</v>
      </c>
      <c r="I372" t="s">
        <v>8524</v>
      </c>
      <c r="J372">
        <v>0</v>
      </c>
      <c r="K372">
        <v>6</v>
      </c>
      <c r="L372">
        <v>0</v>
      </c>
      <c r="M372">
        <v>169200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510</v>
      </c>
      <c r="T372">
        <v>0</v>
      </c>
      <c r="U372">
        <v>0</v>
      </c>
      <c r="V372">
        <v>0</v>
      </c>
      <c r="W372" t="s">
        <v>8466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9</v>
      </c>
      <c r="AR372">
        <v>0</v>
      </c>
      <c r="AS372">
        <v>0</v>
      </c>
      <c r="AT372" t="s">
        <v>8525</v>
      </c>
      <c r="AU372">
        <v>0</v>
      </c>
      <c r="AV372">
        <v>0</v>
      </c>
      <c r="AW372" t="s">
        <v>8470</v>
      </c>
      <c r="AX372">
        <v>1</v>
      </c>
      <c r="AY372" t="s">
        <v>8449</v>
      </c>
      <c r="AZ372">
        <v>0</v>
      </c>
      <c r="BA372" t="s">
        <v>8526</v>
      </c>
      <c r="BB372">
        <v>1</v>
      </c>
      <c r="BC372" t="s">
        <v>8527</v>
      </c>
      <c r="BD372">
        <v>30.5</v>
      </c>
      <c r="BE372" t="s">
        <v>8455</v>
      </c>
      <c r="BF372" t="s">
        <v>8494</v>
      </c>
      <c r="BG372" t="s">
        <v>8498</v>
      </c>
      <c r="BH372">
        <v>0.204545</v>
      </c>
    </row>
    <row r="373" spans="1:63" x14ac:dyDescent="0.25">
      <c r="A373">
        <v>554</v>
      </c>
      <c r="B373">
        <v>204</v>
      </c>
      <c r="C373" t="s">
        <v>8445</v>
      </c>
      <c r="F373">
        <v>1009386</v>
      </c>
      <c r="G373" t="s">
        <v>7790</v>
      </c>
      <c r="H373" t="s">
        <v>7791</v>
      </c>
      <c r="I373" t="s">
        <v>8458</v>
      </c>
      <c r="J373">
        <v>0</v>
      </c>
      <c r="K373">
        <v>6</v>
      </c>
      <c r="L373">
        <v>0</v>
      </c>
      <c r="M373">
        <v>235500</v>
      </c>
      <c r="N373">
        <v>239</v>
      </c>
      <c r="O373">
        <v>0</v>
      </c>
      <c r="P373">
        <v>4</v>
      </c>
      <c r="Q373">
        <v>0</v>
      </c>
      <c r="R373">
        <v>66300</v>
      </c>
      <c r="S373">
        <v>319</v>
      </c>
      <c r="T373">
        <v>0</v>
      </c>
      <c r="U373">
        <v>0</v>
      </c>
      <c r="V373">
        <v>428</v>
      </c>
      <c r="W373" t="s">
        <v>8475</v>
      </c>
      <c r="X373">
        <v>0</v>
      </c>
      <c r="Y373">
        <v>46</v>
      </c>
      <c r="Z373">
        <v>0</v>
      </c>
      <c r="AA373">
        <v>13</v>
      </c>
      <c r="AB373">
        <v>0</v>
      </c>
      <c r="AC373">
        <v>20</v>
      </c>
      <c r="AD373">
        <v>0</v>
      </c>
      <c r="AE373">
        <v>5</v>
      </c>
      <c r="AF373">
        <v>0</v>
      </c>
      <c r="AG373">
        <v>2</v>
      </c>
      <c r="AH373">
        <v>0</v>
      </c>
      <c r="AI373">
        <v>-2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59.75</v>
      </c>
      <c r="AQ373">
        <v>67</v>
      </c>
      <c r="AR373">
        <v>59.75</v>
      </c>
      <c r="AS373">
        <v>63</v>
      </c>
      <c r="AT373" t="s">
        <v>8456</v>
      </c>
      <c r="AU373">
        <v>64</v>
      </c>
      <c r="AV373">
        <v>1</v>
      </c>
      <c r="AW373" t="s">
        <v>8530</v>
      </c>
      <c r="AX373">
        <v>1</v>
      </c>
      <c r="AY373" t="s">
        <v>8526</v>
      </c>
      <c r="AZ373">
        <v>0</v>
      </c>
      <c r="BA373" t="s">
        <v>8491</v>
      </c>
      <c r="BB373">
        <v>0</v>
      </c>
      <c r="BC373" t="s">
        <v>8462</v>
      </c>
      <c r="BD373">
        <v>39</v>
      </c>
      <c r="BE373" t="s">
        <v>8464</v>
      </c>
      <c r="BF373" t="s">
        <v>8455</v>
      </c>
      <c r="BG373" t="s">
        <v>8455</v>
      </c>
      <c r="BH373">
        <v>1.5227299999999999</v>
      </c>
      <c r="BJ373" s="1" t="s">
        <v>9037</v>
      </c>
      <c r="BK373" s="1" t="s">
        <v>9038</v>
      </c>
    </row>
    <row r="374" spans="1:63" x14ac:dyDescent="0.25">
      <c r="A374">
        <v>555</v>
      </c>
      <c r="B374">
        <v>290</v>
      </c>
      <c r="C374" t="s">
        <v>8445</v>
      </c>
      <c r="F374">
        <v>1027033</v>
      </c>
      <c r="G374" t="s">
        <v>5209</v>
      </c>
      <c r="H374" t="s">
        <v>9039</v>
      </c>
      <c r="I374" t="s">
        <v>8489</v>
      </c>
      <c r="J374">
        <v>0</v>
      </c>
      <c r="K374">
        <v>6</v>
      </c>
      <c r="L374">
        <v>0</v>
      </c>
      <c r="M374">
        <v>215800</v>
      </c>
      <c r="N374">
        <v>251</v>
      </c>
      <c r="O374">
        <v>0</v>
      </c>
      <c r="P374">
        <v>4</v>
      </c>
      <c r="Q374">
        <v>0</v>
      </c>
      <c r="R374">
        <v>46600</v>
      </c>
      <c r="S374">
        <v>305</v>
      </c>
      <c r="T374">
        <v>0</v>
      </c>
      <c r="U374">
        <v>0</v>
      </c>
      <c r="V374">
        <v>374</v>
      </c>
      <c r="W374" t="s">
        <v>8475</v>
      </c>
      <c r="X374">
        <v>0</v>
      </c>
      <c r="Y374">
        <v>23</v>
      </c>
      <c r="Z374">
        <v>0</v>
      </c>
      <c r="AA374">
        <v>9</v>
      </c>
      <c r="AB374">
        <v>0</v>
      </c>
      <c r="AC374">
        <v>8</v>
      </c>
      <c r="AD374">
        <v>0</v>
      </c>
      <c r="AE374">
        <v>9</v>
      </c>
      <c r="AF374">
        <v>0</v>
      </c>
      <c r="AG374">
        <v>6</v>
      </c>
      <c r="AH374">
        <v>0</v>
      </c>
      <c r="AI374">
        <v>-2</v>
      </c>
      <c r="AJ374">
        <v>0</v>
      </c>
      <c r="AK374">
        <v>25</v>
      </c>
      <c r="AL374">
        <v>0</v>
      </c>
      <c r="AM374">
        <v>5</v>
      </c>
      <c r="AN374">
        <v>0</v>
      </c>
      <c r="AO374">
        <v>3</v>
      </c>
      <c r="AP374">
        <v>62.75</v>
      </c>
      <c r="AQ374">
        <v>214</v>
      </c>
      <c r="AR374">
        <v>62.75</v>
      </c>
      <c r="AS374">
        <v>50.333300000000001</v>
      </c>
      <c r="AT374" t="s">
        <v>8490</v>
      </c>
      <c r="AU374">
        <v>0</v>
      </c>
      <c r="AV374">
        <v>1</v>
      </c>
      <c r="AW374" t="s">
        <v>8491</v>
      </c>
      <c r="AX374">
        <v>0</v>
      </c>
      <c r="AY374" t="s">
        <v>8492</v>
      </c>
      <c r="AZ374">
        <v>1</v>
      </c>
      <c r="BA374" t="s">
        <v>8493</v>
      </c>
      <c r="BB374">
        <v>0</v>
      </c>
      <c r="BC374" t="s">
        <v>8471</v>
      </c>
      <c r="BD374">
        <v>0</v>
      </c>
      <c r="BE374" t="s">
        <v>8453</v>
      </c>
      <c r="BF374" t="s">
        <v>8494</v>
      </c>
      <c r="BG374" t="s">
        <v>8495</v>
      </c>
      <c r="BH374">
        <v>4.8636400000000002</v>
      </c>
      <c r="BJ374" s="1" t="s">
        <v>9040</v>
      </c>
      <c r="BK374" s="1" t="s">
        <v>9041</v>
      </c>
    </row>
    <row r="375" spans="1:63" x14ac:dyDescent="0.25">
      <c r="A375">
        <v>556</v>
      </c>
      <c r="B375">
        <v>284</v>
      </c>
      <c r="C375" t="s">
        <v>8445</v>
      </c>
      <c r="F375">
        <v>1029301</v>
      </c>
      <c r="G375" t="s">
        <v>9042</v>
      </c>
      <c r="H375" t="s">
        <v>9043</v>
      </c>
      <c r="I375" t="s">
        <v>8489</v>
      </c>
      <c r="J375">
        <v>0</v>
      </c>
      <c r="K375">
        <v>6</v>
      </c>
      <c r="L375">
        <v>0</v>
      </c>
      <c r="M375">
        <v>167500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510</v>
      </c>
      <c r="T375">
        <v>0</v>
      </c>
      <c r="U375">
        <v>0</v>
      </c>
      <c r="V375">
        <v>0</v>
      </c>
      <c r="W375" t="s">
        <v>8447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150</v>
      </c>
      <c r="AR375">
        <v>0</v>
      </c>
      <c r="AS375">
        <v>0</v>
      </c>
      <c r="AT375" t="s">
        <v>8490</v>
      </c>
      <c r="AU375">
        <v>0</v>
      </c>
      <c r="AV375">
        <v>1</v>
      </c>
      <c r="AW375" t="s">
        <v>8491</v>
      </c>
      <c r="AX375">
        <v>0</v>
      </c>
      <c r="AY375" t="s">
        <v>8492</v>
      </c>
      <c r="AZ375">
        <v>1</v>
      </c>
      <c r="BA375" t="s">
        <v>8493</v>
      </c>
      <c r="BB375">
        <v>0</v>
      </c>
      <c r="BC375" t="s">
        <v>8471</v>
      </c>
      <c r="BD375">
        <v>0</v>
      </c>
      <c r="BE375" t="s">
        <v>8453</v>
      </c>
      <c r="BF375" t="s">
        <v>8494</v>
      </c>
      <c r="BG375" t="s">
        <v>8495</v>
      </c>
      <c r="BH375">
        <v>3.40909</v>
      </c>
    </row>
    <row r="376" spans="1:63" x14ac:dyDescent="0.25">
      <c r="A376">
        <v>557</v>
      </c>
      <c r="B376">
        <v>494</v>
      </c>
      <c r="C376" t="s">
        <v>8445</v>
      </c>
      <c r="F376">
        <v>1023625</v>
      </c>
      <c r="G376" t="s">
        <v>3189</v>
      </c>
      <c r="H376" t="s">
        <v>9044</v>
      </c>
      <c r="I376" t="s">
        <v>8467</v>
      </c>
      <c r="J376">
        <v>0</v>
      </c>
      <c r="K376">
        <v>6</v>
      </c>
      <c r="L376">
        <v>0</v>
      </c>
      <c r="M376">
        <v>167200</v>
      </c>
      <c r="N376">
        <v>42</v>
      </c>
      <c r="O376">
        <v>0</v>
      </c>
      <c r="P376">
        <v>2</v>
      </c>
      <c r="Q376">
        <v>0</v>
      </c>
      <c r="R376">
        <v>0</v>
      </c>
      <c r="S376">
        <v>488</v>
      </c>
      <c r="T376">
        <v>0</v>
      </c>
      <c r="U376">
        <v>0</v>
      </c>
      <c r="V376">
        <v>73</v>
      </c>
      <c r="W376" t="s">
        <v>8466</v>
      </c>
      <c r="X376">
        <v>0</v>
      </c>
      <c r="Y376">
        <v>6</v>
      </c>
      <c r="Z376">
        <v>0</v>
      </c>
      <c r="AA376">
        <v>7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21</v>
      </c>
      <c r="AQ376">
        <v>20</v>
      </c>
      <c r="AR376">
        <v>21</v>
      </c>
      <c r="AS376">
        <v>21</v>
      </c>
      <c r="AT376" t="s">
        <v>8465</v>
      </c>
      <c r="AU376">
        <v>0</v>
      </c>
      <c r="AV376">
        <v>0</v>
      </c>
      <c r="AW376" t="s">
        <v>8497</v>
      </c>
      <c r="AX376">
        <v>1</v>
      </c>
      <c r="AY376" t="s">
        <v>8451</v>
      </c>
      <c r="AZ376">
        <v>1</v>
      </c>
      <c r="BA376" t="s">
        <v>8492</v>
      </c>
      <c r="BB376">
        <v>0</v>
      </c>
      <c r="BC376" t="s">
        <v>8471</v>
      </c>
      <c r="BD376">
        <v>31.5</v>
      </c>
      <c r="BE376" t="s">
        <v>8472</v>
      </c>
      <c r="BF376" t="s">
        <v>8455</v>
      </c>
      <c r="BG376" t="s">
        <v>8498</v>
      </c>
      <c r="BH376">
        <v>0.45454499999999998</v>
      </c>
      <c r="BJ376" s="1" t="s">
        <v>9045</v>
      </c>
      <c r="BK376" s="1" t="s">
        <v>9046</v>
      </c>
    </row>
    <row r="377" spans="1:63" x14ac:dyDescent="0.25">
      <c r="A377">
        <v>558</v>
      </c>
      <c r="B377">
        <v>747</v>
      </c>
      <c r="C377" t="s">
        <v>8445</v>
      </c>
      <c r="F377">
        <v>1023142</v>
      </c>
      <c r="G377" t="s">
        <v>9047</v>
      </c>
      <c r="H377" t="s">
        <v>9048</v>
      </c>
      <c r="I377" t="s">
        <v>8456</v>
      </c>
      <c r="J377">
        <v>0</v>
      </c>
      <c r="K377">
        <v>6</v>
      </c>
      <c r="L377">
        <v>0</v>
      </c>
      <c r="M377">
        <v>219800</v>
      </c>
      <c r="N377">
        <v>241</v>
      </c>
      <c r="O377">
        <v>0</v>
      </c>
      <c r="P377">
        <v>5</v>
      </c>
      <c r="Q377">
        <v>0</v>
      </c>
      <c r="R377">
        <v>53500</v>
      </c>
      <c r="S377">
        <v>315</v>
      </c>
      <c r="T377">
        <v>0</v>
      </c>
      <c r="U377">
        <v>0</v>
      </c>
      <c r="V377">
        <v>522</v>
      </c>
      <c r="W377" t="s">
        <v>8475</v>
      </c>
      <c r="X377">
        <v>0</v>
      </c>
      <c r="Y377">
        <v>52</v>
      </c>
      <c r="Z377">
        <v>0</v>
      </c>
      <c r="AA377">
        <v>27</v>
      </c>
      <c r="AB377">
        <v>0</v>
      </c>
      <c r="AC377">
        <v>17</v>
      </c>
      <c r="AD377">
        <v>0</v>
      </c>
      <c r="AE377">
        <v>2</v>
      </c>
      <c r="AF377">
        <v>0</v>
      </c>
      <c r="AG377">
        <v>2</v>
      </c>
      <c r="AH377">
        <v>0</v>
      </c>
      <c r="AI377">
        <v>-5</v>
      </c>
      <c r="AJ377">
        <v>0</v>
      </c>
      <c r="AK377">
        <v>0</v>
      </c>
      <c r="AL377">
        <v>0</v>
      </c>
      <c r="AM377">
        <v>3</v>
      </c>
      <c r="AN377">
        <v>0</v>
      </c>
      <c r="AO377">
        <v>2</v>
      </c>
      <c r="AP377">
        <v>48.2</v>
      </c>
      <c r="AQ377">
        <v>48</v>
      </c>
      <c r="AR377">
        <v>48.2</v>
      </c>
      <c r="AS377">
        <v>43.333300000000001</v>
      </c>
      <c r="AT377" t="s">
        <v>8458</v>
      </c>
      <c r="AU377">
        <v>0</v>
      </c>
      <c r="AV377">
        <v>0</v>
      </c>
      <c r="AW377" t="s">
        <v>8459</v>
      </c>
      <c r="AX377">
        <v>1</v>
      </c>
      <c r="AY377" t="s">
        <v>8460</v>
      </c>
      <c r="AZ377">
        <v>0</v>
      </c>
      <c r="BA377" t="s">
        <v>8461</v>
      </c>
      <c r="BB377">
        <v>1</v>
      </c>
      <c r="BC377" t="s">
        <v>8462</v>
      </c>
      <c r="BD377">
        <v>32.6</v>
      </c>
      <c r="BE377" t="s">
        <v>8455</v>
      </c>
      <c r="BF377" t="s">
        <v>8463</v>
      </c>
      <c r="BG377" t="s">
        <v>8464</v>
      </c>
      <c r="BH377">
        <v>1.09091</v>
      </c>
      <c r="BJ377" s="1" t="s">
        <v>9049</v>
      </c>
      <c r="BK377" s="1" t="s">
        <v>9050</v>
      </c>
    </row>
    <row r="378" spans="1:63" x14ac:dyDescent="0.25">
      <c r="A378">
        <v>559</v>
      </c>
      <c r="B378">
        <v>493</v>
      </c>
      <c r="C378" t="s">
        <v>8445</v>
      </c>
      <c r="F378">
        <v>1023144</v>
      </c>
      <c r="G378" t="s">
        <v>1634</v>
      </c>
      <c r="H378" t="s">
        <v>9051</v>
      </c>
      <c r="I378" t="s">
        <v>8467</v>
      </c>
      <c r="J378">
        <v>0</v>
      </c>
      <c r="K378">
        <v>6</v>
      </c>
      <c r="L378">
        <v>0</v>
      </c>
      <c r="M378">
        <v>176700</v>
      </c>
      <c r="N378">
        <v>161</v>
      </c>
      <c r="O378">
        <v>0</v>
      </c>
      <c r="P378">
        <v>4</v>
      </c>
      <c r="Q378">
        <v>0</v>
      </c>
      <c r="R378">
        <v>11000</v>
      </c>
      <c r="S378">
        <v>390</v>
      </c>
      <c r="T378">
        <v>0</v>
      </c>
      <c r="U378">
        <v>0</v>
      </c>
      <c r="V378">
        <v>349</v>
      </c>
      <c r="W378" t="s">
        <v>8505</v>
      </c>
      <c r="X378">
        <v>0</v>
      </c>
      <c r="Y378">
        <v>25</v>
      </c>
      <c r="Z378">
        <v>0</v>
      </c>
      <c r="AA378">
        <v>18</v>
      </c>
      <c r="AB378">
        <v>0</v>
      </c>
      <c r="AC378">
        <v>12</v>
      </c>
      <c r="AD378">
        <v>0</v>
      </c>
      <c r="AE378">
        <v>2</v>
      </c>
      <c r="AF378">
        <v>0</v>
      </c>
      <c r="AG378">
        <v>0</v>
      </c>
      <c r="AH378">
        <v>0</v>
      </c>
      <c r="AI378">
        <v>-1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40.25</v>
      </c>
      <c r="AQ378">
        <v>23</v>
      </c>
      <c r="AR378">
        <v>40.25</v>
      </c>
      <c r="AS378">
        <v>30</v>
      </c>
      <c r="AT378" t="s">
        <v>8465</v>
      </c>
      <c r="AU378">
        <v>31</v>
      </c>
      <c r="AV378">
        <v>0</v>
      </c>
      <c r="AW378" t="s">
        <v>8497</v>
      </c>
      <c r="AX378">
        <v>1</v>
      </c>
      <c r="AY378" t="s">
        <v>8451</v>
      </c>
      <c r="AZ378">
        <v>1</v>
      </c>
      <c r="BA378" t="s">
        <v>8492</v>
      </c>
      <c r="BB378">
        <v>0</v>
      </c>
      <c r="BC378" t="s">
        <v>8471</v>
      </c>
      <c r="BD378">
        <v>39.666699999999999</v>
      </c>
      <c r="BE378" t="s">
        <v>8472</v>
      </c>
      <c r="BF378" t="s">
        <v>8455</v>
      </c>
      <c r="BG378" t="s">
        <v>8498</v>
      </c>
      <c r="BH378">
        <v>0.52272700000000005</v>
      </c>
      <c r="BJ378" s="1" t="s">
        <v>9052</v>
      </c>
      <c r="BK378" s="1" t="s">
        <v>9053</v>
      </c>
    </row>
    <row r="379" spans="1:63" x14ac:dyDescent="0.25">
      <c r="A379">
        <v>560</v>
      </c>
      <c r="B379">
        <v>790</v>
      </c>
      <c r="C379" t="s">
        <v>8445</v>
      </c>
      <c r="F379">
        <v>1020802</v>
      </c>
      <c r="G379" t="s">
        <v>8274</v>
      </c>
      <c r="H379" t="s">
        <v>9054</v>
      </c>
      <c r="I379" t="s">
        <v>8501</v>
      </c>
      <c r="J379">
        <v>0</v>
      </c>
      <c r="K379">
        <v>6</v>
      </c>
      <c r="L379">
        <v>0</v>
      </c>
      <c r="M379">
        <v>163400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510</v>
      </c>
      <c r="T379">
        <v>0</v>
      </c>
      <c r="U379">
        <v>0</v>
      </c>
      <c r="V379">
        <v>0</v>
      </c>
      <c r="W379" t="s">
        <v>8457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15</v>
      </c>
      <c r="AR379">
        <v>0</v>
      </c>
      <c r="AS379">
        <v>0</v>
      </c>
      <c r="AT379" t="s">
        <v>8502</v>
      </c>
      <c r="AU379">
        <v>0</v>
      </c>
      <c r="AV379">
        <v>0</v>
      </c>
      <c r="AW379" t="s">
        <v>8461</v>
      </c>
      <c r="AX379">
        <v>0</v>
      </c>
      <c r="AY379" t="s">
        <v>8483</v>
      </c>
      <c r="AZ379">
        <v>1</v>
      </c>
      <c r="BA379" t="s">
        <v>8459</v>
      </c>
      <c r="BB379">
        <v>0</v>
      </c>
      <c r="BC379" t="s">
        <v>8484</v>
      </c>
      <c r="BD379">
        <v>0</v>
      </c>
      <c r="BE379" t="s">
        <v>8464</v>
      </c>
      <c r="BF379" t="s">
        <v>8463</v>
      </c>
      <c r="BG379" t="s">
        <v>8464</v>
      </c>
      <c r="BH379">
        <v>0.34090900000000002</v>
      </c>
    </row>
    <row r="380" spans="1:63" x14ac:dyDescent="0.25">
      <c r="A380">
        <v>561</v>
      </c>
      <c r="B380">
        <v>642</v>
      </c>
      <c r="C380" t="s">
        <v>8445</v>
      </c>
      <c r="F380">
        <v>1030433</v>
      </c>
      <c r="G380" t="s">
        <v>9055</v>
      </c>
      <c r="H380" t="s">
        <v>9056</v>
      </c>
      <c r="I380" t="s">
        <v>8549</v>
      </c>
      <c r="J380">
        <v>0</v>
      </c>
      <c r="K380">
        <v>6</v>
      </c>
      <c r="L380">
        <v>0</v>
      </c>
      <c r="M380">
        <v>163000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510</v>
      </c>
      <c r="T380">
        <v>0</v>
      </c>
      <c r="U380">
        <v>0</v>
      </c>
      <c r="V380">
        <v>0</v>
      </c>
      <c r="W380" t="s">
        <v>8447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84</v>
      </c>
      <c r="AR380">
        <v>0</v>
      </c>
      <c r="AS380">
        <v>0</v>
      </c>
      <c r="AT380" t="s">
        <v>8548</v>
      </c>
      <c r="AU380">
        <v>0</v>
      </c>
      <c r="AV380">
        <v>1</v>
      </c>
      <c r="AW380" t="s">
        <v>8492</v>
      </c>
      <c r="AX380">
        <v>0</v>
      </c>
      <c r="AY380" t="s">
        <v>8513</v>
      </c>
      <c r="AZ380">
        <v>0</v>
      </c>
      <c r="BA380" t="s">
        <v>8514</v>
      </c>
      <c r="BB380">
        <v>0</v>
      </c>
      <c r="BC380" t="s">
        <v>8471</v>
      </c>
      <c r="BD380">
        <v>0</v>
      </c>
      <c r="BE380" t="s">
        <v>8455</v>
      </c>
      <c r="BF380" t="s">
        <v>8455</v>
      </c>
      <c r="BG380" t="s">
        <v>8464</v>
      </c>
      <c r="BH380">
        <v>1.90909</v>
      </c>
    </row>
    <row r="381" spans="1:63" x14ac:dyDescent="0.25">
      <c r="A381">
        <v>562</v>
      </c>
      <c r="B381">
        <v>689</v>
      </c>
      <c r="C381" t="s">
        <v>8445</v>
      </c>
      <c r="F381">
        <v>1020339</v>
      </c>
      <c r="G381" t="s">
        <v>1561</v>
      </c>
      <c r="H381" t="s">
        <v>9057</v>
      </c>
      <c r="I381" t="s">
        <v>8446</v>
      </c>
      <c r="J381">
        <v>0</v>
      </c>
      <c r="K381">
        <v>6</v>
      </c>
      <c r="L381">
        <v>0</v>
      </c>
      <c r="M381">
        <v>150500</v>
      </c>
      <c r="N381">
        <v>125</v>
      </c>
      <c r="O381">
        <v>0</v>
      </c>
      <c r="P381">
        <v>4</v>
      </c>
      <c r="Q381">
        <v>0</v>
      </c>
      <c r="R381">
        <v>-11200</v>
      </c>
      <c r="S381">
        <v>424</v>
      </c>
      <c r="T381">
        <v>0</v>
      </c>
      <c r="U381">
        <v>0</v>
      </c>
      <c r="V381">
        <v>154</v>
      </c>
      <c r="W381" t="s">
        <v>8505</v>
      </c>
      <c r="X381">
        <v>0</v>
      </c>
      <c r="Y381">
        <v>22</v>
      </c>
      <c r="Z381">
        <v>0</v>
      </c>
      <c r="AA381">
        <v>15</v>
      </c>
      <c r="AB381">
        <v>0</v>
      </c>
      <c r="AC381">
        <v>6</v>
      </c>
      <c r="AD381">
        <v>0</v>
      </c>
      <c r="AE381">
        <v>9</v>
      </c>
      <c r="AF381">
        <v>0</v>
      </c>
      <c r="AG381">
        <v>0</v>
      </c>
      <c r="AH381">
        <v>0</v>
      </c>
      <c r="AI381">
        <v>-1</v>
      </c>
      <c r="AJ381">
        <v>0</v>
      </c>
      <c r="AK381">
        <v>0</v>
      </c>
      <c r="AL381">
        <v>0</v>
      </c>
      <c r="AM381">
        <v>2</v>
      </c>
      <c r="AN381">
        <v>0</v>
      </c>
      <c r="AO381">
        <v>1</v>
      </c>
      <c r="AP381">
        <v>31.25</v>
      </c>
      <c r="AQ381">
        <v>145</v>
      </c>
      <c r="AR381">
        <v>31.25</v>
      </c>
      <c r="AS381">
        <v>31</v>
      </c>
      <c r="AT381" t="s">
        <v>8448</v>
      </c>
      <c r="AU381">
        <v>0</v>
      </c>
      <c r="AV381">
        <v>0</v>
      </c>
      <c r="AW381" t="s">
        <v>8449</v>
      </c>
      <c r="AX381">
        <v>1</v>
      </c>
      <c r="AY381" t="s">
        <v>8450</v>
      </c>
      <c r="AZ381">
        <v>0</v>
      </c>
      <c r="BA381" t="s">
        <v>8451</v>
      </c>
      <c r="BB381">
        <v>1</v>
      </c>
      <c r="BC381" t="s">
        <v>8452</v>
      </c>
      <c r="BD381">
        <v>59.8</v>
      </c>
      <c r="BE381" t="s">
        <v>8453</v>
      </c>
      <c r="BF381" t="s">
        <v>8454</v>
      </c>
      <c r="BG381" t="s">
        <v>8455</v>
      </c>
      <c r="BH381">
        <v>3.2954500000000002</v>
      </c>
      <c r="BJ381" s="1" t="s">
        <v>9058</v>
      </c>
      <c r="BK381">
        <v>4816</v>
      </c>
    </row>
    <row r="382" spans="1:63" x14ac:dyDescent="0.25">
      <c r="A382">
        <v>563</v>
      </c>
      <c r="B382">
        <v>360</v>
      </c>
      <c r="C382" t="s">
        <v>8445</v>
      </c>
      <c r="F382">
        <v>1032629</v>
      </c>
      <c r="G382" t="s">
        <v>6163</v>
      </c>
      <c r="H382" t="s">
        <v>9059</v>
      </c>
      <c r="I382" t="s">
        <v>8512</v>
      </c>
      <c r="J382">
        <v>0</v>
      </c>
      <c r="K382">
        <v>6</v>
      </c>
      <c r="L382">
        <v>0</v>
      </c>
      <c r="M382">
        <v>160600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510</v>
      </c>
      <c r="T382">
        <v>0</v>
      </c>
      <c r="U382">
        <v>0</v>
      </c>
      <c r="V382">
        <v>0</v>
      </c>
      <c r="W382" t="s">
        <v>8447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8</v>
      </c>
      <c r="AR382">
        <v>0</v>
      </c>
      <c r="AS382">
        <v>0</v>
      </c>
      <c r="AT382" t="s">
        <v>8511</v>
      </c>
      <c r="AU382">
        <v>0</v>
      </c>
      <c r="AV382">
        <v>1</v>
      </c>
      <c r="AW382" t="s">
        <v>8493</v>
      </c>
      <c r="AX382">
        <v>0</v>
      </c>
      <c r="AY382" t="s">
        <v>8491</v>
      </c>
      <c r="AZ382">
        <v>1</v>
      </c>
      <c r="BA382" t="s">
        <v>8468</v>
      </c>
      <c r="BB382">
        <v>1</v>
      </c>
      <c r="BC382" t="s">
        <v>8515</v>
      </c>
      <c r="BD382">
        <v>0</v>
      </c>
      <c r="BE382" t="s">
        <v>8546</v>
      </c>
      <c r="BF382" t="s">
        <v>8454</v>
      </c>
      <c r="BG382" t="s">
        <v>8531</v>
      </c>
      <c r="BH382">
        <v>0.18181800000000001</v>
      </c>
    </row>
    <row r="383" spans="1:63" x14ac:dyDescent="0.25">
      <c r="A383">
        <v>564</v>
      </c>
      <c r="B383">
        <v>668</v>
      </c>
      <c r="C383" t="s">
        <v>8445</v>
      </c>
      <c r="F383">
        <v>295222</v>
      </c>
      <c r="G383" t="s">
        <v>1087</v>
      </c>
      <c r="H383" t="s">
        <v>7034</v>
      </c>
      <c r="I383" t="s">
        <v>8446</v>
      </c>
      <c r="J383">
        <v>0</v>
      </c>
      <c r="K383">
        <v>6</v>
      </c>
      <c r="L383">
        <v>0</v>
      </c>
      <c r="M383">
        <v>223400</v>
      </c>
      <c r="N383">
        <v>240</v>
      </c>
      <c r="O383">
        <v>0</v>
      </c>
      <c r="P383">
        <v>4</v>
      </c>
      <c r="Q383">
        <v>0</v>
      </c>
      <c r="R383">
        <v>63800</v>
      </c>
      <c r="S383">
        <v>316</v>
      </c>
      <c r="T383">
        <v>0</v>
      </c>
      <c r="U383">
        <v>0</v>
      </c>
      <c r="V383">
        <v>442</v>
      </c>
      <c r="W383" t="s">
        <v>8475</v>
      </c>
      <c r="X383">
        <v>0</v>
      </c>
      <c r="Y383">
        <v>19</v>
      </c>
      <c r="Z383">
        <v>0</v>
      </c>
      <c r="AA383">
        <v>20</v>
      </c>
      <c r="AB383">
        <v>0</v>
      </c>
      <c r="AC383">
        <v>14</v>
      </c>
      <c r="AD383">
        <v>0</v>
      </c>
      <c r="AE383">
        <v>4</v>
      </c>
      <c r="AF383">
        <v>0</v>
      </c>
      <c r="AG383">
        <v>6</v>
      </c>
      <c r="AH383">
        <v>0</v>
      </c>
      <c r="AI383">
        <v>-1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60</v>
      </c>
      <c r="AQ383">
        <v>81</v>
      </c>
      <c r="AR383">
        <v>60</v>
      </c>
      <c r="AS383">
        <v>54.666699999999999</v>
      </c>
      <c r="AT383" t="s">
        <v>8448</v>
      </c>
      <c r="AU383">
        <v>60.714300000000001</v>
      </c>
      <c r="AV383">
        <v>0</v>
      </c>
      <c r="AW383" t="s">
        <v>8449</v>
      </c>
      <c r="AX383">
        <v>1</v>
      </c>
      <c r="AY383" t="s">
        <v>8450</v>
      </c>
      <c r="AZ383">
        <v>0</v>
      </c>
      <c r="BA383" t="s">
        <v>8451</v>
      </c>
      <c r="BB383">
        <v>1</v>
      </c>
      <c r="BC383" t="s">
        <v>8452</v>
      </c>
      <c r="BD383">
        <v>47.666699999999999</v>
      </c>
      <c r="BE383" t="s">
        <v>8453</v>
      </c>
      <c r="BF383" t="s">
        <v>8454</v>
      </c>
      <c r="BG383" t="s">
        <v>8455</v>
      </c>
      <c r="BH383">
        <v>1.84091</v>
      </c>
      <c r="BJ383" s="1" t="s">
        <v>9060</v>
      </c>
      <c r="BK383" s="1" t="s">
        <v>9061</v>
      </c>
    </row>
    <row r="384" spans="1:63" x14ac:dyDescent="0.25">
      <c r="A384">
        <v>565</v>
      </c>
      <c r="B384">
        <v>9</v>
      </c>
      <c r="C384" t="s">
        <v>8445</v>
      </c>
      <c r="F384">
        <v>1024023</v>
      </c>
      <c r="G384" t="s">
        <v>289</v>
      </c>
      <c r="H384" t="s">
        <v>9062</v>
      </c>
      <c r="I384" t="s">
        <v>8511</v>
      </c>
      <c r="J384">
        <v>0</v>
      </c>
      <c r="K384">
        <v>6</v>
      </c>
      <c r="L384">
        <v>0</v>
      </c>
      <c r="M384">
        <v>274600</v>
      </c>
      <c r="N384">
        <v>305</v>
      </c>
      <c r="O384">
        <v>0</v>
      </c>
      <c r="P384">
        <v>5</v>
      </c>
      <c r="Q384">
        <v>0</v>
      </c>
      <c r="R384">
        <v>116000</v>
      </c>
      <c r="S384">
        <v>247</v>
      </c>
      <c r="T384">
        <v>0</v>
      </c>
      <c r="U384">
        <v>0</v>
      </c>
      <c r="V384">
        <v>489</v>
      </c>
      <c r="W384" t="s">
        <v>8475</v>
      </c>
      <c r="X384">
        <v>0</v>
      </c>
      <c r="Y384">
        <v>31</v>
      </c>
      <c r="Z384">
        <v>0</v>
      </c>
      <c r="AA384">
        <v>21</v>
      </c>
      <c r="AB384">
        <v>0</v>
      </c>
      <c r="AC384">
        <v>16</v>
      </c>
      <c r="AD384">
        <v>0</v>
      </c>
      <c r="AE384">
        <v>14</v>
      </c>
      <c r="AF384">
        <v>0</v>
      </c>
      <c r="AG384">
        <v>4</v>
      </c>
      <c r="AH384">
        <v>0</v>
      </c>
      <c r="AI384">
        <v>-1</v>
      </c>
      <c r="AJ384">
        <v>0</v>
      </c>
      <c r="AK384">
        <v>0</v>
      </c>
      <c r="AL384">
        <v>0</v>
      </c>
      <c r="AM384">
        <v>4</v>
      </c>
      <c r="AN384">
        <v>0</v>
      </c>
      <c r="AO384">
        <v>0</v>
      </c>
      <c r="AP384">
        <v>61</v>
      </c>
      <c r="AQ384">
        <v>369</v>
      </c>
      <c r="AR384">
        <v>61</v>
      </c>
      <c r="AS384">
        <v>65.666700000000006</v>
      </c>
      <c r="AT384" t="s">
        <v>8512</v>
      </c>
      <c r="AU384">
        <v>0</v>
      </c>
      <c r="AV384">
        <v>0</v>
      </c>
      <c r="AW384" t="s">
        <v>8513</v>
      </c>
      <c r="AX384">
        <v>1</v>
      </c>
      <c r="AY384" t="s">
        <v>8514</v>
      </c>
      <c r="AZ384">
        <v>0</v>
      </c>
      <c r="BA384" t="s">
        <v>8497</v>
      </c>
      <c r="BB384">
        <v>1</v>
      </c>
      <c r="BC384" t="s">
        <v>8515</v>
      </c>
      <c r="BD384">
        <v>40.625</v>
      </c>
      <c r="BE384" t="s">
        <v>8463</v>
      </c>
      <c r="BF384" t="s">
        <v>8472</v>
      </c>
      <c r="BG384" t="s">
        <v>8472</v>
      </c>
      <c r="BH384">
        <v>8.3863599999999998</v>
      </c>
      <c r="BJ384">
        <v>0.62372188139059304</v>
      </c>
      <c r="BK384" s="1" t="s">
        <v>9063</v>
      </c>
    </row>
    <row r="385" spans="1:63" x14ac:dyDescent="0.25">
      <c r="A385">
        <v>566</v>
      </c>
      <c r="B385">
        <v>451</v>
      </c>
      <c r="C385" t="s">
        <v>8445</v>
      </c>
      <c r="F385">
        <v>1028531</v>
      </c>
      <c r="G385" t="s">
        <v>580</v>
      </c>
      <c r="H385" t="s">
        <v>2221</v>
      </c>
      <c r="I385" t="s">
        <v>8501</v>
      </c>
      <c r="J385">
        <v>0</v>
      </c>
      <c r="K385">
        <v>6</v>
      </c>
      <c r="L385">
        <v>0</v>
      </c>
      <c r="M385">
        <v>202000</v>
      </c>
      <c r="N385">
        <v>221</v>
      </c>
      <c r="O385">
        <v>0</v>
      </c>
      <c r="P385">
        <v>4</v>
      </c>
      <c r="Q385">
        <v>0</v>
      </c>
      <c r="R385">
        <v>43500</v>
      </c>
      <c r="S385">
        <v>334</v>
      </c>
      <c r="T385">
        <v>0</v>
      </c>
      <c r="U385">
        <v>0</v>
      </c>
      <c r="V385">
        <v>285</v>
      </c>
      <c r="W385" t="s">
        <v>8505</v>
      </c>
      <c r="X385">
        <v>0</v>
      </c>
      <c r="Y385">
        <v>30</v>
      </c>
      <c r="Z385">
        <v>0</v>
      </c>
      <c r="AA385">
        <v>28</v>
      </c>
      <c r="AB385">
        <v>0</v>
      </c>
      <c r="AC385">
        <v>12</v>
      </c>
      <c r="AD385">
        <v>0</v>
      </c>
      <c r="AE385">
        <v>12</v>
      </c>
      <c r="AF385">
        <v>0</v>
      </c>
      <c r="AG385">
        <v>7</v>
      </c>
      <c r="AH385">
        <v>0</v>
      </c>
      <c r="AI385">
        <v>-1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55.25</v>
      </c>
      <c r="AQ385">
        <v>434</v>
      </c>
      <c r="AR385">
        <v>55.25</v>
      </c>
      <c r="AS385">
        <v>45</v>
      </c>
      <c r="AT385" t="s">
        <v>8502</v>
      </c>
      <c r="AU385">
        <v>0</v>
      </c>
      <c r="AV385">
        <v>0</v>
      </c>
      <c r="AW385" t="s">
        <v>8461</v>
      </c>
      <c r="AX385">
        <v>0</v>
      </c>
      <c r="AY385" t="s">
        <v>8483</v>
      </c>
      <c r="AZ385">
        <v>1</v>
      </c>
      <c r="BA385" t="s">
        <v>8459</v>
      </c>
      <c r="BB385">
        <v>0</v>
      </c>
      <c r="BC385" t="s">
        <v>8484</v>
      </c>
      <c r="BD385">
        <v>47.5</v>
      </c>
      <c r="BE385" t="s">
        <v>8464</v>
      </c>
      <c r="BF385" t="s">
        <v>8463</v>
      </c>
      <c r="BG385" t="s">
        <v>8464</v>
      </c>
      <c r="BH385">
        <v>9.8636400000000002</v>
      </c>
      <c r="BJ385">
        <v>0.77543859649122804</v>
      </c>
      <c r="BK385" s="1" t="s">
        <v>9064</v>
      </c>
    </row>
    <row r="386" spans="1:63" x14ac:dyDescent="0.25">
      <c r="A386">
        <v>567</v>
      </c>
      <c r="B386">
        <v>453</v>
      </c>
      <c r="C386" t="s">
        <v>8445</v>
      </c>
      <c r="F386">
        <v>298470</v>
      </c>
      <c r="G386" t="s">
        <v>2181</v>
      </c>
      <c r="H386" t="s">
        <v>5327</v>
      </c>
      <c r="I386" t="s">
        <v>8501</v>
      </c>
      <c r="J386">
        <v>0</v>
      </c>
      <c r="K386">
        <v>6</v>
      </c>
      <c r="L386">
        <v>0</v>
      </c>
      <c r="M386">
        <v>158400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510</v>
      </c>
      <c r="T386">
        <v>0</v>
      </c>
      <c r="U386">
        <v>0</v>
      </c>
      <c r="V386">
        <v>0</v>
      </c>
      <c r="W386" t="s">
        <v>8447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14</v>
      </c>
      <c r="AR386">
        <v>0</v>
      </c>
      <c r="AS386">
        <v>0</v>
      </c>
      <c r="AT386" t="s">
        <v>8502</v>
      </c>
      <c r="AU386">
        <v>43.333300000000001</v>
      </c>
      <c r="AV386">
        <v>0</v>
      </c>
      <c r="AW386" t="s">
        <v>8461</v>
      </c>
      <c r="AX386">
        <v>0</v>
      </c>
      <c r="AY386" t="s">
        <v>8483</v>
      </c>
      <c r="AZ386">
        <v>1</v>
      </c>
      <c r="BA386" t="s">
        <v>8459</v>
      </c>
      <c r="BB386">
        <v>0</v>
      </c>
      <c r="BC386" t="s">
        <v>8484</v>
      </c>
      <c r="BD386">
        <v>56.333300000000001</v>
      </c>
      <c r="BE386" t="s">
        <v>8464</v>
      </c>
      <c r="BF386" t="s">
        <v>8463</v>
      </c>
      <c r="BG386" t="s">
        <v>8464</v>
      </c>
      <c r="BH386">
        <v>0.31818200000000002</v>
      </c>
    </row>
    <row r="387" spans="1:63" x14ac:dyDescent="0.25">
      <c r="A387">
        <v>568</v>
      </c>
      <c r="B387">
        <v>582</v>
      </c>
      <c r="C387" t="s">
        <v>8445</v>
      </c>
      <c r="F387">
        <v>1032106</v>
      </c>
      <c r="G387" t="s">
        <v>9065</v>
      </c>
      <c r="H387" t="s">
        <v>9066</v>
      </c>
      <c r="I387" t="s">
        <v>8490</v>
      </c>
      <c r="J387">
        <v>0</v>
      </c>
      <c r="K387">
        <v>6</v>
      </c>
      <c r="L387">
        <v>0</v>
      </c>
      <c r="M387">
        <v>154000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510</v>
      </c>
      <c r="T387">
        <v>0</v>
      </c>
      <c r="U387">
        <v>0</v>
      </c>
      <c r="V387">
        <v>0</v>
      </c>
      <c r="W387" t="s">
        <v>8447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115</v>
      </c>
      <c r="AR387">
        <v>0</v>
      </c>
      <c r="AS387">
        <v>0</v>
      </c>
      <c r="AT387" t="s">
        <v>8489</v>
      </c>
      <c r="AU387">
        <v>0</v>
      </c>
      <c r="AV387">
        <v>0</v>
      </c>
      <c r="AW387" t="s">
        <v>8460</v>
      </c>
      <c r="AX387">
        <v>1</v>
      </c>
      <c r="AY387" t="s">
        <v>8459</v>
      </c>
      <c r="AZ387">
        <v>1</v>
      </c>
      <c r="BA387" t="s">
        <v>8483</v>
      </c>
      <c r="BB387">
        <v>0</v>
      </c>
      <c r="BC387" t="s">
        <v>8471</v>
      </c>
      <c r="BD387">
        <v>0</v>
      </c>
      <c r="BE387" t="s">
        <v>8464</v>
      </c>
      <c r="BF387" t="s">
        <v>8464</v>
      </c>
      <c r="BG387" t="s">
        <v>8464</v>
      </c>
      <c r="BH387">
        <v>2.6136400000000002</v>
      </c>
    </row>
    <row r="388" spans="1:63" x14ac:dyDescent="0.25">
      <c r="A388">
        <v>569</v>
      </c>
      <c r="B388">
        <v>577</v>
      </c>
      <c r="C388" t="s">
        <v>8445</v>
      </c>
      <c r="F388">
        <v>1017059</v>
      </c>
      <c r="G388" t="s">
        <v>1318</v>
      </c>
      <c r="H388" t="s">
        <v>9067</v>
      </c>
      <c r="I388" t="s">
        <v>8490</v>
      </c>
      <c r="J388">
        <v>0</v>
      </c>
      <c r="K388">
        <v>6</v>
      </c>
      <c r="L388">
        <v>0</v>
      </c>
      <c r="M388">
        <v>153600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510</v>
      </c>
      <c r="T388">
        <v>0</v>
      </c>
      <c r="U388">
        <v>0</v>
      </c>
      <c r="V388">
        <v>0</v>
      </c>
      <c r="W388" t="s">
        <v>8447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37</v>
      </c>
      <c r="AR388">
        <v>0</v>
      </c>
      <c r="AS388">
        <v>0</v>
      </c>
      <c r="AT388" t="s">
        <v>8489</v>
      </c>
      <c r="AU388">
        <v>76</v>
      </c>
      <c r="AV388">
        <v>0</v>
      </c>
      <c r="AW388" t="s">
        <v>8460</v>
      </c>
      <c r="AX388">
        <v>1</v>
      </c>
      <c r="AY388" t="s">
        <v>8459</v>
      </c>
      <c r="AZ388">
        <v>1</v>
      </c>
      <c r="BA388" t="s">
        <v>8483</v>
      </c>
      <c r="BB388">
        <v>0</v>
      </c>
      <c r="BC388" t="s">
        <v>8471</v>
      </c>
      <c r="BD388">
        <v>41</v>
      </c>
      <c r="BE388" t="s">
        <v>8464</v>
      </c>
      <c r="BF388" t="s">
        <v>8464</v>
      </c>
      <c r="BG388" t="s">
        <v>8464</v>
      </c>
      <c r="BH388">
        <v>0.84090900000000002</v>
      </c>
    </row>
    <row r="389" spans="1:63" x14ac:dyDescent="0.25">
      <c r="A389">
        <v>570</v>
      </c>
      <c r="B389">
        <v>449</v>
      </c>
      <c r="C389" t="s">
        <v>8445</v>
      </c>
      <c r="F389">
        <v>1012826</v>
      </c>
      <c r="G389" t="s">
        <v>6558</v>
      </c>
      <c r="H389" t="s">
        <v>9068</v>
      </c>
      <c r="I389" t="s">
        <v>8501</v>
      </c>
      <c r="J389">
        <v>0</v>
      </c>
      <c r="K389">
        <v>6</v>
      </c>
      <c r="L389">
        <v>0</v>
      </c>
      <c r="M389">
        <v>152800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510</v>
      </c>
      <c r="T389">
        <v>0</v>
      </c>
      <c r="U389">
        <v>0</v>
      </c>
      <c r="V389">
        <v>0</v>
      </c>
      <c r="W389" t="s">
        <v>8447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11</v>
      </c>
      <c r="AR389">
        <v>0</v>
      </c>
      <c r="AS389">
        <v>0</v>
      </c>
      <c r="AT389" t="s">
        <v>8502</v>
      </c>
      <c r="AU389">
        <v>0</v>
      </c>
      <c r="AV389">
        <v>0</v>
      </c>
      <c r="AW389" t="s">
        <v>8461</v>
      </c>
      <c r="AX389">
        <v>0</v>
      </c>
      <c r="AY389" t="s">
        <v>8483</v>
      </c>
      <c r="AZ389">
        <v>1</v>
      </c>
      <c r="BA389" t="s">
        <v>8459</v>
      </c>
      <c r="BB389">
        <v>0</v>
      </c>
      <c r="BC389" t="s">
        <v>8484</v>
      </c>
      <c r="BD389">
        <v>29.875</v>
      </c>
      <c r="BE389" t="s">
        <v>8464</v>
      </c>
      <c r="BF389" t="s">
        <v>8463</v>
      </c>
      <c r="BG389" t="s">
        <v>8464</v>
      </c>
      <c r="BH389">
        <v>0.25</v>
      </c>
    </row>
    <row r="390" spans="1:63" x14ac:dyDescent="0.25">
      <c r="A390">
        <v>571</v>
      </c>
      <c r="B390">
        <v>475</v>
      </c>
      <c r="C390" t="s">
        <v>8445</v>
      </c>
      <c r="F390">
        <v>1018425</v>
      </c>
      <c r="G390" t="s">
        <v>9065</v>
      </c>
      <c r="H390" t="s">
        <v>9069</v>
      </c>
      <c r="I390" t="s">
        <v>8501</v>
      </c>
      <c r="J390">
        <v>0</v>
      </c>
      <c r="K390">
        <v>6</v>
      </c>
      <c r="L390">
        <v>0</v>
      </c>
      <c r="M390">
        <v>152600</v>
      </c>
      <c r="N390">
        <v>43</v>
      </c>
      <c r="O390">
        <v>0</v>
      </c>
      <c r="P390">
        <v>1</v>
      </c>
      <c r="Q390">
        <v>0</v>
      </c>
      <c r="R390">
        <v>0</v>
      </c>
      <c r="S390">
        <v>486</v>
      </c>
      <c r="T390">
        <v>0</v>
      </c>
      <c r="U390">
        <v>0</v>
      </c>
      <c r="V390">
        <v>72</v>
      </c>
      <c r="W390" t="s">
        <v>8466</v>
      </c>
      <c r="X390">
        <v>0</v>
      </c>
      <c r="Y390">
        <v>6</v>
      </c>
      <c r="Z390">
        <v>0</v>
      </c>
      <c r="AA390">
        <v>4</v>
      </c>
      <c r="AB390">
        <v>0</v>
      </c>
      <c r="AC390">
        <v>1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43</v>
      </c>
      <c r="AQ390">
        <v>13</v>
      </c>
      <c r="AR390">
        <v>43</v>
      </c>
      <c r="AS390">
        <v>43</v>
      </c>
      <c r="AT390" t="s">
        <v>8502</v>
      </c>
      <c r="AU390">
        <v>19</v>
      </c>
      <c r="AV390">
        <v>0</v>
      </c>
      <c r="AW390" t="s">
        <v>8461</v>
      </c>
      <c r="AX390">
        <v>0</v>
      </c>
      <c r="AY390" t="s">
        <v>8483</v>
      </c>
      <c r="AZ390">
        <v>1</v>
      </c>
      <c r="BA390" t="s">
        <v>8459</v>
      </c>
      <c r="BB390">
        <v>0</v>
      </c>
      <c r="BC390" t="s">
        <v>8484</v>
      </c>
      <c r="BD390">
        <v>30.1538</v>
      </c>
      <c r="BE390" t="s">
        <v>8464</v>
      </c>
      <c r="BF390" t="s">
        <v>8463</v>
      </c>
      <c r="BG390" t="s">
        <v>8464</v>
      </c>
      <c r="BH390">
        <v>0.29545500000000002</v>
      </c>
      <c r="BJ390" s="1" t="s">
        <v>9070</v>
      </c>
      <c r="BK390" s="1" t="s">
        <v>9071</v>
      </c>
    </row>
    <row r="391" spans="1:63" x14ac:dyDescent="0.25">
      <c r="A391">
        <v>572</v>
      </c>
      <c r="B391">
        <v>492</v>
      </c>
      <c r="C391" t="s">
        <v>8445</v>
      </c>
      <c r="F391">
        <v>1017118</v>
      </c>
      <c r="G391" t="s">
        <v>1318</v>
      </c>
      <c r="H391" t="s">
        <v>9072</v>
      </c>
      <c r="I391" t="s">
        <v>8467</v>
      </c>
      <c r="J391">
        <v>0</v>
      </c>
      <c r="K391">
        <v>6</v>
      </c>
      <c r="L391">
        <v>0</v>
      </c>
      <c r="M391">
        <v>151400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510</v>
      </c>
      <c r="T391">
        <v>0</v>
      </c>
      <c r="U391">
        <v>0</v>
      </c>
      <c r="V391">
        <v>0</v>
      </c>
      <c r="W391" t="s">
        <v>8447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16</v>
      </c>
      <c r="AR391">
        <v>0</v>
      </c>
      <c r="AS391">
        <v>0</v>
      </c>
      <c r="AT391" t="s">
        <v>8465</v>
      </c>
      <c r="AU391">
        <v>0</v>
      </c>
      <c r="AV391">
        <v>0</v>
      </c>
      <c r="AW391" t="s">
        <v>8497</v>
      </c>
      <c r="AX391">
        <v>1</v>
      </c>
      <c r="AY391" t="s">
        <v>8451</v>
      </c>
      <c r="AZ391">
        <v>1</v>
      </c>
      <c r="BA391" t="s">
        <v>8492</v>
      </c>
      <c r="BB391">
        <v>0</v>
      </c>
      <c r="BC391" t="s">
        <v>8471</v>
      </c>
      <c r="BD391">
        <v>60.6</v>
      </c>
      <c r="BE391" t="s">
        <v>8472</v>
      </c>
      <c r="BF391" t="s">
        <v>8455</v>
      </c>
      <c r="BG391" t="s">
        <v>8498</v>
      </c>
      <c r="BH391">
        <v>0.36363600000000001</v>
      </c>
    </row>
    <row r="392" spans="1:63" x14ac:dyDescent="0.25">
      <c r="A392">
        <v>573</v>
      </c>
      <c r="B392">
        <v>328</v>
      </c>
      <c r="C392" t="s">
        <v>8445</v>
      </c>
      <c r="F392">
        <v>296190</v>
      </c>
      <c r="G392" t="s">
        <v>1127</v>
      </c>
      <c r="H392" t="s">
        <v>3981</v>
      </c>
      <c r="I392" t="s">
        <v>8482</v>
      </c>
      <c r="J392">
        <v>0</v>
      </c>
      <c r="K392">
        <v>6</v>
      </c>
      <c r="L392">
        <v>0</v>
      </c>
      <c r="M392">
        <v>150900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510</v>
      </c>
      <c r="T392">
        <v>0</v>
      </c>
      <c r="U392">
        <v>0</v>
      </c>
      <c r="V392">
        <v>0</v>
      </c>
      <c r="W392" t="s">
        <v>8447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24</v>
      </c>
      <c r="AR392">
        <v>0</v>
      </c>
      <c r="AS392">
        <v>0</v>
      </c>
      <c r="AT392" t="s">
        <v>8480</v>
      </c>
      <c r="AU392">
        <v>55</v>
      </c>
      <c r="AV392">
        <v>0</v>
      </c>
      <c r="AW392" t="s">
        <v>8514</v>
      </c>
      <c r="AX392">
        <v>1</v>
      </c>
      <c r="AY392" t="s">
        <v>8530</v>
      </c>
      <c r="AZ392">
        <v>1</v>
      </c>
      <c r="BA392" t="s">
        <v>8450</v>
      </c>
      <c r="BB392">
        <v>0</v>
      </c>
      <c r="BC392" t="s">
        <v>8484</v>
      </c>
      <c r="BD392">
        <v>57.964300000000001</v>
      </c>
      <c r="BE392" t="s">
        <v>8464</v>
      </c>
      <c r="BF392" t="s">
        <v>8464</v>
      </c>
      <c r="BG392" t="s">
        <v>8531</v>
      </c>
      <c r="BH392">
        <v>0.54545500000000002</v>
      </c>
    </row>
    <row r="393" spans="1:63" x14ac:dyDescent="0.25">
      <c r="A393">
        <v>574</v>
      </c>
      <c r="B393">
        <v>715</v>
      </c>
      <c r="C393" t="s">
        <v>8445</v>
      </c>
      <c r="F393">
        <v>1020586</v>
      </c>
      <c r="G393" t="s">
        <v>9073</v>
      </c>
      <c r="H393" t="s">
        <v>890</v>
      </c>
      <c r="I393" t="s">
        <v>8548</v>
      </c>
      <c r="J393">
        <v>0</v>
      </c>
      <c r="K393">
        <v>6</v>
      </c>
      <c r="L393">
        <v>0</v>
      </c>
      <c r="M393">
        <v>150900</v>
      </c>
      <c r="N393">
        <v>34</v>
      </c>
      <c r="O393">
        <v>0</v>
      </c>
      <c r="P393">
        <v>2</v>
      </c>
      <c r="Q393">
        <v>0</v>
      </c>
      <c r="R393">
        <v>0</v>
      </c>
      <c r="S393">
        <v>494</v>
      </c>
      <c r="T393">
        <v>0</v>
      </c>
      <c r="U393">
        <v>0</v>
      </c>
      <c r="V393">
        <v>106</v>
      </c>
      <c r="W393" t="s">
        <v>8466</v>
      </c>
      <c r="X393">
        <v>0</v>
      </c>
      <c r="Y393">
        <v>3</v>
      </c>
      <c r="Z393">
        <v>0</v>
      </c>
      <c r="AA393">
        <v>6</v>
      </c>
      <c r="AB393">
        <v>0</v>
      </c>
      <c r="AC393">
        <v>1</v>
      </c>
      <c r="AD393">
        <v>0</v>
      </c>
      <c r="AE393">
        <v>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17</v>
      </c>
      <c r="AQ393">
        <v>8</v>
      </c>
      <c r="AR393">
        <v>17</v>
      </c>
      <c r="AS393">
        <v>17</v>
      </c>
      <c r="AT393" t="s">
        <v>8549</v>
      </c>
      <c r="AU393">
        <v>0</v>
      </c>
      <c r="AV393">
        <v>0</v>
      </c>
      <c r="AW393" t="s">
        <v>8450</v>
      </c>
      <c r="AX393">
        <v>1</v>
      </c>
      <c r="AY393" t="s">
        <v>8497</v>
      </c>
      <c r="AZ393">
        <v>0</v>
      </c>
      <c r="BA393" t="s">
        <v>8449</v>
      </c>
      <c r="BB393">
        <v>1</v>
      </c>
      <c r="BC393" t="s">
        <v>8471</v>
      </c>
      <c r="BD393">
        <v>30.857099999999999</v>
      </c>
      <c r="BE393" t="s">
        <v>8546</v>
      </c>
      <c r="BF393" t="s">
        <v>8534</v>
      </c>
      <c r="BG393" t="s">
        <v>8495</v>
      </c>
      <c r="BH393">
        <v>0.18181800000000001</v>
      </c>
      <c r="BJ393" s="1" t="s">
        <v>9074</v>
      </c>
      <c r="BK393" s="1" t="s">
        <v>9075</v>
      </c>
    </row>
    <row r="394" spans="1:63" x14ac:dyDescent="0.25">
      <c r="A394">
        <v>575</v>
      </c>
      <c r="B394">
        <v>30</v>
      </c>
      <c r="C394" t="s">
        <v>8445</v>
      </c>
      <c r="F394">
        <v>1012218</v>
      </c>
      <c r="G394" t="s">
        <v>176</v>
      </c>
      <c r="H394" t="s">
        <v>5190</v>
      </c>
      <c r="I394" t="s">
        <v>8511</v>
      </c>
      <c r="J394">
        <v>0</v>
      </c>
      <c r="K394">
        <v>6</v>
      </c>
      <c r="L394">
        <v>0</v>
      </c>
      <c r="M394">
        <v>150400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510</v>
      </c>
      <c r="T394">
        <v>0</v>
      </c>
      <c r="U394">
        <v>0</v>
      </c>
      <c r="V394">
        <v>0</v>
      </c>
      <c r="W394" t="s">
        <v>8466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13</v>
      </c>
      <c r="AR394">
        <v>0</v>
      </c>
      <c r="AS394">
        <v>0</v>
      </c>
      <c r="AT394" t="s">
        <v>8512</v>
      </c>
      <c r="AU394">
        <v>61.5</v>
      </c>
      <c r="AV394">
        <v>0</v>
      </c>
      <c r="AW394" t="s">
        <v>8513</v>
      </c>
      <c r="AX394">
        <v>1</v>
      </c>
      <c r="AY394" t="s">
        <v>8514</v>
      </c>
      <c r="AZ394">
        <v>0</v>
      </c>
      <c r="BA394" t="s">
        <v>8497</v>
      </c>
      <c r="BB394">
        <v>1</v>
      </c>
      <c r="BC394" t="s">
        <v>8515</v>
      </c>
      <c r="BD394">
        <v>53.923099999999998</v>
      </c>
      <c r="BE394" t="s">
        <v>8463</v>
      </c>
      <c r="BF394" t="s">
        <v>8472</v>
      </c>
      <c r="BG394" t="s">
        <v>8472</v>
      </c>
      <c r="BH394">
        <v>0.29545500000000002</v>
      </c>
    </row>
    <row r="395" spans="1:63" x14ac:dyDescent="0.25">
      <c r="A395">
        <v>576</v>
      </c>
      <c r="B395">
        <v>325</v>
      </c>
      <c r="C395" t="s">
        <v>8445</v>
      </c>
      <c r="F395">
        <v>1021103</v>
      </c>
      <c r="G395" t="s">
        <v>1718</v>
      </c>
      <c r="H395" t="s">
        <v>9076</v>
      </c>
      <c r="I395" t="s">
        <v>8482</v>
      </c>
      <c r="J395">
        <v>0</v>
      </c>
      <c r="K395">
        <v>6</v>
      </c>
      <c r="L395">
        <v>0</v>
      </c>
      <c r="M395">
        <v>189900</v>
      </c>
      <c r="N395">
        <v>210</v>
      </c>
      <c r="O395">
        <v>0</v>
      </c>
      <c r="P395">
        <v>4</v>
      </c>
      <c r="Q395">
        <v>0</v>
      </c>
      <c r="R395">
        <v>40100</v>
      </c>
      <c r="S395">
        <v>346</v>
      </c>
      <c r="T395">
        <v>0</v>
      </c>
      <c r="U395">
        <v>0</v>
      </c>
      <c r="V395">
        <v>300</v>
      </c>
      <c r="W395" t="s">
        <v>8505</v>
      </c>
      <c r="X395">
        <v>0</v>
      </c>
      <c r="Y395">
        <v>23</v>
      </c>
      <c r="Z395">
        <v>0</v>
      </c>
      <c r="AA395">
        <v>31</v>
      </c>
      <c r="AB395">
        <v>0</v>
      </c>
      <c r="AC395">
        <v>8</v>
      </c>
      <c r="AD395">
        <v>0</v>
      </c>
      <c r="AE395">
        <v>21</v>
      </c>
      <c r="AF395">
        <v>0</v>
      </c>
      <c r="AG395">
        <v>3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52.5</v>
      </c>
      <c r="AQ395">
        <v>277</v>
      </c>
      <c r="AR395">
        <v>52.5</v>
      </c>
      <c r="AS395">
        <v>42.666699999999999</v>
      </c>
      <c r="AT395" t="s">
        <v>8480</v>
      </c>
      <c r="AU395">
        <v>0</v>
      </c>
      <c r="AV395">
        <v>0</v>
      </c>
      <c r="AW395" t="s">
        <v>8514</v>
      </c>
      <c r="AX395">
        <v>1</v>
      </c>
      <c r="AY395" t="s">
        <v>8530</v>
      </c>
      <c r="AZ395">
        <v>1</v>
      </c>
      <c r="BA395" t="s">
        <v>8450</v>
      </c>
      <c r="BB395">
        <v>0</v>
      </c>
      <c r="BC395" t="s">
        <v>8484</v>
      </c>
      <c r="BD395">
        <v>65.666700000000006</v>
      </c>
      <c r="BE395" t="s">
        <v>8464</v>
      </c>
      <c r="BF395" t="s">
        <v>8464</v>
      </c>
      <c r="BG395" t="s">
        <v>8531</v>
      </c>
      <c r="BH395">
        <v>6.2954499999999998</v>
      </c>
      <c r="BJ395">
        <v>0.7</v>
      </c>
      <c r="BK395" s="1" t="s">
        <v>9077</v>
      </c>
    </row>
    <row r="396" spans="1:63" x14ac:dyDescent="0.25">
      <c r="A396">
        <v>577</v>
      </c>
      <c r="B396">
        <v>192</v>
      </c>
      <c r="C396" t="s">
        <v>8445</v>
      </c>
      <c r="F396">
        <v>1028554</v>
      </c>
      <c r="G396" t="s">
        <v>4961</v>
      </c>
      <c r="H396" t="s">
        <v>9078</v>
      </c>
      <c r="I396" t="s">
        <v>8458</v>
      </c>
      <c r="J396">
        <v>0</v>
      </c>
      <c r="K396">
        <v>6</v>
      </c>
      <c r="L396">
        <v>0</v>
      </c>
      <c r="M396">
        <v>191700</v>
      </c>
      <c r="N396">
        <v>196</v>
      </c>
      <c r="O396">
        <v>0</v>
      </c>
      <c r="P396">
        <v>4</v>
      </c>
      <c r="Q396">
        <v>0</v>
      </c>
      <c r="R396">
        <v>42200</v>
      </c>
      <c r="S396">
        <v>356</v>
      </c>
      <c r="T396">
        <v>0</v>
      </c>
      <c r="U396">
        <v>0</v>
      </c>
      <c r="V396">
        <v>416</v>
      </c>
      <c r="W396" t="s">
        <v>8505</v>
      </c>
      <c r="X396">
        <v>0</v>
      </c>
      <c r="Y396">
        <v>24</v>
      </c>
      <c r="Z396">
        <v>0</v>
      </c>
      <c r="AA396">
        <v>18</v>
      </c>
      <c r="AB396">
        <v>0</v>
      </c>
      <c r="AC396">
        <v>9</v>
      </c>
      <c r="AD396">
        <v>0</v>
      </c>
      <c r="AE396">
        <v>9</v>
      </c>
      <c r="AF396">
        <v>0</v>
      </c>
      <c r="AG396">
        <v>0</v>
      </c>
      <c r="AH396">
        <v>0</v>
      </c>
      <c r="AI396">
        <v>-3</v>
      </c>
      <c r="AJ396">
        <v>0</v>
      </c>
      <c r="AK396">
        <v>0</v>
      </c>
      <c r="AL396">
        <v>0</v>
      </c>
      <c r="AM396">
        <v>3</v>
      </c>
      <c r="AN396">
        <v>0</v>
      </c>
      <c r="AO396">
        <v>2</v>
      </c>
      <c r="AP396">
        <v>49</v>
      </c>
      <c r="AQ396">
        <v>637</v>
      </c>
      <c r="AR396">
        <v>49</v>
      </c>
      <c r="AS396">
        <v>44.666699999999999</v>
      </c>
      <c r="AT396" t="s">
        <v>8456</v>
      </c>
      <c r="AU396">
        <v>0</v>
      </c>
      <c r="AV396">
        <v>1</v>
      </c>
      <c r="AW396" t="s">
        <v>8530</v>
      </c>
      <c r="AX396">
        <v>1</v>
      </c>
      <c r="AY396" t="s">
        <v>8526</v>
      </c>
      <c r="AZ396">
        <v>0</v>
      </c>
      <c r="BA396" t="s">
        <v>8491</v>
      </c>
      <c r="BB396">
        <v>0</v>
      </c>
      <c r="BC396" t="s">
        <v>8462</v>
      </c>
      <c r="BD396">
        <v>0</v>
      </c>
      <c r="BE396" t="s">
        <v>8464</v>
      </c>
      <c r="BF396" t="s">
        <v>8455</v>
      </c>
      <c r="BG396" t="s">
        <v>8455</v>
      </c>
      <c r="BH396">
        <v>14.4773</v>
      </c>
      <c r="BJ396" s="1" t="s">
        <v>9079</v>
      </c>
      <c r="BK396" s="1" t="s">
        <v>9080</v>
      </c>
    </row>
    <row r="397" spans="1:63" x14ac:dyDescent="0.25">
      <c r="A397">
        <v>578</v>
      </c>
      <c r="B397">
        <v>335</v>
      </c>
      <c r="C397" t="s">
        <v>8445</v>
      </c>
      <c r="F397">
        <v>1027877</v>
      </c>
      <c r="G397" t="s">
        <v>3651</v>
      </c>
      <c r="H397" t="s">
        <v>8986</v>
      </c>
      <c r="I397" t="s">
        <v>8482</v>
      </c>
      <c r="J397">
        <v>0</v>
      </c>
      <c r="K397">
        <v>6</v>
      </c>
      <c r="L397">
        <v>0</v>
      </c>
      <c r="M397">
        <v>295400</v>
      </c>
      <c r="N397">
        <v>358</v>
      </c>
      <c r="O397">
        <v>0</v>
      </c>
      <c r="P397">
        <v>5</v>
      </c>
      <c r="Q397">
        <v>0</v>
      </c>
      <c r="R397">
        <v>146700</v>
      </c>
      <c r="S397">
        <v>164</v>
      </c>
      <c r="T397">
        <v>0</v>
      </c>
      <c r="U397">
        <v>0</v>
      </c>
      <c r="V397">
        <v>577</v>
      </c>
      <c r="W397" t="s">
        <v>8481</v>
      </c>
      <c r="X397">
        <v>0</v>
      </c>
      <c r="Y397">
        <v>42</v>
      </c>
      <c r="Z397">
        <v>0</v>
      </c>
      <c r="AA397">
        <v>32</v>
      </c>
      <c r="AB397">
        <v>0</v>
      </c>
      <c r="AC397">
        <v>36</v>
      </c>
      <c r="AD397">
        <v>0</v>
      </c>
      <c r="AE397">
        <v>7</v>
      </c>
      <c r="AF397">
        <v>0</v>
      </c>
      <c r="AG397">
        <v>1</v>
      </c>
      <c r="AH397">
        <v>0</v>
      </c>
      <c r="AI397">
        <v>-3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71.599999999999994</v>
      </c>
      <c r="AQ397">
        <v>846</v>
      </c>
      <c r="AR397">
        <v>71.599999999999994</v>
      </c>
      <c r="AS397">
        <v>74</v>
      </c>
      <c r="AT397" t="s">
        <v>8480</v>
      </c>
      <c r="AU397">
        <v>0</v>
      </c>
      <c r="AV397">
        <v>0</v>
      </c>
      <c r="AW397" t="s">
        <v>8514</v>
      </c>
      <c r="AX397">
        <v>1</v>
      </c>
      <c r="AY397" t="s">
        <v>8530</v>
      </c>
      <c r="AZ397">
        <v>1</v>
      </c>
      <c r="BA397" t="s">
        <v>8450</v>
      </c>
      <c r="BB397">
        <v>0</v>
      </c>
      <c r="BC397" t="s">
        <v>8484</v>
      </c>
      <c r="BD397">
        <v>0</v>
      </c>
      <c r="BE397" t="s">
        <v>8464</v>
      </c>
      <c r="BF397" t="s">
        <v>8464</v>
      </c>
      <c r="BG397" t="s">
        <v>8531</v>
      </c>
      <c r="BH397">
        <v>19.2273</v>
      </c>
      <c r="BJ397" s="1" t="s">
        <v>9081</v>
      </c>
      <c r="BK397" s="1" t="s">
        <v>9082</v>
      </c>
    </row>
    <row r="398" spans="1:63" x14ac:dyDescent="0.25">
      <c r="A398">
        <v>579</v>
      </c>
      <c r="B398">
        <v>692</v>
      </c>
      <c r="C398" t="s">
        <v>8445</v>
      </c>
      <c r="F398">
        <v>1018424</v>
      </c>
      <c r="G398" t="s">
        <v>1072</v>
      </c>
      <c r="H398" t="s">
        <v>6985</v>
      </c>
      <c r="I398" t="s">
        <v>8446</v>
      </c>
      <c r="J398">
        <v>0</v>
      </c>
      <c r="K398">
        <v>6</v>
      </c>
      <c r="L398">
        <v>0</v>
      </c>
      <c r="M398">
        <v>225300</v>
      </c>
      <c r="N398">
        <v>278</v>
      </c>
      <c r="O398">
        <v>0</v>
      </c>
      <c r="P398">
        <v>5</v>
      </c>
      <c r="Q398">
        <v>0</v>
      </c>
      <c r="R398">
        <v>76600</v>
      </c>
      <c r="S398">
        <v>270</v>
      </c>
      <c r="T398">
        <v>0</v>
      </c>
      <c r="U398">
        <v>0</v>
      </c>
      <c r="V398">
        <v>517</v>
      </c>
      <c r="W398" t="s">
        <v>8475</v>
      </c>
      <c r="X398">
        <v>0</v>
      </c>
      <c r="Y398">
        <v>42</v>
      </c>
      <c r="Z398">
        <v>0</v>
      </c>
      <c r="AA398">
        <v>21</v>
      </c>
      <c r="AB398">
        <v>0</v>
      </c>
      <c r="AC398">
        <v>15</v>
      </c>
      <c r="AD398">
        <v>0</v>
      </c>
      <c r="AE398">
        <v>13</v>
      </c>
      <c r="AF398">
        <v>0</v>
      </c>
      <c r="AG398">
        <v>4</v>
      </c>
      <c r="AH398">
        <v>0</v>
      </c>
      <c r="AI398">
        <v>-3</v>
      </c>
      <c r="AJ398">
        <v>0</v>
      </c>
      <c r="AK398">
        <v>0</v>
      </c>
      <c r="AL398">
        <v>0</v>
      </c>
      <c r="AM398">
        <v>4</v>
      </c>
      <c r="AN398">
        <v>0</v>
      </c>
      <c r="AO398">
        <v>4</v>
      </c>
      <c r="AP398">
        <v>55.6</v>
      </c>
      <c r="AQ398">
        <v>112</v>
      </c>
      <c r="AR398">
        <v>55.6</v>
      </c>
      <c r="AS398">
        <v>52</v>
      </c>
      <c r="AT398" t="s">
        <v>8448</v>
      </c>
      <c r="AU398">
        <v>0</v>
      </c>
      <c r="AV398">
        <v>0</v>
      </c>
      <c r="AW398" t="s">
        <v>8449</v>
      </c>
      <c r="AX398">
        <v>1</v>
      </c>
      <c r="AY398" t="s">
        <v>8450</v>
      </c>
      <c r="AZ398">
        <v>0</v>
      </c>
      <c r="BA398" t="s">
        <v>8451</v>
      </c>
      <c r="BB398">
        <v>1</v>
      </c>
      <c r="BC398" t="s">
        <v>8452</v>
      </c>
      <c r="BD398">
        <v>40.833300000000001</v>
      </c>
      <c r="BE398" t="s">
        <v>8453</v>
      </c>
      <c r="BF398" t="s">
        <v>8454</v>
      </c>
      <c r="BG398" t="s">
        <v>8455</v>
      </c>
      <c r="BH398">
        <v>2.5454500000000002</v>
      </c>
      <c r="BJ398" s="1" t="s">
        <v>9083</v>
      </c>
      <c r="BK398" s="1" t="s">
        <v>9084</v>
      </c>
    </row>
    <row r="399" spans="1:63" x14ac:dyDescent="0.25">
      <c r="A399">
        <v>580</v>
      </c>
      <c r="B399">
        <v>761</v>
      </c>
      <c r="C399" t="s">
        <v>8445</v>
      </c>
      <c r="F399">
        <v>1027969</v>
      </c>
      <c r="G399" t="s">
        <v>1020</v>
      </c>
      <c r="H399" t="s">
        <v>8956</v>
      </c>
      <c r="I399" t="s">
        <v>8456</v>
      </c>
      <c r="J399">
        <v>0</v>
      </c>
      <c r="K399">
        <v>6</v>
      </c>
      <c r="L399">
        <v>0</v>
      </c>
      <c r="M399">
        <v>148700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510</v>
      </c>
      <c r="T399">
        <v>0</v>
      </c>
      <c r="U399">
        <v>0</v>
      </c>
      <c r="V399">
        <v>0</v>
      </c>
      <c r="W399" t="s">
        <v>8457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12</v>
      </c>
      <c r="AR399">
        <v>0</v>
      </c>
      <c r="AS399">
        <v>0</v>
      </c>
      <c r="AT399" t="s">
        <v>8458</v>
      </c>
      <c r="AU399">
        <v>11</v>
      </c>
      <c r="AV399">
        <v>0</v>
      </c>
      <c r="AW399" t="s">
        <v>8459</v>
      </c>
      <c r="AX399">
        <v>1</v>
      </c>
      <c r="AY399" t="s">
        <v>8460</v>
      </c>
      <c r="AZ399">
        <v>0</v>
      </c>
      <c r="BA399" t="s">
        <v>8461</v>
      </c>
      <c r="BB399">
        <v>1</v>
      </c>
      <c r="BC399" t="s">
        <v>8462</v>
      </c>
      <c r="BD399">
        <v>34</v>
      </c>
      <c r="BE399" t="s">
        <v>8455</v>
      </c>
      <c r="BF399" t="s">
        <v>8463</v>
      </c>
      <c r="BG399" t="s">
        <v>8464</v>
      </c>
      <c r="BH399">
        <v>0.272727</v>
      </c>
    </row>
    <row r="400" spans="1:63" x14ac:dyDescent="0.25">
      <c r="A400">
        <v>581</v>
      </c>
      <c r="B400">
        <v>437</v>
      </c>
      <c r="C400" t="s">
        <v>8445</v>
      </c>
      <c r="F400">
        <v>290246</v>
      </c>
      <c r="G400" t="s">
        <v>776</v>
      </c>
      <c r="H400" t="s">
        <v>5431</v>
      </c>
      <c r="I400" t="s">
        <v>8501</v>
      </c>
      <c r="J400">
        <v>0</v>
      </c>
      <c r="K400">
        <v>6</v>
      </c>
      <c r="L400">
        <v>0</v>
      </c>
      <c r="M400">
        <v>147100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510</v>
      </c>
      <c r="T400">
        <v>0</v>
      </c>
      <c r="U400">
        <v>0</v>
      </c>
      <c r="V400">
        <v>0</v>
      </c>
      <c r="W400" t="s">
        <v>8447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39</v>
      </c>
      <c r="AR400">
        <v>0</v>
      </c>
      <c r="AS400">
        <v>0</v>
      </c>
      <c r="AT400" t="s">
        <v>8502</v>
      </c>
      <c r="AU400">
        <v>51.666699999999999</v>
      </c>
      <c r="AV400">
        <v>0</v>
      </c>
      <c r="AW400" t="s">
        <v>8461</v>
      </c>
      <c r="AX400">
        <v>0</v>
      </c>
      <c r="AY400" t="s">
        <v>8483</v>
      </c>
      <c r="AZ400">
        <v>1</v>
      </c>
      <c r="BA400" t="s">
        <v>8459</v>
      </c>
      <c r="BB400">
        <v>0</v>
      </c>
      <c r="BC400" t="s">
        <v>8484</v>
      </c>
      <c r="BD400">
        <v>50.6</v>
      </c>
      <c r="BE400" t="s">
        <v>8464</v>
      </c>
      <c r="BF400" t="s">
        <v>8463</v>
      </c>
      <c r="BG400" t="s">
        <v>8464</v>
      </c>
      <c r="BH400">
        <v>0.88636400000000004</v>
      </c>
    </row>
    <row r="401" spans="1:63" x14ac:dyDescent="0.25">
      <c r="A401">
        <v>582</v>
      </c>
      <c r="B401">
        <v>178</v>
      </c>
      <c r="C401" t="s">
        <v>8445</v>
      </c>
      <c r="F401">
        <v>1017933</v>
      </c>
      <c r="G401" t="s">
        <v>9085</v>
      </c>
      <c r="H401" t="s">
        <v>9086</v>
      </c>
      <c r="I401" t="s">
        <v>8458</v>
      </c>
      <c r="J401">
        <v>0</v>
      </c>
      <c r="K401">
        <v>6</v>
      </c>
      <c r="L401">
        <v>0</v>
      </c>
      <c r="M401">
        <v>146600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510</v>
      </c>
      <c r="T401">
        <v>0</v>
      </c>
      <c r="U401">
        <v>0</v>
      </c>
      <c r="V401">
        <v>0</v>
      </c>
      <c r="W401" t="s">
        <v>8466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10</v>
      </c>
      <c r="AR401">
        <v>0</v>
      </c>
      <c r="AS401">
        <v>0</v>
      </c>
      <c r="AT401" t="s">
        <v>8456</v>
      </c>
      <c r="AU401">
        <v>10</v>
      </c>
      <c r="AV401">
        <v>1</v>
      </c>
      <c r="AW401" t="s">
        <v>8530</v>
      </c>
      <c r="AX401">
        <v>1</v>
      </c>
      <c r="AY401" t="s">
        <v>8526</v>
      </c>
      <c r="AZ401">
        <v>0</v>
      </c>
      <c r="BA401" t="s">
        <v>8491</v>
      </c>
      <c r="BB401">
        <v>0</v>
      </c>
      <c r="BC401" t="s">
        <v>8462</v>
      </c>
      <c r="BD401">
        <v>8</v>
      </c>
      <c r="BE401" t="s">
        <v>8464</v>
      </c>
      <c r="BF401" t="s">
        <v>8455</v>
      </c>
      <c r="BG401" t="s">
        <v>8455</v>
      </c>
      <c r="BH401">
        <v>0.227273</v>
      </c>
    </row>
    <row r="402" spans="1:63" x14ac:dyDescent="0.25">
      <c r="A402">
        <v>583</v>
      </c>
      <c r="B402">
        <v>710</v>
      </c>
      <c r="C402" t="s">
        <v>8445</v>
      </c>
      <c r="F402">
        <v>997501</v>
      </c>
      <c r="G402" t="s">
        <v>1332</v>
      </c>
      <c r="H402" t="s">
        <v>4779</v>
      </c>
      <c r="I402" t="s">
        <v>8548</v>
      </c>
      <c r="J402">
        <v>0</v>
      </c>
      <c r="K402">
        <v>6</v>
      </c>
      <c r="L402">
        <v>0</v>
      </c>
      <c r="M402">
        <v>145800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510</v>
      </c>
      <c r="T402">
        <v>0</v>
      </c>
      <c r="U402">
        <v>0</v>
      </c>
      <c r="V402">
        <v>0</v>
      </c>
      <c r="W402" t="s">
        <v>8457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4</v>
      </c>
      <c r="AR402">
        <v>0</v>
      </c>
      <c r="AS402">
        <v>0</v>
      </c>
      <c r="AT402" t="s">
        <v>8549</v>
      </c>
      <c r="AU402">
        <v>58.5</v>
      </c>
      <c r="AV402">
        <v>0</v>
      </c>
      <c r="AW402" t="s">
        <v>8450</v>
      </c>
      <c r="AX402">
        <v>1</v>
      </c>
      <c r="AY402" t="s">
        <v>8497</v>
      </c>
      <c r="AZ402">
        <v>0</v>
      </c>
      <c r="BA402" t="s">
        <v>8449</v>
      </c>
      <c r="BB402">
        <v>1</v>
      </c>
      <c r="BC402" t="s">
        <v>8471</v>
      </c>
      <c r="BD402">
        <v>57.05</v>
      </c>
      <c r="BE402" t="s">
        <v>8546</v>
      </c>
      <c r="BF402" t="s">
        <v>8534</v>
      </c>
      <c r="BG402" t="s">
        <v>8495</v>
      </c>
      <c r="BH402">
        <v>9.0909100000000007E-2</v>
      </c>
    </row>
    <row r="403" spans="1:63" x14ac:dyDescent="0.25">
      <c r="A403">
        <v>584</v>
      </c>
      <c r="B403">
        <v>575</v>
      </c>
      <c r="C403" t="s">
        <v>8445</v>
      </c>
      <c r="F403">
        <v>1028498</v>
      </c>
      <c r="G403" t="s">
        <v>9087</v>
      </c>
      <c r="H403" t="s">
        <v>9088</v>
      </c>
      <c r="I403" t="s">
        <v>8490</v>
      </c>
      <c r="J403">
        <v>0</v>
      </c>
      <c r="K403">
        <v>6</v>
      </c>
      <c r="L403">
        <v>0</v>
      </c>
      <c r="M403">
        <v>145000</v>
      </c>
      <c r="N403">
        <v>11</v>
      </c>
      <c r="O403">
        <v>0</v>
      </c>
      <c r="P403">
        <v>1</v>
      </c>
      <c r="Q403">
        <v>0</v>
      </c>
      <c r="R403">
        <v>0</v>
      </c>
      <c r="S403">
        <v>508</v>
      </c>
      <c r="T403">
        <v>0</v>
      </c>
      <c r="U403">
        <v>0</v>
      </c>
      <c r="V403">
        <v>96</v>
      </c>
      <c r="W403" t="s">
        <v>8466</v>
      </c>
      <c r="X403">
        <v>0</v>
      </c>
      <c r="Y403">
        <v>5</v>
      </c>
      <c r="Z403">
        <v>0</v>
      </c>
      <c r="AA403">
        <v>1</v>
      </c>
      <c r="AB403">
        <v>0</v>
      </c>
      <c r="AC403">
        <v>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-1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11</v>
      </c>
      <c r="AQ403">
        <v>22</v>
      </c>
      <c r="AR403">
        <v>11</v>
      </c>
      <c r="AS403">
        <v>11</v>
      </c>
      <c r="AT403" t="s">
        <v>8489</v>
      </c>
      <c r="AU403">
        <v>0</v>
      </c>
      <c r="AV403">
        <v>0</v>
      </c>
      <c r="AW403" t="s">
        <v>8460</v>
      </c>
      <c r="AX403">
        <v>1</v>
      </c>
      <c r="AY403" t="s">
        <v>8459</v>
      </c>
      <c r="AZ403">
        <v>1</v>
      </c>
      <c r="BA403" t="s">
        <v>8483</v>
      </c>
      <c r="BB403">
        <v>0</v>
      </c>
      <c r="BC403" t="s">
        <v>8471</v>
      </c>
      <c r="BD403">
        <v>0</v>
      </c>
      <c r="BE403" t="s">
        <v>8464</v>
      </c>
      <c r="BF403" t="s">
        <v>8464</v>
      </c>
      <c r="BG403" t="s">
        <v>8464</v>
      </c>
      <c r="BH403">
        <v>0.5</v>
      </c>
      <c r="BJ403" s="1" t="s">
        <v>9089</v>
      </c>
      <c r="BK403" s="1" t="s">
        <v>9090</v>
      </c>
    </row>
    <row r="404" spans="1:63" x14ac:dyDescent="0.25">
      <c r="A404">
        <v>585</v>
      </c>
      <c r="B404">
        <v>237</v>
      </c>
      <c r="C404" t="s">
        <v>8445</v>
      </c>
      <c r="F404">
        <v>999824</v>
      </c>
      <c r="G404" t="s">
        <v>6099</v>
      </c>
      <c r="H404" t="s">
        <v>6100</v>
      </c>
      <c r="I404" t="s">
        <v>8502</v>
      </c>
      <c r="J404">
        <v>0</v>
      </c>
      <c r="K404">
        <v>6</v>
      </c>
      <c r="L404">
        <v>0</v>
      </c>
      <c r="M404">
        <v>144900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510</v>
      </c>
      <c r="T404">
        <v>0</v>
      </c>
      <c r="U404">
        <v>0</v>
      </c>
      <c r="V404">
        <v>0</v>
      </c>
      <c r="W404" t="s">
        <v>8466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7</v>
      </c>
      <c r="AR404">
        <v>0</v>
      </c>
      <c r="AS404">
        <v>0</v>
      </c>
      <c r="AT404" t="s">
        <v>8501</v>
      </c>
      <c r="AU404">
        <v>38.333300000000001</v>
      </c>
      <c r="AV404">
        <v>1</v>
      </c>
      <c r="AW404" t="s">
        <v>8469</v>
      </c>
      <c r="AX404">
        <v>0</v>
      </c>
      <c r="AY404" t="s">
        <v>8470</v>
      </c>
      <c r="AZ404">
        <v>1</v>
      </c>
      <c r="BA404" t="s">
        <v>8530</v>
      </c>
      <c r="BB404">
        <v>0</v>
      </c>
      <c r="BC404" t="s">
        <v>8484</v>
      </c>
      <c r="BD404">
        <v>47</v>
      </c>
      <c r="BE404" t="s">
        <v>8463</v>
      </c>
      <c r="BF404" t="s">
        <v>8455</v>
      </c>
      <c r="BG404" t="s">
        <v>8463</v>
      </c>
      <c r="BH404">
        <v>0.15909100000000001</v>
      </c>
    </row>
    <row r="405" spans="1:63" x14ac:dyDescent="0.25">
      <c r="A405">
        <v>586</v>
      </c>
      <c r="B405">
        <v>486</v>
      </c>
      <c r="C405" t="s">
        <v>8445</v>
      </c>
      <c r="F405">
        <v>1028551</v>
      </c>
      <c r="G405" t="s">
        <v>7193</v>
      </c>
      <c r="H405" t="s">
        <v>1140</v>
      </c>
      <c r="I405" t="s">
        <v>8467</v>
      </c>
      <c r="J405">
        <v>0</v>
      </c>
      <c r="K405">
        <v>6</v>
      </c>
      <c r="L405">
        <v>0</v>
      </c>
      <c r="M405">
        <v>143300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510</v>
      </c>
      <c r="T405">
        <v>0</v>
      </c>
      <c r="U405">
        <v>0</v>
      </c>
      <c r="V405">
        <v>0</v>
      </c>
      <c r="W405" t="s">
        <v>8447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8</v>
      </c>
      <c r="AR405">
        <v>0</v>
      </c>
      <c r="AS405">
        <v>0</v>
      </c>
      <c r="AT405" t="s">
        <v>8465</v>
      </c>
      <c r="AU405">
        <v>0</v>
      </c>
      <c r="AV405">
        <v>0</v>
      </c>
      <c r="AW405" t="s">
        <v>8497</v>
      </c>
      <c r="AX405">
        <v>1</v>
      </c>
      <c r="AY405" t="s">
        <v>8451</v>
      </c>
      <c r="AZ405">
        <v>1</v>
      </c>
      <c r="BA405" t="s">
        <v>8492</v>
      </c>
      <c r="BB405">
        <v>0</v>
      </c>
      <c r="BC405" t="s">
        <v>8471</v>
      </c>
      <c r="BD405">
        <v>35</v>
      </c>
      <c r="BE405" t="s">
        <v>8472</v>
      </c>
      <c r="BF405" t="s">
        <v>8455</v>
      </c>
      <c r="BG405" t="s">
        <v>8498</v>
      </c>
      <c r="BH405">
        <v>0.18181800000000001</v>
      </c>
    </row>
    <row r="406" spans="1:63" x14ac:dyDescent="0.25">
      <c r="A406">
        <v>587</v>
      </c>
      <c r="B406">
        <v>525</v>
      </c>
      <c r="C406" t="s">
        <v>8445</v>
      </c>
      <c r="F406">
        <v>1028529</v>
      </c>
      <c r="G406" t="s">
        <v>6163</v>
      </c>
      <c r="H406" t="s">
        <v>5590</v>
      </c>
      <c r="I406" t="s">
        <v>8448</v>
      </c>
      <c r="J406">
        <v>0</v>
      </c>
      <c r="K406">
        <v>6</v>
      </c>
      <c r="L406">
        <v>0</v>
      </c>
      <c r="M406">
        <v>158900</v>
      </c>
      <c r="N406">
        <v>166</v>
      </c>
      <c r="O406">
        <v>0</v>
      </c>
      <c r="P406">
        <v>5</v>
      </c>
      <c r="Q406">
        <v>0</v>
      </c>
      <c r="R406">
        <v>18400</v>
      </c>
      <c r="S406">
        <v>385</v>
      </c>
      <c r="T406">
        <v>0</v>
      </c>
      <c r="U406">
        <v>0</v>
      </c>
      <c r="V406">
        <v>361</v>
      </c>
      <c r="W406" t="s">
        <v>8505</v>
      </c>
      <c r="X406">
        <v>0</v>
      </c>
      <c r="Y406">
        <v>25</v>
      </c>
      <c r="Z406">
        <v>0</v>
      </c>
      <c r="AA406">
        <v>17</v>
      </c>
      <c r="AB406">
        <v>0</v>
      </c>
      <c r="AC406">
        <v>15</v>
      </c>
      <c r="AD406">
        <v>0</v>
      </c>
      <c r="AE406">
        <v>6</v>
      </c>
      <c r="AF406">
        <v>0</v>
      </c>
      <c r="AG406">
        <v>2</v>
      </c>
      <c r="AH406">
        <v>0</v>
      </c>
      <c r="AI406">
        <v>-2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3</v>
      </c>
      <c r="AP406">
        <v>33.200000000000003</v>
      </c>
      <c r="AQ406">
        <v>125</v>
      </c>
      <c r="AR406">
        <v>33.200000000000003</v>
      </c>
      <c r="AS406">
        <v>24</v>
      </c>
      <c r="AT406" t="s">
        <v>8446</v>
      </c>
      <c r="AU406">
        <v>0</v>
      </c>
      <c r="AV406">
        <v>1</v>
      </c>
      <c r="AW406" t="s">
        <v>8526</v>
      </c>
      <c r="AX406">
        <v>0</v>
      </c>
      <c r="AY406" t="s">
        <v>8493</v>
      </c>
      <c r="AZ406">
        <v>1</v>
      </c>
      <c r="BA406" t="s">
        <v>8469</v>
      </c>
      <c r="BB406">
        <v>0</v>
      </c>
      <c r="BC406" t="s">
        <v>8452</v>
      </c>
      <c r="BD406">
        <v>0</v>
      </c>
      <c r="BE406" t="s">
        <v>8472</v>
      </c>
      <c r="BF406" t="s">
        <v>8534</v>
      </c>
      <c r="BG406" t="s">
        <v>8472</v>
      </c>
      <c r="BH406">
        <v>2.84091</v>
      </c>
      <c r="BJ406" s="1" t="s">
        <v>9091</v>
      </c>
      <c r="BK406" s="1" t="s">
        <v>9092</v>
      </c>
    </row>
    <row r="407" spans="1:63" x14ac:dyDescent="0.25">
      <c r="A407">
        <v>588</v>
      </c>
      <c r="B407">
        <v>728</v>
      </c>
      <c r="C407" t="s">
        <v>8445</v>
      </c>
      <c r="F407">
        <v>992048</v>
      </c>
      <c r="G407" t="s">
        <v>2813</v>
      </c>
      <c r="H407" t="s">
        <v>1394</v>
      </c>
      <c r="I407" t="s">
        <v>8548</v>
      </c>
      <c r="J407">
        <v>0</v>
      </c>
      <c r="K407">
        <v>6</v>
      </c>
      <c r="L407">
        <v>0</v>
      </c>
      <c r="M407">
        <v>138500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510</v>
      </c>
      <c r="T407">
        <v>0</v>
      </c>
      <c r="U407">
        <v>0</v>
      </c>
      <c r="V407">
        <v>0</v>
      </c>
      <c r="W407" t="s">
        <v>8457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6</v>
      </c>
      <c r="AR407">
        <v>0</v>
      </c>
      <c r="AS407">
        <v>0</v>
      </c>
      <c r="AT407" t="s">
        <v>8549</v>
      </c>
      <c r="AU407">
        <v>28</v>
      </c>
      <c r="AV407">
        <v>0</v>
      </c>
      <c r="AW407" t="s">
        <v>8450</v>
      </c>
      <c r="AX407">
        <v>1</v>
      </c>
      <c r="AY407" t="s">
        <v>8497</v>
      </c>
      <c r="AZ407">
        <v>0</v>
      </c>
      <c r="BA407" t="s">
        <v>8449</v>
      </c>
      <c r="BB407">
        <v>1</v>
      </c>
      <c r="BC407" t="s">
        <v>8471</v>
      </c>
      <c r="BD407">
        <v>46.642899999999997</v>
      </c>
      <c r="BE407" t="s">
        <v>8546</v>
      </c>
      <c r="BF407" t="s">
        <v>8534</v>
      </c>
      <c r="BG407" t="s">
        <v>8495</v>
      </c>
      <c r="BH407">
        <v>0.13636400000000001</v>
      </c>
    </row>
    <row r="408" spans="1:63" x14ac:dyDescent="0.25">
      <c r="A408">
        <v>589</v>
      </c>
      <c r="B408">
        <v>477</v>
      </c>
      <c r="C408" t="s">
        <v>8445</v>
      </c>
      <c r="F408">
        <v>1017095</v>
      </c>
      <c r="G408" t="s">
        <v>7155</v>
      </c>
      <c r="H408" t="s">
        <v>8257</v>
      </c>
      <c r="I408" t="s">
        <v>8467</v>
      </c>
      <c r="J408">
        <v>0</v>
      </c>
      <c r="K408">
        <v>6</v>
      </c>
      <c r="L408">
        <v>0</v>
      </c>
      <c r="M408">
        <v>137900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510</v>
      </c>
      <c r="T408">
        <v>0</v>
      </c>
      <c r="U408">
        <v>0</v>
      </c>
      <c r="V408">
        <v>0</v>
      </c>
      <c r="W408" t="s">
        <v>8447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6</v>
      </c>
      <c r="AR408">
        <v>0</v>
      </c>
      <c r="AS408">
        <v>0</v>
      </c>
      <c r="AT408" t="s">
        <v>8465</v>
      </c>
      <c r="AU408">
        <v>-1</v>
      </c>
      <c r="AV408">
        <v>0</v>
      </c>
      <c r="AW408" t="s">
        <v>8497</v>
      </c>
      <c r="AX408">
        <v>1</v>
      </c>
      <c r="AY408" t="s">
        <v>8451</v>
      </c>
      <c r="AZ408">
        <v>1</v>
      </c>
      <c r="BA408" t="s">
        <v>8492</v>
      </c>
      <c r="BB408">
        <v>0</v>
      </c>
      <c r="BC408" t="s">
        <v>8471</v>
      </c>
      <c r="BD408">
        <v>39.777799999999999</v>
      </c>
      <c r="BE408" t="s">
        <v>8472</v>
      </c>
      <c r="BF408" t="s">
        <v>8455</v>
      </c>
      <c r="BG408" t="s">
        <v>8498</v>
      </c>
      <c r="BH408">
        <v>0.13636400000000001</v>
      </c>
    </row>
    <row r="409" spans="1:63" x14ac:dyDescent="0.25">
      <c r="A409">
        <v>590</v>
      </c>
      <c r="B409">
        <v>736</v>
      </c>
      <c r="C409" t="s">
        <v>8445</v>
      </c>
      <c r="F409">
        <v>1028449</v>
      </c>
      <c r="G409" t="s">
        <v>9093</v>
      </c>
      <c r="H409" t="s">
        <v>8996</v>
      </c>
      <c r="I409" t="s">
        <v>8456</v>
      </c>
      <c r="J409">
        <v>0</v>
      </c>
      <c r="K409">
        <v>6</v>
      </c>
      <c r="L409">
        <v>0</v>
      </c>
      <c r="M409">
        <v>136000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510</v>
      </c>
      <c r="T409">
        <v>0</v>
      </c>
      <c r="U409">
        <v>0</v>
      </c>
      <c r="V409">
        <v>0</v>
      </c>
      <c r="W409" t="s">
        <v>8457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167</v>
      </c>
      <c r="AR409">
        <v>0</v>
      </c>
      <c r="AS409">
        <v>0</v>
      </c>
      <c r="AT409" t="s">
        <v>8458</v>
      </c>
      <c r="AU409">
        <v>0</v>
      </c>
      <c r="AV409">
        <v>0</v>
      </c>
      <c r="AW409" t="s">
        <v>8459</v>
      </c>
      <c r="AX409">
        <v>1</v>
      </c>
      <c r="AY409" t="s">
        <v>8460</v>
      </c>
      <c r="AZ409">
        <v>0</v>
      </c>
      <c r="BA409" t="s">
        <v>8461</v>
      </c>
      <c r="BB409">
        <v>1</v>
      </c>
      <c r="BC409" t="s">
        <v>8462</v>
      </c>
      <c r="BD409">
        <v>0</v>
      </c>
      <c r="BE409" t="s">
        <v>8455</v>
      </c>
      <c r="BF409" t="s">
        <v>8463</v>
      </c>
      <c r="BG409" t="s">
        <v>8464</v>
      </c>
      <c r="BH409">
        <v>3.7954500000000002</v>
      </c>
    </row>
    <row r="410" spans="1:63" x14ac:dyDescent="0.25">
      <c r="A410">
        <v>591</v>
      </c>
      <c r="B410">
        <v>467</v>
      </c>
      <c r="C410" t="s">
        <v>8445</v>
      </c>
      <c r="F410">
        <v>1002282</v>
      </c>
      <c r="G410" t="s">
        <v>5306</v>
      </c>
      <c r="H410" t="s">
        <v>7679</v>
      </c>
      <c r="I410" t="s">
        <v>8501</v>
      </c>
      <c r="J410">
        <v>0</v>
      </c>
      <c r="K410">
        <v>6</v>
      </c>
      <c r="L410">
        <v>0</v>
      </c>
      <c r="M410">
        <v>134000</v>
      </c>
      <c r="N410">
        <v>77</v>
      </c>
      <c r="O410">
        <v>0</v>
      </c>
      <c r="P410">
        <v>3</v>
      </c>
      <c r="Q410">
        <v>0</v>
      </c>
      <c r="R410">
        <v>-1800</v>
      </c>
      <c r="S410">
        <v>458</v>
      </c>
      <c r="T410">
        <v>0</v>
      </c>
      <c r="U410">
        <v>0</v>
      </c>
      <c r="V410">
        <v>210</v>
      </c>
      <c r="W410" t="s">
        <v>8505</v>
      </c>
      <c r="X410">
        <v>0</v>
      </c>
      <c r="Y410">
        <v>12</v>
      </c>
      <c r="Z410">
        <v>0</v>
      </c>
      <c r="AA410">
        <v>12</v>
      </c>
      <c r="AB410">
        <v>0</v>
      </c>
      <c r="AC410">
        <v>5</v>
      </c>
      <c r="AD410">
        <v>0</v>
      </c>
      <c r="AE410">
        <v>3</v>
      </c>
      <c r="AF410">
        <v>0</v>
      </c>
      <c r="AG410">
        <v>2</v>
      </c>
      <c r="AH410">
        <v>0</v>
      </c>
      <c r="AI410">
        <v>-3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25.666699999999999</v>
      </c>
      <c r="AQ410">
        <v>11</v>
      </c>
      <c r="AR410">
        <v>25.666699999999999</v>
      </c>
      <c r="AS410">
        <v>25.666699999999999</v>
      </c>
      <c r="AT410" t="s">
        <v>8502</v>
      </c>
      <c r="AU410">
        <v>64</v>
      </c>
      <c r="AV410">
        <v>0</v>
      </c>
      <c r="AW410" t="s">
        <v>8461</v>
      </c>
      <c r="AX410">
        <v>0</v>
      </c>
      <c r="AY410" t="s">
        <v>8483</v>
      </c>
      <c r="AZ410">
        <v>1</v>
      </c>
      <c r="BA410" t="s">
        <v>8459</v>
      </c>
      <c r="BB410">
        <v>0</v>
      </c>
      <c r="BC410" t="s">
        <v>8484</v>
      </c>
      <c r="BD410">
        <v>58.268300000000004</v>
      </c>
      <c r="BE410" t="s">
        <v>8464</v>
      </c>
      <c r="BF410" t="s">
        <v>8463</v>
      </c>
      <c r="BG410" t="s">
        <v>8464</v>
      </c>
      <c r="BH410">
        <v>0.25</v>
      </c>
      <c r="BJ410" s="1" t="s">
        <v>9094</v>
      </c>
      <c r="BK410" s="1" t="s">
        <v>9095</v>
      </c>
    </row>
    <row r="411" spans="1:63" x14ac:dyDescent="0.25">
      <c r="A411">
        <v>592</v>
      </c>
      <c r="B411">
        <v>149</v>
      </c>
      <c r="C411" t="s">
        <v>8445</v>
      </c>
      <c r="F411">
        <v>997974</v>
      </c>
      <c r="G411" t="s">
        <v>5315</v>
      </c>
      <c r="H411" t="s">
        <v>1881</v>
      </c>
      <c r="I411" t="s">
        <v>8525</v>
      </c>
      <c r="J411">
        <v>0</v>
      </c>
      <c r="K411">
        <v>6</v>
      </c>
      <c r="L411">
        <v>0</v>
      </c>
      <c r="M411">
        <v>134000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510</v>
      </c>
      <c r="T411">
        <v>0</v>
      </c>
      <c r="U411">
        <v>0</v>
      </c>
      <c r="V411">
        <v>0</v>
      </c>
      <c r="W411" t="s">
        <v>8466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14</v>
      </c>
      <c r="AR411">
        <v>0</v>
      </c>
      <c r="AS411">
        <v>0</v>
      </c>
      <c r="AT411" t="s">
        <v>8524</v>
      </c>
      <c r="AU411">
        <v>81</v>
      </c>
      <c r="AV411">
        <v>1</v>
      </c>
      <c r="AW411" t="s">
        <v>8451</v>
      </c>
      <c r="AX411">
        <v>0</v>
      </c>
      <c r="AY411" t="s">
        <v>8468</v>
      </c>
      <c r="AZ411">
        <v>0</v>
      </c>
      <c r="BA411" t="s">
        <v>8513</v>
      </c>
      <c r="BB411">
        <v>1</v>
      </c>
      <c r="BC411" t="s">
        <v>8527</v>
      </c>
      <c r="BD411">
        <v>81</v>
      </c>
      <c r="BE411" t="s">
        <v>8464</v>
      </c>
      <c r="BF411" t="s">
        <v>8464</v>
      </c>
      <c r="BG411" t="s">
        <v>8463</v>
      </c>
      <c r="BH411">
        <v>0.31818200000000002</v>
      </c>
    </row>
    <row r="412" spans="1:63" x14ac:dyDescent="0.25">
      <c r="A412">
        <v>593</v>
      </c>
      <c r="B412">
        <v>685</v>
      </c>
      <c r="C412" t="s">
        <v>8445</v>
      </c>
      <c r="F412">
        <v>1004985</v>
      </c>
      <c r="G412" t="s">
        <v>670</v>
      </c>
      <c r="H412" t="s">
        <v>6211</v>
      </c>
      <c r="I412" t="s">
        <v>8446</v>
      </c>
      <c r="J412">
        <v>0</v>
      </c>
      <c r="K412">
        <v>6</v>
      </c>
      <c r="L412">
        <v>0</v>
      </c>
      <c r="M412">
        <v>133400</v>
      </c>
      <c r="N412">
        <v>110</v>
      </c>
      <c r="O412">
        <v>0</v>
      </c>
      <c r="P412">
        <v>2</v>
      </c>
      <c r="Q412">
        <v>0</v>
      </c>
      <c r="R412">
        <v>0</v>
      </c>
      <c r="S412">
        <v>434</v>
      </c>
      <c r="T412">
        <v>0</v>
      </c>
      <c r="U412">
        <v>0</v>
      </c>
      <c r="V412">
        <v>164</v>
      </c>
      <c r="W412" t="s">
        <v>8505</v>
      </c>
      <c r="X412">
        <v>0</v>
      </c>
      <c r="Y412">
        <v>11</v>
      </c>
      <c r="Z412">
        <v>0</v>
      </c>
      <c r="AA412">
        <v>11</v>
      </c>
      <c r="AB412">
        <v>0</v>
      </c>
      <c r="AC412">
        <v>4</v>
      </c>
      <c r="AD412">
        <v>0</v>
      </c>
      <c r="AE412">
        <v>4</v>
      </c>
      <c r="AF412">
        <v>0</v>
      </c>
      <c r="AG412">
        <v>0</v>
      </c>
      <c r="AH412">
        <v>0</v>
      </c>
      <c r="AI412">
        <v>-2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55</v>
      </c>
      <c r="AQ412">
        <v>46</v>
      </c>
      <c r="AR412">
        <v>55</v>
      </c>
      <c r="AS412">
        <v>55</v>
      </c>
      <c r="AT412" t="s">
        <v>8448</v>
      </c>
      <c r="AU412">
        <v>85.333299999999994</v>
      </c>
      <c r="AV412">
        <v>0</v>
      </c>
      <c r="AW412" t="s">
        <v>8449</v>
      </c>
      <c r="AX412">
        <v>1</v>
      </c>
      <c r="AY412" t="s">
        <v>8450</v>
      </c>
      <c r="AZ412">
        <v>0</v>
      </c>
      <c r="BA412" t="s">
        <v>8451</v>
      </c>
      <c r="BB412">
        <v>1</v>
      </c>
      <c r="BC412" t="s">
        <v>8452</v>
      </c>
      <c r="BD412">
        <v>65.5</v>
      </c>
      <c r="BE412" t="s">
        <v>8453</v>
      </c>
      <c r="BF412" t="s">
        <v>8454</v>
      </c>
      <c r="BG412" t="s">
        <v>8455</v>
      </c>
      <c r="BH412">
        <v>1.04545</v>
      </c>
      <c r="BJ412" s="1" t="s">
        <v>9096</v>
      </c>
      <c r="BK412" s="1" t="s">
        <v>9097</v>
      </c>
    </row>
    <row r="413" spans="1:63" x14ac:dyDescent="0.25">
      <c r="A413">
        <v>594</v>
      </c>
      <c r="B413">
        <v>243</v>
      </c>
      <c r="C413" t="s">
        <v>8445</v>
      </c>
      <c r="F413">
        <v>1023346</v>
      </c>
      <c r="G413" t="s">
        <v>1464</v>
      </c>
      <c r="H413" t="s">
        <v>9098</v>
      </c>
      <c r="I413" t="s">
        <v>8502</v>
      </c>
      <c r="J413">
        <v>0</v>
      </c>
      <c r="K413">
        <v>6</v>
      </c>
      <c r="L413">
        <v>0</v>
      </c>
      <c r="M413">
        <v>132600</v>
      </c>
      <c r="N413">
        <v>34</v>
      </c>
      <c r="O413">
        <v>0</v>
      </c>
      <c r="P413">
        <v>1</v>
      </c>
      <c r="Q413">
        <v>0</v>
      </c>
      <c r="R413">
        <v>0</v>
      </c>
      <c r="S413">
        <v>494</v>
      </c>
      <c r="T413">
        <v>0</v>
      </c>
      <c r="U413">
        <v>0</v>
      </c>
      <c r="V413">
        <v>101</v>
      </c>
      <c r="W413" t="s">
        <v>8466</v>
      </c>
      <c r="X413">
        <v>0</v>
      </c>
      <c r="Y413">
        <v>4</v>
      </c>
      <c r="Z413">
        <v>0</v>
      </c>
      <c r="AA413">
        <v>2</v>
      </c>
      <c r="AB413">
        <v>0</v>
      </c>
      <c r="AC413">
        <v>1</v>
      </c>
      <c r="AD413">
        <v>0</v>
      </c>
      <c r="AE413">
        <v>2</v>
      </c>
      <c r="AF413">
        <v>0</v>
      </c>
      <c r="AG413">
        <v>1</v>
      </c>
      <c r="AH413">
        <v>0</v>
      </c>
      <c r="AI413">
        <v>-3</v>
      </c>
      <c r="AJ413">
        <v>0</v>
      </c>
      <c r="AK413">
        <v>18</v>
      </c>
      <c r="AL413">
        <v>0</v>
      </c>
      <c r="AM413">
        <v>0</v>
      </c>
      <c r="AN413">
        <v>0</v>
      </c>
      <c r="AO413">
        <v>0</v>
      </c>
      <c r="AP413">
        <v>34</v>
      </c>
      <c r="AQ413">
        <v>121</v>
      </c>
      <c r="AR413">
        <v>34</v>
      </c>
      <c r="AS413">
        <v>34</v>
      </c>
      <c r="AT413" t="s">
        <v>8501</v>
      </c>
      <c r="AU413">
        <v>0</v>
      </c>
      <c r="AV413">
        <v>1</v>
      </c>
      <c r="AW413" t="s">
        <v>8469</v>
      </c>
      <c r="AX413">
        <v>0</v>
      </c>
      <c r="AY413" t="s">
        <v>8470</v>
      </c>
      <c r="AZ413">
        <v>1</v>
      </c>
      <c r="BA413" t="s">
        <v>8530</v>
      </c>
      <c r="BB413">
        <v>0</v>
      </c>
      <c r="BC413" t="s">
        <v>8484</v>
      </c>
      <c r="BD413">
        <v>0</v>
      </c>
      <c r="BE413" t="s">
        <v>8463</v>
      </c>
      <c r="BF413" t="s">
        <v>8455</v>
      </c>
      <c r="BG413" t="s">
        <v>8463</v>
      </c>
      <c r="BH413">
        <v>2.75</v>
      </c>
      <c r="BJ413" s="1" t="s">
        <v>9099</v>
      </c>
      <c r="BK413">
        <v>3900</v>
      </c>
    </row>
    <row r="414" spans="1:63" x14ac:dyDescent="0.25">
      <c r="A414">
        <v>595</v>
      </c>
      <c r="B414">
        <v>242</v>
      </c>
      <c r="C414" t="s">
        <v>8445</v>
      </c>
      <c r="F414">
        <v>1028513</v>
      </c>
      <c r="G414" t="s">
        <v>1635</v>
      </c>
      <c r="H414" t="s">
        <v>3256</v>
      </c>
      <c r="I414" t="s">
        <v>8502</v>
      </c>
      <c r="J414">
        <v>0</v>
      </c>
      <c r="K414">
        <v>6</v>
      </c>
      <c r="L414">
        <v>0</v>
      </c>
      <c r="M414">
        <v>294900</v>
      </c>
      <c r="N414">
        <v>362</v>
      </c>
      <c r="O414">
        <v>0</v>
      </c>
      <c r="P414">
        <v>5</v>
      </c>
      <c r="Q414">
        <v>0</v>
      </c>
      <c r="R414">
        <v>163400</v>
      </c>
      <c r="S414">
        <v>154</v>
      </c>
      <c r="T414">
        <v>0</v>
      </c>
      <c r="U414">
        <v>0</v>
      </c>
      <c r="V414">
        <v>506</v>
      </c>
      <c r="W414" t="s">
        <v>8481</v>
      </c>
      <c r="X414">
        <v>0</v>
      </c>
      <c r="Y414">
        <v>42</v>
      </c>
      <c r="Z414">
        <v>0</v>
      </c>
      <c r="AA414">
        <v>29</v>
      </c>
      <c r="AB414">
        <v>0</v>
      </c>
      <c r="AC414">
        <v>10</v>
      </c>
      <c r="AD414">
        <v>0</v>
      </c>
      <c r="AE414">
        <v>11</v>
      </c>
      <c r="AF414">
        <v>0</v>
      </c>
      <c r="AG414">
        <v>3</v>
      </c>
      <c r="AH414">
        <v>0</v>
      </c>
      <c r="AI414">
        <v>-3</v>
      </c>
      <c r="AJ414">
        <v>0</v>
      </c>
      <c r="AK414">
        <v>0</v>
      </c>
      <c r="AL414">
        <v>0</v>
      </c>
      <c r="AM414">
        <v>6</v>
      </c>
      <c r="AN414">
        <v>0</v>
      </c>
      <c r="AO414">
        <v>5</v>
      </c>
      <c r="AP414">
        <v>72.400000000000006</v>
      </c>
      <c r="AQ414">
        <v>922</v>
      </c>
      <c r="AR414">
        <v>72.400000000000006</v>
      </c>
      <c r="AS414">
        <v>79</v>
      </c>
      <c r="AT414" t="s">
        <v>8501</v>
      </c>
      <c r="AU414">
        <v>0</v>
      </c>
      <c r="AV414">
        <v>1</v>
      </c>
      <c r="AW414" t="s">
        <v>8469</v>
      </c>
      <c r="AX414">
        <v>0</v>
      </c>
      <c r="AY414" t="s">
        <v>8470</v>
      </c>
      <c r="AZ414">
        <v>1</v>
      </c>
      <c r="BA414" t="s">
        <v>8530</v>
      </c>
      <c r="BB414">
        <v>0</v>
      </c>
      <c r="BC414" t="s">
        <v>8484</v>
      </c>
      <c r="BD414">
        <v>0</v>
      </c>
      <c r="BE414" t="s">
        <v>8463</v>
      </c>
      <c r="BF414" t="s">
        <v>8455</v>
      </c>
      <c r="BG414" t="s">
        <v>8463</v>
      </c>
      <c r="BH414">
        <v>20.954499999999999</v>
      </c>
      <c r="BJ414" s="1" t="s">
        <v>9100</v>
      </c>
      <c r="BK414" s="1" t="s">
        <v>9101</v>
      </c>
    </row>
    <row r="415" spans="1:63" x14ac:dyDescent="0.25">
      <c r="A415">
        <v>596</v>
      </c>
      <c r="B415">
        <v>755</v>
      </c>
      <c r="C415" t="s">
        <v>8445</v>
      </c>
      <c r="F415">
        <v>1024188</v>
      </c>
      <c r="G415" t="s">
        <v>1537</v>
      </c>
      <c r="H415" t="s">
        <v>4726</v>
      </c>
      <c r="I415" t="s">
        <v>8456</v>
      </c>
      <c r="J415">
        <v>0</v>
      </c>
      <c r="K415">
        <v>6</v>
      </c>
      <c r="L415">
        <v>0</v>
      </c>
      <c r="M415">
        <v>187100</v>
      </c>
      <c r="N415">
        <v>208</v>
      </c>
      <c r="O415">
        <v>0</v>
      </c>
      <c r="P415">
        <v>3</v>
      </c>
      <c r="Q415">
        <v>0</v>
      </c>
      <c r="R415">
        <v>57600</v>
      </c>
      <c r="S415">
        <v>348</v>
      </c>
      <c r="T415">
        <v>0</v>
      </c>
      <c r="U415">
        <v>0</v>
      </c>
      <c r="V415">
        <v>277</v>
      </c>
      <c r="W415" t="s">
        <v>8505</v>
      </c>
      <c r="X415">
        <v>0</v>
      </c>
      <c r="Y415">
        <v>11</v>
      </c>
      <c r="Z415">
        <v>0</v>
      </c>
      <c r="AA415">
        <v>34</v>
      </c>
      <c r="AB415">
        <v>0</v>
      </c>
      <c r="AC415">
        <v>2</v>
      </c>
      <c r="AD415">
        <v>0</v>
      </c>
      <c r="AE415">
        <v>7</v>
      </c>
      <c r="AF415">
        <v>0</v>
      </c>
      <c r="AG415">
        <v>1</v>
      </c>
      <c r="AH415">
        <v>0</v>
      </c>
      <c r="AI415">
        <v>-3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1</v>
      </c>
      <c r="AP415">
        <v>69.333299999999994</v>
      </c>
      <c r="AQ415">
        <v>208</v>
      </c>
      <c r="AR415">
        <v>69.333299999999994</v>
      </c>
      <c r="AS415">
        <v>69.333299999999994</v>
      </c>
      <c r="AT415" t="s">
        <v>8458</v>
      </c>
      <c r="AU415">
        <v>0</v>
      </c>
      <c r="AV415">
        <v>0</v>
      </c>
      <c r="AW415" t="s">
        <v>8459</v>
      </c>
      <c r="AX415">
        <v>1</v>
      </c>
      <c r="AY415" t="s">
        <v>8460</v>
      </c>
      <c r="AZ415">
        <v>0</v>
      </c>
      <c r="BA415" t="s">
        <v>8461</v>
      </c>
      <c r="BB415">
        <v>1</v>
      </c>
      <c r="BC415" t="s">
        <v>8462</v>
      </c>
      <c r="BD415">
        <v>35</v>
      </c>
      <c r="BE415" t="s">
        <v>8455</v>
      </c>
      <c r="BF415" t="s">
        <v>8463</v>
      </c>
      <c r="BG415" t="s">
        <v>8464</v>
      </c>
      <c r="BH415">
        <v>4.7272699999999999</v>
      </c>
      <c r="BJ415" s="1" t="s">
        <v>9102</v>
      </c>
      <c r="BK415" s="1" t="s">
        <v>9103</v>
      </c>
    </row>
    <row r="416" spans="1:63" x14ac:dyDescent="0.25">
      <c r="A416">
        <v>597</v>
      </c>
      <c r="B416">
        <v>421</v>
      </c>
      <c r="C416" t="s">
        <v>8445</v>
      </c>
      <c r="F416">
        <v>1027965</v>
      </c>
      <c r="G416" t="s">
        <v>5439</v>
      </c>
      <c r="H416" t="s">
        <v>9104</v>
      </c>
      <c r="I416" t="s">
        <v>8480</v>
      </c>
      <c r="J416">
        <v>0</v>
      </c>
      <c r="K416">
        <v>6</v>
      </c>
      <c r="L416">
        <v>0</v>
      </c>
      <c r="M416">
        <v>128200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510</v>
      </c>
      <c r="T416">
        <v>0</v>
      </c>
      <c r="U416">
        <v>0</v>
      </c>
      <c r="V416">
        <v>0</v>
      </c>
      <c r="W416" t="s">
        <v>8447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10</v>
      </c>
      <c r="AR416">
        <v>0</v>
      </c>
      <c r="AS416">
        <v>0</v>
      </c>
      <c r="AT416" t="s">
        <v>8482</v>
      </c>
      <c r="AU416">
        <v>0</v>
      </c>
      <c r="AV416">
        <v>1</v>
      </c>
      <c r="AW416" t="s">
        <v>8483</v>
      </c>
      <c r="AX416">
        <v>0</v>
      </c>
      <c r="AY416" t="s">
        <v>8461</v>
      </c>
      <c r="AZ416">
        <v>0</v>
      </c>
      <c r="BA416" t="s">
        <v>8460</v>
      </c>
      <c r="BB416">
        <v>1</v>
      </c>
      <c r="BC416" t="s">
        <v>8484</v>
      </c>
      <c r="BD416">
        <v>17.5</v>
      </c>
      <c r="BE416" t="s">
        <v>8455</v>
      </c>
      <c r="BF416" t="s">
        <v>8464</v>
      </c>
      <c r="BG416" t="s">
        <v>8464</v>
      </c>
      <c r="BH416">
        <v>0.227273</v>
      </c>
    </row>
    <row r="417" spans="1:63" x14ac:dyDescent="0.25">
      <c r="A417">
        <v>598</v>
      </c>
      <c r="B417">
        <v>478</v>
      </c>
      <c r="C417" t="s">
        <v>8445</v>
      </c>
      <c r="F417">
        <v>1000061</v>
      </c>
      <c r="G417" t="s">
        <v>3661</v>
      </c>
      <c r="H417" t="s">
        <v>5181</v>
      </c>
      <c r="I417" t="s">
        <v>8467</v>
      </c>
      <c r="J417">
        <v>0</v>
      </c>
      <c r="K417">
        <v>6</v>
      </c>
      <c r="L417">
        <v>0</v>
      </c>
      <c r="M417">
        <v>128200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510</v>
      </c>
      <c r="T417">
        <v>0</v>
      </c>
      <c r="U417">
        <v>0</v>
      </c>
      <c r="V417">
        <v>0</v>
      </c>
      <c r="W417" t="s">
        <v>8447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11</v>
      </c>
      <c r="AR417">
        <v>0</v>
      </c>
      <c r="AS417">
        <v>0</v>
      </c>
      <c r="AT417" t="s">
        <v>8465</v>
      </c>
      <c r="AU417">
        <v>46.5</v>
      </c>
      <c r="AV417">
        <v>0</v>
      </c>
      <c r="AW417" t="s">
        <v>8497</v>
      </c>
      <c r="AX417">
        <v>1</v>
      </c>
      <c r="AY417" t="s">
        <v>8451</v>
      </c>
      <c r="AZ417">
        <v>1</v>
      </c>
      <c r="BA417" t="s">
        <v>8492</v>
      </c>
      <c r="BB417">
        <v>0</v>
      </c>
      <c r="BC417" t="s">
        <v>8471</v>
      </c>
      <c r="BD417">
        <v>49.615400000000001</v>
      </c>
      <c r="BE417" t="s">
        <v>8472</v>
      </c>
      <c r="BF417" t="s">
        <v>8455</v>
      </c>
      <c r="BG417" t="s">
        <v>8498</v>
      </c>
      <c r="BH417">
        <v>0.25</v>
      </c>
    </row>
    <row r="418" spans="1:63" x14ac:dyDescent="0.25">
      <c r="A418">
        <v>599</v>
      </c>
      <c r="B418">
        <v>365</v>
      </c>
      <c r="C418" t="s">
        <v>8445</v>
      </c>
      <c r="F418">
        <v>1028485</v>
      </c>
      <c r="G418" t="s">
        <v>3871</v>
      </c>
      <c r="H418" t="s">
        <v>9105</v>
      </c>
      <c r="I418" t="s">
        <v>8512</v>
      </c>
      <c r="J418">
        <v>0</v>
      </c>
      <c r="K418">
        <v>6</v>
      </c>
      <c r="L418">
        <v>0</v>
      </c>
      <c r="M418">
        <v>127000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510</v>
      </c>
      <c r="T418">
        <v>0</v>
      </c>
      <c r="U418">
        <v>0</v>
      </c>
      <c r="V418">
        <v>0</v>
      </c>
      <c r="W418" t="s">
        <v>8447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31</v>
      </c>
      <c r="AR418">
        <v>0</v>
      </c>
      <c r="AS418">
        <v>0</v>
      </c>
      <c r="AT418" t="s">
        <v>8511</v>
      </c>
      <c r="AU418">
        <v>0</v>
      </c>
      <c r="AV418">
        <v>1</v>
      </c>
      <c r="AW418" t="s">
        <v>8493</v>
      </c>
      <c r="AX418">
        <v>0</v>
      </c>
      <c r="AY418" t="s">
        <v>8491</v>
      </c>
      <c r="AZ418">
        <v>1</v>
      </c>
      <c r="BA418" t="s">
        <v>8468</v>
      </c>
      <c r="BB418">
        <v>1</v>
      </c>
      <c r="BC418" t="s">
        <v>8515</v>
      </c>
      <c r="BD418">
        <v>0</v>
      </c>
      <c r="BE418" t="s">
        <v>8546</v>
      </c>
      <c r="BF418" t="s">
        <v>8454</v>
      </c>
      <c r="BG418" t="s">
        <v>8531</v>
      </c>
      <c r="BH418">
        <v>0.70454499999999998</v>
      </c>
    </row>
    <row r="419" spans="1:63" x14ac:dyDescent="0.25">
      <c r="A419">
        <v>600</v>
      </c>
      <c r="B419">
        <v>395</v>
      </c>
      <c r="C419" t="s">
        <v>8445</v>
      </c>
      <c r="F419">
        <v>1010708</v>
      </c>
      <c r="G419" t="s">
        <v>958</v>
      </c>
      <c r="H419" t="s">
        <v>1295</v>
      </c>
      <c r="I419" t="s">
        <v>8480</v>
      </c>
      <c r="J419">
        <v>0</v>
      </c>
      <c r="K419">
        <v>6</v>
      </c>
      <c r="L419">
        <v>0</v>
      </c>
      <c r="M419">
        <v>126600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510</v>
      </c>
      <c r="T419">
        <v>0</v>
      </c>
      <c r="U419">
        <v>0</v>
      </c>
      <c r="V419">
        <v>0</v>
      </c>
      <c r="W419" t="s">
        <v>8447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9</v>
      </c>
      <c r="AR419">
        <v>0</v>
      </c>
      <c r="AS419">
        <v>0</v>
      </c>
      <c r="AT419" t="s">
        <v>8482</v>
      </c>
      <c r="AU419">
        <v>0</v>
      </c>
      <c r="AV419">
        <v>1</v>
      </c>
      <c r="AW419" t="s">
        <v>8483</v>
      </c>
      <c r="AX419">
        <v>0</v>
      </c>
      <c r="AY419" t="s">
        <v>8461</v>
      </c>
      <c r="AZ419">
        <v>0</v>
      </c>
      <c r="BA419" t="s">
        <v>8460</v>
      </c>
      <c r="BB419">
        <v>1</v>
      </c>
      <c r="BC419" t="s">
        <v>8484</v>
      </c>
      <c r="BD419">
        <v>39.6</v>
      </c>
      <c r="BE419" t="s">
        <v>8455</v>
      </c>
      <c r="BF419" t="s">
        <v>8464</v>
      </c>
      <c r="BG419" t="s">
        <v>8464</v>
      </c>
      <c r="BH419">
        <v>0.204545</v>
      </c>
    </row>
    <row r="420" spans="1:63" x14ac:dyDescent="0.25">
      <c r="A420">
        <v>601</v>
      </c>
      <c r="B420">
        <v>658</v>
      </c>
      <c r="C420" t="s">
        <v>8445</v>
      </c>
      <c r="F420">
        <v>1024057</v>
      </c>
      <c r="G420" t="s">
        <v>9106</v>
      </c>
      <c r="H420" t="s">
        <v>9032</v>
      </c>
      <c r="I420" t="s">
        <v>8446</v>
      </c>
      <c r="J420">
        <v>0</v>
      </c>
      <c r="K420">
        <v>6</v>
      </c>
      <c r="L420">
        <v>0</v>
      </c>
      <c r="M420">
        <v>124100</v>
      </c>
      <c r="N420">
        <v>147</v>
      </c>
      <c r="O420">
        <v>0</v>
      </c>
      <c r="P420">
        <v>2</v>
      </c>
      <c r="Q420">
        <v>0</v>
      </c>
      <c r="R420">
        <v>0</v>
      </c>
      <c r="S420">
        <v>401</v>
      </c>
      <c r="T420">
        <v>0</v>
      </c>
      <c r="U420">
        <v>0</v>
      </c>
      <c r="V420">
        <v>193</v>
      </c>
      <c r="W420" t="s">
        <v>8505</v>
      </c>
      <c r="X420">
        <v>0</v>
      </c>
      <c r="Y420">
        <v>14</v>
      </c>
      <c r="Z420">
        <v>0</v>
      </c>
      <c r="AA420">
        <v>16</v>
      </c>
      <c r="AB420">
        <v>0</v>
      </c>
      <c r="AC420">
        <v>7</v>
      </c>
      <c r="AD420">
        <v>0</v>
      </c>
      <c r="AE420">
        <v>13</v>
      </c>
      <c r="AF420">
        <v>0</v>
      </c>
      <c r="AG420">
        <v>2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2</v>
      </c>
      <c r="AP420">
        <v>73.5</v>
      </c>
      <c r="AQ420">
        <v>198</v>
      </c>
      <c r="AR420">
        <v>73.5</v>
      </c>
      <c r="AS420">
        <v>73.5</v>
      </c>
      <c r="AT420" t="s">
        <v>8448</v>
      </c>
      <c r="AU420">
        <v>0</v>
      </c>
      <c r="AV420">
        <v>0</v>
      </c>
      <c r="AW420" t="s">
        <v>8449</v>
      </c>
      <c r="AX420">
        <v>1</v>
      </c>
      <c r="AY420" t="s">
        <v>8450</v>
      </c>
      <c r="AZ420">
        <v>0</v>
      </c>
      <c r="BA420" t="s">
        <v>8451</v>
      </c>
      <c r="BB420">
        <v>1</v>
      </c>
      <c r="BC420" t="s">
        <v>8452</v>
      </c>
      <c r="BD420">
        <v>18.333300000000001</v>
      </c>
      <c r="BE420" t="s">
        <v>8453</v>
      </c>
      <c r="BF420" t="s">
        <v>8454</v>
      </c>
      <c r="BG420" t="s">
        <v>8455</v>
      </c>
      <c r="BH420">
        <v>4.5</v>
      </c>
      <c r="BJ420" s="1" t="s">
        <v>9107</v>
      </c>
      <c r="BK420" s="1" t="s">
        <v>9108</v>
      </c>
    </row>
    <row r="421" spans="1:63" x14ac:dyDescent="0.25">
      <c r="A421">
        <v>602</v>
      </c>
      <c r="B421">
        <v>756</v>
      </c>
      <c r="C421" t="s">
        <v>8445</v>
      </c>
      <c r="F421">
        <v>1020670</v>
      </c>
      <c r="G421" t="s">
        <v>6071</v>
      </c>
      <c r="H421" t="s">
        <v>7242</v>
      </c>
      <c r="I421" t="s">
        <v>8456</v>
      </c>
      <c r="J421">
        <v>0</v>
      </c>
      <c r="K421">
        <v>6</v>
      </c>
      <c r="L421">
        <v>0</v>
      </c>
      <c r="M421">
        <v>149000</v>
      </c>
      <c r="N421">
        <v>132</v>
      </c>
      <c r="O421">
        <v>0</v>
      </c>
      <c r="P421">
        <v>3</v>
      </c>
      <c r="Q421">
        <v>0</v>
      </c>
      <c r="R421">
        <v>26200</v>
      </c>
      <c r="S421">
        <v>413</v>
      </c>
      <c r="T421">
        <v>0</v>
      </c>
      <c r="U421">
        <v>0</v>
      </c>
      <c r="V421">
        <v>228</v>
      </c>
      <c r="W421" t="s">
        <v>8505</v>
      </c>
      <c r="X421">
        <v>0</v>
      </c>
      <c r="Y421">
        <v>16</v>
      </c>
      <c r="Z421">
        <v>0</v>
      </c>
      <c r="AA421">
        <v>14</v>
      </c>
      <c r="AB421">
        <v>0</v>
      </c>
      <c r="AC421">
        <v>3</v>
      </c>
      <c r="AD421">
        <v>0</v>
      </c>
      <c r="AE421">
        <v>8</v>
      </c>
      <c r="AF421">
        <v>0</v>
      </c>
      <c r="AG421">
        <v>5</v>
      </c>
      <c r="AH421">
        <v>0</v>
      </c>
      <c r="AI421">
        <v>-1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3</v>
      </c>
      <c r="AP421">
        <v>44</v>
      </c>
      <c r="AQ421">
        <v>192</v>
      </c>
      <c r="AR421">
        <v>44</v>
      </c>
      <c r="AS421">
        <v>44</v>
      </c>
      <c r="AT421" t="s">
        <v>8458</v>
      </c>
      <c r="AU421">
        <v>43</v>
      </c>
      <c r="AV421">
        <v>0</v>
      </c>
      <c r="AW421" t="s">
        <v>8459</v>
      </c>
      <c r="AX421">
        <v>1</v>
      </c>
      <c r="AY421" t="s">
        <v>8460</v>
      </c>
      <c r="AZ421">
        <v>0</v>
      </c>
      <c r="BA421" t="s">
        <v>8461</v>
      </c>
      <c r="BB421">
        <v>1</v>
      </c>
      <c r="BC421" t="s">
        <v>8462</v>
      </c>
      <c r="BD421">
        <v>39.2727</v>
      </c>
      <c r="BE421" t="s">
        <v>8455</v>
      </c>
      <c r="BF421" t="s">
        <v>8463</v>
      </c>
      <c r="BG421" t="s">
        <v>8464</v>
      </c>
      <c r="BH421">
        <v>4.3636400000000002</v>
      </c>
      <c r="BJ421" s="1" t="s">
        <v>8877</v>
      </c>
      <c r="BK421" s="1" t="s">
        <v>9109</v>
      </c>
    </row>
    <row r="422" spans="1:63" x14ac:dyDescent="0.25">
      <c r="A422">
        <v>603</v>
      </c>
      <c r="B422">
        <v>376</v>
      </c>
      <c r="C422" t="s">
        <v>8445</v>
      </c>
      <c r="F422">
        <v>1028562</v>
      </c>
      <c r="G422" t="s">
        <v>7674</v>
      </c>
      <c r="H422" t="s">
        <v>3871</v>
      </c>
      <c r="I422" t="s">
        <v>8512</v>
      </c>
      <c r="J422">
        <v>0</v>
      </c>
      <c r="K422">
        <v>6</v>
      </c>
      <c r="L422">
        <v>0</v>
      </c>
      <c r="M422">
        <v>122500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510</v>
      </c>
      <c r="T422">
        <v>0</v>
      </c>
      <c r="U422">
        <v>0</v>
      </c>
      <c r="V422">
        <v>0</v>
      </c>
      <c r="W422" t="s">
        <v>8447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35</v>
      </c>
      <c r="AR422">
        <v>0</v>
      </c>
      <c r="AS422">
        <v>0</v>
      </c>
      <c r="AT422" t="s">
        <v>8511</v>
      </c>
      <c r="AU422">
        <v>0</v>
      </c>
      <c r="AV422">
        <v>1</v>
      </c>
      <c r="AW422" t="s">
        <v>8493</v>
      </c>
      <c r="AX422">
        <v>0</v>
      </c>
      <c r="AY422" t="s">
        <v>8491</v>
      </c>
      <c r="AZ422">
        <v>1</v>
      </c>
      <c r="BA422" t="s">
        <v>8468</v>
      </c>
      <c r="BB422">
        <v>1</v>
      </c>
      <c r="BC422" t="s">
        <v>8515</v>
      </c>
      <c r="BD422">
        <v>0</v>
      </c>
      <c r="BE422" t="s">
        <v>8546</v>
      </c>
      <c r="BF422" t="s">
        <v>8454</v>
      </c>
      <c r="BG422" t="s">
        <v>8531</v>
      </c>
      <c r="BH422">
        <v>0.79545500000000002</v>
      </c>
    </row>
    <row r="423" spans="1:63" x14ac:dyDescent="0.25">
      <c r="A423">
        <v>604</v>
      </c>
      <c r="B423">
        <v>79</v>
      </c>
      <c r="C423" t="s">
        <v>8445</v>
      </c>
      <c r="F423">
        <v>1009385</v>
      </c>
      <c r="G423" t="s">
        <v>5168</v>
      </c>
      <c r="H423" t="s">
        <v>3074</v>
      </c>
      <c r="I423" t="s">
        <v>8524</v>
      </c>
      <c r="J423">
        <v>0</v>
      </c>
      <c r="K423">
        <v>6</v>
      </c>
      <c r="L423">
        <v>0</v>
      </c>
      <c r="M423">
        <v>121200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510</v>
      </c>
      <c r="T423">
        <v>0</v>
      </c>
      <c r="U423">
        <v>0</v>
      </c>
      <c r="V423">
        <v>0</v>
      </c>
      <c r="W423" t="s">
        <v>8466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18</v>
      </c>
      <c r="AR423">
        <v>0</v>
      </c>
      <c r="AS423">
        <v>0</v>
      </c>
      <c r="AT423" t="s">
        <v>8525</v>
      </c>
      <c r="AU423">
        <v>45.75</v>
      </c>
      <c r="AV423">
        <v>0</v>
      </c>
      <c r="AW423" t="s">
        <v>8470</v>
      </c>
      <c r="AX423">
        <v>1</v>
      </c>
      <c r="AY423" t="s">
        <v>8449</v>
      </c>
      <c r="AZ423">
        <v>0</v>
      </c>
      <c r="BA423" t="s">
        <v>8526</v>
      </c>
      <c r="BB423">
        <v>1</v>
      </c>
      <c r="BC423" t="s">
        <v>8527</v>
      </c>
      <c r="BD423">
        <v>57.0625</v>
      </c>
      <c r="BE423" t="s">
        <v>8455</v>
      </c>
      <c r="BF423" t="s">
        <v>8494</v>
      </c>
      <c r="BG423" t="s">
        <v>8498</v>
      </c>
      <c r="BH423">
        <v>0.40909099999999998</v>
      </c>
    </row>
    <row r="424" spans="1:63" x14ac:dyDescent="0.25">
      <c r="A424">
        <v>605</v>
      </c>
      <c r="B424">
        <v>405</v>
      </c>
      <c r="C424" t="s">
        <v>8445</v>
      </c>
      <c r="F424">
        <v>1023680</v>
      </c>
      <c r="G424" t="s">
        <v>1249</v>
      </c>
      <c r="H424" t="s">
        <v>9110</v>
      </c>
      <c r="I424" t="s">
        <v>8480</v>
      </c>
      <c r="J424">
        <v>0</v>
      </c>
      <c r="K424">
        <v>6</v>
      </c>
      <c r="L424">
        <v>0</v>
      </c>
      <c r="M424">
        <v>121200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510</v>
      </c>
      <c r="T424">
        <v>0</v>
      </c>
      <c r="U424">
        <v>0</v>
      </c>
      <c r="V424">
        <v>0</v>
      </c>
      <c r="W424" t="s">
        <v>8447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105</v>
      </c>
      <c r="AR424">
        <v>0</v>
      </c>
      <c r="AS424">
        <v>0</v>
      </c>
      <c r="AT424" t="s">
        <v>8482</v>
      </c>
      <c r="AU424">
        <v>46</v>
      </c>
      <c r="AV424">
        <v>1</v>
      </c>
      <c r="AW424" t="s">
        <v>8483</v>
      </c>
      <c r="AX424">
        <v>0</v>
      </c>
      <c r="AY424" t="s">
        <v>8461</v>
      </c>
      <c r="AZ424">
        <v>0</v>
      </c>
      <c r="BA424" t="s">
        <v>8460</v>
      </c>
      <c r="BB424">
        <v>1</v>
      </c>
      <c r="BC424" t="s">
        <v>8484</v>
      </c>
      <c r="BD424">
        <v>59.333300000000001</v>
      </c>
      <c r="BE424" t="s">
        <v>8455</v>
      </c>
      <c r="BF424" t="s">
        <v>8464</v>
      </c>
      <c r="BG424" t="s">
        <v>8464</v>
      </c>
      <c r="BH424">
        <v>2.3863599999999998</v>
      </c>
    </row>
    <row r="425" spans="1:63" x14ac:dyDescent="0.25">
      <c r="A425">
        <v>606</v>
      </c>
      <c r="B425">
        <v>600</v>
      </c>
      <c r="C425" t="s">
        <v>8445</v>
      </c>
      <c r="F425">
        <v>1022999</v>
      </c>
      <c r="G425" t="s">
        <v>9111</v>
      </c>
      <c r="H425" t="s">
        <v>1538</v>
      </c>
      <c r="I425" t="s">
        <v>8490</v>
      </c>
      <c r="J425">
        <v>0</v>
      </c>
      <c r="K425">
        <v>6</v>
      </c>
      <c r="L425">
        <v>0</v>
      </c>
      <c r="M425">
        <v>117400</v>
      </c>
      <c r="N425">
        <v>64</v>
      </c>
      <c r="O425">
        <v>0</v>
      </c>
      <c r="P425">
        <v>3</v>
      </c>
      <c r="Q425">
        <v>0</v>
      </c>
      <c r="R425">
        <v>-3800</v>
      </c>
      <c r="S425">
        <v>469</v>
      </c>
      <c r="T425">
        <v>0</v>
      </c>
      <c r="U425">
        <v>0</v>
      </c>
      <c r="V425">
        <v>203</v>
      </c>
      <c r="W425" t="s">
        <v>8505</v>
      </c>
      <c r="X425">
        <v>0</v>
      </c>
      <c r="Y425">
        <v>19</v>
      </c>
      <c r="Z425">
        <v>0</v>
      </c>
      <c r="AA425">
        <v>6</v>
      </c>
      <c r="AB425">
        <v>0</v>
      </c>
      <c r="AC425">
        <v>9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-2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21.333300000000001</v>
      </c>
      <c r="AQ425">
        <v>15</v>
      </c>
      <c r="AR425">
        <v>21.333300000000001</v>
      </c>
      <c r="AS425">
        <v>21.333300000000001</v>
      </c>
      <c r="AT425" t="s">
        <v>8489</v>
      </c>
      <c r="AU425">
        <v>0</v>
      </c>
      <c r="AV425">
        <v>0</v>
      </c>
      <c r="AW425" t="s">
        <v>8460</v>
      </c>
      <c r="AX425">
        <v>1</v>
      </c>
      <c r="AY425" t="s">
        <v>8459</v>
      </c>
      <c r="AZ425">
        <v>1</v>
      </c>
      <c r="BA425" t="s">
        <v>8483</v>
      </c>
      <c r="BB425">
        <v>0</v>
      </c>
      <c r="BC425" t="s">
        <v>8471</v>
      </c>
      <c r="BD425">
        <v>15.5</v>
      </c>
      <c r="BE425" t="s">
        <v>8464</v>
      </c>
      <c r="BF425" t="s">
        <v>8464</v>
      </c>
      <c r="BG425" t="s">
        <v>8464</v>
      </c>
      <c r="BH425">
        <v>0.34090900000000002</v>
      </c>
      <c r="BJ425" s="1" t="s">
        <v>9112</v>
      </c>
      <c r="BK425" s="1" t="s">
        <v>9113</v>
      </c>
    </row>
    <row r="426" spans="1:63" x14ac:dyDescent="0.25">
      <c r="A426">
        <v>607</v>
      </c>
      <c r="B426">
        <v>740</v>
      </c>
      <c r="C426" t="s">
        <v>8445</v>
      </c>
      <c r="F426">
        <v>1017718</v>
      </c>
      <c r="G426" t="s">
        <v>9114</v>
      </c>
      <c r="H426" t="s">
        <v>9115</v>
      </c>
      <c r="I426" t="s">
        <v>8456</v>
      </c>
      <c r="J426">
        <v>0</v>
      </c>
      <c r="K426">
        <v>6</v>
      </c>
      <c r="L426">
        <v>0</v>
      </c>
      <c r="M426">
        <v>121200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510</v>
      </c>
      <c r="T426">
        <v>0</v>
      </c>
      <c r="U426">
        <v>0</v>
      </c>
      <c r="V426">
        <v>0</v>
      </c>
      <c r="W426" t="s">
        <v>8457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10</v>
      </c>
      <c r="AR426">
        <v>0</v>
      </c>
      <c r="AS426">
        <v>0</v>
      </c>
      <c r="AT426" t="s">
        <v>8458</v>
      </c>
      <c r="AU426">
        <v>38</v>
      </c>
      <c r="AV426">
        <v>0</v>
      </c>
      <c r="AW426" t="s">
        <v>8459</v>
      </c>
      <c r="AX426">
        <v>1</v>
      </c>
      <c r="AY426" t="s">
        <v>8460</v>
      </c>
      <c r="AZ426">
        <v>0</v>
      </c>
      <c r="BA426" t="s">
        <v>8461</v>
      </c>
      <c r="BB426">
        <v>1</v>
      </c>
      <c r="BC426" t="s">
        <v>8462</v>
      </c>
      <c r="BD426">
        <v>40.4</v>
      </c>
      <c r="BE426" t="s">
        <v>8455</v>
      </c>
      <c r="BF426" t="s">
        <v>8463</v>
      </c>
      <c r="BG426" t="s">
        <v>8464</v>
      </c>
      <c r="BH426">
        <v>0.227273</v>
      </c>
    </row>
    <row r="427" spans="1:63" x14ac:dyDescent="0.25">
      <c r="A427">
        <v>608</v>
      </c>
      <c r="B427">
        <v>13</v>
      </c>
      <c r="C427" t="s">
        <v>8445</v>
      </c>
      <c r="F427">
        <v>1028671</v>
      </c>
      <c r="G427" t="s">
        <v>5306</v>
      </c>
      <c r="H427" t="s">
        <v>4546</v>
      </c>
      <c r="I427" t="s">
        <v>8511</v>
      </c>
      <c r="J427">
        <v>0</v>
      </c>
      <c r="K427">
        <v>6</v>
      </c>
      <c r="L427">
        <v>0</v>
      </c>
      <c r="M427">
        <v>119900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510</v>
      </c>
      <c r="T427">
        <v>0</v>
      </c>
      <c r="U427">
        <v>0</v>
      </c>
      <c r="V427">
        <v>0</v>
      </c>
      <c r="W427" t="s">
        <v>8466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19</v>
      </c>
      <c r="AR427">
        <v>0</v>
      </c>
      <c r="AS427">
        <v>0</v>
      </c>
      <c r="AT427" t="s">
        <v>8512</v>
      </c>
      <c r="AU427">
        <v>0</v>
      </c>
      <c r="AV427">
        <v>0</v>
      </c>
      <c r="AW427" t="s">
        <v>8513</v>
      </c>
      <c r="AX427">
        <v>1</v>
      </c>
      <c r="AY427" t="s">
        <v>8514</v>
      </c>
      <c r="AZ427">
        <v>0</v>
      </c>
      <c r="BA427" t="s">
        <v>8497</v>
      </c>
      <c r="BB427">
        <v>1</v>
      </c>
      <c r="BC427" t="s">
        <v>8515</v>
      </c>
      <c r="BD427">
        <v>0</v>
      </c>
      <c r="BE427" t="s">
        <v>8463</v>
      </c>
      <c r="BF427" t="s">
        <v>8472</v>
      </c>
      <c r="BG427" t="s">
        <v>8472</v>
      </c>
      <c r="BH427">
        <v>0.43181799999999998</v>
      </c>
    </row>
    <row r="428" spans="1:63" x14ac:dyDescent="0.25">
      <c r="A428">
        <v>609</v>
      </c>
      <c r="B428">
        <v>15</v>
      </c>
      <c r="C428" t="s">
        <v>8445</v>
      </c>
      <c r="F428">
        <v>1035372</v>
      </c>
      <c r="G428" t="s">
        <v>8303</v>
      </c>
      <c r="H428" t="s">
        <v>6647</v>
      </c>
      <c r="I428" t="s">
        <v>8511</v>
      </c>
      <c r="J428">
        <v>0</v>
      </c>
      <c r="K428">
        <v>6</v>
      </c>
      <c r="L428">
        <v>0</v>
      </c>
      <c r="M428">
        <v>119900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510</v>
      </c>
      <c r="T428">
        <v>0</v>
      </c>
      <c r="U428">
        <v>0</v>
      </c>
      <c r="V428">
        <v>0</v>
      </c>
      <c r="W428" t="s">
        <v>8466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13</v>
      </c>
      <c r="AR428">
        <v>0</v>
      </c>
      <c r="AS428">
        <v>0</v>
      </c>
      <c r="AT428" t="s">
        <v>8512</v>
      </c>
      <c r="AU428">
        <v>0</v>
      </c>
      <c r="AV428">
        <v>0</v>
      </c>
      <c r="AW428" t="s">
        <v>8513</v>
      </c>
      <c r="AX428">
        <v>1</v>
      </c>
      <c r="AY428" t="s">
        <v>8514</v>
      </c>
      <c r="AZ428">
        <v>0</v>
      </c>
      <c r="BA428" t="s">
        <v>8497</v>
      </c>
      <c r="BB428">
        <v>1</v>
      </c>
      <c r="BC428" t="s">
        <v>8515</v>
      </c>
      <c r="BD428">
        <v>0</v>
      </c>
      <c r="BE428" t="s">
        <v>8463</v>
      </c>
      <c r="BF428" t="s">
        <v>8472</v>
      </c>
      <c r="BG428" t="s">
        <v>8472</v>
      </c>
      <c r="BH428">
        <v>0.29545500000000002</v>
      </c>
    </row>
    <row r="429" spans="1:63" x14ac:dyDescent="0.25">
      <c r="A429">
        <v>610</v>
      </c>
      <c r="B429">
        <v>25</v>
      </c>
      <c r="C429" t="s">
        <v>8445</v>
      </c>
      <c r="F429">
        <v>1020950</v>
      </c>
      <c r="G429" t="s">
        <v>4983</v>
      </c>
      <c r="H429" t="s">
        <v>6304</v>
      </c>
      <c r="I429" t="s">
        <v>8511</v>
      </c>
      <c r="J429">
        <v>0</v>
      </c>
      <c r="K429">
        <v>6</v>
      </c>
      <c r="L429">
        <v>0</v>
      </c>
      <c r="M429">
        <v>119900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510</v>
      </c>
      <c r="T429">
        <v>0</v>
      </c>
      <c r="U429">
        <v>0</v>
      </c>
      <c r="V429">
        <v>0</v>
      </c>
      <c r="W429" t="s">
        <v>8466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6</v>
      </c>
      <c r="AR429">
        <v>0</v>
      </c>
      <c r="AS429">
        <v>0</v>
      </c>
      <c r="AT429" t="s">
        <v>8512</v>
      </c>
      <c r="AU429">
        <v>0</v>
      </c>
      <c r="AV429">
        <v>0</v>
      </c>
      <c r="AW429" t="s">
        <v>8513</v>
      </c>
      <c r="AX429">
        <v>1</v>
      </c>
      <c r="AY429" t="s">
        <v>8514</v>
      </c>
      <c r="AZ429">
        <v>0</v>
      </c>
      <c r="BA429" t="s">
        <v>8497</v>
      </c>
      <c r="BB429">
        <v>1</v>
      </c>
      <c r="BC429" t="s">
        <v>8515</v>
      </c>
      <c r="BD429">
        <v>0</v>
      </c>
      <c r="BE429" t="s">
        <v>8463</v>
      </c>
      <c r="BF429" t="s">
        <v>8472</v>
      </c>
      <c r="BG429" t="s">
        <v>8472</v>
      </c>
      <c r="BH429">
        <v>0.13636400000000001</v>
      </c>
    </row>
    <row r="430" spans="1:63" x14ac:dyDescent="0.25">
      <c r="A430">
        <v>611</v>
      </c>
      <c r="B430">
        <v>33</v>
      </c>
      <c r="C430" t="s">
        <v>8445</v>
      </c>
      <c r="F430">
        <v>1027893</v>
      </c>
      <c r="G430" t="s">
        <v>5141</v>
      </c>
      <c r="H430" t="s">
        <v>1332</v>
      </c>
      <c r="I430" t="s">
        <v>8511</v>
      </c>
      <c r="J430">
        <v>0</v>
      </c>
      <c r="K430">
        <v>6</v>
      </c>
      <c r="L430">
        <v>0</v>
      </c>
      <c r="M430">
        <v>119900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510</v>
      </c>
      <c r="T430">
        <v>0</v>
      </c>
      <c r="U430">
        <v>0</v>
      </c>
      <c r="V430">
        <v>0</v>
      </c>
      <c r="W430" t="s">
        <v>8466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8</v>
      </c>
      <c r="AR430">
        <v>0</v>
      </c>
      <c r="AS430">
        <v>0</v>
      </c>
      <c r="AT430" t="s">
        <v>8512</v>
      </c>
      <c r="AU430">
        <v>0</v>
      </c>
      <c r="AV430">
        <v>0</v>
      </c>
      <c r="AW430" t="s">
        <v>8513</v>
      </c>
      <c r="AX430">
        <v>1</v>
      </c>
      <c r="AY430" t="s">
        <v>8514</v>
      </c>
      <c r="AZ430">
        <v>0</v>
      </c>
      <c r="BA430" t="s">
        <v>8497</v>
      </c>
      <c r="BB430">
        <v>1</v>
      </c>
      <c r="BC430" t="s">
        <v>8515</v>
      </c>
      <c r="BD430">
        <v>0</v>
      </c>
      <c r="BE430" t="s">
        <v>8463</v>
      </c>
      <c r="BF430" t="s">
        <v>8472</v>
      </c>
      <c r="BG430" t="s">
        <v>8472</v>
      </c>
      <c r="BH430">
        <v>0.18181800000000001</v>
      </c>
    </row>
    <row r="431" spans="1:63" x14ac:dyDescent="0.25">
      <c r="A431">
        <v>612</v>
      </c>
      <c r="B431">
        <v>50</v>
      </c>
      <c r="C431" t="s">
        <v>8445</v>
      </c>
      <c r="F431">
        <v>1008805</v>
      </c>
      <c r="G431" t="s">
        <v>176</v>
      </c>
      <c r="H431" t="s">
        <v>9116</v>
      </c>
      <c r="I431" t="s">
        <v>8524</v>
      </c>
      <c r="J431">
        <v>0</v>
      </c>
      <c r="K431">
        <v>6</v>
      </c>
      <c r="L431">
        <v>0</v>
      </c>
      <c r="M431">
        <v>119900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510</v>
      </c>
      <c r="T431">
        <v>0</v>
      </c>
      <c r="U431">
        <v>0</v>
      </c>
      <c r="V431">
        <v>0</v>
      </c>
      <c r="W431" t="s">
        <v>8466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8</v>
      </c>
      <c r="AR431">
        <v>0</v>
      </c>
      <c r="AS431">
        <v>0</v>
      </c>
      <c r="AT431" t="s">
        <v>8525</v>
      </c>
      <c r="AU431">
        <v>0</v>
      </c>
      <c r="AV431">
        <v>0</v>
      </c>
      <c r="AW431" t="s">
        <v>8470</v>
      </c>
      <c r="AX431">
        <v>1</v>
      </c>
      <c r="AY431" t="s">
        <v>8449</v>
      </c>
      <c r="AZ431">
        <v>0</v>
      </c>
      <c r="BA431" t="s">
        <v>8526</v>
      </c>
      <c r="BB431">
        <v>1</v>
      </c>
      <c r="BC431" t="s">
        <v>8527</v>
      </c>
      <c r="BD431">
        <v>0</v>
      </c>
      <c r="BE431" t="s">
        <v>8455</v>
      </c>
      <c r="BF431" t="s">
        <v>8494</v>
      </c>
      <c r="BG431" t="s">
        <v>8498</v>
      </c>
      <c r="BH431">
        <v>0.18181800000000001</v>
      </c>
    </row>
    <row r="432" spans="1:63" x14ac:dyDescent="0.25">
      <c r="A432">
        <v>613</v>
      </c>
      <c r="B432">
        <v>55</v>
      </c>
      <c r="C432" t="s">
        <v>8445</v>
      </c>
      <c r="F432">
        <v>1024193</v>
      </c>
      <c r="G432" t="s">
        <v>3105</v>
      </c>
      <c r="H432" t="s">
        <v>9117</v>
      </c>
      <c r="I432" t="s">
        <v>8524</v>
      </c>
      <c r="J432">
        <v>0</v>
      </c>
      <c r="K432">
        <v>6</v>
      </c>
      <c r="L432">
        <v>0</v>
      </c>
      <c r="M432">
        <v>119900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510</v>
      </c>
      <c r="T432">
        <v>0</v>
      </c>
      <c r="U432">
        <v>0</v>
      </c>
      <c r="V432">
        <v>0</v>
      </c>
      <c r="W432" t="s">
        <v>8466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7</v>
      </c>
      <c r="AR432">
        <v>0</v>
      </c>
      <c r="AS432">
        <v>0</v>
      </c>
      <c r="AT432" t="s">
        <v>8525</v>
      </c>
      <c r="AU432">
        <v>0</v>
      </c>
      <c r="AV432">
        <v>0</v>
      </c>
      <c r="AW432" t="s">
        <v>8470</v>
      </c>
      <c r="AX432">
        <v>1</v>
      </c>
      <c r="AY432" t="s">
        <v>8449</v>
      </c>
      <c r="AZ432">
        <v>0</v>
      </c>
      <c r="BA432" t="s">
        <v>8526</v>
      </c>
      <c r="BB432">
        <v>1</v>
      </c>
      <c r="BC432" t="s">
        <v>8527</v>
      </c>
      <c r="BD432">
        <v>0</v>
      </c>
      <c r="BE432" t="s">
        <v>8455</v>
      </c>
      <c r="BF432" t="s">
        <v>8494</v>
      </c>
      <c r="BG432" t="s">
        <v>8498</v>
      </c>
      <c r="BH432">
        <v>0.15909100000000001</v>
      </c>
    </row>
    <row r="433" spans="1:63" x14ac:dyDescent="0.25">
      <c r="A433">
        <v>614</v>
      </c>
      <c r="B433">
        <v>66</v>
      </c>
      <c r="C433" t="s">
        <v>8445</v>
      </c>
      <c r="F433">
        <v>1027985</v>
      </c>
      <c r="G433" t="s">
        <v>176</v>
      </c>
      <c r="H433" t="s">
        <v>3400</v>
      </c>
      <c r="I433" t="s">
        <v>8524</v>
      </c>
      <c r="J433">
        <v>0</v>
      </c>
      <c r="K433">
        <v>6</v>
      </c>
      <c r="L433">
        <v>0</v>
      </c>
      <c r="M433">
        <v>119900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510</v>
      </c>
      <c r="T433">
        <v>0</v>
      </c>
      <c r="U433">
        <v>0</v>
      </c>
      <c r="V433">
        <v>0</v>
      </c>
      <c r="W433" t="s">
        <v>8466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4</v>
      </c>
      <c r="AR433">
        <v>0</v>
      </c>
      <c r="AS433">
        <v>0</v>
      </c>
      <c r="AT433" t="s">
        <v>8525</v>
      </c>
      <c r="AU433">
        <v>0</v>
      </c>
      <c r="AV433">
        <v>0</v>
      </c>
      <c r="AW433" t="s">
        <v>8470</v>
      </c>
      <c r="AX433">
        <v>1</v>
      </c>
      <c r="AY433" t="s">
        <v>8449</v>
      </c>
      <c r="AZ433">
        <v>0</v>
      </c>
      <c r="BA433" t="s">
        <v>8526</v>
      </c>
      <c r="BB433">
        <v>1</v>
      </c>
      <c r="BC433" t="s">
        <v>8527</v>
      </c>
      <c r="BD433">
        <v>0</v>
      </c>
      <c r="BE433" t="s">
        <v>8455</v>
      </c>
      <c r="BF433" t="s">
        <v>8494</v>
      </c>
      <c r="BG433" t="s">
        <v>8498</v>
      </c>
      <c r="BH433">
        <v>9.0909100000000007E-2</v>
      </c>
    </row>
    <row r="434" spans="1:63" x14ac:dyDescent="0.25">
      <c r="A434">
        <v>615</v>
      </c>
      <c r="B434">
        <v>73</v>
      </c>
      <c r="C434" t="s">
        <v>8445</v>
      </c>
      <c r="F434">
        <v>1029405</v>
      </c>
      <c r="G434" t="s">
        <v>2115</v>
      </c>
      <c r="H434" t="s">
        <v>9118</v>
      </c>
      <c r="I434" t="s">
        <v>8524</v>
      </c>
      <c r="J434">
        <v>0</v>
      </c>
      <c r="K434">
        <v>6</v>
      </c>
      <c r="L434">
        <v>0</v>
      </c>
      <c r="M434">
        <v>121400</v>
      </c>
      <c r="N434">
        <v>75</v>
      </c>
      <c r="O434">
        <v>0</v>
      </c>
      <c r="P434">
        <v>3</v>
      </c>
      <c r="Q434">
        <v>0</v>
      </c>
      <c r="R434">
        <v>1500</v>
      </c>
      <c r="S434">
        <v>462</v>
      </c>
      <c r="T434">
        <v>0</v>
      </c>
      <c r="U434">
        <v>0</v>
      </c>
      <c r="V434">
        <v>140</v>
      </c>
      <c r="W434" t="s">
        <v>8505</v>
      </c>
      <c r="X434">
        <v>0</v>
      </c>
      <c r="Y434">
        <v>8</v>
      </c>
      <c r="Z434">
        <v>0</v>
      </c>
      <c r="AA434">
        <v>5</v>
      </c>
      <c r="AB434">
        <v>0</v>
      </c>
      <c r="AC434">
        <v>2</v>
      </c>
      <c r="AD434">
        <v>0</v>
      </c>
      <c r="AE434">
        <v>3</v>
      </c>
      <c r="AF434">
        <v>0</v>
      </c>
      <c r="AG434">
        <v>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</v>
      </c>
      <c r="AN434">
        <v>0</v>
      </c>
      <c r="AO434">
        <v>2</v>
      </c>
      <c r="AP434">
        <v>25</v>
      </c>
      <c r="AQ434">
        <v>11</v>
      </c>
      <c r="AR434">
        <v>25</v>
      </c>
      <c r="AS434">
        <v>25</v>
      </c>
      <c r="AT434" t="s">
        <v>8525</v>
      </c>
      <c r="AU434">
        <v>0</v>
      </c>
      <c r="AV434">
        <v>0</v>
      </c>
      <c r="AW434" t="s">
        <v>8470</v>
      </c>
      <c r="AX434">
        <v>1</v>
      </c>
      <c r="AY434" t="s">
        <v>8449</v>
      </c>
      <c r="AZ434">
        <v>0</v>
      </c>
      <c r="BA434" t="s">
        <v>8526</v>
      </c>
      <c r="BB434">
        <v>1</v>
      </c>
      <c r="BC434" t="s">
        <v>8527</v>
      </c>
      <c r="BD434">
        <v>62</v>
      </c>
      <c r="BE434" t="s">
        <v>8455</v>
      </c>
      <c r="BF434" t="s">
        <v>8494</v>
      </c>
      <c r="BG434" t="s">
        <v>8498</v>
      </c>
      <c r="BH434">
        <v>0.25</v>
      </c>
      <c r="BJ434" s="1" t="s">
        <v>9119</v>
      </c>
      <c r="BK434">
        <v>4856</v>
      </c>
    </row>
    <row r="435" spans="1:63" x14ac:dyDescent="0.25">
      <c r="A435">
        <v>616</v>
      </c>
      <c r="B435">
        <v>80</v>
      </c>
      <c r="C435" t="s">
        <v>8445</v>
      </c>
      <c r="F435">
        <v>1012127</v>
      </c>
      <c r="G435" t="s">
        <v>3213</v>
      </c>
      <c r="H435" t="s">
        <v>1332</v>
      </c>
      <c r="I435" t="s">
        <v>8524</v>
      </c>
      <c r="J435">
        <v>0</v>
      </c>
      <c r="K435">
        <v>6</v>
      </c>
      <c r="L435">
        <v>0</v>
      </c>
      <c r="M435">
        <v>119900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510</v>
      </c>
      <c r="T435">
        <v>0</v>
      </c>
      <c r="U435">
        <v>0</v>
      </c>
      <c r="V435">
        <v>0</v>
      </c>
      <c r="W435" t="s">
        <v>8466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5</v>
      </c>
      <c r="AR435">
        <v>0</v>
      </c>
      <c r="AS435">
        <v>0</v>
      </c>
      <c r="AT435" t="s">
        <v>8525</v>
      </c>
      <c r="AU435">
        <v>59</v>
      </c>
      <c r="AV435">
        <v>0</v>
      </c>
      <c r="AW435" t="s">
        <v>8470</v>
      </c>
      <c r="AX435">
        <v>1</v>
      </c>
      <c r="AY435" t="s">
        <v>8449</v>
      </c>
      <c r="AZ435">
        <v>0</v>
      </c>
      <c r="BA435" t="s">
        <v>8526</v>
      </c>
      <c r="BB435">
        <v>1</v>
      </c>
      <c r="BC435" t="s">
        <v>8527</v>
      </c>
      <c r="BD435">
        <v>0</v>
      </c>
      <c r="BE435" t="s">
        <v>8455</v>
      </c>
      <c r="BF435" t="s">
        <v>8494</v>
      </c>
      <c r="BG435" t="s">
        <v>8498</v>
      </c>
      <c r="BH435">
        <v>0.113636</v>
      </c>
    </row>
    <row r="436" spans="1:63" x14ac:dyDescent="0.25">
      <c r="A436">
        <v>617</v>
      </c>
      <c r="B436">
        <v>83</v>
      </c>
      <c r="C436" t="s">
        <v>8445</v>
      </c>
      <c r="F436">
        <v>1024187</v>
      </c>
      <c r="G436" t="s">
        <v>3714</v>
      </c>
      <c r="H436" t="s">
        <v>9120</v>
      </c>
      <c r="I436" t="s">
        <v>8524</v>
      </c>
      <c r="J436">
        <v>0</v>
      </c>
      <c r="K436">
        <v>6</v>
      </c>
      <c r="L436">
        <v>0</v>
      </c>
      <c r="M436">
        <v>119900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510</v>
      </c>
      <c r="T436">
        <v>0</v>
      </c>
      <c r="U436">
        <v>0</v>
      </c>
      <c r="V436">
        <v>0</v>
      </c>
      <c r="W436" t="s">
        <v>8466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8</v>
      </c>
      <c r="AR436">
        <v>0</v>
      </c>
      <c r="AS436">
        <v>0</v>
      </c>
      <c r="AT436" t="s">
        <v>8525</v>
      </c>
      <c r="AU436">
        <v>0</v>
      </c>
      <c r="AV436">
        <v>0</v>
      </c>
      <c r="AW436" t="s">
        <v>8470</v>
      </c>
      <c r="AX436">
        <v>1</v>
      </c>
      <c r="AY436" t="s">
        <v>8449</v>
      </c>
      <c r="AZ436">
        <v>0</v>
      </c>
      <c r="BA436" t="s">
        <v>8526</v>
      </c>
      <c r="BB436">
        <v>1</v>
      </c>
      <c r="BC436" t="s">
        <v>8527</v>
      </c>
      <c r="BD436">
        <v>0</v>
      </c>
      <c r="BE436" t="s">
        <v>8455</v>
      </c>
      <c r="BF436" t="s">
        <v>8494</v>
      </c>
      <c r="BG436" t="s">
        <v>8498</v>
      </c>
      <c r="BH436">
        <v>0.18181800000000001</v>
      </c>
    </row>
    <row r="437" spans="1:63" x14ac:dyDescent="0.25">
      <c r="A437">
        <v>618</v>
      </c>
      <c r="B437">
        <v>84</v>
      </c>
      <c r="C437" t="s">
        <v>8445</v>
      </c>
      <c r="F437">
        <v>1021108</v>
      </c>
      <c r="G437" t="s">
        <v>617</v>
      </c>
      <c r="H437" t="s">
        <v>9121</v>
      </c>
      <c r="I437" t="s">
        <v>8524</v>
      </c>
      <c r="J437">
        <v>0</v>
      </c>
      <c r="K437">
        <v>6</v>
      </c>
      <c r="L437">
        <v>0</v>
      </c>
      <c r="M437">
        <v>119900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510</v>
      </c>
      <c r="T437">
        <v>0</v>
      </c>
      <c r="U437">
        <v>0</v>
      </c>
      <c r="V437">
        <v>0</v>
      </c>
      <c r="W437" t="s">
        <v>8466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16</v>
      </c>
      <c r="AR437">
        <v>0</v>
      </c>
      <c r="AS437">
        <v>0</v>
      </c>
      <c r="AT437" t="s">
        <v>8525</v>
      </c>
      <c r="AU437">
        <v>0</v>
      </c>
      <c r="AV437">
        <v>0</v>
      </c>
      <c r="AW437" t="s">
        <v>8470</v>
      </c>
      <c r="AX437">
        <v>1</v>
      </c>
      <c r="AY437" t="s">
        <v>8449</v>
      </c>
      <c r="AZ437">
        <v>0</v>
      </c>
      <c r="BA437" t="s">
        <v>8526</v>
      </c>
      <c r="BB437">
        <v>1</v>
      </c>
      <c r="BC437" t="s">
        <v>8527</v>
      </c>
      <c r="BD437">
        <v>50.333300000000001</v>
      </c>
      <c r="BE437" t="s">
        <v>8455</v>
      </c>
      <c r="BF437" t="s">
        <v>8494</v>
      </c>
      <c r="BG437" t="s">
        <v>8498</v>
      </c>
      <c r="BH437">
        <v>0.36363600000000001</v>
      </c>
    </row>
    <row r="438" spans="1:63" x14ac:dyDescent="0.25">
      <c r="A438">
        <v>619</v>
      </c>
      <c r="B438">
        <v>86</v>
      </c>
      <c r="C438" t="s">
        <v>8445</v>
      </c>
      <c r="F438">
        <v>1032650</v>
      </c>
      <c r="G438" t="s">
        <v>8992</v>
      </c>
      <c r="H438" t="s">
        <v>9122</v>
      </c>
      <c r="I438" t="s">
        <v>8524</v>
      </c>
      <c r="J438">
        <v>0</v>
      </c>
      <c r="K438">
        <v>6</v>
      </c>
      <c r="L438">
        <v>0</v>
      </c>
      <c r="M438">
        <v>119900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510</v>
      </c>
      <c r="T438">
        <v>0</v>
      </c>
      <c r="U438">
        <v>0</v>
      </c>
      <c r="V438">
        <v>0</v>
      </c>
      <c r="W438" t="s">
        <v>8466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18</v>
      </c>
      <c r="AR438">
        <v>0</v>
      </c>
      <c r="AS438">
        <v>0</v>
      </c>
      <c r="AT438" t="s">
        <v>8525</v>
      </c>
      <c r="AU438">
        <v>0</v>
      </c>
      <c r="AV438">
        <v>0</v>
      </c>
      <c r="AW438" t="s">
        <v>8470</v>
      </c>
      <c r="AX438">
        <v>1</v>
      </c>
      <c r="AY438" t="s">
        <v>8449</v>
      </c>
      <c r="AZ438">
        <v>0</v>
      </c>
      <c r="BA438" t="s">
        <v>8526</v>
      </c>
      <c r="BB438">
        <v>1</v>
      </c>
      <c r="BC438" t="s">
        <v>8527</v>
      </c>
      <c r="BD438">
        <v>0</v>
      </c>
      <c r="BE438" t="s">
        <v>8455</v>
      </c>
      <c r="BF438" t="s">
        <v>8494</v>
      </c>
      <c r="BG438" t="s">
        <v>8498</v>
      </c>
      <c r="BH438">
        <v>0.40909099999999998</v>
      </c>
    </row>
    <row r="439" spans="1:63" x14ac:dyDescent="0.25">
      <c r="A439">
        <v>620</v>
      </c>
      <c r="B439">
        <v>111</v>
      </c>
      <c r="C439" t="s">
        <v>8445</v>
      </c>
      <c r="F439">
        <v>1020072</v>
      </c>
      <c r="G439" t="s">
        <v>2192</v>
      </c>
      <c r="H439" t="s">
        <v>9123</v>
      </c>
      <c r="I439" t="s">
        <v>8465</v>
      </c>
      <c r="J439">
        <v>0</v>
      </c>
      <c r="K439">
        <v>6</v>
      </c>
      <c r="L439">
        <v>0</v>
      </c>
      <c r="M439">
        <v>119900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510</v>
      </c>
      <c r="T439">
        <v>0</v>
      </c>
      <c r="U439">
        <v>0</v>
      </c>
      <c r="V439">
        <v>0</v>
      </c>
      <c r="W439" t="s">
        <v>8466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8</v>
      </c>
      <c r="AR439">
        <v>0</v>
      </c>
      <c r="AS439">
        <v>0</v>
      </c>
      <c r="AT439" t="s">
        <v>8467</v>
      </c>
      <c r="AU439">
        <v>0</v>
      </c>
      <c r="AV439">
        <v>1</v>
      </c>
      <c r="AW439" t="s">
        <v>8468</v>
      </c>
      <c r="AX439">
        <v>0</v>
      </c>
      <c r="AY439" t="s">
        <v>8469</v>
      </c>
      <c r="AZ439">
        <v>1</v>
      </c>
      <c r="BA439" t="s">
        <v>8470</v>
      </c>
      <c r="BB439">
        <v>1</v>
      </c>
      <c r="BC439" t="s">
        <v>8471</v>
      </c>
      <c r="BD439">
        <v>0</v>
      </c>
      <c r="BE439" t="s">
        <v>8464</v>
      </c>
      <c r="BF439" t="s">
        <v>8472</v>
      </c>
      <c r="BG439" t="s">
        <v>8464</v>
      </c>
      <c r="BH439">
        <v>0.18181800000000001</v>
      </c>
    </row>
    <row r="440" spans="1:63" x14ac:dyDescent="0.25">
      <c r="A440">
        <v>621</v>
      </c>
      <c r="B440">
        <v>115</v>
      </c>
      <c r="C440" t="s">
        <v>8445</v>
      </c>
      <c r="F440">
        <v>1020097</v>
      </c>
      <c r="G440" t="s">
        <v>9124</v>
      </c>
      <c r="H440" t="s">
        <v>9125</v>
      </c>
      <c r="I440" t="s">
        <v>8465</v>
      </c>
      <c r="J440">
        <v>0</v>
      </c>
      <c r="K440">
        <v>6</v>
      </c>
      <c r="L440">
        <v>0</v>
      </c>
      <c r="M440">
        <v>119900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509</v>
      </c>
      <c r="T440">
        <v>0</v>
      </c>
      <c r="U440">
        <v>0</v>
      </c>
      <c r="V440">
        <v>68</v>
      </c>
      <c r="W440" t="s">
        <v>8466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15</v>
      </c>
      <c r="AR440">
        <v>1</v>
      </c>
      <c r="AS440">
        <v>1</v>
      </c>
      <c r="AT440" t="s">
        <v>8467</v>
      </c>
      <c r="AU440">
        <v>0</v>
      </c>
      <c r="AV440">
        <v>1</v>
      </c>
      <c r="AW440" t="s">
        <v>8468</v>
      </c>
      <c r="AX440">
        <v>0</v>
      </c>
      <c r="AY440" t="s">
        <v>8469</v>
      </c>
      <c r="AZ440">
        <v>1</v>
      </c>
      <c r="BA440" t="s">
        <v>8470</v>
      </c>
      <c r="BB440">
        <v>1</v>
      </c>
      <c r="BC440" t="s">
        <v>8471</v>
      </c>
      <c r="BD440">
        <v>38</v>
      </c>
      <c r="BE440" t="s">
        <v>8464</v>
      </c>
      <c r="BF440" t="s">
        <v>8472</v>
      </c>
      <c r="BG440" t="s">
        <v>8464</v>
      </c>
      <c r="BH440">
        <v>0.34090900000000002</v>
      </c>
      <c r="BJ440" s="1" t="s">
        <v>9126</v>
      </c>
      <c r="BK440">
        <v>119900</v>
      </c>
    </row>
    <row r="441" spans="1:63" x14ac:dyDescent="0.25">
      <c r="A441">
        <v>622</v>
      </c>
      <c r="B441">
        <v>116</v>
      </c>
      <c r="C441" t="s">
        <v>8445</v>
      </c>
      <c r="F441">
        <v>1035129</v>
      </c>
      <c r="G441" t="s">
        <v>9127</v>
      </c>
      <c r="H441" t="s">
        <v>9128</v>
      </c>
      <c r="I441" t="s">
        <v>8465</v>
      </c>
      <c r="J441">
        <v>0</v>
      </c>
      <c r="K441">
        <v>6</v>
      </c>
      <c r="L441">
        <v>0</v>
      </c>
      <c r="M441">
        <v>119900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510</v>
      </c>
      <c r="T441">
        <v>0</v>
      </c>
      <c r="U441">
        <v>0</v>
      </c>
      <c r="V441">
        <v>0</v>
      </c>
      <c r="W441" t="s">
        <v>8466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10</v>
      </c>
      <c r="AR441">
        <v>0</v>
      </c>
      <c r="AS441">
        <v>0</v>
      </c>
      <c r="AT441" t="s">
        <v>8467</v>
      </c>
      <c r="AU441">
        <v>0</v>
      </c>
      <c r="AV441">
        <v>1</v>
      </c>
      <c r="AW441" t="s">
        <v>8468</v>
      </c>
      <c r="AX441">
        <v>0</v>
      </c>
      <c r="AY441" t="s">
        <v>8469</v>
      </c>
      <c r="AZ441">
        <v>1</v>
      </c>
      <c r="BA441" t="s">
        <v>8470</v>
      </c>
      <c r="BB441">
        <v>1</v>
      </c>
      <c r="BC441" t="s">
        <v>8471</v>
      </c>
      <c r="BD441">
        <v>0</v>
      </c>
      <c r="BE441" t="s">
        <v>8464</v>
      </c>
      <c r="BF441" t="s">
        <v>8472</v>
      </c>
      <c r="BG441" t="s">
        <v>8464</v>
      </c>
      <c r="BH441">
        <v>0.227273</v>
      </c>
    </row>
    <row r="442" spans="1:63" x14ac:dyDescent="0.25">
      <c r="A442">
        <v>623</v>
      </c>
      <c r="B442">
        <v>120</v>
      </c>
      <c r="C442" t="s">
        <v>8445</v>
      </c>
      <c r="F442">
        <v>1023489</v>
      </c>
      <c r="G442" t="s">
        <v>9129</v>
      </c>
      <c r="H442" t="s">
        <v>9130</v>
      </c>
      <c r="I442" t="s">
        <v>8465</v>
      </c>
      <c r="J442">
        <v>0</v>
      </c>
      <c r="K442">
        <v>6</v>
      </c>
      <c r="L442">
        <v>0</v>
      </c>
      <c r="M442">
        <v>119900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510</v>
      </c>
      <c r="T442">
        <v>0</v>
      </c>
      <c r="U442">
        <v>0</v>
      </c>
      <c r="V442">
        <v>0</v>
      </c>
      <c r="W442" t="s">
        <v>8466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21</v>
      </c>
      <c r="AR442">
        <v>0</v>
      </c>
      <c r="AS442">
        <v>0</v>
      </c>
      <c r="AT442" t="s">
        <v>8467</v>
      </c>
      <c r="AU442">
        <v>0</v>
      </c>
      <c r="AV442">
        <v>1</v>
      </c>
      <c r="AW442" t="s">
        <v>8468</v>
      </c>
      <c r="AX442">
        <v>0</v>
      </c>
      <c r="AY442" t="s">
        <v>8469</v>
      </c>
      <c r="AZ442">
        <v>1</v>
      </c>
      <c r="BA442" t="s">
        <v>8470</v>
      </c>
      <c r="BB442">
        <v>1</v>
      </c>
      <c r="BC442" t="s">
        <v>8471</v>
      </c>
      <c r="BD442">
        <v>0</v>
      </c>
      <c r="BE442" t="s">
        <v>8464</v>
      </c>
      <c r="BF442" t="s">
        <v>8472</v>
      </c>
      <c r="BG442" t="s">
        <v>8464</v>
      </c>
      <c r="BH442">
        <v>0.477273</v>
      </c>
    </row>
    <row r="443" spans="1:63" x14ac:dyDescent="0.25">
      <c r="A443">
        <v>624</v>
      </c>
      <c r="B443">
        <v>128</v>
      </c>
      <c r="C443" t="s">
        <v>8445</v>
      </c>
      <c r="F443">
        <v>1027678</v>
      </c>
      <c r="G443" t="s">
        <v>2130</v>
      </c>
      <c r="H443" t="s">
        <v>4614</v>
      </c>
      <c r="I443" t="s">
        <v>8465</v>
      </c>
      <c r="J443">
        <v>0</v>
      </c>
      <c r="K443">
        <v>6</v>
      </c>
      <c r="L443">
        <v>0</v>
      </c>
      <c r="M443">
        <v>119900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510</v>
      </c>
      <c r="T443">
        <v>0</v>
      </c>
      <c r="U443">
        <v>0</v>
      </c>
      <c r="V443">
        <v>0</v>
      </c>
      <c r="W443" t="s">
        <v>8466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12</v>
      </c>
      <c r="AR443">
        <v>0</v>
      </c>
      <c r="AS443">
        <v>0</v>
      </c>
      <c r="AT443" t="s">
        <v>8467</v>
      </c>
      <c r="AU443">
        <v>0</v>
      </c>
      <c r="AV443">
        <v>1</v>
      </c>
      <c r="AW443" t="s">
        <v>8468</v>
      </c>
      <c r="AX443">
        <v>0</v>
      </c>
      <c r="AY443" t="s">
        <v>8469</v>
      </c>
      <c r="AZ443">
        <v>1</v>
      </c>
      <c r="BA443" t="s">
        <v>8470</v>
      </c>
      <c r="BB443">
        <v>1</v>
      </c>
      <c r="BC443" t="s">
        <v>8471</v>
      </c>
      <c r="BD443">
        <v>0</v>
      </c>
      <c r="BE443" t="s">
        <v>8464</v>
      </c>
      <c r="BF443" t="s">
        <v>8472</v>
      </c>
      <c r="BG443" t="s">
        <v>8464</v>
      </c>
      <c r="BH443">
        <v>0.272727</v>
      </c>
    </row>
    <row r="444" spans="1:63" x14ac:dyDescent="0.25">
      <c r="A444">
        <v>625</v>
      </c>
      <c r="B444">
        <v>139</v>
      </c>
      <c r="C444" t="s">
        <v>8445</v>
      </c>
      <c r="F444">
        <v>1027673</v>
      </c>
      <c r="G444" t="s">
        <v>2192</v>
      </c>
      <c r="H444" t="s">
        <v>9131</v>
      </c>
      <c r="I444" t="s">
        <v>8525</v>
      </c>
      <c r="J444">
        <v>0</v>
      </c>
      <c r="K444">
        <v>6</v>
      </c>
      <c r="L444">
        <v>0</v>
      </c>
      <c r="M444">
        <v>119900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510</v>
      </c>
      <c r="T444">
        <v>0</v>
      </c>
      <c r="U444">
        <v>0</v>
      </c>
      <c r="V444">
        <v>0</v>
      </c>
      <c r="W444" t="s">
        <v>8466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16</v>
      </c>
      <c r="AR444">
        <v>0</v>
      </c>
      <c r="AS444">
        <v>0</v>
      </c>
      <c r="AT444" t="s">
        <v>8524</v>
      </c>
      <c r="AU444">
        <v>0</v>
      </c>
      <c r="AV444">
        <v>1</v>
      </c>
      <c r="AW444" t="s">
        <v>8451</v>
      </c>
      <c r="AX444">
        <v>0</v>
      </c>
      <c r="AY444" t="s">
        <v>8468</v>
      </c>
      <c r="AZ444">
        <v>0</v>
      </c>
      <c r="BA444" t="s">
        <v>8513</v>
      </c>
      <c r="BB444">
        <v>1</v>
      </c>
      <c r="BC444" t="s">
        <v>8527</v>
      </c>
      <c r="BD444">
        <v>0</v>
      </c>
      <c r="BE444" t="s">
        <v>8464</v>
      </c>
      <c r="BF444" t="s">
        <v>8464</v>
      </c>
      <c r="BG444" t="s">
        <v>8463</v>
      </c>
      <c r="BH444">
        <v>0.36363600000000001</v>
      </c>
    </row>
    <row r="445" spans="1:63" x14ac:dyDescent="0.25">
      <c r="A445">
        <v>626</v>
      </c>
      <c r="B445">
        <v>148</v>
      </c>
      <c r="C445" t="s">
        <v>8445</v>
      </c>
      <c r="F445">
        <v>1032017</v>
      </c>
      <c r="G445" t="s">
        <v>9132</v>
      </c>
      <c r="H445" t="s">
        <v>8340</v>
      </c>
      <c r="I445" t="s">
        <v>8525</v>
      </c>
      <c r="J445">
        <v>0</v>
      </c>
      <c r="K445">
        <v>6</v>
      </c>
      <c r="L445">
        <v>0</v>
      </c>
      <c r="M445">
        <v>119900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510</v>
      </c>
      <c r="T445">
        <v>0</v>
      </c>
      <c r="U445">
        <v>0</v>
      </c>
      <c r="V445">
        <v>0</v>
      </c>
      <c r="W445" t="s">
        <v>8466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21</v>
      </c>
      <c r="AR445">
        <v>0</v>
      </c>
      <c r="AS445">
        <v>0</v>
      </c>
      <c r="AT445" t="s">
        <v>8524</v>
      </c>
      <c r="AU445">
        <v>0</v>
      </c>
      <c r="AV445">
        <v>1</v>
      </c>
      <c r="AW445" t="s">
        <v>8451</v>
      </c>
      <c r="AX445">
        <v>0</v>
      </c>
      <c r="AY445" t="s">
        <v>8468</v>
      </c>
      <c r="AZ445">
        <v>0</v>
      </c>
      <c r="BA445" t="s">
        <v>8513</v>
      </c>
      <c r="BB445">
        <v>1</v>
      </c>
      <c r="BC445" t="s">
        <v>8527</v>
      </c>
      <c r="BD445">
        <v>0</v>
      </c>
      <c r="BE445" t="s">
        <v>8464</v>
      </c>
      <c r="BF445" t="s">
        <v>8464</v>
      </c>
      <c r="BG445" t="s">
        <v>8463</v>
      </c>
      <c r="BH445">
        <v>0.477273</v>
      </c>
    </row>
    <row r="446" spans="1:63" x14ac:dyDescent="0.25">
      <c r="A446">
        <v>627</v>
      </c>
      <c r="B446">
        <v>166</v>
      </c>
      <c r="C446" t="s">
        <v>8445</v>
      </c>
      <c r="F446">
        <v>1020104</v>
      </c>
      <c r="G446" t="s">
        <v>9133</v>
      </c>
      <c r="H446" t="s">
        <v>1332</v>
      </c>
      <c r="I446" t="s">
        <v>8525</v>
      </c>
      <c r="J446">
        <v>0</v>
      </c>
      <c r="K446">
        <v>6</v>
      </c>
      <c r="L446">
        <v>0</v>
      </c>
      <c r="M446">
        <v>119900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510</v>
      </c>
      <c r="T446">
        <v>0</v>
      </c>
      <c r="U446">
        <v>0</v>
      </c>
      <c r="V446">
        <v>0</v>
      </c>
      <c r="W446" t="s">
        <v>8466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6</v>
      </c>
      <c r="AR446">
        <v>0</v>
      </c>
      <c r="AS446">
        <v>0</v>
      </c>
      <c r="AT446" t="s">
        <v>8524</v>
      </c>
      <c r="AU446">
        <v>12</v>
      </c>
      <c r="AV446">
        <v>1</v>
      </c>
      <c r="AW446" t="s">
        <v>8451</v>
      </c>
      <c r="AX446">
        <v>0</v>
      </c>
      <c r="AY446" t="s">
        <v>8468</v>
      </c>
      <c r="AZ446">
        <v>0</v>
      </c>
      <c r="BA446" t="s">
        <v>8513</v>
      </c>
      <c r="BB446">
        <v>1</v>
      </c>
      <c r="BC446" t="s">
        <v>8527</v>
      </c>
      <c r="BD446">
        <v>0</v>
      </c>
      <c r="BE446" t="s">
        <v>8464</v>
      </c>
      <c r="BF446" t="s">
        <v>8464</v>
      </c>
      <c r="BG446" t="s">
        <v>8463</v>
      </c>
      <c r="BH446">
        <v>0.13636400000000001</v>
      </c>
    </row>
    <row r="447" spans="1:63" x14ac:dyDescent="0.25">
      <c r="A447">
        <v>628</v>
      </c>
      <c r="B447">
        <v>169</v>
      </c>
      <c r="C447" t="s">
        <v>8445</v>
      </c>
      <c r="F447">
        <v>1027834</v>
      </c>
      <c r="G447" t="s">
        <v>9134</v>
      </c>
      <c r="H447" t="s">
        <v>9135</v>
      </c>
      <c r="I447" t="s">
        <v>8525</v>
      </c>
      <c r="J447">
        <v>0</v>
      </c>
      <c r="K447">
        <v>6</v>
      </c>
      <c r="L447">
        <v>0</v>
      </c>
      <c r="M447">
        <v>119900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510</v>
      </c>
      <c r="T447">
        <v>0</v>
      </c>
      <c r="U447">
        <v>0</v>
      </c>
      <c r="V447">
        <v>0</v>
      </c>
      <c r="W447" t="s">
        <v>8466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19</v>
      </c>
      <c r="AR447">
        <v>0</v>
      </c>
      <c r="AS447">
        <v>0</v>
      </c>
      <c r="AT447" t="s">
        <v>8524</v>
      </c>
      <c r="AU447">
        <v>0</v>
      </c>
      <c r="AV447">
        <v>1</v>
      </c>
      <c r="AW447" t="s">
        <v>8451</v>
      </c>
      <c r="AX447">
        <v>0</v>
      </c>
      <c r="AY447" t="s">
        <v>8468</v>
      </c>
      <c r="AZ447">
        <v>0</v>
      </c>
      <c r="BA447" t="s">
        <v>8513</v>
      </c>
      <c r="BB447">
        <v>1</v>
      </c>
      <c r="BC447" t="s">
        <v>8527</v>
      </c>
      <c r="BD447">
        <v>0</v>
      </c>
      <c r="BE447" t="s">
        <v>8464</v>
      </c>
      <c r="BF447" t="s">
        <v>8464</v>
      </c>
      <c r="BG447" t="s">
        <v>8463</v>
      </c>
      <c r="BH447">
        <v>0.43181799999999998</v>
      </c>
    </row>
    <row r="448" spans="1:63" x14ac:dyDescent="0.25">
      <c r="A448">
        <v>629</v>
      </c>
      <c r="B448">
        <v>170</v>
      </c>
      <c r="C448" t="s">
        <v>8445</v>
      </c>
      <c r="F448">
        <v>1022844</v>
      </c>
      <c r="G448" t="s">
        <v>5141</v>
      </c>
      <c r="H448" t="s">
        <v>9136</v>
      </c>
      <c r="I448" t="s">
        <v>8525</v>
      </c>
      <c r="J448">
        <v>0</v>
      </c>
      <c r="K448">
        <v>6</v>
      </c>
      <c r="L448">
        <v>0</v>
      </c>
      <c r="M448">
        <v>119900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510</v>
      </c>
      <c r="T448">
        <v>0</v>
      </c>
      <c r="U448">
        <v>0</v>
      </c>
      <c r="V448">
        <v>0</v>
      </c>
      <c r="W448" t="s">
        <v>8466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20</v>
      </c>
      <c r="AR448">
        <v>0</v>
      </c>
      <c r="AS448">
        <v>0</v>
      </c>
      <c r="AT448" t="s">
        <v>8524</v>
      </c>
      <c r="AU448">
        <v>0</v>
      </c>
      <c r="AV448">
        <v>1</v>
      </c>
      <c r="AW448" t="s">
        <v>8451</v>
      </c>
      <c r="AX448">
        <v>0</v>
      </c>
      <c r="AY448" t="s">
        <v>8468</v>
      </c>
      <c r="AZ448">
        <v>0</v>
      </c>
      <c r="BA448" t="s">
        <v>8513</v>
      </c>
      <c r="BB448">
        <v>1</v>
      </c>
      <c r="BC448" t="s">
        <v>8527</v>
      </c>
      <c r="BD448">
        <v>0</v>
      </c>
      <c r="BE448" t="s">
        <v>8464</v>
      </c>
      <c r="BF448" t="s">
        <v>8464</v>
      </c>
      <c r="BG448" t="s">
        <v>8463</v>
      </c>
      <c r="BH448">
        <v>0.45454499999999998</v>
      </c>
    </row>
    <row r="449" spans="1:63" x14ac:dyDescent="0.25">
      <c r="A449">
        <v>630</v>
      </c>
      <c r="B449">
        <v>183</v>
      </c>
      <c r="C449" t="s">
        <v>8445</v>
      </c>
      <c r="F449">
        <v>1015919</v>
      </c>
      <c r="G449" t="s">
        <v>7259</v>
      </c>
      <c r="H449" t="s">
        <v>9137</v>
      </c>
      <c r="I449" t="s">
        <v>8458</v>
      </c>
      <c r="J449">
        <v>0</v>
      </c>
      <c r="K449">
        <v>6</v>
      </c>
      <c r="L449">
        <v>0</v>
      </c>
      <c r="M449">
        <v>119900</v>
      </c>
      <c r="N449">
        <v>83</v>
      </c>
      <c r="O449">
        <v>0</v>
      </c>
      <c r="P449">
        <v>2</v>
      </c>
      <c r="Q449">
        <v>0</v>
      </c>
      <c r="R449">
        <v>0</v>
      </c>
      <c r="S449">
        <v>452</v>
      </c>
      <c r="T449">
        <v>0</v>
      </c>
      <c r="U449">
        <v>0</v>
      </c>
      <c r="V449">
        <v>111</v>
      </c>
      <c r="W449" t="s">
        <v>8505</v>
      </c>
      <c r="X449">
        <v>0</v>
      </c>
      <c r="Y449">
        <v>11</v>
      </c>
      <c r="Z449">
        <v>0</v>
      </c>
      <c r="AA449">
        <v>14</v>
      </c>
      <c r="AB449">
        <v>0</v>
      </c>
      <c r="AC449">
        <v>5</v>
      </c>
      <c r="AD449">
        <v>0</v>
      </c>
      <c r="AE449">
        <v>4</v>
      </c>
      <c r="AF449">
        <v>0</v>
      </c>
      <c r="AG449">
        <v>1</v>
      </c>
      <c r="AH449">
        <v>0</v>
      </c>
      <c r="AI449">
        <v>-1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41.5</v>
      </c>
      <c r="AQ449">
        <v>190</v>
      </c>
      <c r="AR449">
        <v>41.5</v>
      </c>
      <c r="AS449">
        <v>41.5</v>
      </c>
      <c r="AT449" t="s">
        <v>8456</v>
      </c>
      <c r="AU449">
        <v>0</v>
      </c>
      <c r="AV449">
        <v>1</v>
      </c>
      <c r="AW449" t="s">
        <v>8530</v>
      </c>
      <c r="AX449">
        <v>1</v>
      </c>
      <c r="AY449" t="s">
        <v>8526</v>
      </c>
      <c r="AZ449">
        <v>0</v>
      </c>
      <c r="BA449" t="s">
        <v>8491</v>
      </c>
      <c r="BB449">
        <v>0</v>
      </c>
      <c r="BC449" t="s">
        <v>8462</v>
      </c>
      <c r="BD449">
        <v>0</v>
      </c>
      <c r="BE449" t="s">
        <v>8464</v>
      </c>
      <c r="BF449" t="s">
        <v>8455</v>
      </c>
      <c r="BG449" t="s">
        <v>8455</v>
      </c>
      <c r="BH449">
        <v>4.3181799999999999</v>
      </c>
      <c r="BJ449" s="1" t="s">
        <v>9138</v>
      </c>
      <c r="BK449" s="1" t="s">
        <v>9139</v>
      </c>
    </row>
    <row r="450" spans="1:63" x14ac:dyDescent="0.25">
      <c r="A450">
        <v>631</v>
      </c>
      <c r="B450">
        <v>188</v>
      </c>
      <c r="C450" t="s">
        <v>8445</v>
      </c>
      <c r="F450">
        <v>1023487</v>
      </c>
      <c r="G450" t="s">
        <v>2975</v>
      </c>
      <c r="H450" t="s">
        <v>9140</v>
      </c>
      <c r="I450" t="s">
        <v>8458</v>
      </c>
      <c r="J450">
        <v>0</v>
      </c>
      <c r="K450">
        <v>6</v>
      </c>
      <c r="L450">
        <v>0</v>
      </c>
      <c r="M450">
        <v>119900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510</v>
      </c>
      <c r="T450">
        <v>0</v>
      </c>
      <c r="U450">
        <v>0</v>
      </c>
      <c r="V450">
        <v>0</v>
      </c>
      <c r="W450" t="s">
        <v>8466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</v>
      </c>
      <c r="AR450">
        <v>0</v>
      </c>
      <c r="AS450">
        <v>0</v>
      </c>
      <c r="AT450" t="s">
        <v>8456</v>
      </c>
      <c r="AU450">
        <v>0</v>
      </c>
      <c r="AV450">
        <v>1</v>
      </c>
      <c r="AW450" t="s">
        <v>8530</v>
      </c>
      <c r="AX450">
        <v>1</v>
      </c>
      <c r="AY450" t="s">
        <v>8526</v>
      </c>
      <c r="AZ450">
        <v>0</v>
      </c>
      <c r="BA450" t="s">
        <v>8491</v>
      </c>
      <c r="BB450">
        <v>0</v>
      </c>
      <c r="BC450" t="s">
        <v>8462</v>
      </c>
      <c r="BD450">
        <v>0</v>
      </c>
      <c r="BE450" t="s">
        <v>8464</v>
      </c>
      <c r="BF450" t="s">
        <v>8455</v>
      </c>
      <c r="BG450" t="s">
        <v>8455</v>
      </c>
      <c r="BH450">
        <v>0.15909100000000001</v>
      </c>
    </row>
    <row r="451" spans="1:63" x14ac:dyDescent="0.25">
      <c r="A451">
        <v>632</v>
      </c>
      <c r="B451">
        <v>195</v>
      </c>
      <c r="C451" t="s">
        <v>8445</v>
      </c>
      <c r="F451">
        <v>1027706</v>
      </c>
      <c r="G451" t="s">
        <v>9141</v>
      </c>
      <c r="H451" t="s">
        <v>9142</v>
      </c>
      <c r="I451" t="s">
        <v>8458</v>
      </c>
      <c r="J451">
        <v>0</v>
      </c>
      <c r="K451">
        <v>6</v>
      </c>
      <c r="L451">
        <v>0</v>
      </c>
      <c r="M451">
        <v>119900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510</v>
      </c>
      <c r="T451">
        <v>0</v>
      </c>
      <c r="U451">
        <v>0</v>
      </c>
      <c r="V451">
        <v>0</v>
      </c>
      <c r="W451" t="s">
        <v>8466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9</v>
      </c>
      <c r="AR451">
        <v>0</v>
      </c>
      <c r="AS451">
        <v>0</v>
      </c>
      <c r="AT451" t="s">
        <v>8456</v>
      </c>
      <c r="AU451">
        <v>0</v>
      </c>
      <c r="AV451">
        <v>1</v>
      </c>
      <c r="AW451" t="s">
        <v>8530</v>
      </c>
      <c r="AX451">
        <v>1</v>
      </c>
      <c r="AY451" t="s">
        <v>8526</v>
      </c>
      <c r="AZ451">
        <v>0</v>
      </c>
      <c r="BA451" t="s">
        <v>8491</v>
      </c>
      <c r="BB451">
        <v>0</v>
      </c>
      <c r="BC451" t="s">
        <v>8462</v>
      </c>
      <c r="BD451">
        <v>0</v>
      </c>
      <c r="BE451" t="s">
        <v>8464</v>
      </c>
      <c r="BF451" t="s">
        <v>8455</v>
      </c>
      <c r="BG451" t="s">
        <v>8455</v>
      </c>
      <c r="BH451">
        <v>0.204545</v>
      </c>
    </row>
    <row r="452" spans="1:63" x14ac:dyDescent="0.25">
      <c r="A452">
        <v>633</v>
      </c>
      <c r="B452">
        <v>206</v>
      </c>
      <c r="C452" t="s">
        <v>8445</v>
      </c>
      <c r="F452">
        <v>1012817</v>
      </c>
      <c r="G452" t="s">
        <v>5859</v>
      </c>
      <c r="H452" t="s">
        <v>3256</v>
      </c>
      <c r="I452" t="s">
        <v>8458</v>
      </c>
      <c r="J452">
        <v>0</v>
      </c>
      <c r="K452">
        <v>6</v>
      </c>
      <c r="L452">
        <v>0</v>
      </c>
      <c r="M452">
        <v>220700</v>
      </c>
      <c r="N452">
        <v>273</v>
      </c>
      <c r="O452">
        <v>0</v>
      </c>
      <c r="P452">
        <v>4</v>
      </c>
      <c r="Q452">
        <v>0</v>
      </c>
      <c r="R452">
        <v>100800</v>
      </c>
      <c r="S452">
        <v>277</v>
      </c>
      <c r="T452">
        <v>0</v>
      </c>
      <c r="U452">
        <v>0</v>
      </c>
      <c r="V452">
        <v>474</v>
      </c>
      <c r="W452" t="s">
        <v>8475</v>
      </c>
      <c r="X452">
        <v>0</v>
      </c>
      <c r="Y452">
        <v>42</v>
      </c>
      <c r="Z452">
        <v>0</v>
      </c>
      <c r="AA452">
        <v>16</v>
      </c>
      <c r="AB452">
        <v>0</v>
      </c>
      <c r="AC452">
        <v>33</v>
      </c>
      <c r="AD452">
        <v>0</v>
      </c>
      <c r="AE452">
        <v>7</v>
      </c>
      <c r="AF452">
        <v>0</v>
      </c>
      <c r="AG452">
        <v>2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68.25</v>
      </c>
      <c r="AQ452">
        <v>323</v>
      </c>
      <c r="AR452">
        <v>68.25</v>
      </c>
      <c r="AS452">
        <v>76</v>
      </c>
      <c r="AT452" t="s">
        <v>8456</v>
      </c>
      <c r="AU452">
        <v>0</v>
      </c>
      <c r="AV452">
        <v>1</v>
      </c>
      <c r="AW452" t="s">
        <v>8530</v>
      </c>
      <c r="AX452">
        <v>1</v>
      </c>
      <c r="AY452" t="s">
        <v>8526</v>
      </c>
      <c r="AZ452">
        <v>0</v>
      </c>
      <c r="BA452" t="s">
        <v>8491</v>
      </c>
      <c r="BB452">
        <v>0</v>
      </c>
      <c r="BC452" t="s">
        <v>8462</v>
      </c>
      <c r="BD452">
        <v>0</v>
      </c>
      <c r="BE452" t="s">
        <v>8464</v>
      </c>
      <c r="BF452" t="s">
        <v>8455</v>
      </c>
      <c r="BG452" t="s">
        <v>8455</v>
      </c>
      <c r="BH452">
        <v>7.34091</v>
      </c>
      <c r="BJ452" s="1" t="s">
        <v>9143</v>
      </c>
      <c r="BK452" s="1" t="s">
        <v>9144</v>
      </c>
    </row>
    <row r="453" spans="1:63" x14ac:dyDescent="0.25">
      <c r="A453">
        <v>634</v>
      </c>
      <c r="B453">
        <v>213</v>
      </c>
      <c r="C453" t="s">
        <v>8445</v>
      </c>
      <c r="F453">
        <v>1027966</v>
      </c>
      <c r="G453" t="s">
        <v>9145</v>
      </c>
      <c r="H453" t="s">
        <v>8920</v>
      </c>
      <c r="I453" t="s">
        <v>8458</v>
      </c>
      <c r="J453">
        <v>0</v>
      </c>
      <c r="K453">
        <v>6</v>
      </c>
      <c r="L453">
        <v>0</v>
      </c>
      <c r="M453">
        <v>119900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510</v>
      </c>
      <c r="T453">
        <v>0</v>
      </c>
      <c r="U453">
        <v>0</v>
      </c>
      <c r="V453">
        <v>0</v>
      </c>
      <c r="W453" t="s">
        <v>8466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23</v>
      </c>
      <c r="AR453">
        <v>0</v>
      </c>
      <c r="AS453">
        <v>0</v>
      </c>
      <c r="AT453" t="s">
        <v>8456</v>
      </c>
      <c r="AU453">
        <v>0</v>
      </c>
      <c r="AV453">
        <v>1</v>
      </c>
      <c r="AW453" t="s">
        <v>8530</v>
      </c>
      <c r="AX453">
        <v>1</v>
      </c>
      <c r="AY453" t="s">
        <v>8526</v>
      </c>
      <c r="AZ453">
        <v>0</v>
      </c>
      <c r="BA453" t="s">
        <v>8491</v>
      </c>
      <c r="BB453">
        <v>0</v>
      </c>
      <c r="BC453" t="s">
        <v>8462</v>
      </c>
      <c r="BD453">
        <v>0</v>
      </c>
      <c r="BE453" t="s">
        <v>8464</v>
      </c>
      <c r="BF453" t="s">
        <v>8455</v>
      </c>
      <c r="BG453" t="s">
        <v>8455</v>
      </c>
      <c r="BH453">
        <v>0.52272700000000005</v>
      </c>
    </row>
    <row r="454" spans="1:63" x14ac:dyDescent="0.25">
      <c r="A454">
        <v>635</v>
      </c>
      <c r="B454">
        <v>226</v>
      </c>
      <c r="C454" t="s">
        <v>8445</v>
      </c>
      <c r="F454">
        <v>1022927</v>
      </c>
      <c r="G454" t="s">
        <v>5274</v>
      </c>
      <c r="H454" t="s">
        <v>5959</v>
      </c>
      <c r="I454" t="s">
        <v>8502</v>
      </c>
      <c r="J454">
        <v>0</v>
      </c>
      <c r="K454">
        <v>6</v>
      </c>
      <c r="L454">
        <v>0</v>
      </c>
      <c r="M454">
        <v>119900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510</v>
      </c>
      <c r="T454">
        <v>0</v>
      </c>
      <c r="U454">
        <v>0</v>
      </c>
      <c r="V454">
        <v>0</v>
      </c>
      <c r="W454" t="s">
        <v>8466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5</v>
      </c>
      <c r="AR454">
        <v>0</v>
      </c>
      <c r="AS454">
        <v>0</v>
      </c>
      <c r="AT454" t="s">
        <v>8501</v>
      </c>
      <c r="AU454">
        <v>0</v>
      </c>
      <c r="AV454">
        <v>1</v>
      </c>
      <c r="AW454" t="s">
        <v>8469</v>
      </c>
      <c r="AX454">
        <v>0</v>
      </c>
      <c r="AY454" t="s">
        <v>8470</v>
      </c>
      <c r="AZ454">
        <v>1</v>
      </c>
      <c r="BA454" t="s">
        <v>8530</v>
      </c>
      <c r="BB454">
        <v>0</v>
      </c>
      <c r="BC454" t="s">
        <v>8484</v>
      </c>
      <c r="BD454">
        <v>0</v>
      </c>
      <c r="BE454" t="s">
        <v>8463</v>
      </c>
      <c r="BF454" t="s">
        <v>8455</v>
      </c>
      <c r="BG454" t="s">
        <v>8463</v>
      </c>
      <c r="BH454">
        <v>0.113636</v>
      </c>
    </row>
    <row r="455" spans="1:63" x14ac:dyDescent="0.25">
      <c r="A455">
        <v>636</v>
      </c>
      <c r="B455">
        <v>227</v>
      </c>
      <c r="C455" t="s">
        <v>8445</v>
      </c>
      <c r="F455">
        <v>1019975</v>
      </c>
      <c r="G455" t="s">
        <v>1127</v>
      </c>
      <c r="H455" t="s">
        <v>9146</v>
      </c>
      <c r="I455" t="s">
        <v>8502</v>
      </c>
      <c r="J455">
        <v>0</v>
      </c>
      <c r="K455">
        <v>6</v>
      </c>
      <c r="L455">
        <v>0</v>
      </c>
      <c r="M455">
        <v>119900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510</v>
      </c>
      <c r="T455">
        <v>0</v>
      </c>
      <c r="U455">
        <v>0</v>
      </c>
      <c r="V455">
        <v>0</v>
      </c>
      <c r="W455" t="s">
        <v>8466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7</v>
      </c>
      <c r="AR455">
        <v>0</v>
      </c>
      <c r="AS455">
        <v>0</v>
      </c>
      <c r="AT455" t="s">
        <v>8501</v>
      </c>
      <c r="AU455">
        <v>0</v>
      </c>
      <c r="AV455">
        <v>1</v>
      </c>
      <c r="AW455" t="s">
        <v>8469</v>
      </c>
      <c r="AX455">
        <v>0</v>
      </c>
      <c r="AY455" t="s">
        <v>8470</v>
      </c>
      <c r="AZ455">
        <v>1</v>
      </c>
      <c r="BA455" t="s">
        <v>8530</v>
      </c>
      <c r="BB455">
        <v>0</v>
      </c>
      <c r="BC455" t="s">
        <v>8484</v>
      </c>
      <c r="BD455">
        <v>0</v>
      </c>
      <c r="BE455" t="s">
        <v>8463</v>
      </c>
      <c r="BF455" t="s">
        <v>8455</v>
      </c>
      <c r="BG455" t="s">
        <v>8463</v>
      </c>
      <c r="BH455">
        <v>0.15909100000000001</v>
      </c>
    </row>
    <row r="456" spans="1:63" x14ac:dyDescent="0.25">
      <c r="A456">
        <v>637</v>
      </c>
      <c r="B456">
        <v>229</v>
      </c>
      <c r="C456" t="s">
        <v>8445</v>
      </c>
      <c r="F456">
        <v>1020250</v>
      </c>
      <c r="G456" t="s">
        <v>6478</v>
      </c>
      <c r="H456" t="s">
        <v>6479</v>
      </c>
      <c r="I456" t="s">
        <v>8502</v>
      </c>
      <c r="J456">
        <v>0</v>
      </c>
      <c r="K456">
        <v>6</v>
      </c>
      <c r="L456">
        <v>0</v>
      </c>
      <c r="M456">
        <v>119900</v>
      </c>
      <c r="N456">
        <v>121</v>
      </c>
      <c r="O456">
        <v>0</v>
      </c>
      <c r="P456">
        <v>2</v>
      </c>
      <c r="Q456">
        <v>0</v>
      </c>
      <c r="R456">
        <v>0</v>
      </c>
      <c r="S456">
        <v>429</v>
      </c>
      <c r="T456">
        <v>0</v>
      </c>
      <c r="U456">
        <v>0</v>
      </c>
      <c r="V456">
        <v>159</v>
      </c>
      <c r="W456" t="s">
        <v>8505</v>
      </c>
      <c r="X456">
        <v>0</v>
      </c>
      <c r="Y456">
        <v>16</v>
      </c>
      <c r="Z456">
        <v>0</v>
      </c>
      <c r="AA456">
        <v>16</v>
      </c>
      <c r="AB456">
        <v>0</v>
      </c>
      <c r="AC456">
        <v>8</v>
      </c>
      <c r="AD456">
        <v>0</v>
      </c>
      <c r="AE456">
        <v>3</v>
      </c>
      <c r="AF456">
        <v>0</v>
      </c>
      <c r="AG456">
        <v>2</v>
      </c>
      <c r="AH456">
        <v>0</v>
      </c>
      <c r="AI456">
        <v>-3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</v>
      </c>
      <c r="AP456">
        <v>60.5</v>
      </c>
      <c r="AQ456">
        <v>127</v>
      </c>
      <c r="AR456">
        <v>60.5</v>
      </c>
      <c r="AS456">
        <v>60.5</v>
      </c>
      <c r="AT456" t="s">
        <v>8501</v>
      </c>
      <c r="AU456">
        <v>0</v>
      </c>
      <c r="AV456">
        <v>1</v>
      </c>
      <c r="AW456" t="s">
        <v>8469</v>
      </c>
      <c r="AX456">
        <v>0</v>
      </c>
      <c r="AY456" t="s">
        <v>8470</v>
      </c>
      <c r="AZ456">
        <v>1</v>
      </c>
      <c r="BA456" t="s">
        <v>8530</v>
      </c>
      <c r="BB456">
        <v>0</v>
      </c>
      <c r="BC456" t="s">
        <v>8484</v>
      </c>
      <c r="BD456">
        <v>62</v>
      </c>
      <c r="BE456" t="s">
        <v>8463</v>
      </c>
      <c r="BF456" t="s">
        <v>8455</v>
      </c>
      <c r="BG456" t="s">
        <v>8463</v>
      </c>
      <c r="BH456">
        <v>2.8863599999999998</v>
      </c>
      <c r="BJ456" s="1" t="s">
        <v>9147</v>
      </c>
      <c r="BK456" s="1" t="s">
        <v>9148</v>
      </c>
    </row>
    <row r="457" spans="1:63" x14ac:dyDescent="0.25">
      <c r="A457">
        <v>638</v>
      </c>
      <c r="B457">
        <v>234</v>
      </c>
      <c r="C457" t="s">
        <v>8445</v>
      </c>
      <c r="F457">
        <v>1028371</v>
      </c>
      <c r="G457" t="s">
        <v>9149</v>
      </c>
      <c r="H457" t="s">
        <v>890</v>
      </c>
      <c r="I457" t="s">
        <v>8502</v>
      </c>
      <c r="J457">
        <v>0</v>
      </c>
      <c r="K457">
        <v>6</v>
      </c>
      <c r="L457">
        <v>0</v>
      </c>
      <c r="M457">
        <v>119900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510</v>
      </c>
      <c r="T457">
        <v>0</v>
      </c>
      <c r="U457">
        <v>0</v>
      </c>
      <c r="V457">
        <v>0</v>
      </c>
      <c r="W457" t="s">
        <v>8466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17</v>
      </c>
      <c r="AR457">
        <v>0</v>
      </c>
      <c r="AS457">
        <v>0</v>
      </c>
      <c r="AT457" t="s">
        <v>8501</v>
      </c>
      <c r="AU457">
        <v>0</v>
      </c>
      <c r="AV457">
        <v>1</v>
      </c>
      <c r="AW457" t="s">
        <v>8469</v>
      </c>
      <c r="AX457">
        <v>0</v>
      </c>
      <c r="AY457" t="s">
        <v>8470</v>
      </c>
      <c r="AZ457">
        <v>1</v>
      </c>
      <c r="BA457" t="s">
        <v>8530</v>
      </c>
      <c r="BB457">
        <v>0</v>
      </c>
      <c r="BC457" t="s">
        <v>8484</v>
      </c>
      <c r="BD457">
        <v>0</v>
      </c>
      <c r="BE457" t="s">
        <v>8463</v>
      </c>
      <c r="BF457" t="s">
        <v>8455</v>
      </c>
      <c r="BG457" t="s">
        <v>8463</v>
      </c>
      <c r="BH457">
        <v>0.38636399999999999</v>
      </c>
    </row>
    <row r="458" spans="1:63" x14ac:dyDescent="0.25">
      <c r="A458">
        <v>639</v>
      </c>
      <c r="B458">
        <v>235</v>
      </c>
      <c r="C458" t="s">
        <v>8445</v>
      </c>
      <c r="F458">
        <v>992472</v>
      </c>
      <c r="G458" t="s">
        <v>5141</v>
      </c>
      <c r="H458" t="s">
        <v>5142</v>
      </c>
      <c r="I458" t="s">
        <v>8502</v>
      </c>
      <c r="J458">
        <v>0</v>
      </c>
      <c r="K458">
        <v>6</v>
      </c>
      <c r="L458">
        <v>0</v>
      </c>
      <c r="M458">
        <v>119900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510</v>
      </c>
      <c r="T458">
        <v>0</v>
      </c>
      <c r="U458">
        <v>0</v>
      </c>
      <c r="V458">
        <v>0</v>
      </c>
      <c r="W458" t="s">
        <v>8466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9</v>
      </c>
      <c r="AR458">
        <v>0</v>
      </c>
      <c r="AS458">
        <v>0</v>
      </c>
      <c r="AT458" t="s">
        <v>8501</v>
      </c>
      <c r="AU458">
        <v>0</v>
      </c>
      <c r="AV458">
        <v>1</v>
      </c>
      <c r="AW458" t="s">
        <v>8469</v>
      </c>
      <c r="AX458">
        <v>0</v>
      </c>
      <c r="AY458" t="s">
        <v>8470</v>
      </c>
      <c r="AZ458">
        <v>1</v>
      </c>
      <c r="BA458" t="s">
        <v>8530</v>
      </c>
      <c r="BB458">
        <v>0</v>
      </c>
      <c r="BC458" t="s">
        <v>8484</v>
      </c>
      <c r="BD458">
        <v>62.918900000000001</v>
      </c>
      <c r="BE458" t="s">
        <v>8463</v>
      </c>
      <c r="BF458" t="s">
        <v>8455</v>
      </c>
      <c r="BG458" t="s">
        <v>8463</v>
      </c>
      <c r="BH458">
        <v>0.204545</v>
      </c>
    </row>
    <row r="459" spans="1:63" x14ac:dyDescent="0.25">
      <c r="A459">
        <v>640</v>
      </c>
      <c r="B459">
        <v>236</v>
      </c>
      <c r="C459" t="s">
        <v>8445</v>
      </c>
      <c r="F459">
        <v>1027990</v>
      </c>
      <c r="G459" t="s">
        <v>8211</v>
      </c>
      <c r="H459" t="s">
        <v>1635</v>
      </c>
      <c r="I459" t="s">
        <v>8502</v>
      </c>
      <c r="J459">
        <v>0</v>
      </c>
      <c r="K459">
        <v>6</v>
      </c>
      <c r="L459">
        <v>0</v>
      </c>
      <c r="M459">
        <v>119900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510</v>
      </c>
      <c r="T459">
        <v>0</v>
      </c>
      <c r="U459">
        <v>0</v>
      </c>
      <c r="V459">
        <v>0</v>
      </c>
      <c r="W459" t="s">
        <v>8466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5</v>
      </c>
      <c r="AR459">
        <v>0</v>
      </c>
      <c r="AS459">
        <v>0</v>
      </c>
      <c r="AT459" t="s">
        <v>8501</v>
      </c>
      <c r="AU459">
        <v>0</v>
      </c>
      <c r="AV459">
        <v>1</v>
      </c>
      <c r="AW459" t="s">
        <v>8469</v>
      </c>
      <c r="AX459">
        <v>0</v>
      </c>
      <c r="AY459" t="s">
        <v>8470</v>
      </c>
      <c r="AZ459">
        <v>1</v>
      </c>
      <c r="BA459" t="s">
        <v>8530</v>
      </c>
      <c r="BB459">
        <v>0</v>
      </c>
      <c r="BC459" t="s">
        <v>8484</v>
      </c>
      <c r="BD459">
        <v>0</v>
      </c>
      <c r="BE459" t="s">
        <v>8463</v>
      </c>
      <c r="BF459" t="s">
        <v>8455</v>
      </c>
      <c r="BG459" t="s">
        <v>8463</v>
      </c>
      <c r="BH459">
        <v>0.113636</v>
      </c>
    </row>
    <row r="460" spans="1:63" x14ac:dyDescent="0.25">
      <c r="A460">
        <v>641</v>
      </c>
      <c r="B460">
        <v>248</v>
      </c>
      <c r="C460" t="s">
        <v>8445</v>
      </c>
      <c r="F460">
        <v>1027656</v>
      </c>
      <c r="G460" t="s">
        <v>8011</v>
      </c>
      <c r="H460" t="s">
        <v>2885</v>
      </c>
      <c r="I460" t="s">
        <v>8502</v>
      </c>
      <c r="J460">
        <v>0</v>
      </c>
      <c r="K460">
        <v>6</v>
      </c>
      <c r="L460">
        <v>0</v>
      </c>
      <c r="M460">
        <v>119900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510</v>
      </c>
      <c r="T460">
        <v>0</v>
      </c>
      <c r="U460">
        <v>0</v>
      </c>
      <c r="V460">
        <v>0</v>
      </c>
      <c r="W460" t="s">
        <v>8466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18</v>
      </c>
      <c r="AR460">
        <v>0</v>
      </c>
      <c r="AS460">
        <v>0</v>
      </c>
      <c r="AT460" t="s">
        <v>8501</v>
      </c>
      <c r="AU460">
        <v>0</v>
      </c>
      <c r="AV460">
        <v>1</v>
      </c>
      <c r="AW460" t="s">
        <v>8469</v>
      </c>
      <c r="AX460">
        <v>0</v>
      </c>
      <c r="AY460" t="s">
        <v>8470</v>
      </c>
      <c r="AZ460">
        <v>1</v>
      </c>
      <c r="BA460" t="s">
        <v>8530</v>
      </c>
      <c r="BB460">
        <v>0</v>
      </c>
      <c r="BC460" t="s">
        <v>8484</v>
      </c>
      <c r="BD460">
        <v>17</v>
      </c>
      <c r="BE460" t="s">
        <v>8463</v>
      </c>
      <c r="BF460" t="s">
        <v>8455</v>
      </c>
      <c r="BG460" t="s">
        <v>8463</v>
      </c>
      <c r="BH460">
        <v>0.40909099999999998</v>
      </c>
    </row>
    <row r="461" spans="1:63" x14ac:dyDescent="0.25">
      <c r="A461">
        <v>642</v>
      </c>
      <c r="B461">
        <v>270</v>
      </c>
      <c r="C461" t="s">
        <v>8445</v>
      </c>
      <c r="F461">
        <v>999715</v>
      </c>
      <c r="G461" t="s">
        <v>4822</v>
      </c>
      <c r="H461" t="s">
        <v>4823</v>
      </c>
      <c r="I461" t="s">
        <v>8489</v>
      </c>
      <c r="J461">
        <v>0</v>
      </c>
      <c r="K461">
        <v>6</v>
      </c>
      <c r="L461">
        <v>0</v>
      </c>
      <c r="M461">
        <v>119900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510</v>
      </c>
      <c r="T461">
        <v>0</v>
      </c>
      <c r="U461">
        <v>0</v>
      </c>
      <c r="V461">
        <v>0</v>
      </c>
      <c r="W461" t="s">
        <v>8466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4</v>
      </c>
      <c r="AR461">
        <v>0</v>
      </c>
      <c r="AS461">
        <v>0</v>
      </c>
      <c r="AT461" t="s">
        <v>8490</v>
      </c>
      <c r="AU461">
        <v>0</v>
      </c>
      <c r="AV461">
        <v>1</v>
      </c>
      <c r="AW461" t="s">
        <v>8491</v>
      </c>
      <c r="AX461">
        <v>0</v>
      </c>
      <c r="AY461" t="s">
        <v>8492</v>
      </c>
      <c r="AZ461">
        <v>1</v>
      </c>
      <c r="BA461" t="s">
        <v>8493</v>
      </c>
      <c r="BB461">
        <v>0</v>
      </c>
      <c r="BC461" t="s">
        <v>8471</v>
      </c>
      <c r="BD461">
        <v>61.333300000000001</v>
      </c>
      <c r="BE461" t="s">
        <v>8453</v>
      </c>
      <c r="BF461" t="s">
        <v>8494</v>
      </c>
      <c r="BG461" t="s">
        <v>8495</v>
      </c>
      <c r="BH461">
        <v>9.0909100000000007E-2</v>
      </c>
    </row>
    <row r="462" spans="1:63" x14ac:dyDescent="0.25">
      <c r="A462">
        <v>643</v>
      </c>
      <c r="B462">
        <v>273</v>
      </c>
      <c r="C462" t="s">
        <v>8445</v>
      </c>
      <c r="F462">
        <v>1006087</v>
      </c>
      <c r="G462" t="s">
        <v>4451</v>
      </c>
      <c r="H462" t="s">
        <v>2320</v>
      </c>
      <c r="I462" t="s">
        <v>8489</v>
      </c>
      <c r="J462">
        <v>0</v>
      </c>
      <c r="K462">
        <v>6</v>
      </c>
      <c r="L462">
        <v>0</v>
      </c>
      <c r="M462">
        <v>119900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510</v>
      </c>
      <c r="T462">
        <v>0</v>
      </c>
      <c r="U462">
        <v>0</v>
      </c>
      <c r="V462">
        <v>0</v>
      </c>
      <c r="W462" t="s">
        <v>8466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6</v>
      </c>
      <c r="AR462">
        <v>0</v>
      </c>
      <c r="AS462">
        <v>0</v>
      </c>
      <c r="AT462" t="s">
        <v>8490</v>
      </c>
      <c r="AU462">
        <v>75.5</v>
      </c>
      <c r="AV462">
        <v>1</v>
      </c>
      <c r="AW462" t="s">
        <v>8491</v>
      </c>
      <c r="AX462">
        <v>0</v>
      </c>
      <c r="AY462" t="s">
        <v>8492</v>
      </c>
      <c r="AZ462">
        <v>1</v>
      </c>
      <c r="BA462" t="s">
        <v>8493</v>
      </c>
      <c r="BB462">
        <v>0</v>
      </c>
      <c r="BC462" t="s">
        <v>8471</v>
      </c>
      <c r="BD462">
        <v>57</v>
      </c>
      <c r="BE462" t="s">
        <v>8453</v>
      </c>
      <c r="BF462" t="s">
        <v>8494</v>
      </c>
      <c r="BG462" t="s">
        <v>8495</v>
      </c>
      <c r="BH462">
        <v>0.13636400000000001</v>
      </c>
    </row>
    <row r="463" spans="1:63" x14ac:dyDescent="0.25">
      <c r="A463">
        <v>644</v>
      </c>
      <c r="B463">
        <v>282</v>
      </c>
      <c r="C463" t="s">
        <v>8445</v>
      </c>
      <c r="F463">
        <v>1027701</v>
      </c>
      <c r="G463" t="s">
        <v>5439</v>
      </c>
      <c r="H463" t="s">
        <v>9150</v>
      </c>
      <c r="I463" t="s">
        <v>8489</v>
      </c>
      <c r="J463">
        <v>0</v>
      </c>
      <c r="K463">
        <v>6</v>
      </c>
      <c r="L463">
        <v>0</v>
      </c>
      <c r="M463">
        <v>119900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510</v>
      </c>
      <c r="T463">
        <v>0</v>
      </c>
      <c r="U463">
        <v>0</v>
      </c>
      <c r="V463">
        <v>0</v>
      </c>
      <c r="W463" t="s">
        <v>8466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14</v>
      </c>
      <c r="AR463">
        <v>0</v>
      </c>
      <c r="AS463">
        <v>0</v>
      </c>
      <c r="AT463" t="s">
        <v>8490</v>
      </c>
      <c r="AU463">
        <v>0</v>
      </c>
      <c r="AV463">
        <v>1</v>
      </c>
      <c r="AW463" t="s">
        <v>8491</v>
      </c>
      <c r="AX463">
        <v>0</v>
      </c>
      <c r="AY463" t="s">
        <v>8492</v>
      </c>
      <c r="AZ463">
        <v>1</v>
      </c>
      <c r="BA463" t="s">
        <v>8493</v>
      </c>
      <c r="BB463">
        <v>0</v>
      </c>
      <c r="BC463" t="s">
        <v>8471</v>
      </c>
      <c r="BD463">
        <v>0</v>
      </c>
      <c r="BE463" t="s">
        <v>8453</v>
      </c>
      <c r="BF463" t="s">
        <v>8494</v>
      </c>
      <c r="BG463" t="s">
        <v>8495</v>
      </c>
      <c r="BH463">
        <v>0.31818200000000002</v>
      </c>
    </row>
    <row r="464" spans="1:63" x14ac:dyDescent="0.25">
      <c r="A464">
        <v>645</v>
      </c>
      <c r="B464">
        <v>309</v>
      </c>
      <c r="C464" t="s">
        <v>8445</v>
      </c>
      <c r="F464">
        <v>1023542</v>
      </c>
      <c r="G464" t="s">
        <v>654</v>
      </c>
      <c r="H464" t="s">
        <v>7190</v>
      </c>
      <c r="I464" t="s">
        <v>8482</v>
      </c>
      <c r="J464">
        <v>0</v>
      </c>
      <c r="K464">
        <v>6</v>
      </c>
      <c r="L464">
        <v>0</v>
      </c>
      <c r="M464">
        <v>182400</v>
      </c>
      <c r="N464">
        <v>211</v>
      </c>
      <c r="O464">
        <v>0</v>
      </c>
      <c r="P464">
        <v>4</v>
      </c>
      <c r="Q464">
        <v>0</v>
      </c>
      <c r="R464">
        <v>62500</v>
      </c>
      <c r="S464">
        <v>343</v>
      </c>
      <c r="T464">
        <v>0</v>
      </c>
      <c r="U464">
        <v>0</v>
      </c>
      <c r="V464">
        <v>257</v>
      </c>
      <c r="W464" t="s">
        <v>8505</v>
      </c>
      <c r="X464">
        <v>0</v>
      </c>
      <c r="Y464">
        <v>29</v>
      </c>
      <c r="Z464">
        <v>0</v>
      </c>
      <c r="AA464">
        <v>14</v>
      </c>
      <c r="AB464">
        <v>0</v>
      </c>
      <c r="AC464">
        <v>10</v>
      </c>
      <c r="AD464">
        <v>0</v>
      </c>
      <c r="AE464">
        <v>10</v>
      </c>
      <c r="AF464">
        <v>0</v>
      </c>
      <c r="AG464">
        <v>3</v>
      </c>
      <c r="AH464">
        <v>0</v>
      </c>
      <c r="AI464">
        <v>-3</v>
      </c>
      <c r="AJ464">
        <v>0</v>
      </c>
      <c r="AK464">
        <v>0</v>
      </c>
      <c r="AL464">
        <v>0</v>
      </c>
      <c r="AM464">
        <v>2</v>
      </c>
      <c r="AN464">
        <v>0</v>
      </c>
      <c r="AO464">
        <v>3</v>
      </c>
      <c r="AP464">
        <v>52.75</v>
      </c>
      <c r="AQ464">
        <v>127</v>
      </c>
      <c r="AR464">
        <v>52.75</v>
      </c>
      <c r="AS464">
        <v>42.333300000000001</v>
      </c>
      <c r="AT464" t="s">
        <v>8480</v>
      </c>
      <c r="AU464">
        <v>0</v>
      </c>
      <c r="AV464">
        <v>0</v>
      </c>
      <c r="AW464" t="s">
        <v>8514</v>
      </c>
      <c r="AX464">
        <v>1</v>
      </c>
      <c r="AY464" t="s">
        <v>8530</v>
      </c>
      <c r="AZ464">
        <v>1</v>
      </c>
      <c r="BA464" t="s">
        <v>8450</v>
      </c>
      <c r="BB464">
        <v>0</v>
      </c>
      <c r="BC464" t="s">
        <v>8484</v>
      </c>
      <c r="BD464">
        <v>0</v>
      </c>
      <c r="BE464" t="s">
        <v>8464</v>
      </c>
      <c r="BF464" t="s">
        <v>8464</v>
      </c>
      <c r="BG464" t="s">
        <v>8531</v>
      </c>
      <c r="BH464">
        <v>2.8863599999999998</v>
      </c>
      <c r="BJ464" s="1" t="s">
        <v>9151</v>
      </c>
      <c r="BK464">
        <v>3457.81990521327</v>
      </c>
    </row>
    <row r="465" spans="1:63" x14ac:dyDescent="0.25">
      <c r="A465">
        <v>646</v>
      </c>
      <c r="B465">
        <v>316</v>
      </c>
      <c r="C465" t="s">
        <v>8445</v>
      </c>
      <c r="F465">
        <v>1024304</v>
      </c>
      <c r="G465" t="s">
        <v>1812</v>
      </c>
      <c r="H465" t="s">
        <v>4546</v>
      </c>
      <c r="I465" t="s">
        <v>8482</v>
      </c>
      <c r="J465">
        <v>0</v>
      </c>
      <c r="K465">
        <v>6</v>
      </c>
      <c r="L465">
        <v>0</v>
      </c>
      <c r="M465">
        <v>119900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510</v>
      </c>
      <c r="T465">
        <v>0</v>
      </c>
      <c r="U465">
        <v>0</v>
      </c>
      <c r="V465">
        <v>0</v>
      </c>
      <c r="W465" t="s">
        <v>8447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15</v>
      </c>
      <c r="AR465">
        <v>0</v>
      </c>
      <c r="AS465">
        <v>0</v>
      </c>
      <c r="AT465" t="s">
        <v>8480</v>
      </c>
      <c r="AU465">
        <v>0</v>
      </c>
      <c r="AV465">
        <v>0</v>
      </c>
      <c r="AW465" t="s">
        <v>8514</v>
      </c>
      <c r="AX465">
        <v>1</v>
      </c>
      <c r="AY465" t="s">
        <v>8530</v>
      </c>
      <c r="AZ465">
        <v>1</v>
      </c>
      <c r="BA465" t="s">
        <v>8450</v>
      </c>
      <c r="BB465">
        <v>0</v>
      </c>
      <c r="BC465" t="s">
        <v>8484</v>
      </c>
      <c r="BD465">
        <v>0</v>
      </c>
      <c r="BE465" t="s">
        <v>8464</v>
      </c>
      <c r="BF465" t="s">
        <v>8464</v>
      </c>
      <c r="BG465" t="s">
        <v>8531</v>
      </c>
      <c r="BH465">
        <v>0.34090900000000002</v>
      </c>
    </row>
    <row r="466" spans="1:63" x14ac:dyDescent="0.25">
      <c r="A466">
        <v>647</v>
      </c>
      <c r="B466">
        <v>342</v>
      </c>
      <c r="C466" t="s">
        <v>8445</v>
      </c>
      <c r="F466">
        <v>1023681</v>
      </c>
      <c r="G466" t="s">
        <v>2908</v>
      </c>
      <c r="H466" t="s">
        <v>1904</v>
      </c>
      <c r="I466" t="s">
        <v>8482</v>
      </c>
      <c r="J466">
        <v>0</v>
      </c>
      <c r="K466">
        <v>6</v>
      </c>
      <c r="L466">
        <v>0</v>
      </c>
      <c r="M466">
        <v>119900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510</v>
      </c>
      <c r="T466">
        <v>0</v>
      </c>
      <c r="U466">
        <v>0</v>
      </c>
      <c r="V466">
        <v>0</v>
      </c>
      <c r="W466" t="s">
        <v>8447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16</v>
      </c>
      <c r="AR466">
        <v>0</v>
      </c>
      <c r="AS466">
        <v>0</v>
      </c>
      <c r="AT466" t="s">
        <v>8480</v>
      </c>
      <c r="AU466">
        <v>0</v>
      </c>
      <c r="AV466">
        <v>0</v>
      </c>
      <c r="AW466" t="s">
        <v>8514</v>
      </c>
      <c r="AX466">
        <v>1</v>
      </c>
      <c r="AY466" t="s">
        <v>8530</v>
      </c>
      <c r="AZ466">
        <v>1</v>
      </c>
      <c r="BA466" t="s">
        <v>8450</v>
      </c>
      <c r="BB466">
        <v>0</v>
      </c>
      <c r="BC466" t="s">
        <v>8484</v>
      </c>
      <c r="BD466">
        <v>0</v>
      </c>
      <c r="BE466" t="s">
        <v>8464</v>
      </c>
      <c r="BF466" t="s">
        <v>8464</v>
      </c>
      <c r="BG466" t="s">
        <v>8531</v>
      </c>
      <c r="BH466">
        <v>0.36363600000000001</v>
      </c>
    </row>
    <row r="467" spans="1:63" x14ac:dyDescent="0.25">
      <c r="A467">
        <v>648</v>
      </c>
      <c r="B467">
        <v>344</v>
      </c>
      <c r="C467" t="s">
        <v>8445</v>
      </c>
      <c r="F467">
        <v>1020881</v>
      </c>
      <c r="G467" t="s">
        <v>3871</v>
      </c>
      <c r="H467" t="s">
        <v>9152</v>
      </c>
      <c r="I467" t="s">
        <v>8482</v>
      </c>
      <c r="J467">
        <v>0</v>
      </c>
      <c r="K467">
        <v>6</v>
      </c>
      <c r="L467">
        <v>0</v>
      </c>
      <c r="M467">
        <v>119900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510</v>
      </c>
      <c r="T467">
        <v>0</v>
      </c>
      <c r="U467">
        <v>0</v>
      </c>
      <c r="V467">
        <v>0</v>
      </c>
      <c r="W467" t="s">
        <v>8447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13</v>
      </c>
      <c r="AR467">
        <v>0</v>
      </c>
      <c r="AS467">
        <v>0</v>
      </c>
      <c r="AT467" t="s">
        <v>8480</v>
      </c>
      <c r="AU467">
        <v>0</v>
      </c>
      <c r="AV467">
        <v>0</v>
      </c>
      <c r="AW467" t="s">
        <v>8514</v>
      </c>
      <c r="AX467">
        <v>1</v>
      </c>
      <c r="AY467" t="s">
        <v>8530</v>
      </c>
      <c r="AZ467">
        <v>1</v>
      </c>
      <c r="BA467" t="s">
        <v>8450</v>
      </c>
      <c r="BB467">
        <v>0</v>
      </c>
      <c r="BC467" t="s">
        <v>8484</v>
      </c>
      <c r="BD467">
        <v>0</v>
      </c>
      <c r="BE467" t="s">
        <v>8464</v>
      </c>
      <c r="BF467" t="s">
        <v>8464</v>
      </c>
      <c r="BG467" t="s">
        <v>8531</v>
      </c>
      <c r="BH467">
        <v>0.29545500000000002</v>
      </c>
    </row>
    <row r="468" spans="1:63" x14ac:dyDescent="0.25">
      <c r="A468">
        <v>649</v>
      </c>
      <c r="B468">
        <v>358</v>
      </c>
      <c r="C468" t="s">
        <v>8445</v>
      </c>
      <c r="F468">
        <v>1016140</v>
      </c>
      <c r="G468" t="s">
        <v>9153</v>
      </c>
      <c r="H468" t="s">
        <v>9154</v>
      </c>
      <c r="I468" t="s">
        <v>8512</v>
      </c>
      <c r="J468">
        <v>0</v>
      </c>
      <c r="K468">
        <v>6</v>
      </c>
      <c r="L468">
        <v>0</v>
      </c>
      <c r="M468">
        <v>119900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510</v>
      </c>
      <c r="T468">
        <v>0</v>
      </c>
      <c r="U468">
        <v>0</v>
      </c>
      <c r="V468">
        <v>0</v>
      </c>
      <c r="W468" t="s">
        <v>8447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6</v>
      </c>
      <c r="AR468">
        <v>0</v>
      </c>
      <c r="AS468">
        <v>0</v>
      </c>
      <c r="AT468" t="s">
        <v>8511</v>
      </c>
      <c r="AU468">
        <v>0</v>
      </c>
      <c r="AV468">
        <v>1</v>
      </c>
      <c r="AW468" t="s">
        <v>8493</v>
      </c>
      <c r="AX468">
        <v>0</v>
      </c>
      <c r="AY468" t="s">
        <v>8491</v>
      </c>
      <c r="AZ468">
        <v>1</v>
      </c>
      <c r="BA468" t="s">
        <v>8468</v>
      </c>
      <c r="BB468">
        <v>1</v>
      </c>
      <c r="BC468" t="s">
        <v>8515</v>
      </c>
      <c r="BD468">
        <v>0</v>
      </c>
      <c r="BE468" t="s">
        <v>8546</v>
      </c>
      <c r="BF468" t="s">
        <v>8454</v>
      </c>
      <c r="BG468" t="s">
        <v>8531</v>
      </c>
      <c r="BH468">
        <v>0.13636400000000001</v>
      </c>
    </row>
    <row r="469" spans="1:63" x14ac:dyDescent="0.25">
      <c r="A469">
        <v>650</v>
      </c>
      <c r="B469">
        <v>359</v>
      </c>
      <c r="C469" t="s">
        <v>8445</v>
      </c>
      <c r="F469">
        <v>1017751</v>
      </c>
      <c r="G469" t="s">
        <v>1318</v>
      </c>
      <c r="H469" t="s">
        <v>9155</v>
      </c>
      <c r="I469" t="s">
        <v>8512</v>
      </c>
      <c r="J469">
        <v>0</v>
      </c>
      <c r="K469">
        <v>6</v>
      </c>
      <c r="L469">
        <v>0</v>
      </c>
      <c r="M469">
        <v>119900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510</v>
      </c>
      <c r="T469">
        <v>0</v>
      </c>
      <c r="U469">
        <v>0</v>
      </c>
      <c r="V469">
        <v>0</v>
      </c>
      <c r="W469" t="s">
        <v>8447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8</v>
      </c>
      <c r="AR469">
        <v>0</v>
      </c>
      <c r="AS469">
        <v>0</v>
      </c>
      <c r="AT469" t="s">
        <v>8511</v>
      </c>
      <c r="AU469">
        <v>26</v>
      </c>
      <c r="AV469">
        <v>1</v>
      </c>
      <c r="AW469" t="s">
        <v>8493</v>
      </c>
      <c r="AX469">
        <v>0</v>
      </c>
      <c r="AY469" t="s">
        <v>8491</v>
      </c>
      <c r="AZ469">
        <v>1</v>
      </c>
      <c r="BA469" t="s">
        <v>8468</v>
      </c>
      <c r="BB469">
        <v>1</v>
      </c>
      <c r="BC469" t="s">
        <v>8515</v>
      </c>
      <c r="BD469">
        <v>41</v>
      </c>
      <c r="BE469" t="s">
        <v>8546</v>
      </c>
      <c r="BF469" t="s">
        <v>8454</v>
      </c>
      <c r="BG469" t="s">
        <v>8531</v>
      </c>
      <c r="BH469">
        <v>0.18181800000000001</v>
      </c>
    </row>
    <row r="470" spans="1:63" x14ac:dyDescent="0.25">
      <c r="A470">
        <v>651</v>
      </c>
      <c r="B470">
        <v>361</v>
      </c>
      <c r="C470" t="s">
        <v>8445</v>
      </c>
      <c r="F470">
        <v>1032042</v>
      </c>
      <c r="G470" t="s">
        <v>9156</v>
      </c>
      <c r="H470" t="s">
        <v>9157</v>
      </c>
      <c r="I470" t="s">
        <v>8512</v>
      </c>
      <c r="J470">
        <v>0</v>
      </c>
      <c r="K470">
        <v>6</v>
      </c>
      <c r="L470">
        <v>0</v>
      </c>
      <c r="M470">
        <v>119900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510</v>
      </c>
      <c r="T470">
        <v>0</v>
      </c>
      <c r="U470">
        <v>0</v>
      </c>
      <c r="V470">
        <v>0</v>
      </c>
      <c r="W470" t="s">
        <v>8447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13</v>
      </c>
      <c r="AR470">
        <v>0</v>
      </c>
      <c r="AS470">
        <v>0</v>
      </c>
      <c r="AT470" t="s">
        <v>8511</v>
      </c>
      <c r="AU470">
        <v>0</v>
      </c>
      <c r="AV470">
        <v>1</v>
      </c>
      <c r="AW470" t="s">
        <v>8493</v>
      </c>
      <c r="AX470">
        <v>0</v>
      </c>
      <c r="AY470" t="s">
        <v>8491</v>
      </c>
      <c r="AZ470">
        <v>1</v>
      </c>
      <c r="BA470" t="s">
        <v>8468</v>
      </c>
      <c r="BB470">
        <v>1</v>
      </c>
      <c r="BC470" t="s">
        <v>8515</v>
      </c>
      <c r="BD470">
        <v>0</v>
      </c>
      <c r="BE470" t="s">
        <v>8546</v>
      </c>
      <c r="BF470" t="s">
        <v>8454</v>
      </c>
      <c r="BG470" t="s">
        <v>8531</v>
      </c>
      <c r="BH470">
        <v>0.29545500000000002</v>
      </c>
    </row>
    <row r="471" spans="1:63" x14ac:dyDescent="0.25">
      <c r="A471">
        <v>652</v>
      </c>
      <c r="B471">
        <v>364</v>
      </c>
      <c r="C471" t="s">
        <v>8445</v>
      </c>
      <c r="F471">
        <v>1027921</v>
      </c>
      <c r="G471" t="s">
        <v>5439</v>
      </c>
      <c r="H471" t="s">
        <v>9158</v>
      </c>
      <c r="I471" t="s">
        <v>8512</v>
      </c>
      <c r="J471">
        <v>0</v>
      </c>
      <c r="K471">
        <v>6</v>
      </c>
      <c r="L471">
        <v>0</v>
      </c>
      <c r="M471">
        <v>119900</v>
      </c>
      <c r="N471">
        <v>62</v>
      </c>
      <c r="O471">
        <v>0</v>
      </c>
      <c r="P471">
        <v>2</v>
      </c>
      <c r="Q471">
        <v>0</v>
      </c>
      <c r="R471">
        <v>0</v>
      </c>
      <c r="S471">
        <v>472</v>
      </c>
      <c r="T471">
        <v>0</v>
      </c>
      <c r="U471">
        <v>0</v>
      </c>
      <c r="V471">
        <v>126</v>
      </c>
      <c r="W471" t="s">
        <v>8505</v>
      </c>
      <c r="X471">
        <v>0</v>
      </c>
      <c r="Y471">
        <v>4</v>
      </c>
      <c r="Z471">
        <v>0</v>
      </c>
      <c r="AA471">
        <v>5</v>
      </c>
      <c r="AB471">
        <v>0</v>
      </c>
      <c r="AC471">
        <v>3</v>
      </c>
      <c r="AD471">
        <v>0</v>
      </c>
      <c r="AE471">
        <v>3</v>
      </c>
      <c r="AF471">
        <v>0</v>
      </c>
      <c r="AG471">
        <v>0</v>
      </c>
      <c r="AH471">
        <v>0</v>
      </c>
      <c r="AI471">
        <v>-1</v>
      </c>
      <c r="AJ471">
        <v>0</v>
      </c>
      <c r="AK471">
        <v>6</v>
      </c>
      <c r="AL471">
        <v>0</v>
      </c>
      <c r="AM471">
        <v>2</v>
      </c>
      <c r="AN471">
        <v>0</v>
      </c>
      <c r="AO471">
        <v>0</v>
      </c>
      <c r="AP471">
        <v>31</v>
      </c>
      <c r="AQ471">
        <v>16</v>
      </c>
      <c r="AR471">
        <v>31</v>
      </c>
      <c r="AS471">
        <v>31</v>
      </c>
      <c r="AT471" t="s">
        <v>8511</v>
      </c>
      <c r="AU471">
        <v>19</v>
      </c>
      <c r="AV471">
        <v>1</v>
      </c>
      <c r="AW471" t="s">
        <v>8493</v>
      </c>
      <c r="AX471">
        <v>0</v>
      </c>
      <c r="AY471" t="s">
        <v>8491</v>
      </c>
      <c r="AZ471">
        <v>1</v>
      </c>
      <c r="BA471" t="s">
        <v>8468</v>
      </c>
      <c r="BB471">
        <v>1</v>
      </c>
      <c r="BC471" t="s">
        <v>8515</v>
      </c>
      <c r="BD471">
        <v>19</v>
      </c>
      <c r="BE471" t="s">
        <v>8546</v>
      </c>
      <c r="BF471" t="s">
        <v>8454</v>
      </c>
      <c r="BG471" t="s">
        <v>8531</v>
      </c>
      <c r="BH471">
        <v>0.36363600000000001</v>
      </c>
      <c r="BJ471" s="1" t="s">
        <v>9159</v>
      </c>
      <c r="BK471" s="1" t="s">
        <v>9160</v>
      </c>
    </row>
    <row r="472" spans="1:63" x14ac:dyDescent="0.25">
      <c r="A472">
        <v>653</v>
      </c>
      <c r="B472">
        <v>372</v>
      </c>
      <c r="C472" t="s">
        <v>8445</v>
      </c>
      <c r="F472">
        <v>1032119</v>
      </c>
      <c r="G472" t="s">
        <v>617</v>
      </c>
      <c r="H472" t="s">
        <v>9161</v>
      </c>
      <c r="I472" t="s">
        <v>8512</v>
      </c>
      <c r="J472">
        <v>0</v>
      </c>
      <c r="K472">
        <v>6</v>
      </c>
      <c r="L472">
        <v>0</v>
      </c>
      <c r="M472">
        <v>119900</v>
      </c>
      <c r="N472">
        <v>77</v>
      </c>
      <c r="O472">
        <v>0</v>
      </c>
      <c r="P472">
        <v>2</v>
      </c>
      <c r="Q472">
        <v>0</v>
      </c>
      <c r="R472">
        <v>0</v>
      </c>
      <c r="S472">
        <v>458</v>
      </c>
      <c r="T472">
        <v>0</v>
      </c>
      <c r="U472">
        <v>0</v>
      </c>
      <c r="V472">
        <v>151</v>
      </c>
      <c r="W472" t="s">
        <v>8505</v>
      </c>
      <c r="X472">
        <v>0</v>
      </c>
      <c r="Y472">
        <v>7</v>
      </c>
      <c r="Z472">
        <v>0</v>
      </c>
      <c r="AA472">
        <v>7</v>
      </c>
      <c r="AB472">
        <v>0</v>
      </c>
      <c r="AC472">
        <v>2</v>
      </c>
      <c r="AD472">
        <v>0</v>
      </c>
      <c r="AE472">
        <v>2</v>
      </c>
      <c r="AF472">
        <v>0</v>
      </c>
      <c r="AG472">
        <v>3</v>
      </c>
      <c r="AH472">
        <v>0</v>
      </c>
      <c r="AI472">
        <v>-1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1</v>
      </c>
      <c r="AP472">
        <v>38.5</v>
      </c>
      <c r="AQ472">
        <v>74</v>
      </c>
      <c r="AR472">
        <v>38.5</v>
      </c>
      <c r="AS472">
        <v>38.5</v>
      </c>
      <c r="AT472" t="s">
        <v>8511</v>
      </c>
      <c r="AU472">
        <v>0</v>
      </c>
      <c r="AV472">
        <v>1</v>
      </c>
      <c r="AW472" t="s">
        <v>8493</v>
      </c>
      <c r="AX472">
        <v>0</v>
      </c>
      <c r="AY472" t="s">
        <v>8491</v>
      </c>
      <c r="AZ472">
        <v>1</v>
      </c>
      <c r="BA472" t="s">
        <v>8468</v>
      </c>
      <c r="BB472">
        <v>1</v>
      </c>
      <c r="BC472" t="s">
        <v>8515</v>
      </c>
      <c r="BD472">
        <v>0</v>
      </c>
      <c r="BE472" t="s">
        <v>8546</v>
      </c>
      <c r="BF472" t="s">
        <v>8454</v>
      </c>
      <c r="BG472" t="s">
        <v>8531</v>
      </c>
      <c r="BH472">
        <v>1.6818200000000001</v>
      </c>
      <c r="BJ472" s="1" t="s">
        <v>9162</v>
      </c>
      <c r="BK472" s="1" t="s">
        <v>9163</v>
      </c>
    </row>
    <row r="473" spans="1:63" x14ac:dyDescent="0.25">
      <c r="A473">
        <v>654</v>
      </c>
      <c r="B473">
        <v>373</v>
      </c>
      <c r="C473" t="s">
        <v>8445</v>
      </c>
      <c r="F473">
        <v>1023743</v>
      </c>
      <c r="G473" t="s">
        <v>9164</v>
      </c>
      <c r="H473" t="s">
        <v>9165</v>
      </c>
      <c r="I473" t="s">
        <v>8512</v>
      </c>
      <c r="J473">
        <v>0</v>
      </c>
      <c r="K473">
        <v>6</v>
      </c>
      <c r="L473">
        <v>0</v>
      </c>
      <c r="M473">
        <v>119900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510</v>
      </c>
      <c r="T473">
        <v>0</v>
      </c>
      <c r="U473">
        <v>0</v>
      </c>
      <c r="V473">
        <v>0</v>
      </c>
      <c r="W473" t="s">
        <v>8447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20</v>
      </c>
      <c r="AR473">
        <v>0</v>
      </c>
      <c r="AS473">
        <v>0</v>
      </c>
      <c r="AT473" t="s">
        <v>8511</v>
      </c>
      <c r="AU473">
        <v>0</v>
      </c>
      <c r="AV473">
        <v>1</v>
      </c>
      <c r="AW473" t="s">
        <v>8493</v>
      </c>
      <c r="AX473">
        <v>0</v>
      </c>
      <c r="AY473" t="s">
        <v>8491</v>
      </c>
      <c r="AZ473">
        <v>1</v>
      </c>
      <c r="BA473" t="s">
        <v>8468</v>
      </c>
      <c r="BB473">
        <v>1</v>
      </c>
      <c r="BC473" t="s">
        <v>8515</v>
      </c>
      <c r="BD473">
        <v>0</v>
      </c>
      <c r="BE473" t="s">
        <v>8546</v>
      </c>
      <c r="BF473" t="s">
        <v>8454</v>
      </c>
      <c r="BG473" t="s">
        <v>8531</v>
      </c>
      <c r="BH473">
        <v>0.45454499999999998</v>
      </c>
    </row>
    <row r="474" spans="1:63" x14ac:dyDescent="0.25">
      <c r="A474">
        <v>655</v>
      </c>
      <c r="B474">
        <v>379</v>
      </c>
      <c r="C474" t="s">
        <v>8445</v>
      </c>
      <c r="F474">
        <v>1021122</v>
      </c>
      <c r="G474" t="s">
        <v>2192</v>
      </c>
      <c r="H474" t="s">
        <v>9166</v>
      </c>
      <c r="I474" t="s">
        <v>8512</v>
      </c>
      <c r="J474">
        <v>0</v>
      </c>
      <c r="K474">
        <v>6</v>
      </c>
      <c r="L474">
        <v>0</v>
      </c>
      <c r="M474">
        <v>119900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510</v>
      </c>
      <c r="T474">
        <v>0</v>
      </c>
      <c r="U474">
        <v>0</v>
      </c>
      <c r="V474">
        <v>0</v>
      </c>
      <c r="W474" t="s">
        <v>8447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15</v>
      </c>
      <c r="AR474">
        <v>0</v>
      </c>
      <c r="AS474">
        <v>0</v>
      </c>
      <c r="AT474" t="s">
        <v>8511</v>
      </c>
      <c r="AU474">
        <v>0</v>
      </c>
      <c r="AV474">
        <v>1</v>
      </c>
      <c r="AW474" t="s">
        <v>8493</v>
      </c>
      <c r="AX474">
        <v>0</v>
      </c>
      <c r="AY474" t="s">
        <v>8491</v>
      </c>
      <c r="AZ474">
        <v>1</v>
      </c>
      <c r="BA474" t="s">
        <v>8468</v>
      </c>
      <c r="BB474">
        <v>1</v>
      </c>
      <c r="BC474" t="s">
        <v>8515</v>
      </c>
      <c r="BD474">
        <v>0</v>
      </c>
      <c r="BE474" t="s">
        <v>8546</v>
      </c>
      <c r="BF474" t="s">
        <v>8454</v>
      </c>
      <c r="BG474" t="s">
        <v>8531</v>
      </c>
      <c r="BH474">
        <v>0.34090900000000002</v>
      </c>
    </row>
    <row r="475" spans="1:63" x14ac:dyDescent="0.25">
      <c r="A475">
        <v>656</v>
      </c>
      <c r="B475">
        <v>381</v>
      </c>
      <c r="C475" t="s">
        <v>8445</v>
      </c>
      <c r="F475">
        <v>1015862</v>
      </c>
      <c r="G475" t="s">
        <v>3352</v>
      </c>
      <c r="H475" t="s">
        <v>9167</v>
      </c>
      <c r="I475" t="s">
        <v>8512</v>
      </c>
      <c r="J475">
        <v>0</v>
      </c>
      <c r="K475">
        <v>6</v>
      </c>
      <c r="L475">
        <v>0</v>
      </c>
      <c r="M475">
        <v>172600</v>
      </c>
      <c r="N475">
        <v>220</v>
      </c>
      <c r="O475">
        <v>0</v>
      </c>
      <c r="P475">
        <v>5</v>
      </c>
      <c r="Q475">
        <v>0</v>
      </c>
      <c r="R475">
        <v>52700</v>
      </c>
      <c r="S475">
        <v>337</v>
      </c>
      <c r="T475">
        <v>0</v>
      </c>
      <c r="U475">
        <v>0</v>
      </c>
      <c r="V475">
        <v>471</v>
      </c>
      <c r="W475" t="s">
        <v>8505</v>
      </c>
      <c r="X475">
        <v>0</v>
      </c>
      <c r="Y475">
        <v>30</v>
      </c>
      <c r="Z475">
        <v>0</v>
      </c>
      <c r="AA475">
        <v>35</v>
      </c>
      <c r="AB475">
        <v>0</v>
      </c>
      <c r="AC475">
        <v>18</v>
      </c>
      <c r="AD475">
        <v>0</v>
      </c>
      <c r="AE475">
        <v>5</v>
      </c>
      <c r="AF475">
        <v>0</v>
      </c>
      <c r="AG475">
        <v>1</v>
      </c>
      <c r="AH475">
        <v>0</v>
      </c>
      <c r="AI475">
        <v>-2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44</v>
      </c>
      <c r="AQ475">
        <v>74</v>
      </c>
      <c r="AR475">
        <v>44</v>
      </c>
      <c r="AS475">
        <v>38</v>
      </c>
      <c r="AT475" t="s">
        <v>8511</v>
      </c>
      <c r="AU475">
        <v>0</v>
      </c>
      <c r="AV475">
        <v>1</v>
      </c>
      <c r="AW475" t="s">
        <v>8493</v>
      </c>
      <c r="AX475">
        <v>0</v>
      </c>
      <c r="AY475" t="s">
        <v>8491</v>
      </c>
      <c r="AZ475">
        <v>1</v>
      </c>
      <c r="BA475" t="s">
        <v>8468</v>
      </c>
      <c r="BB475">
        <v>1</v>
      </c>
      <c r="BC475" t="s">
        <v>8515</v>
      </c>
      <c r="BD475">
        <v>0</v>
      </c>
      <c r="BE475" t="s">
        <v>8546</v>
      </c>
      <c r="BF475" t="s">
        <v>8454</v>
      </c>
      <c r="BG475" t="s">
        <v>8531</v>
      </c>
      <c r="BH475">
        <v>1.6818200000000001</v>
      </c>
      <c r="BJ475" s="1" t="s">
        <v>9168</v>
      </c>
      <c r="BK475" s="1" t="s">
        <v>9169</v>
      </c>
    </row>
    <row r="476" spans="1:63" x14ac:dyDescent="0.25">
      <c r="A476">
        <v>657</v>
      </c>
      <c r="B476">
        <v>386</v>
      </c>
      <c r="C476" t="s">
        <v>8445</v>
      </c>
      <c r="F476">
        <v>1034066</v>
      </c>
      <c r="G476" t="s">
        <v>508</v>
      </c>
      <c r="H476" t="s">
        <v>9170</v>
      </c>
      <c r="I476" t="s">
        <v>8512</v>
      </c>
      <c r="J476">
        <v>0</v>
      </c>
      <c r="K476">
        <v>6</v>
      </c>
      <c r="L476">
        <v>0</v>
      </c>
      <c r="M476">
        <v>119900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510</v>
      </c>
      <c r="T476">
        <v>0</v>
      </c>
      <c r="U476">
        <v>0</v>
      </c>
      <c r="V476">
        <v>0</v>
      </c>
      <c r="W476" t="s">
        <v>8447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9</v>
      </c>
      <c r="AR476">
        <v>0</v>
      </c>
      <c r="AS476">
        <v>0</v>
      </c>
      <c r="AT476" t="s">
        <v>8511</v>
      </c>
      <c r="AU476">
        <v>0</v>
      </c>
      <c r="AV476">
        <v>1</v>
      </c>
      <c r="AW476" t="s">
        <v>8493</v>
      </c>
      <c r="AX476">
        <v>0</v>
      </c>
      <c r="AY476" t="s">
        <v>8491</v>
      </c>
      <c r="AZ476">
        <v>1</v>
      </c>
      <c r="BA476" t="s">
        <v>8468</v>
      </c>
      <c r="BB476">
        <v>1</v>
      </c>
      <c r="BC476" t="s">
        <v>8515</v>
      </c>
      <c r="BD476">
        <v>0</v>
      </c>
      <c r="BE476" t="s">
        <v>8546</v>
      </c>
      <c r="BF476" t="s">
        <v>8454</v>
      </c>
      <c r="BG476" t="s">
        <v>8531</v>
      </c>
      <c r="BH476">
        <v>0.204545</v>
      </c>
    </row>
    <row r="477" spans="1:63" x14ac:dyDescent="0.25">
      <c r="A477">
        <v>658</v>
      </c>
      <c r="B477">
        <v>393</v>
      </c>
      <c r="C477" t="s">
        <v>8445</v>
      </c>
      <c r="F477">
        <v>1011839</v>
      </c>
      <c r="G477" t="s">
        <v>617</v>
      </c>
      <c r="H477" t="s">
        <v>4924</v>
      </c>
      <c r="I477" t="s">
        <v>8480</v>
      </c>
      <c r="J477">
        <v>0</v>
      </c>
      <c r="K477">
        <v>6</v>
      </c>
      <c r="L477">
        <v>0</v>
      </c>
      <c r="M477">
        <v>119900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510</v>
      </c>
      <c r="T477">
        <v>0</v>
      </c>
      <c r="U477">
        <v>0</v>
      </c>
      <c r="V477">
        <v>0</v>
      </c>
      <c r="W477" t="s">
        <v>8447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11</v>
      </c>
      <c r="AR477">
        <v>0</v>
      </c>
      <c r="AS477">
        <v>0</v>
      </c>
      <c r="AT477" t="s">
        <v>8482</v>
      </c>
      <c r="AU477">
        <v>0</v>
      </c>
      <c r="AV477">
        <v>1</v>
      </c>
      <c r="AW477" t="s">
        <v>8483</v>
      </c>
      <c r="AX477">
        <v>0</v>
      </c>
      <c r="AY477" t="s">
        <v>8461</v>
      </c>
      <c r="AZ477">
        <v>0</v>
      </c>
      <c r="BA477" t="s">
        <v>8460</v>
      </c>
      <c r="BB477">
        <v>1</v>
      </c>
      <c r="BC477" t="s">
        <v>8484</v>
      </c>
      <c r="BD477">
        <v>34.222200000000001</v>
      </c>
      <c r="BE477" t="s">
        <v>8455</v>
      </c>
      <c r="BF477" t="s">
        <v>8464</v>
      </c>
      <c r="BG477" t="s">
        <v>8464</v>
      </c>
      <c r="BH477">
        <v>0.25</v>
      </c>
    </row>
    <row r="478" spans="1:63" x14ac:dyDescent="0.25">
      <c r="A478">
        <v>659</v>
      </c>
      <c r="B478">
        <v>409</v>
      </c>
      <c r="C478" t="s">
        <v>8445</v>
      </c>
      <c r="F478">
        <v>1029261</v>
      </c>
      <c r="G478" t="s">
        <v>6558</v>
      </c>
      <c r="H478" t="s">
        <v>6175</v>
      </c>
      <c r="I478" t="s">
        <v>8480</v>
      </c>
      <c r="J478">
        <v>0</v>
      </c>
      <c r="K478">
        <v>6</v>
      </c>
      <c r="L478">
        <v>0</v>
      </c>
      <c r="M478">
        <v>119900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510</v>
      </c>
      <c r="T478">
        <v>0</v>
      </c>
      <c r="U478">
        <v>0</v>
      </c>
      <c r="V478">
        <v>0</v>
      </c>
      <c r="W478" t="s">
        <v>8447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8</v>
      </c>
      <c r="AR478">
        <v>0</v>
      </c>
      <c r="AS478">
        <v>0</v>
      </c>
      <c r="AT478" t="s">
        <v>8482</v>
      </c>
      <c r="AU478">
        <v>0</v>
      </c>
      <c r="AV478">
        <v>1</v>
      </c>
      <c r="AW478" t="s">
        <v>8483</v>
      </c>
      <c r="AX478">
        <v>0</v>
      </c>
      <c r="AY478" t="s">
        <v>8461</v>
      </c>
      <c r="AZ478">
        <v>0</v>
      </c>
      <c r="BA478" t="s">
        <v>8460</v>
      </c>
      <c r="BB478">
        <v>1</v>
      </c>
      <c r="BC478" t="s">
        <v>8484</v>
      </c>
      <c r="BD478">
        <v>0</v>
      </c>
      <c r="BE478" t="s">
        <v>8455</v>
      </c>
      <c r="BF478" t="s">
        <v>8464</v>
      </c>
      <c r="BG478" t="s">
        <v>8464</v>
      </c>
      <c r="BH478">
        <v>0.18181800000000001</v>
      </c>
    </row>
    <row r="479" spans="1:63" x14ac:dyDescent="0.25">
      <c r="A479">
        <v>660</v>
      </c>
      <c r="B479">
        <v>413</v>
      </c>
      <c r="C479" t="s">
        <v>8445</v>
      </c>
      <c r="F479">
        <v>1022410</v>
      </c>
      <c r="G479" t="s">
        <v>9171</v>
      </c>
      <c r="H479" t="s">
        <v>9172</v>
      </c>
      <c r="I479" t="s">
        <v>8480</v>
      </c>
      <c r="J479">
        <v>0</v>
      </c>
      <c r="K479">
        <v>6</v>
      </c>
      <c r="L479">
        <v>0</v>
      </c>
      <c r="M479">
        <v>119900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510</v>
      </c>
      <c r="T479">
        <v>0</v>
      </c>
      <c r="U479">
        <v>0</v>
      </c>
      <c r="V479">
        <v>0</v>
      </c>
      <c r="W479" t="s">
        <v>8447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7</v>
      </c>
      <c r="AR479">
        <v>0</v>
      </c>
      <c r="AS479">
        <v>0</v>
      </c>
      <c r="AT479" t="s">
        <v>8482</v>
      </c>
      <c r="AU479">
        <v>0</v>
      </c>
      <c r="AV479">
        <v>1</v>
      </c>
      <c r="AW479" t="s">
        <v>8483</v>
      </c>
      <c r="AX479">
        <v>0</v>
      </c>
      <c r="AY479" t="s">
        <v>8461</v>
      </c>
      <c r="AZ479">
        <v>0</v>
      </c>
      <c r="BA479" t="s">
        <v>8460</v>
      </c>
      <c r="BB479">
        <v>1</v>
      </c>
      <c r="BC479" t="s">
        <v>8484</v>
      </c>
      <c r="BD479">
        <v>0</v>
      </c>
      <c r="BE479" t="s">
        <v>8455</v>
      </c>
      <c r="BF479" t="s">
        <v>8464</v>
      </c>
      <c r="BG479" t="s">
        <v>8464</v>
      </c>
      <c r="BH479">
        <v>0.15909100000000001</v>
      </c>
    </row>
    <row r="480" spans="1:63" x14ac:dyDescent="0.25">
      <c r="A480">
        <v>661</v>
      </c>
      <c r="B480">
        <v>423</v>
      </c>
      <c r="C480" t="s">
        <v>8445</v>
      </c>
      <c r="F480">
        <v>1022473</v>
      </c>
      <c r="G480" t="s">
        <v>9173</v>
      </c>
      <c r="H480" t="s">
        <v>1332</v>
      </c>
      <c r="I480" t="s">
        <v>8480</v>
      </c>
      <c r="J480">
        <v>0</v>
      </c>
      <c r="K480">
        <v>6</v>
      </c>
      <c r="L480">
        <v>0</v>
      </c>
      <c r="M480">
        <v>119900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510</v>
      </c>
      <c r="T480">
        <v>0</v>
      </c>
      <c r="U480">
        <v>0</v>
      </c>
      <c r="V480">
        <v>0</v>
      </c>
      <c r="W480" t="s">
        <v>8447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10</v>
      </c>
      <c r="AR480">
        <v>0</v>
      </c>
      <c r="AS480">
        <v>0</v>
      </c>
      <c r="AT480" t="s">
        <v>8482</v>
      </c>
      <c r="AU480">
        <v>0</v>
      </c>
      <c r="AV480">
        <v>1</v>
      </c>
      <c r="AW480" t="s">
        <v>8483</v>
      </c>
      <c r="AX480">
        <v>0</v>
      </c>
      <c r="AY480" t="s">
        <v>8461</v>
      </c>
      <c r="AZ480">
        <v>0</v>
      </c>
      <c r="BA480" t="s">
        <v>8460</v>
      </c>
      <c r="BB480">
        <v>1</v>
      </c>
      <c r="BC480" t="s">
        <v>8484</v>
      </c>
      <c r="BD480">
        <v>0</v>
      </c>
      <c r="BE480" t="s">
        <v>8455</v>
      </c>
      <c r="BF480" t="s">
        <v>8464</v>
      </c>
      <c r="BG480" t="s">
        <v>8464</v>
      </c>
      <c r="BH480">
        <v>0.227273</v>
      </c>
    </row>
    <row r="481" spans="1:63" x14ac:dyDescent="0.25">
      <c r="A481">
        <v>662</v>
      </c>
      <c r="B481">
        <v>424</v>
      </c>
      <c r="C481" t="s">
        <v>8445</v>
      </c>
      <c r="F481">
        <v>1018122</v>
      </c>
      <c r="G481" t="s">
        <v>3222</v>
      </c>
      <c r="H481" t="s">
        <v>9174</v>
      </c>
      <c r="I481" t="s">
        <v>8480</v>
      </c>
      <c r="J481">
        <v>0</v>
      </c>
      <c r="K481">
        <v>6</v>
      </c>
      <c r="L481">
        <v>0</v>
      </c>
      <c r="M481">
        <v>119900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510</v>
      </c>
      <c r="T481">
        <v>0</v>
      </c>
      <c r="U481">
        <v>0</v>
      </c>
      <c r="V481">
        <v>0</v>
      </c>
      <c r="W481" t="s">
        <v>8447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7</v>
      </c>
      <c r="AR481">
        <v>0</v>
      </c>
      <c r="AS481">
        <v>0</v>
      </c>
      <c r="AT481" t="s">
        <v>8482</v>
      </c>
      <c r="AU481">
        <v>0</v>
      </c>
      <c r="AV481">
        <v>1</v>
      </c>
      <c r="AW481" t="s">
        <v>8483</v>
      </c>
      <c r="AX481">
        <v>0</v>
      </c>
      <c r="AY481" t="s">
        <v>8461</v>
      </c>
      <c r="AZ481">
        <v>0</v>
      </c>
      <c r="BA481" t="s">
        <v>8460</v>
      </c>
      <c r="BB481">
        <v>1</v>
      </c>
      <c r="BC481" t="s">
        <v>8484</v>
      </c>
      <c r="BD481">
        <v>0</v>
      </c>
      <c r="BE481" t="s">
        <v>8455</v>
      </c>
      <c r="BF481" t="s">
        <v>8464</v>
      </c>
      <c r="BG481" t="s">
        <v>8464</v>
      </c>
      <c r="BH481">
        <v>0.15909100000000001</v>
      </c>
    </row>
    <row r="482" spans="1:63" x14ac:dyDescent="0.25">
      <c r="A482">
        <v>663</v>
      </c>
      <c r="B482">
        <v>433</v>
      </c>
      <c r="C482" t="s">
        <v>8445</v>
      </c>
      <c r="F482">
        <v>1023174</v>
      </c>
      <c r="G482" t="s">
        <v>710</v>
      </c>
      <c r="H482" t="s">
        <v>4385</v>
      </c>
      <c r="I482" t="s">
        <v>8501</v>
      </c>
      <c r="J482">
        <v>0</v>
      </c>
      <c r="K482">
        <v>6</v>
      </c>
      <c r="L482">
        <v>0</v>
      </c>
      <c r="M482">
        <v>119900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510</v>
      </c>
      <c r="T482">
        <v>0</v>
      </c>
      <c r="U482">
        <v>0</v>
      </c>
      <c r="V482">
        <v>0</v>
      </c>
      <c r="W482" t="s">
        <v>8447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8</v>
      </c>
      <c r="AR482">
        <v>0</v>
      </c>
      <c r="AS482">
        <v>0</v>
      </c>
      <c r="AT482" t="s">
        <v>8502</v>
      </c>
      <c r="AU482">
        <v>0</v>
      </c>
      <c r="AV482">
        <v>0</v>
      </c>
      <c r="AW482" t="s">
        <v>8461</v>
      </c>
      <c r="AX482">
        <v>0</v>
      </c>
      <c r="AY482" t="s">
        <v>8483</v>
      </c>
      <c r="AZ482">
        <v>1</v>
      </c>
      <c r="BA482" t="s">
        <v>8459</v>
      </c>
      <c r="BB482">
        <v>0</v>
      </c>
      <c r="BC482" t="s">
        <v>8484</v>
      </c>
      <c r="BD482">
        <v>0</v>
      </c>
      <c r="BE482" t="s">
        <v>8464</v>
      </c>
      <c r="BF482" t="s">
        <v>8463</v>
      </c>
      <c r="BG482" t="s">
        <v>8464</v>
      </c>
      <c r="BH482">
        <v>0.18181800000000001</v>
      </c>
    </row>
    <row r="483" spans="1:63" x14ac:dyDescent="0.25">
      <c r="A483">
        <v>664</v>
      </c>
      <c r="B483">
        <v>436</v>
      </c>
      <c r="C483" t="s">
        <v>8445</v>
      </c>
      <c r="F483">
        <v>1027949</v>
      </c>
      <c r="G483" t="s">
        <v>9175</v>
      </c>
      <c r="H483" t="s">
        <v>2955</v>
      </c>
      <c r="I483" t="s">
        <v>8501</v>
      </c>
      <c r="J483">
        <v>0</v>
      </c>
      <c r="K483">
        <v>6</v>
      </c>
      <c r="L483">
        <v>0</v>
      </c>
      <c r="M483">
        <v>119900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510</v>
      </c>
      <c r="T483">
        <v>0</v>
      </c>
      <c r="U483">
        <v>0</v>
      </c>
      <c r="V483">
        <v>0</v>
      </c>
      <c r="W483" t="s">
        <v>8447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8</v>
      </c>
      <c r="AR483">
        <v>0</v>
      </c>
      <c r="AS483">
        <v>0</v>
      </c>
      <c r="AT483" t="s">
        <v>8502</v>
      </c>
      <c r="AU483">
        <v>0</v>
      </c>
      <c r="AV483">
        <v>0</v>
      </c>
      <c r="AW483" t="s">
        <v>8461</v>
      </c>
      <c r="AX483">
        <v>0</v>
      </c>
      <c r="AY483" t="s">
        <v>8483</v>
      </c>
      <c r="AZ483">
        <v>1</v>
      </c>
      <c r="BA483" t="s">
        <v>8459</v>
      </c>
      <c r="BB483">
        <v>0</v>
      </c>
      <c r="BC483" t="s">
        <v>8484</v>
      </c>
      <c r="BD483">
        <v>21</v>
      </c>
      <c r="BE483" t="s">
        <v>8464</v>
      </c>
      <c r="BF483" t="s">
        <v>8463</v>
      </c>
      <c r="BG483" t="s">
        <v>8464</v>
      </c>
      <c r="BH483">
        <v>0.18181800000000001</v>
      </c>
    </row>
    <row r="484" spans="1:63" x14ac:dyDescent="0.25">
      <c r="A484">
        <v>665</v>
      </c>
      <c r="B484">
        <v>440</v>
      </c>
      <c r="C484" t="s">
        <v>8445</v>
      </c>
      <c r="F484">
        <v>1013532</v>
      </c>
      <c r="G484" t="s">
        <v>776</v>
      </c>
      <c r="H484" t="s">
        <v>9176</v>
      </c>
      <c r="I484" t="s">
        <v>8501</v>
      </c>
      <c r="J484">
        <v>0</v>
      </c>
      <c r="K484">
        <v>6</v>
      </c>
      <c r="L484">
        <v>0</v>
      </c>
      <c r="M484">
        <v>119900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510</v>
      </c>
      <c r="T484">
        <v>0</v>
      </c>
      <c r="U484">
        <v>0</v>
      </c>
      <c r="V484">
        <v>0</v>
      </c>
      <c r="W484" t="s">
        <v>8447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0</v>
      </c>
      <c r="AS484">
        <v>0</v>
      </c>
      <c r="AT484" t="s">
        <v>8502</v>
      </c>
      <c r="AU484">
        <v>84</v>
      </c>
      <c r="AV484">
        <v>0</v>
      </c>
      <c r="AW484" t="s">
        <v>8461</v>
      </c>
      <c r="AX484">
        <v>0</v>
      </c>
      <c r="AY484" t="s">
        <v>8483</v>
      </c>
      <c r="AZ484">
        <v>1</v>
      </c>
      <c r="BA484" t="s">
        <v>8459</v>
      </c>
      <c r="BB484">
        <v>0</v>
      </c>
      <c r="BC484" t="s">
        <v>8484</v>
      </c>
      <c r="BD484">
        <v>0</v>
      </c>
      <c r="BE484" t="s">
        <v>8464</v>
      </c>
      <c r="BF484" t="s">
        <v>8463</v>
      </c>
      <c r="BG484" t="s">
        <v>8464</v>
      </c>
      <c r="BH484">
        <v>9.0909100000000007E-2</v>
      </c>
    </row>
    <row r="485" spans="1:63" x14ac:dyDescent="0.25">
      <c r="A485">
        <v>666</v>
      </c>
      <c r="B485">
        <v>444</v>
      </c>
      <c r="C485" t="s">
        <v>8445</v>
      </c>
      <c r="F485">
        <v>1023486</v>
      </c>
      <c r="G485" t="s">
        <v>1002</v>
      </c>
      <c r="H485" t="s">
        <v>9177</v>
      </c>
      <c r="I485" t="s">
        <v>8501</v>
      </c>
      <c r="J485">
        <v>0</v>
      </c>
      <c r="K485">
        <v>6</v>
      </c>
      <c r="L485">
        <v>0</v>
      </c>
      <c r="M485">
        <v>119900</v>
      </c>
      <c r="N485">
        <v>41</v>
      </c>
      <c r="O485">
        <v>0</v>
      </c>
      <c r="P485">
        <v>2</v>
      </c>
      <c r="Q485">
        <v>0</v>
      </c>
      <c r="R485">
        <v>0</v>
      </c>
      <c r="S485">
        <v>489</v>
      </c>
      <c r="T485">
        <v>0</v>
      </c>
      <c r="U485">
        <v>0</v>
      </c>
      <c r="V485">
        <v>125</v>
      </c>
      <c r="W485" t="s">
        <v>8466</v>
      </c>
      <c r="X485">
        <v>0</v>
      </c>
      <c r="Y485">
        <v>3</v>
      </c>
      <c r="Z485">
        <v>0</v>
      </c>
      <c r="AA485">
        <v>2</v>
      </c>
      <c r="AB485">
        <v>0</v>
      </c>
      <c r="AC485">
        <v>1</v>
      </c>
      <c r="AD485">
        <v>0</v>
      </c>
      <c r="AE485">
        <v>2</v>
      </c>
      <c r="AF485">
        <v>0</v>
      </c>
      <c r="AG485">
        <v>0</v>
      </c>
      <c r="AH485">
        <v>0</v>
      </c>
      <c r="AI485">
        <v>-1</v>
      </c>
      <c r="AJ485">
        <v>0</v>
      </c>
      <c r="AK485">
        <v>0</v>
      </c>
      <c r="AL485">
        <v>0</v>
      </c>
      <c r="AM485">
        <v>2</v>
      </c>
      <c r="AN485">
        <v>0</v>
      </c>
      <c r="AO485">
        <v>0</v>
      </c>
      <c r="AP485">
        <v>20.5</v>
      </c>
      <c r="AQ485">
        <v>8</v>
      </c>
      <c r="AR485">
        <v>20.5</v>
      </c>
      <c r="AS485">
        <v>20.5</v>
      </c>
      <c r="AT485" t="s">
        <v>8502</v>
      </c>
      <c r="AU485">
        <v>0</v>
      </c>
      <c r="AV485">
        <v>0</v>
      </c>
      <c r="AW485" t="s">
        <v>8461</v>
      </c>
      <c r="AX485">
        <v>0</v>
      </c>
      <c r="AY485" t="s">
        <v>8483</v>
      </c>
      <c r="AZ485">
        <v>1</v>
      </c>
      <c r="BA485" t="s">
        <v>8459</v>
      </c>
      <c r="BB485">
        <v>0</v>
      </c>
      <c r="BC485" t="s">
        <v>8484</v>
      </c>
      <c r="BD485">
        <v>41</v>
      </c>
      <c r="BE485" t="s">
        <v>8464</v>
      </c>
      <c r="BF485" t="s">
        <v>8463</v>
      </c>
      <c r="BG485" t="s">
        <v>8464</v>
      </c>
      <c r="BH485">
        <v>0.18181800000000001</v>
      </c>
      <c r="BJ485">
        <v>0.32800000000000001</v>
      </c>
      <c r="BK485" s="1" t="s">
        <v>9178</v>
      </c>
    </row>
    <row r="486" spans="1:63" x14ac:dyDescent="0.25">
      <c r="A486">
        <v>667</v>
      </c>
      <c r="B486">
        <v>446</v>
      </c>
      <c r="C486" t="s">
        <v>8445</v>
      </c>
      <c r="F486">
        <v>1024337</v>
      </c>
      <c r="G486" t="s">
        <v>9179</v>
      </c>
      <c r="H486" t="s">
        <v>9180</v>
      </c>
      <c r="I486" t="s">
        <v>8501</v>
      </c>
      <c r="J486">
        <v>0</v>
      </c>
      <c r="K486">
        <v>6</v>
      </c>
      <c r="L486">
        <v>0</v>
      </c>
      <c r="M486">
        <v>119900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510</v>
      </c>
      <c r="T486">
        <v>0</v>
      </c>
      <c r="U486">
        <v>0</v>
      </c>
      <c r="V486">
        <v>0</v>
      </c>
      <c r="W486" t="s">
        <v>8447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4</v>
      </c>
      <c r="AR486">
        <v>0</v>
      </c>
      <c r="AS486">
        <v>0</v>
      </c>
      <c r="AT486" t="s">
        <v>8502</v>
      </c>
      <c r="AU486">
        <v>0</v>
      </c>
      <c r="AV486">
        <v>0</v>
      </c>
      <c r="AW486" t="s">
        <v>8461</v>
      </c>
      <c r="AX486">
        <v>0</v>
      </c>
      <c r="AY486" t="s">
        <v>8483</v>
      </c>
      <c r="AZ486">
        <v>1</v>
      </c>
      <c r="BA486" t="s">
        <v>8459</v>
      </c>
      <c r="BB486">
        <v>0</v>
      </c>
      <c r="BC486" t="s">
        <v>8484</v>
      </c>
      <c r="BD486">
        <v>0</v>
      </c>
      <c r="BE486" t="s">
        <v>8464</v>
      </c>
      <c r="BF486" t="s">
        <v>8463</v>
      </c>
      <c r="BG486" t="s">
        <v>8464</v>
      </c>
      <c r="BH486">
        <v>9.0909100000000007E-2</v>
      </c>
    </row>
    <row r="487" spans="1:63" x14ac:dyDescent="0.25">
      <c r="A487">
        <v>668</v>
      </c>
      <c r="B487">
        <v>465</v>
      </c>
      <c r="C487" t="s">
        <v>8445</v>
      </c>
      <c r="F487">
        <v>1029973</v>
      </c>
      <c r="G487" t="s">
        <v>3871</v>
      </c>
      <c r="H487" t="s">
        <v>9181</v>
      </c>
      <c r="I487" t="s">
        <v>8501</v>
      </c>
      <c r="J487">
        <v>0</v>
      </c>
      <c r="K487">
        <v>6</v>
      </c>
      <c r="L487">
        <v>0</v>
      </c>
      <c r="M487">
        <v>119900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510</v>
      </c>
      <c r="T487">
        <v>0</v>
      </c>
      <c r="U487">
        <v>0</v>
      </c>
      <c r="V487">
        <v>0</v>
      </c>
      <c r="W487" t="s">
        <v>8447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5</v>
      </c>
      <c r="AR487">
        <v>0</v>
      </c>
      <c r="AS487">
        <v>0</v>
      </c>
      <c r="AT487" t="s">
        <v>8502</v>
      </c>
      <c r="AU487">
        <v>0</v>
      </c>
      <c r="AV487">
        <v>0</v>
      </c>
      <c r="AW487" t="s">
        <v>8461</v>
      </c>
      <c r="AX487">
        <v>0</v>
      </c>
      <c r="AY487" t="s">
        <v>8483</v>
      </c>
      <c r="AZ487">
        <v>1</v>
      </c>
      <c r="BA487" t="s">
        <v>8459</v>
      </c>
      <c r="BB487">
        <v>0</v>
      </c>
      <c r="BC487" t="s">
        <v>8484</v>
      </c>
      <c r="BD487">
        <v>0</v>
      </c>
      <c r="BE487" t="s">
        <v>8464</v>
      </c>
      <c r="BF487" t="s">
        <v>8463</v>
      </c>
      <c r="BG487" t="s">
        <v>8464</v>
      </c>
      <c r="BH487">
        <v>0.113636</v>
      </c>
    </row>
    <row r="488" spans="1:63" x14ac:dyDescent="0.25">
      <c r="A488">
        <v>669</v>
      </c>
      <c r="B488">
        <v>472</v>
      </c>
      <c r="C488" t="s">
        <v>8445</v>
      </c>
      <c r="F488">
        <v>1015473</v>
      </c>
      <c r="G488" t="s">
        <v>2115</v>
      </c>
      <c r="H488" t="s">
        <v>9182</v>
      </c>
      <c r="I488" t="s">
        <v>8501</v>
      </c>
      <c r="J488">
        <v>0</v>
      </c>
      <c r="K488">
        <v>6</v>
      </c>
      <c r="L488">
        <v>0</v>
      </c>
      <c r="M488">
        <v>119900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510</v>
      </c>
      <c r="T488">
        <v>0</v>
      </c>
      <c r="U488">
        <v>0</v>
      </c>
      <c r="V488">
        <v>0</v>
      </c>
      <c r="W488" t="s">
        <v>8447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8</v>
      </c>
      <c r="AR488">
        <v>0</v>
      </c>
      <c r="AS488">
        <v>0</v>
      </c>
      <c r="AT488" t="s">
        <v>8502</v>
      </c>
      <c r="AU488">
        <v>0</v>
      </c>
      <c r="AV488">
        <v>0</v>
      </c>
      <c r="AW488" t="s">
        <v>8461</v>
      </c>
      <c r="AX488">
        <v>0</v>
      </c>
      <c r="AY488" t="s">
        <v>8483</v>
      </c>
      <c r="AZ488">
        <v>1</v>
      </c>
      <c r="BA488" t="s">
        <v>8459</v>
      </c>
      <c r="BB488">
        <v>0</v>
      </c>
      <c r="BC488" t="s">
        <v>8484</v>
      </c>
      <c r="BD488">
        <v>0</v>
      </c>
      <c r="BE488" t="s">
        <v>8464</v>
      </c>
      <c r="BF488" t="s">
        <v>8463</v>
      </c>
      <c r="BG488" t="s">
        <v>8464</v>
      </c>
      <c r="BH488">
        <v>0.18181800000000001</v>
      </c>
    </row>
    <row r="489" spans="1:63" x14ac:dyDescent="0.25">
      <c r="A489">
        <v>670</v>
      </c>
      <c r="B489">
        <v>490</v>
      </c>
      <c r="C489" t="s">
        <v>8445</v>
      </c>
      <c r="F489">
        <v>1023544</v>
      </c>
      <c r="G489" t="s">
        <v>3687</v>
      </c>
      <c r="H489" t="s">
        <v>2908</v>
      </c>
      <c r="I489" t="s">
        <v>8467</v>
      </c>
      <c r="J489">
        <v>0</v>
      </c>
      <c r="K489">
        <v>6</v>
      </c>
      <c r="L489">
        <v>0</v>
      </c>
      <c r="M489">
        <v>119900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510</v>
      </c>
      <c r="T489">
        <v>0</v>
      </c>
      <c r="U489">
        <v>0</v>
      </c>
      <c r="V489">
        <v>0</v>
      </c>
      <c r="W489" t="s">
        <v>8447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9</v>
      </c>
      <c r="AR489">
        <v>0</v>
      </c>
      <c r="AS489">
        <v>0</v>
      </c>
      <c r="AT489" t="s">
        <v>8465</v>
      </c>
      <c r="AU489">
        <v>0</v>
      </c>
      <c r="AV489">
        <v>0</v>
      </c>
      <c r="AW489" t="s">
        <v>8497</v>
      </c>
      <c r="AX489">
        <v>1</v>
      </c>
      <c r="AY489" t="s">
        <v>8451</v>
      </c>
      <c r="AZ489">
        <v>1</v>
      </c>
      <c r="BA489" t="s">
        <v>8492</v>
      </c>
      <c r="BB489">
        <v>0</v>
      </c>
      <c r="BC489" t="s">
        <v>8471</v>
      </c>
      <c r="BD489">
        <v>0</v>
      </c>
      <c r="BE489" t="s">
        <v>8472</v>
      </c>
      <c r="BF489" t="s">
        <v>8455</v>
      </c>
      <c r="BG489" t="s">
        <v>8498</v>
      </c>
      <c r="BH489">
        <v>0.204545</v>
      </c>
    </row>
    <row r="490" spans="1:63" x14ac:dyDescent="0.25">
      <c r="A490">
        <v>671</v>
      </c>
      <c r="B490">
        <v>491</v>
      </c>
      <c r="C490" t="s">
        <v>8445</v>
      </c>
      <c r="F490">
        <v>1031506</v>
      </c>
      <c r="G490" t="s">
        <v>1422</v>
      </c>
      <c r="H490" t="s">
        <v>9183</v>
      </c>
      <c r="I490" t="s">
        <v>8467</v>
      </c>
      <c r="J490">
        <v>0</v>
      </c>
      <c r="K490">
        <v>6</v>
      </c>
      <c r="L490">
        <v>0</v>
      </c>
      <c r="M490">
        <v>119900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510</v>
      </c>
      <c r="T490">
        <v>0</v>
      </c>
      <c r="U490">
        <v>0</v>
      </c>
      <c r="V490">
        <v>0</v>
      </c>
      <c r="W490" t="s">
        <v>8447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14</v>
      </c>
      <c r="AR490">
        <v>0</v>
      </c>
      <c r="AS490">
        <v>0</v>
      </c>
      <c r="AT490" t="s">
        <v>8465</v>
      </c>
      <c r="AU490">
        <v>0</v>
      </c>
      <c r="AV490">
        <v>0</v>
      </c>
      <c r="AW490" t="s">
        <v>8497</v>
      </c>
      <c r="AX490">
        <v>1</v>
      </c>
      <c r="AY490" t="s">
        <v>8451</v>
      </c>
      <c r="AZ490">
        <v>1</v>
      </c>
      <c r="BA490" t="s">
        <v>8492</v>
      </c>
      <c r="BB490">
        <v>0</v>
      </c>
      <c r="BC490" t="s">
        <v>8471</v>
      </c>
      <c r="BD490">
        <v>0</v>
      </c>
      <c r="BE490" t="s">
        <v>8472</v>
      </c>
      <c r="BF490" t="s">
        <v>8455</v>
      </c>
      <c r="BG490" t="s">
        <v>8498</v>
      </c>
      <c r="BH490">
        <v>0.31818200000000002</v>
      </c>
    </row>
    <row r="491" spans="1:63" x14ac:dyDescent="0.25">
      <c r="A491">
        <v>672</v>
      </c>
      <c r="B491">
        <v>495</v>
      </c>
      <c r="C491" t="s">
        <v>8445</v>
      </c>
      <c r="F491">
        <v>1020979</v>
      </c>
      <c r="G491" t="s">
        <v>8011</v>
      </c>
      <c r="H491" t="s">
        <v>1020</v>
      </c>
      <c r="I491" t="s">
        <v>8467</v>
      </c>
      <c r="J491">
        <v>0</v>
      </c>
      <c r="K491">
        <v>6</v>
      </c>
      <c r="L491">
        <v>0</v>
      </c>
      <c r="M491">
        <v>119900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510</v>
      </c>
      <c r="T491">
        <v>0</v>
      </c>
      <c r="U491">
        <v>0</v>
      </c>
      <c r="V491">
        <v>0</v>
      </c>
      <c r="W491" t="s">
        <v>8447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7</v>
      </c>
      <c r="AR491">
        <v>0</v>
      </c>
      <c r="AS491">
        <v>0</v>
      </c>
      <c r="AT491" t="s">
        <v>8465</v>
      </c>
      <c r="AU491">
        <v>0</v>
      </c>
      <c r="AV491">
        <v>0</v>
      </c>
      <c r="AW491" t="s">
        <v>8497</v>
      </c>
      <c r="AX491">
        <v>1</v>
      </c>
      <c r="AY491" t="s">
        <v>8451</v>
      </c>
      <c r="AZ491">
        <v>1</v>
      </c>
      <c r="BA491" t="s">
        <v>8492</v>
      </c>
      <c r="BB491">
        <v>0</v>
      </c>
      <c r="BC491" t="s">
        <v>8471</v>
      </c>
      <c r="BD491">
        <v>26.5</v>
      </c>
      <c r="BE491" t="s">
        <v>8472</v>
      </c>
      <c r="BF491" t="s">
        <v>8455</v>
      </c>
      <c r="BG491" t="s">
        <v>8498</v>
      </c>
      <c r="BH491">
        <v>0.15909100000000001</v>
      </c>
    </row>
    <row r="492" spans="1:63" x14ac:dyDescent="0.25">
      <c r="A492">
        <v>673</v>
      </c>
      <c r="B492">
        <v>496</v>
      </c>
      <c r="C492" t="s">
        <v>8445</v>
      </c>
      <c r="F492">
        <v>1023530</v>
      </c>
      <c r="G492" t="s">
        <v>3830</v>
      </c>
      <c r="H492" t="s">
        <v>9184</v>
      </c>
      <c r="I492" t="s">
        <v>8467</v>
      </c>
      <c r="J492">
        <v>0</v>
      </c>
      <c r="K492">
        <v>6</v>
      </c>
      <c r="L492">
        <v>0</v>
      </c>
      <c r="M492">
        <v>192500</v>
      </c>
      <c r="N492">
        <v>257</v>
      </c>
      <c r="O492">
        <v>0</v>
      </c>
      <c r="P492">
        <v>5</v>
      </c>
      <c r="Q492">
        <v>0</v>
      </c>
      <c r="R492">
        <v>72600</v>
      </c>
      <c r="S492">
        <v>297</v>
      </c>
      <c r="T492">
        <v>0</v>
      </c>
      <c r="U492">
        <v>0</v>
      </c>
      <c r="V492">
        <v>412</v>
      </c>
      <c r="W492" t="s">
        <v>8475</v>
      </c>
      <c r="X492">
        <v>0</v>
      </c>
      <c r="Y492">
        <v>24</v>
      </c>
      <c r="Z492">
        <v>0</v>
      </c>
      <c r="AA492">
        <v>26</v>
      </c>
      <c r="AB492">
        <v>0</v>
      </c>
      <c r="AC492">
        <v>9</v>
      </c>
      <c r="AD492">
        <v>0</v>
      </c>
      <c r="AE492">
        <v>11</v>
      </c>
      <c r="AF492">
        <v>0</v>
      </c>
      <c r="AG492">
        <v>6</v>
      </c>
      <c r="AH492">
        <v>0</v>
      </c>
      <c r="AI492">
        <v>-5</v>
      </c>
      <c r="AJ492">
        <v>0</v>
      </c>
      <c r="AK492">
        <v>0</v>
      </c>
      <c r="AL492">
        <v>0</v>
      </c>
      <c r="AM492">
        <v>4</v>
      </c>
      <c r="AN492">
        <v>0</v>
      </c>
      <c r="AO492">
        <v>3</v>
      </c>
      <c r="AP492">
        <v>51.4</v>
      </c>
      <c r="AQ492">
        <v>31</v>
      </c>
      <c r="AR492">
        <v>51.4</v>
      </c>
      <c r="AS492">
        <v>49</v>
      </c>
      <c r="AT492" t="s">
        <v>8465</v>
      </c>
      <c r="AU492">
        <v>0</v>
      </c>
      <c r="AV492">
        <v>0</v>
      </c>
      <c r="AW492" t="s">
        <v>8497</v>
      </c>
      <c r="AX492">
        <v>1</v>
      </c>
      <c r="AY492" t="s">
        <v>8451</v>
      </c>
      <c r="AZ492">
        <v>1</v>
      </c>
      <c r="BA492" t="s">
        <v>8492</v>
      </c>
      <c r="BB492">
        <v>0</v>
      </c>
      <c r="BC492" t="s">
        <v>8471</v>
      </c>
      <c r="BD492">
        <v>55.666699999999999</v>
      </c>
      <c r="BE492" t="s">
        <v>8472</v>
      </c>
      <c r="BF492" t="s">
        <v>8455</v>
      </c>
      <c r="BG492" t="s">
        <v>8498</v>
      </c>
      <c r="BH492">
        <v>0.70454499999999998</v>
      </c>
      <c r="BJ492" s="1" t="s">
        <v>9185</v>
      </c>
      <c r="BK492" s="1" t="s">
        <v>9186</v>
      </c>
    </row>
    <row r="493" spans="1:63" x14ac:dyDescent="0.25">
      <c r="A493">
        <v>674</v>
      </c>
      <c r="B493">
        <v>499</v>
      </c>
      <c r="C493" t="s">
        <v>8445</v>
      </c>
      <c r="F493">
        <v>1031792</v>
      </c>
      <c r="G493" t="s">
        <v>9187</v>
      </c>
      <c r="H493" t="s">
        <v>9188</v>
      </c>
      <c r="I493" t="s">
        <v>8467</v>
      </c>
      <c r="J493">
        <v>0</v>
      </c>
      <c r="K493">
        <v>6</v>
      </c>
      <c r="L493">
        <v>0</v>
      </c>
      <c r="M493">
        <v>119900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510</v>
      </c>
      <c r="T493">
        <v>0</v>
      </c>
      <c r="U493">
        <v>0</v>
      </c>
      <c r="V493">
        <v>0</v>
      </c>
      <c r="W493" t="s">
        <v>8447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17</v>
      </c>
      <c r="AR493">
        <v>0</v>
      </c>
      <c r="AS493">
        <v>0</v>
      </c>
      <c r="AT493" t="s">
        <v>8465</v>
      </c>
      <c r="AU493">
        <v>0</v>
      </c>
      <c r="AV493">
        <v>0</v>
      </c>
      <c r="AW493" t="s">
        <v>8497</v>
      </c>
      <c r="AX493">
        <v>1</v>
      </c>
      <c r="AY493" t="s">
        <v>8451</v>
      </c>
      <c r="AZ493">
        <v>1</v>
      </c>
      <c r="BA493" t="s">
        <v>8492</v>
      </c>
      <c r="BB493">
        <v>0</v>
      </c>
      <c r="BC493" t="s">
        <v>8471</v>
      </c>
      <c r="BD493">
        <v>0</v>
      </c>
      <c r="BE493" t="s">
        <v>8472</v>
      </c>
      <c r="BF493" t="s">
        <v>8455</v>
      </c>
      <c r="BG493" t="s">
        <v>8498</v>
      </c>
      <c r="BH493">
        <v>0.38636399999999999</v>
      </c>
    </row>
    <row r="494" spans="1:63" x14ac:dyDescent="0.25">
      <c r="A494">
        <v>675</v>
      </c>
      <c r="B494">
        <v>504</v>
      </c>
      <c r="C494" t="s">
        <v>8445</v>
      </c>
      <c r="F494">
        <v>1027726</v>
      </c>
      <c r="G494" t="s">
        <v>9189</v>
      </c>
      <c r="H494" t="s">
        <v>7568</v>
      </c>
      <c r="I494" t="s">
        <v>8467</v>
      </c>
      <c r="J494">
        <v>0</v>
      </c>
      <c r="K494">
        <v>6</v>
      </c>
      <c r="L494">
        <v>0</v>
      </c>
      <c r="M494">
        <v>119900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510</v>
      </c>
      <c r="T494">
        <v>0</v>
      </c>
      <c r="U494">
        <v>0</v>
      </c>
      <c r="V494">
        <v>0</v>
      </c>
      <c r="W494" t="s">
        <v>8447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13</v>
      </c>
      <c r="AR494">
        <v>0</v>
      </c>
      <c r="AS494">
        <v>0</v>
      </c>
      <c r="AT494" t="s">
        <v>8465</v>
      </c>
      <c r="AU494">
        <v>0</v>
      </c>
      <c r="AV494">
        <v>0</v>
      </c>
      <c r="AW494" t="s">
        <v>8497</v>
      </c>
      <c r="AX494">
        <v>1</v>
      </c>
      <c r="AY494" t="s">
        <v>8451</v>
      </c>
      <c r="AZ494">
        <v>1</v>
      </c>
      <c r="BA494" t="s">
        <v>8492</v>
      </c>
      <c r="BB494">
        <v>0</v>
      </c>
      <c r="BC494" t="s">
        <v>8471</v>
      </c>
      <c r="BD494">
        <v>0</v>
      </c>
      <c r="BE494" t="s">
        <v>8472</v>
      </c>
      <c r="BF494" t="s">
        <v>8455</v>
      </c>
      <c r="BG494" t="s">
        <v>8498</v>
      </c>
      <c r="BH494">
        <v>0.29545500000000002</v>
      </c>
    </row>
    <row r="495" spans="1:63" x14ac:dyDescent="0.25">
      <c r="A495">
        <v>676</v>
      </c>
      <c r="B495">
        <v>521</v>
      </c>
      <c r="C495" t="s">
        <v>8445</v>
      </c>
      <c r="F495">
        <v>1027870</v>
      </c>
      <c r="G495" t="s">
        <v>776</v>
      </c>
      <c r="H495" t="s">
        <v>9190</v>
      </c>
      <c r="I495" t="s">
        <v>8448</v>
      </c>
      <c r="J495">
        <v>0</v>
      </c>
      <c r="K495">
        <v>6</v>
      </c>
      <c r="L495">
        <v>0</v>
      </c>
      <c r="M495">
        <v>119900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510</v>
      </c>
      <c r="T495">
        <v>0</v>
      </c>
      <c r="U495">
        <v>0</v>
      </c>
      <c r="V495">
        <v>0</v>
      </c>
      <c r="W495" t="s">
        <v>8447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11</v>
      </c>
      <c r="AR495">
        <v>0</v>
      </c>
      <c r="AS495">
        <v>0</v>
      </c>
      <c r="AT495" t="s">
        <v>8446</v>
      </c>
      <c r="AU495">
        <v>0</v>
      </c>
      <c r="AV495">
        <v>1</v>
      </c>
      <c r="AW495" t="s">
        <v>8526</v>
      </c>
      <c r="AX495">
        <v>0</v>
      </c>
      <c r="AY495" t="s">
        <v>8493</v>
      </c>
      <c r="AZ495">
        <v>1</v>
      </c>
      <c r="BA495" t="s">
        <v>8469</v>
      </c>
      <c r="BB495">
        <v>0</v>
      </c>
      <c r="BC495" t="s">
        <v>8452</v>
      </c>
      <c r="BD495">
        <v>0</v>
      </c>
      <c r="BE495" t="s">
        <v>8472</v>
      </c>
      <c r="BF495" t="s">
        <v>8534</v>
      </c>
      <c r="BG495" t="s">
        <v>8472</v>
      </c>
      <c r="BH495">
        <v>0.25</v>
      </c>
    </row>
    <row r="496" spans="1:63" x14ac:dyDescent="0.25">
      <c r="A496">
        <v>677</v>
      </c>
      <c r="B496">
        <v>531</v>
      </c>
      <c r="C496" t="s">
        <v>8445</v>
      </c>
      <c r="F496">
        <v>1014013</v>
      </c>
      <c r="G496" t="s">
        <v>1658</v>
      </c>
      <c r="H496" t="s">
        <v>9191</v>
      </c>
      <c r="I496" t="s">
        <v>8448</v>
      </c>
      <c r="J496">
        <v>0</v>
      </c>
      <c r="K496">
        <v>6</v>
      </c>
      <c r="L496">
        <v>0</v>
      </c>
      <c r="M496">
        <v>119900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510</v>
      </c>
      <c r="T496">
        <v>0</v>
      </c>
      <c r="U496">
        <v>0</v>
      </c>
      <c r="V496">
        <v>0</v>
      </c>
      <c r="W496" t="s">
        <v>8447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21</v>
      </c>
      <c r="AR496">
        <v>0</v>
      </c>
      <c r="AS496">
        <v>0</v>
      </c>
      <c r="AT496" t="s">
        <v>8446</v>
      </c>
      <c r="AU496">
        <v>0</v>
      </c>
      <c r="AV496">
        <v>1</v>
      </c>
      <c r="AW496" t="s">
        <v>8526</v>
      </c>
      <c r="AX496">
        <v>0</v>
      </c>
      <c r="AY496" t="s">
        <v>8493</v>
      </c>
      <c r="AZ496">
        <v>1</v>
      </c>
      <c r="BA496" t="s">
        <v>8469</v>
      </c>
      <c r="BB496">
        <v>0</v>
      </c>
      <c r="BC496" t="s">
        <v>8452</v>
      </c>
      <c r="BD496">
        <v>0</v>
      </c>
      <c r="BE496" t="s">
        <v>8472</v>
      </c>
      <c r="BF496" t="s">
        <v>8534</v>
      </c>
      <c r="BG496" t="s">
        <v>8472</v>
      </c>
      <c r="BH496">
        <v>0.477273</v>
      </c>
    </row>
    <row r="497" spans="1:63" x14ac:dyDescent="0.25">
      <c r="A497">
        <v>678</v>
      </c>
      <c r="B497">
        <v>539</v>
      </c>
      <c r="C497" t="s">
        <v>8445</v>
      </c>
      <c r="F497">
        <v>1015330</v>
      </c>
      <c r="G497" t="s">
        <v>5274</v>
      </c>
      <c r="H497" t="s">
        <v>2003</v>
      </c>
      <c r="I497" t="s">
        <v>8448</v>
      </c>
      <c r="J497">
        <v>0</v>
      </c>
      <c r="K497">
        <v>6</v>
      </c>
      <c r="L497">
        <v>0</v>
      </c>
      <c r="M497">
        <v>119900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510</v>
      </c>
      <c r="T497">
        <v>0</v>
      </c>
      <c r="U497">
        <v>0</v>
      </c>
      <c r="V497">
        <v>0</v>
      </c>
      <c r="W497" t="s">
        <v>8447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7</v>
      </c>
      <c r="AR497">
        <v>0</v>
      </c>
      <c r="AS497">
        <v>0</v>
      </c>
      <c r="AT497" t="s">
        <v>8446</v>
      </c>
      <c r="AU497">
        <v>0</v>
      </c>
      <c r="AV497">
        <v>1</v>
      </c>
      <c r="AW497" t="s">
        <v>8526</v>
      </c>
      <c r="AX497">
        <v>0</v>
      </c>
      <c r="AY497" t="s">
        <v>8493</v>
      </c>
      <c r="AZ497">
        <v>1</v>
      </c>
      <c r="BA497" t="s">
        <v>8469</v>
      </c>
      <c r="BB497">
        <v>0</v>
      </c>
      <c r="BC497" t="s">
        <v>8452</v>
      </c>
      <c r="BD497">
        <v>0</v>
      </c>
      <c r="BE497" t="s">
        <v>8472</v>
      </c>
      <c r="BF497" t="s">
        <v>8534</v>
      </c>
      <c r="BG497" t="s">
        <v>8472</v>
      </c>
      <c r="BH497">
        <v>0.15909100000000001</v>
      </c>
    </row>
    <row r="498" spans="1:63" x14ac:dyDescent="0.25">
      <c r="A498">
        <v>679</v>
      </c>
      <c r="B498">
        <v>542</v>
      </c>
      <c r="C498" t="s">
        <v>8445</v>
      </c>
      <c r="F498">
        <v>1029262</v>
      </c>
      <c r="G498" t="s">
        <v>2115</v>
      </c>
      <c r="H498" t="s">
        <v>9192</v>
      </c>
      <c r="I498" t="s">
        <v>8448</v>
      </c>
      <c r="J498">
        <v>0</v>
      </c>
      <c r="K498">
        <v>6</v>
      </c>
      <c r="L498">
        <v>0</v>
      </c>
      <c r="M498">
        <v>119900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510</v>
      </c>
      <c r="T498">
        <v>0</v>
      </c>
      <c r="U498">
        <v>0</v>
      </c>
      <c r="V498">
        <v>0</v>
      </c>
      <c r="W498" t="s">
        <v>8447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10</v>
      </c>
      <c r="AR498">
        <v>0</v>
      </c>
      <c r="AS498">
        <v>0</v>
      </c>
      <c r="AT498" t="s">
        <v>8446</v>
      </c>
      <c r="AU498">
        <v>0</v>
      </c>
      <c r="AV498">
        <v>1</v>
      </c>
      <c r="AW498" t="s">
        <v>8526</v>
      </c>
      <c r="AX498">
        <v>0</v>
      </c>
      <c r="AY498" t="s">
        <v>8493</v>
      </c>
      <c r="AZ498">
        <v>1</v>
      </c>
      <c r="BA498" t="s">
        <v>8469</v>
      </c>
      <c r="BB498">
        <v>0</v>
      </c>
      <c r="BC498" t="s">
        <v>8452</v>
      </c>
      <c r="BD498">
        <v>0</v>
      </c>
      <c r="BE498" t="s">
        <v>8472</v>
      </c>
      <c r="BF498" t="s">
        <v>8534</v>
      </c>
      <c r="BG498" t="s">
        <v>8472</v>
      </c>
      <c r="BH498">
        <v>0.227273</v>
      </c>
    </row>
    <row r="499" spans="1:63" x14ac:dyDescent="0.25">
      <c r="A499">
        <v>680</v>
      </c>
      <c r="B499">
        <v>558</v>
      </c>
      <c r="C499" t="s">
        <v>8445</v>
      </c>
      <c r="F499">
        <v>1029158</v>
      </c>
      <c r="G499" t="s">
        <v>580</v>
      </c>
      <c r="H499" t="s">
        <v>7231</v>
      </c>
      <c r="I499" t="s">
        <v>8448</v>
      </c>
      <c r="J499">
        <v>0</v>
      </c>
      <c r="K499">
        <v>6</v>
      </c>
      <c r="L499">
        <v>0</v>
      </c>
      <c r="M499">
        <v>119900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510</v>
      </c>
      <c r="T499">
        <v>0</v>
      </c>
      <c r="U499">
        <v>0</v>
      </c>
      <c r="V499">
        <v>0</v>
      </c>
      <c r="W499" t="s">
        <v>8447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4</v>
      </c>
      <c r="AR499">
        <v>0</v>
      </c>
      <c r="AS499">
        <v>0</v>
      </c>
      <c r="AT499" t="s">
        <v>8446</v>
      </c>
      <c r="AU499">
        <v>0</v>
      </c>
      <c r="AV499">
        <v>1</v>
      </c>
      <c r="AW499" t="s">
        <v>8526</v>
      </c>
      <c r="AX499">
        <v>0</v>
      </c>
      <c r="AY499" t="s">
        <v>8493</v>
      </c>
      <c r="AZ499">
        <v>1</v>
      </c>
      <c r="BA499" t="s">
        <v>8469</v>
      </c>
      <c r="BB499">
        <v>0</v>
      </c>
      <c r="BC499" t="s">
        <v>8452</v>
      </c>
      <c r="BD499">
        <v>0</v>
      </c>
      <c r="BE499" t="s">
        <v>8472</v>
      </c>
      <c r="BF499" t="s">
        <v>8534</v>
      </c>
      <c r="BG499" t="s">
        <v>8472</v>
      </c>
      <c r="BH499">
        <v>9.0909100000000007E-2</v>
      </c>
    </row>
    <row r="500" spans="1:63" x14ac:dyDescent="0.25">
      <c r="A500">
        <v>681</v>
      </c>
      <c r="B500">
        <v>572</v>
      </c>
      <c r="C500" t="s">
        <v>8445</v>
      </c>
      <c r="F500">
        <v>1017043</v>
      </c>
      <c r="G500" t="s">
        <v>9193</v>
      </c>
      <c r="H500" t="s">
        <v>200</v>
      </c>
      <c r="I500" t="s">
        <v>8490</v>
      </c>
      <c r="J500">
        <v>0</v>
      </c>
      <c r="K500">
        <v>6</v>
      </c>
      <c r="L500">
        <v>0</v>
      </c>
      <c r="M500">
        <v>119900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510</v>
      </c>
      <c r="T500">
        <v>0</v>
      </c>
      <c r="U500">
        <v>0</v>
      </c>
      <c r="V500">
        <v>0</v>
      </c>
      <c r="W500" t="s">
        <v>8447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12</v>
      </c>
      <c r="AR500">
        <v>0</v>
      </c>
      <c r="AS500">
        <v>0</v>
      </c>
      <c r="AT500" t="s">
        <v>8489</v>
      </c>
      <c r="AU500">
        <v>13</v>
      </c>
      <c r="AV500">
        <v>0</v>
      </c>
      <c r="AW500" t="s">
        <v>8460</v>
      </c>
      <c r="AX500">
        <v>1</v>
      </c>
      <c r="AY500" t="s">
        <v>8459</v>
      </c>
      <c r="AZ500">
        <v>1</v>
      </c>
      <c r="BA500" t="s">
        <v>8483</v>
      </c>
      <c r="BB500">
        <v>0</v>
      </c>
      <c r="BC500" t="s">
        <v>8471</v>
      </c>
      <c r="BD500">
        <v>13</v>
      </c>
      <c r="BE500" t="s">
        <v>8464</v>
      </c>
      <c r="BF500" t="s">
        <v>8464</v>
      </c>
      <c r="BG500" t="s">
        <v>8464</v>
      </c>
      <c r="BH500">
        <v>0.272727</v>
      </c>
    </row>
    <row r="501" spans="1:63" x14ac:dyDescent="0.25">
      <c r="A501">
        <v>682</v>
      </c>
      <c r="B501">
        <v>573</v>
      </c>
      <c r="C501" t="s">
        <v>8445</v>
      </c>
      <c r="F501">
        <v>1021660</v>
      </c>
      <c r="G501" t="s">
        <v>9194</v>
      </c>
      <c r="H501" t="s">
        <v>9195</v>
      </c>
      <c r="I501" t="s">
        <v>8490</v>
      </c>
      <c r="J501">
        <v>0</v>
      </c>
      <c r="K501">
        <v>6</v>
      </c>
      <c r="L501">
        <v>0</v>
      </c>
      <c r="M501">
        <v>119900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510</v>
      </c>
      <c r="T501">
        <v>0</v>
      </c>
      <c r="U501">
        <v>0</v>
      </c>
      <c r="V501">
        <v>0</v>
      </c>
      <c r="W501" t="s">
        <v>8447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14</v>
      </c>
      <c r="AR501">
        <v>0</v>
      </c>
      <c r="AS501">
        <v>0</v>
      </c>
      <c r="AT501" t="s">
        <v>8489</v>
      </c>
      <c r="AU501">
        <v>0</v>
      </c>
      <c r="AV501">
        <v>0</v>
      </c>
      <c r="AW501" t="s">
        <v>8460</v>
      </c>
      <c r="AX501">
        <v>1</v>
      </c>
      <c r="AY501" t="s">
        <v>8459</v>
      </c>
      <c r="AZ501">
        <v>1</v>
      </c>
      <c r="BA501" t="s">
        <v>8483</v>
      </c>
      <c r="BB501">
        <v>0</v>
      </c>
      <c r="BC501" t="s">
        <v>8471</v>
      </c>
      <c r="BD501">
        <v>0</v>
      </c>
      <c r="BE501" t="s">
        <v>8464</v>
      </c>
      <c r="BF501" t="s">
        <v>8464</v>
      </c>
      <c r="BG501" t="s">
        <v>8464</v>
      </c>
      <c r="BH501">
        <v>0.31818200000000002</v>
      </c>
    </row>
    <row r="502" spans="1:63" x14ac:dyDescent="0.25">
      <c r="A502">
        <v>683</v>
      </c>
      <c r="B502">
        <v>576</v>
      </c>
      <c r="C502" t="s">
        <v>8445</v>
      </c>
      <c r="F502">
        <v>1022383</v>
      </c>
      <c r="G502" t="s">
        <v>1464</v>
      </c>
      <c r="H502" t="s">
        <v>9196</v>
      </c>
      <c r="I502" t="s">
        <v>8490</v>
      </c>
      <c r="J502">
        <v>0</v>
      </c>
      <c r="K502">
        <v>6</v>
      </c>
      <c r="L502">
        <v>0</v>
      </c>
      <c r="M502">
        <v>119900</v>
      </c>
      <c r="N502">
        <v>30</v>
      </c>
      <c r="O502">
        <v>0</v>
      </c>
      <c r="P502">
        <v>1</v>
      </c>
      <c r="Q502">
        <v>0</v>
      </c>
      <c r="R502">
        <v>0</v>
      </c>
      <c r="S502">
        <v>499</v>
      </c>
      <c r="T502">
        <v>0</v>
      </c>
      <c r="U502">
        <v>0</v>
      </c>
      <c r="V502">
        <v>91</v>
      </c>
      <c r="W502" t="s">
        <v>8466</v>
      </c>
      <c r="X502">
        <v>0</v>
      </c>
      <c r="Y502">
        <v>3</v>
      </c>
      <c r="Z502">
        <v>0</v>
      </c>
      <c r="AA502">
        <v>2</v>
      </c>
      <c r="AB502">
        <v>0</v>
      </c>
      <c r="AC502">
        <v>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-1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30</v>
      </c>
      <c r="AQ502">
        <v>7</v>
      </c>
      <c r="AR502">
        <v>30</v>
      </c>
      <c r="AS502">
        <v>30</v>
      </c>
      <c r="AT502" t="s">
        <v>8489</v>
      </c>
      <c r="AU502">
        <v>0</v>
      </c>
      <c r="AV502">
        <v>0</v>
      </c>
      <c r="AW502" t="s">
        <v>8460</v>
      </c>
      <c r="AX502">
        <v>1</v>
      </c>
      <c r="AY502" t="s">
        <v>8459</v>
      </c>
      <c r="AZ502">
        <v>1</v>
      </c>
      <c r="BA502" t="s">
        <v>8483</v>
      </c>
      <c r="BB502">
        <v>0</v>
      </c>
      <c r="BC502" t="s">
        <v>8471</v>
      </c>
      <c r="BD502">
        <v>0</v>
      </c>
      <c r="BE502" t="s">
        <v>8464</v>
      </c>
      <c r="BF502" t="s">
        <v>8464</v>
      </c>
      <c r="BG502" t="s">
        <v>8464</v>
      </c>
      <c r="BH502">
        <v>0.15909100000000001</v>
      </c>
      <c r="BJ502" s="1" t="s">
        <v>9197</v>
      </c>
      <c r="BK502" s="1" t="s">
        <v>9198</v>
      </c>
    </row>
    <row r="503" spans="1:63" x14ac:dyDescent="0.25">
      <c r="A503">
        <v>684</v>
      </c>
      <c r="B503">
        <v>578</v>
      </c>
      <c r="C503" t="s">
        <v>8445</v>
      </c>
      <c r="F503">
        <v>1036103</v>
      </c>
      <c r="G503" t="s">
        <v>5431</v>
      </c>
      <c r="H503" t="s">
        <v>3197</v>
      </c>
      <c r="I503" t="s">
        <v>8490</v>
      </c>
      <c r="J503">
        <v>0</v>
      </c>
      <c r="K503">
        <v>6</v>
      </c>
      <c r="L503">
        <v>0</v>
      </c>
      <c r="M503">
        <v>119900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510</v>
      </c>
      <c r="T503">
        <v>0</v>
      </c>
      <c r="U503">
        <v>0</v>
      </c>
      <c r="V503">
        <v>0</v>
      </c>
      <c r="W503" t="s">
        <v>8447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7</v>
      </c>
      <c r="AR503">
        <v>0</v>
      </c>
      <c r="AS503">
        <v>0</v>
      </c>
      <c r="AT503" t="s">
        <v>8489</v>
      </c>
      <c r="AU503">
        <v>0</v>
      </c>
      <c r="AV503">
        <v>0</v>
      </c>
      <c r="AW503" t="s">
        <v>8460</v>
      </c>
      <c r="AX503">
        <v>1</v>
      </c>
      <c r="AY503" t="s">
        <v>8459</v>
      </c>
      <c r="AZ503">
        <v>1</v>
      </c>
      <c r="BA503" t="s">
        <v>8483</v>
      </c>
      <c r="BB503">
        <v>0</v>
      </c>
      <c r="BC503" t="s">
        <v>8471</v>
      </c>
      <c r="BD503">
        <v>0</v>
      </c>
      <c r="BE503" t="s">
        <v>8464</v>
      </c>
      <c r="BF503" t="s">
        <v>8464</v>
      </c>
      <c r="BG503" t="s">
        <v>8464</v>
      </c>
      <c r="BH503">
        <v>0.15909100000000001</v>
      </c>
    </row>
    <row r="504" spans="1:63" x14ac:dyDescent="0.25">
      <c r="A504">
        <v>685</v>
      </c>
      <c r="B504">
        <v>580</v>
      </c>
      <c r="C504" t="s">
        <v>8445</v>
      </c>
      <c r="F504">
        <v>1035199</v>
      </c>
      <c r="G504" t="s">
        <v>3871</v>
      </c>
      <c r="H504" t="s">
        <v>9199</v>
      </c>
      <c r="I504" t="s">
        <v>8490</v>
      </c>
      <c r="J504">
        <v>0</v>
      </c>
      <c r="K504">
        <v>6</v>
      </c>
      <c r="L504">
        <v>0</v>
      </c>
      <c r="M504">
        <v>119900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510</v>
      </c>
      <c r="T504">
        <v>0</v>
      </c>
      <c r="U504">
        <v>0</v>
      </c>
      <c r="V504">
        <v>0</v>
      </c>
      <c r="W504" t="s">
        <v>8447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8</v>
      </c>
      <c r="AR504">
        <v>0</v>
      </c>
      <c r="AS504">
        <v>0</v>
      </c>
      <c r="AT504" t="s">
        <v>8489</v>
      </c>
      <c r="AU504">
        <v>0</v>
      </c>
      <c r="AV504">
        <v>0</v>
      </c>
      <c r="AW504" t="s">
        <v>8460</v>
      </c>
      <c r="AX504">
        <v>1</v>
      </c>
      <c r="AY504" t="s">
        <v>8459</v>
      </c>
      <c r="AZ504">
        <v>1</v>
      </c>
      <c r="BA504" t="s">
        <v>8483</v>
      </c>
      <c r="BB504">
        <v>0</v>
      </c>
      <c r="BC504" t="s">
        <v>8471</v>
      </c>
      <c r="BD504">
        <v>0</v>
      </c>
      <c r="BE504" t="s">
        <v>8464</v>
      </c>
      <c r="BF504" t="s">
        <v>8464</v>
      </c>
      <c r="BG504" t="s">
        <v>8464</v>
      </c>
      <c r="BH504">
        <v>0.18181800000000001</v>
      </c>
    </row>
    <row r="505" spans="1:63" x14ac:dyDescent="0.25">
      <c r="A505">
        <v>686</v>
      </c>
      <c r="B505">
        <v>615</v>
      </c>
      <c r="C505" t="s">
        <v>8445</v>
      </c>
      <c r="F505">
        <v>1017959</v>
      </c>
      <c r="G505" t="s">
        <v>4763</v>
      </c>
      <c r="H505" t="s">
        <v>9200</v>
      </c>
      <c r="I505" t="s">
        <v>8549</v>
      </c>
      <c r="J505">
        <v>0</v>
      </c>
      <c r="K505">
        <v>6</v>
      </c>
      <c r="L505">
        <v>0</v>
      </c>
      <c r="M505">
        <v>187000</v>
      </c>
      <c r="N505">
        <v>187</v>
      </c>
      <c r="O505">
        <v>0</v>
      </c>
      <c r="P505">
        <v>4</v>
      </c>
      <c r="Q505">
        <v>0</v>
      </c>
      <c r="R505">
        <v>67100</v>
      </c>
      <c r="S505">
        <v>363</v>
      </c>
      <c r="T505">
        <v>0</v>
      </c>
      <c r="U505">
        <v>0</v>
      </c>
      <c r="V505">
        <v>296</v>
      </c>
      <c r="W505" t="s">
        <v>8505</v>
      </c>
      <c r="X505">
        <v>0</v>
      </c>
      <c r="Y505">
        <v>19</v>
      </c>
      <c r="Z505">
        <v>0</v>
      </c>
      <c r="AA505">
        <v>11</v>
      </c>
      <c r="AB505">
        <v>0</v>
      </c>
      <c r="AC505">
        <v>5</v>
      </c>
      <c r="AD505">
        <v>0</v>
      </c>
      <c r="AE505">
        <v>10</v>
      </c>
      <c r="AF505">
        <v>0</v>
      </c>
      <c r="AG505">
        <v>2</v>
      </c>
      <c r="AH505">
        <v>0</v>
      </c>
      <c r="AI505">
        <v>-3</v>
      </c>
      <c r="AJ505">
        <v>0</v>
      </c>
      <c r="AK505">
        <v>0</v>
      </c>
      <c r="AL505">
        <v>0</v>
      </c>
      <c r="AM505">
        <v>5</v>
      </c>
      <c r="AN505">
        <v>0</v>
      </c>
      <c r="AO505">
        <v>4</v>
      </c>
      <c r="AP505">
        <v>46.75</v>
      </c>
      <c r="AQ505">
        <v>27</v>
      </c>
      <c r="AR505">
        <v>46.75</v>
      </c>
      <c r="AS505">
        <v>49.333300000000001</v>
      </c>
      <c r="AT505" t="s">
        <v>8548</v>
      </c>
      <c r="AU505">
        <v>0</v>
      </c>
      <c r="AV505">
        <v>1</v>
      </c>
      <c r="AW505" t="s">
        <v>8492</v>
      </c>
      <c r="AX505">
        <v>0</v>
      </c>
      <c r="AY505" t="s">
        <v>8513</v>
      </c>
      <c r="AZ505">
        <v>0</v>
      </c>
      <c r="BA505" t="s">
        <v>8514</v>
      </c>
      <c r="BB505">
        <v>0</v>
      </c>
      <c r="BC505" t="s">
        <v>8471</v>
      </c>
      <c r="BD505">
        <v>34.333300000000001</v>
      </c>
      <c r="BE505" t="s">
        <v>8455</v>
      </c>
      <c r="BF505" t="s">
        <v>8455</v>
      </c>
      <c r="BG505" t="s">
        <v>8464</v>
      </c>
      <c r="BH505">
        <v>0.61363599999999996</v>
      </c>
      <c r="BJ505" s="1" t="s">
        <v>9201</v>
      </c>
      <c r="BK505">
        <v>4000</v>
      </c>
    </row>
    <row r="506" spans="1:63" x14ac:dyDescent="0.25">
      <c r="A506">
        <v>687</v>
      </c>
      <c r="B506">
        <v>620</v>
      </c>
      <c r="C506" t="s">
        <v>8445</v>
      </c>
      <c r="F506">
        <v>1020855</v>
      </c>
      <c r="G506" t="s">
        <v>5439</v>
      </c>
      <c r="H506" t="s">
        <v>4726</v>
      </c>
      <c r="I506" t="s">
        <v>8549</v>
      </c>
      <c r="J506">
        <v>0</v>
      </c>
      <c r="K506">
        <v>6</v>
      </c>
      <c r="L506">
        <v>0</v>
      </c>
      <c r="M506">
        <v>239900</v>
      </c>
      <c r="N506">
        <v>310</v>
      </c>
      <c r="O506">
        <v>0</v>
      </c>
      <c r="P506">
        <v>5</v>
      </c>
      <c r="Q506">
        <v>0</v>
      </c>
      <c r="R506">
        <v>120000</v>
      </c>
      <c r="S506">
        <v>241</v>
      </c>
      <c r="T506">
        <v>0</v>
      </c>
      <c r="U506">
        <v>0</v>
      </c>
      <c r="V506">
        <v>507</v>
      </c>
      <c r="W506" t="s">
        <v>8475</v>
      </c>
      <c r="X506">
        <v>0</v>
      </c>
      <c r="Y506">
        <v>39</v>
      </c>
      <c r="Z506">
        <v>0</v>
      </c>
      <c r="AA506">
        <v>33</v>
      </c>
      <c r="AB506">
        <v>0</v>
      </c>
      <c r="AC506">
        <v>19</v>
      </c>
      <c r="AD506">
        <v>0</v>
      </c>
      <c r="AE506">
        <v>11</v>
      </c>
      <c r="AF506">
        <v>0</v>
      </c>
      <c r="AG506">
        <v>1</v>
      </c>
      <c r="AH506">
        <v>0</v>
      </c>
      <c r="AI506">
        <v>-2</v>
      </c>
      <c r="AJ506">
        <v>0</v>
      </c>
      <c r="AK506">
        <v>0</v>
      </c>
      <c r="AL506">
        <v>0</v>
      </c>
      <c r="AM506">
        <v>6</v>
      </c>
      <c r="AN506">
        <v>0</v>
      </c>
      <c r="AO506">
        <v>5</v>
      </c>
      <c r="AP506">
        <v>62</v>
      </c>
      <c r="AQ506">
        <v>255</v>
      </c>
      <c r="AR506">
        <v>62</v>
      </c>
      <c r="AS506">
        <v>67.666700000000006</v>
      </c>
      <c r="AT506" t="s">
        <v>8548</v>
      </c>
      <c r="AU506">
        <v>0</v>
      </c>
      <c r="AV506">
        <v>1</v>
      </c>
      <c r="AW506" t="s">
        <v>8492</v>
      </c>
      <c r="AX506">
        <v>0</v>
      </c>
      <c r="AY506" t="s">
        <v>8513</v>
      </c>
      <c r="AZ506">
        <v>0</v>
      </c>
      <c r="BA506" t="s">
        <v>8514</v>
      </c>
      <c r="BB506">
        <v>0</v>
      </c>
      <c r="BC506" t="s">
        <v>8471</v>
      </c>
      <c r="BD506">
        <v>59</v>
      </c>
      <c r="BE506" t="s">
        <v>8455</v>
      </c>
      <c r="BF506" t="s">
        <v>8455</v>
      </c>
      <c r="BG506" t="s">
        <v>8464</v>
      </c>
      <c r="BH506">
        <v>5.7954499999999998</v>
      </c>
      <c r="BJ506">
        <v>0.61143984220907299</v>
      </c>
      <c r="BK506" s="1" t="s">
        <v>9202</v>
      </c>
    </row>
    <row r="507" spans="1:63" x14ac:dyDescent="0.25">
      <c r="A507">
        <v>688</v>
      </c>
      <c r="B507">
        <v>621</v>
      </c>
      <c r="C507" t="s">
        <v>8445</v>
      </c>
      <c r="F507">
        <v>1027872</v>
      </c>
      <c r="G507" t="s">
        <v>1561</v>
      </c>
      <c r="H507" t="s">
        <v>9203</v>
      </c>
      <c r="I507" t="s">
        <v>8549</v>
      </c>
      <c r="J507">
        <v>0</v>
      </c>
      <c r="K507">
        <v>6</v>
      </c>
      <c r="L507">
        <v>0</v>
      </c>
      <c r="M507">
        <v>134400</v>
      </c>
      <c r="N507">
        <v>128</v>
      </c>
      <c r="O507">
        <v>0</v>
      </c>
      <c r="P507">
        <v>4</v>
      </c>
      <c r="Q507">
        <v>0</v>
      </c>
      <c r="R507">
        <v>14500</v>
      </c>
      <c r="S507">
        <v>418</v>
      </c>
      <c r="T507">
        <v>0</v>
      </c>
      <c r="U507">
        <v>0</v>
      </c>
      <c r="V507">
        <v>215</v>
      </c>
      <c r="W507" t="s">
        <v>8505</v>
      </c>
      <c r="X507">
        <v>0</v>
      </c>
      <c r="Y507">
        <v>17</v>
      </c>
      <c r="Z507">
        <v>0</v>
      </c>
      <c r="AA507">
        <v>13</v>
      </c>
      <c r="AB507">
        <v>0</v>
      </c>
      <c r="AC507">
        <v>8</v>
      </c>
      <c r="AD507">
        <v>0</v>
      </c>
      <c r="AE507">
        <v>6</v>
      </c>
      <c r="AF507">
        <v>0</v>
      </c>
      <c r="AG507">
        <v>0</v>
      </c>
      <c r="AH507">
        <v>0</v>
      </c>
      <c r="AI507">
        <v>-2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32</v>
      </c>
      <c r="AQ507">
        <v>43</v>
      </c>
      <c r="AR507">
        <v>32</v>
      </c>
      <c r="AS507">
        <v>25</v>
      </c>
      <c r="AT507" t="s">
        <v>8548</v>
      </c>
      <c r="AU507">
        <v>0</v>
      </c>
      <c r="AV507">
        <v>1</v>
      </c>
      <c r="AW507" t="s">
        <v>8492</v>
      </c>
      <c r="AX507">
        <v>0</v>
      </c>
      <c r="AY507" t="s">
        <v>8513</v>
      </c>
      <c r="AZ507">
        <v>0</v>
      </c>
      <c r="BA507" t="s">
        <v>8514</v>
      </c>
      <c r="BB507">
        <v>0</v>
      </c>
      <c r="BC507" t="s">
        <v>8471</v>
      </c>
      <c r="BD507">
        <v>28</v>
      </c>
      <c r="BE507" t="s">
        <v>8455</v>
      </c>
      <c r="BF507" t="s">
        <v>8455</v>
      </c>
      <c r="BG507" t="s">
        <v>8464</v>
      </c>
      <c r="BH507">
        <v>0.97727299999999995</v>
      </c>
      <c r="BJ507" s="1" t="s">
        <v>9204</v>
      </c>
      <c r="BK507">
        <v>4200</v>
      </c>
    </row>
    <row r="508" spans="1:63" x14ac:dyDescent="0.25">
      <c r="A508">
        <v>689</v>
      </c>
      <c r="B508">
        <v>622</v>
      </c>
      <c r="C508" t="s">
        <v>8445</v>
      </c>
      <c r="F508">
        <v>1015886</v>
      </c>
      <c r="G508" t="s">
        <v>5439</v>
      </c>
      <c r="H508" t="s">
        <v>2566</v>
      </c>
      <c r="I508" t="s">
        <v>8549</v>
      </c>
      <c r="J508">
        <v>0</v>
      </c>
      <c r="K508">
        <v>6</v>
      </c>
      <c r="L508">
        <v>0</v>
      </c>
      <c r="M508">
        <v>119900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510</v>
      </c>
      <c r="T508">
        <v>0</v>
      </c>
      <c r="U508">
        <v>0</v>
      </c>
      <c r="V508">
        <v>0</v>
      </c>
      <c r="W508" t="s">
        <v>8447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26</v>
      </c>
      <c r="AR508">
        <v>0</v>
      </c>
      <c r="AS508">
        <v>0</v>
      </c>
      <c r="AT508" t="s">
        <v>8548</v>
      </c>
      <c r="AU508">
        <v>0</v>
      </c>
      <c r="AV508">
        <v>1</v>
      </c>
      <c r="AW508" t="s">
        <v>8492</v>
      </c>
      <c r="AX508">
        <v>0</v>
      </c>
      <c r="AY508" t="s">
        <v>8513</v>
      </c>
      <c r="AZ508">
        <v>0</v>
      </c>
      <c r="BA508" t="s">
        <v>8514</v>
      </c>
      <c r="BB508">
        <v>0</v>
      </c>
      <c r="BC508" t="s">
        <v>8471</v>
      </c>
      <c r="BD508">
        <v>0</v>
      </c>
      <c r="BE508" t="s">
        <v>8455</v>
      </c>
      <c r="BF508" t="s">
        <v>8455</v>
      </c>
      <c r="BG508" t="s">
        <v>8464</v>
      </c>
      <c r="BH508">
        <v>0.59090900000000002</v>
      </c>
    </row>
    <row r="509" spans="1:63" x14ac:dyDescent="0.25">
      <c r="A509">
        <v>690</v>
      </c>
      <c r="B509">
        <v>628</v>
      </c>
      <c r="C509" t="s">
        <v>8445</v>
      </c>
      <c r="F509">
        <v>1015323</v>
      </c>
      <c r="G509" t="s">
        <v>4961</v>
      </c>
      <c r="H509" t="s">
        <v>9205</v>
      </c>
      <c r="I509" t="s">
        <v>8549</v>
      </c>
      <c r="J509">
        <v>0</v>
      </c>
      <c r="K509">
        <v>6</v>
      </c>
      <c r="L509">
        <v>0</v>
      </c>
      <c r="M509">
        <v>131400</v>
      </c>
      <c r="N509">
        <v>98</v>
      </c>
      <c r="O509">
        <v>0</v>
      </c>
      <c r="P509">
        <v>3</v>
      </c>
      <c r="Q509">
        <v>0</v>
      </c>
      <c r="R509">
        <v>11500</v>
      </c>
      <c r="S509">
        <v>441</v>
      </c>
      <c r="T509">
        <v>0</v>
      </c>
      <c r="U509">
        <v>0</v>
      </c>
      <c r="V509">
        <v>276</v>
      </c>
      <c r="W509" t="s">
        <v>8505</v>
      </c>
      <c r="X509">
        <v>0</v>
      </c>
      <c r="Y509">
        <v>10</v>
      </c>
      <c r="Z509">
        <v>0</v>
      </c>
      <c r="AA509">
        <v>9</v>
      </c>
      <c r="AB509">
        <v>0</v>
      </c>
      <c r="AC509">
        <v>3</v>
      </c>
      <c r="AD509">
        <v>0</v>
      </c>
      <c r="AE509">
        <v>4</v>
      </c>
      <c r="AF509">
        <v>0</v>
      </c>
      <c r="AG509">
        <v>2</v>
      </c>
      <c r="AH509">
        <v>0</v>
      </c>
      <c r="AI509">
        <v>-2</v>
      </c>
      <c r="AJ509">
        <v>0</v>
      </c>
      <c r="AK509">
        <v>9</v>
      </c>
      <c r="AL509">
        <v>0</v>
      </c>
      <c r="AM509">
        <v>2</v>
      </c>
      <c r="AN509">
        <v>0</v>
      </c>
      <c r="AO509">
        <v>1</v>
      </c>
      <c r="AP509">
        <v>32.666699999999999</v>
      </c>
      <c r="AQ509">
        <v>8</v>
      </c>
      <c r="AR509">
        <v>32.666699999999999</v>
      </c>
      <c r="AS509">
        <v>32.666699999999999</v>
      </c>
      <c r="AT509" t="s">
        <v>8548</v>
      </c>
      <c r="AU509">
        <v>0</v>
      </c>
      <c r="AV509">
        <v>1</v>
      </c>
      <c r="AW509" t="s">
        <v>8492</v>
      </c>
      <c r="AX509">
        <v>0</v>
      </c>
      <c r="AY509" t="s">
        <v>8513</v>
      </c>
      <c r="AZ509">
        <v>0</v>
      </c>
      <c r="BA509" t="s">
        <v>8514</v>
      </c>
      <c r="BB509">
        <v>0</v>
      </c>
      <c r="BC509" t="s">
        <v>8471</v>
      </c>
      <c r="BD509">
        <v>40</v>
      </c>
      <c r="BE509" t="s">
        <v>8455</v>
      </c>
      <c r="BF509" t="s">
        <v>8455</v>
      </c>
      <c r="BG509" t="s">
        <v>8464</v>
      </c>
      <c r="BH509">
        <v>0.18181800000000001</v>
      </c>
      <c r="BJ509" s="1" t="s">
        <v>9206</v>
      </c>
      <c r="BK509">
        <v>4022.4448750562501</v>
      </c>
    </row>
    <row r="510" spans="1:63" x14ac:dyDescent="0.25">
      <c r="A510">
        <v>691</v>
      </c>
      <c r="B510">
        <v>633</v>
      </c>
      <c r="C510" t="s">
        <v>8445</v>
      </c>
      <c r="F510">
        <v>1035198</v>
      </c>
      <c r="G510" t="s">
        <v>1464</v>
      </c>
      <c r="H510" t="s">
        <v>9207</v>
      </c>
      <c r="I510" t="s">
        <v>8549</v>
      </c>
      <c r="J510">
        <v>0</v>
      </c>
      <c r="K510">
        <v>6</v>
      </c>
      <c r="L510">
        <v>0</v>
      </c>
      <c r="M510">
        <v>120700</v>
      </c>
      <c r="N510">
        <v>73</v>
      </c>
      <c r="O510">
        <v>0</v>
      </c>
      <c r="P510">
        <v>3</v>
      </c>
      <c r="Q510">
        <v>0</v>
      </c>
      <c r="R510">
        <v>800</v>
      </c>
      <c r="S510">
        <v>464</v>
      </c>
      <c r="T510">
        <v>0</v>
      </c>
      <c r="U510">
        <v>0</v>
      </c>
      <c r="V510">
        <v>199</v>
      </c>
      <c r="W510" t="s">
        <v>8505</v>
      </c>
      <c r="X510">
        <v>0</v>
      </c>
      <c r="Y510">
        <v>8</v>
      </c>
      <c r="Z510">
        <v>0</v>
      </c>
      <c r="AA510">
        <v>3</v>
      </c>
      <c r="AB510">
        <v>0</v>
      </c>
      <c r="AC510">
        <v>5</v>
      </c>
      <c r="AD510">
        <v>0</v>
      </c>
      <c r="AE510">
        <v>8</v>
      </c>
      <c r="AF510">
        <v>0</v>
      </c>
      <c r="AG510">
        <v>0</v>
      </c>
      <c r="AH510">
        <v>0</v>
      </c>
      <c r="AI510">
        <v>-2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24.333300000000001</v>
      </c>
      <c r="AQ510">
        <v>18</v>
      </c>
      <c r="AR510">
        <v>24.333300000000001</v>
      </c>
      <c r="AS510">
        <v>24.333300000000001</v>
      </c>
      <c r="AT510" t="s">
        <v>8548</v>
      </c>
      <c r="AU510">
        <v>0</v>
      </c>
      <c r="AV510">
        <v>1</v>
      </c>
      <c r="AW510" t="s">
        <v>8492</v>
      </c>
      <c r="AX510">
        <v>0</v>
      </c>
      <c r="AY510" t="s">
        <v>8513</v>
      </c>
      <c r="AZ510">
        <v>0</v>
      </c>
      <c r="BA510" t="s">
        <v>8514</v>
      </c>
      <c r="BB510">
        <v>0</v>
      </c>
      <c r="BC510" t="s">
        <v>8471</v>
      </c>
      <c r="BD510">
        <v>22.5</v>
      </c>
      <c r="BE510" t="s">
        <v>8455</v>
      </c>
      <c r="BF510" t="s">
        <v>8455</v>
      </c>
      <c r="BG510" t="s">
        <v>8464</v>
      </c>
      <c r="BH510">
        <v>0.40909099999999998</v>
      </c>
      <c r="BJ510" s="1" t="s">
        <v>9208</v>
      </c>
      <c r="BK510">
        <v>4960.2807675079002</v>
      </c>
    </row>
    <row r="511" spans="1:63" x14ac:dyDescent="0.25">
      <c r="A511">
        <v>692</v>
      </c>
      <c r="B511">
        <v>656</v>
      </c>
      <c r="C511" t="s">
        <v>8445</v>
      </c>
      <c r="F511">
        <v>1009392</v>
      </c>
      <c r="G511" t="s">
        <v>1127</v>
      </c>
      <c r="H511" t="s">
        <v>9209</v>
      </c>
      <c r="I511" t="s">
        <v>8446</v>
      </c>
      <c r="J511">
        <v>0</v>
      </c>
      <c r="K511">
        <v>6</v>
      </c>
      <c r="L511">
        <v>0</v>
      </c>
      <c r="M511">
        <v>119900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510</v>
      </c>
      <c r="T511">
        <v>0</v>
      </c>
      <c r="U511">
        <v>0</v>
      </c>
      <c r="V511">
        <v>0</v>
      </c>
      <c r="W511" t="s">
        <v>8447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0</v>
      </c>
      <c r="AS511">
        <v>0</v>
      </c>
      <c r="AT511" t="s">
        <v>8448</v>
      </c>
      <c r="AU511">
        <v>0</v>
      </c>
      <c r="AV511">
        <v>0</v>
      </c>
      <c r="AW511" t="s">
        <v>8449</v>
      </c>
      <c r="AX511">
        <v>1</v>
      </c>
      <c r="AY511" t="s">
        <v>8450</v>
      </c>
      <c r="AZ511">
        <v>0</v>
      </c>
      <c r="BA511" t="s">
        <v>8451</v>
      </c>
      <c r="BB511">
        <v>1</v>
      </c>
      <c r="BC511" t="s">
        <v>8452</v>
      </c>
      <c r="BD511">
        <v>0</v>
      </c>
      <c r="BE511" t="s">
        <v>8453</v>
      </c>
      <c r="BF511" t="s">
        <v>8454</v>
      </c>
      <c r="BG511" t="s">
        <v>8455</v>
      </c>
      <c r="BH511">
        <v>6.8181800000000001E-2</v>
      </c>
    </row>
    <row r="512" spans="1:63" x14ac:dyDescent="0.25">
      <c r="A512">
        <v>693</v>
      </c>
      <c r="B512">
        <v>661</v>
      </c>
      <c r="C512" t="s">
        <v>8445</v>
      </c>
      <c r="F512">
        <v>1017757</v>
      </c>
      <c r="G512" t="s">
        <v>9171</v>
      </c>
      <c r="H512" t="s">
        <v>4546</v>
      </c>
      <c r="I512" t="s">
        <v>8446</v>
      </c>
      <c r="J512">
        <v>0</v>
      </c>
      <c r="K512">
        <v>6</v>
      </c>
      <c r="L512">
        <v>0</v>
      </c>
      <c r="M512">
        <v>119900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510</v>
      </c>
      <c r="T512">
        <v>0</v>
      </c>
      <c r="U512">
        <v>0</v>
      </c>
      <c r="V512">
        <v>0</v>
      </c>
      <c r="W512" t="s">
        <v>8447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5</v>
      </c>
      <c r="AR512">
        <v>0</v>
      </c>
      <c r="AS512">
        <v>0</v>
      </c>
      <c r="AT512" t="s">
        <v>8448</v>
      </c>
      <c r="AU512">
        <v>0</v>
      </c>
      <c r="AV512">
        <v>0</v>
      </c>
      <c r="AW512" t="s">
        <v>8449</v>
      </c>
      <c r="AX512">
        <v>1</v>
      </c>
      <c r="AY512" t="s">
        <v>8450</v>
      </c>
      <c r="AZ512">
        <v>0</v>
      </c>
      <c r="BA512" t="s">
        <v>8451</v>
      </c>
      <c r="BB512">
        <v>1</v>
      </c>
      <c r="BC512" t="s">
        <v>8452</v>
      </c>
      <c r="BD512">
        <v>0</v>
      </c>
      <c r="BE512" t="s">
        <v>8453</v>
      </c>
      <c r="BF512" t="s">
        <v>8454</v>
      </c>
      <c r="BG512" t="s">
        <v>8455</v>
      </c>
      <c r="BH512">
        <v>0.113636</v>
      </c>
    </row>
    <row r="513" spans="1:63" x14ac:dyDescent="0.25">
      <c r="A513">
        <v>694</v>
      </c>
      <c r="B513">
        <v>665</v>
      </c>
      <c r="C513" t="s">
        <v>8445</v>
      </c>
      <c r="F513">
        <v>1027901</v>
      </c>
      <c r="G513" t="s">
        <v>9171</v>
      </c>
      <c r="H513" t="s">
        <v>2073</v>
      </c>
      <c r="I513" t="s">
        <v>8446</v>
      </c>
      <c r="J513">
        <v>0</v>
      </c>
      <c r="K513">
        <v>6</v>
      </c>
      <c r="L513">
        <v>0</v>
      </c>
      <c r="M513">
        <v>119900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510</v>
      </c>
      <c r="T513">
        <v>0</v>
      </c>
      <c r="U513">
        <v>0</v>
      </c>
      <c r="V513">
        <v>0</v>
      </c>
      <c r="W513" t="s">
        <v>8447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13</v>
      </c>
      <c r="AR513">
        <v>0</v>
      </c>
      <c r="AS513">
        <v>0</v>
      </c>
      <c r="AT513" t="s">
        <v>8448</v>
      </c>
      <c r="AU513">
        <v>0</v>
      </c>
      <c r="AV513">
        <v>0</v>
      </c>
      <c r="AW513" t="s">
        <v>8449</v>
      </c>
      <c r="AX513">
        <v>1</v>
      </c>
      <c r="AY513" t="s">
        <v>8450</v>
      </c>
      <c r="AZ513">
        <v>0</v>
      </c>
      <c r="BA513" t="s">
        <v>8451</v>
      </c>
      <c r="BB513">
        <v>1</v>
      </c>
      <c r="BC513" t="s">
        <v>8452</v>
      </c>
      <c r="BD513">
        <v>0</v>
      </c>
      <c r="BE513" t="s">
        <v>8453</v>
      </c>
      <c r="BF513" t="s">
        <v>8454</v>
      </c>
      <c r="BG513" t="s">
        <v>8455</v>
      </c>
      <c r="BH513">
        <v>0.29545500000000002</v>
      </c>
    </row>
    <row r="514" spans="1:63" x14ac:dyDescent="0.25">
      <c r="A514">
        <v>695</v>
      </c>
      <c r="B514">
        <v>669</v>
      </c>
      <c r="C514" t="s">
        <v>8445</v>
      </c>
      <c r="F514">
        <v>1027687</v>
      </c>
      <c r="G514" t="s">
        <v>776</v>
      </c>
      <c r="H514" t="s">
        <v>9210</v>
      </c>
      <c r="I514" t="s">
        <v>8446</v>
      </c>
      <c r="J514">
        <v>0</v>
      </c>
      <c r="K514">
        <v>6</v>
      </c>
      <c r="L514">
        <v>0</v>
      </c>
      <c r="M514">
        <v>194600</v>
      </c>
      <c r="N514">
        <v>239</v>
      </c>
      <c r="O514">
        <v>0</v>
      </c>
      <c r="P514">
        <v>5</v>
      </c>
      <c r="Q514">
        <v>0</v>
      </c>
      <c r="R514">
        <v>74700</v>
      </c>
      <c r="S514">
        <v>319</v>
      </c>
      <c r="T514">
        <v>0</v>
      </c>
      <c r="U514">
        <v>0</v>
      </c>
      <c r="V514">
        <v>392</v>
      </c>
      <c r="W514" t="s">
        <v>8475</v>
      </c>
      <c r="X514">
        <v>0</v>
      </c>
      <c r="Y514">
        <v>21</v>
      </c>
      <c r="Z514">
        <v>0</v>
      </c>
      <c r="AA514">
        <v>28</v>
      </c>
      <c r="AB514">
        <v>0</v>
      </c>
      <c r="AC514">
        <v>14</v>
      </c>
      <c r="AD514">
        <v>0</v>
      </c>
      <c r="AE514">
        <v>9</v>
      </c>
      <c r="AF514">
        <v>0</v>
      </c>
      <c r="AG514">
        <v>3</v>
      </c>
      <c r="AH514">
        <v>0</v>
      </c>
      <c r="AI514">
        <v>-4</v>
      </c>
      <c r="AJ514">
        <v>0</v>
      </c>
      <c r="AK514">
        <v>0</v>
      </c>
      <c r="AL514">
        <v>0</v>
      </c>
      <c r="AM514">
        <v>6</v>
      </c>
      <c r="AN514">
        <v>0</v>
      </c>
      <c r="AO514">
        <v>2</v>
      </c>
      <c r="AP514">
        <v>47.8</v>
      </c>
      <c r="AQ514">
        <v>55</v>
      </c>
      <c r="AR514">
        <v>47.8</v>
      </c>
      <c r="AS514">
        <v>55</v>
      </c>
      <c r="AT514" t="s">
        <v>8448</v>
      </c>
      <c r="AU514">
        <v>0</v>
      </c>
      <c r="AV514">
        <v>0</v>
      </c>
      <c r="AW514" t="s">
        <v>8449</v>
      </c>
      <c r="AX514">
        <v>1</v>
      </c>
      <c r="AY514" t="s">
        <v>8450</v>
      </c>
      <c r="AZ514">
        <v>0</v>
      </c>
      <c r="BA514" t="s">
        <v>8451</v>
      </c>
      <c r="BB514">
        <v>1</v>
      </c>
      <c r="BC514" t="s">
        <v>8452</v>
      </c>
      <c r="BD514">
        <v>37</v>
      </c>
      <c r="BE514" t="s">
        <v>8453</v>
      </c>
      <c r="BF514" t="s">
        <v>8454</v>
      </c>
      <c r="BG514" t="s">
        <v>8455</v>
      </c>
      <c r="BH514">
        <v>1.25</v>
      </c>
      <c r="BJ514" s="1" t="s">
        <v>9211</v>
      </c>
      <c r="BK514" s="1" t="s">
        <v>9212</v>
      </c>
    </row>
    <row r="515" spans="1:63" x14ac:dyDescent="0.25">
      <c r="A515">
        <v>696</v>
      </c>
      <c r="B515">
        <v>673</v>
      </c>
      <c r="C515" t="s">
        <v>8445</v>
      </c>
      <c r="F515">
        <v>1027058</v>
      </c>
      <c r="G515" t="s">
        <v>9213</v>
      </c>
      <c r="H515" t="s">
        <v>9214</v>
      </c>
      <c r="I515" t="s">
        <v>8446</v>
      </c>
      <c r="J515">
        <v>0</v>
      </c>
      <c r="K515">
        <v>6</v>
      </c>
      <c r="L515">
        <v>0</v>
      </c>
      <c r="M515">
        <v>119900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510</v>
      </c>
      <c r="T515">
        <v>0</v>
      </c>
      <c r="U515">
        <v>0</v>
      </c>
      <c r="V515">
        <v>0</v>
      </c>
      <c r="W515" t="s">
        <v>8447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13</v>
      </c>
      <c r="AR515">
        <v>0</v>
      </c>
      <c r="AS515">
        <v>0</v>
      </c>
      <c r="AT515" t="s">
        <v>8448</v>
      </c>
      <c r="AU515">
        <v>0</v>
      </c>
      <c r="AV515">
        <v>0</v>
      </c>
      <c r="AW515" t="s">
        <v>8449</v>
      </c>
      <c r="AX515">
        <v>1</v>
      </c>
      <c r="AY515" t="s">
        <v>8450</v>
      </c>
      <c r="AZ515">
        <v>0</v>
      </c>
      <c r="BA515" t="s">
        <v>8451</v>
      </c>
      <c r="BB515">
        <v>1</v>
      </c>
      <c r="BC515" t="s">
        <v>8452</v>
      </c>
      <c r="BD515">
        <v>0</v>
      </c>
      <c r="BE515" t="s">
        <v>8453</v>
      </c>
      <c r="BF515" t="s">
        <v>8454</v>
      </c>
      <c r="BG515" t="s">
        <v>8455</v>
      </c>
      <c r="BH515">
        <v>0.29545500000000002</v>
      </c>
    </row>
    <row r="516" spans="1:63" x14ac:dyDescent="0.25">
      <c r="A516">
        <v>697</v>
      </c>
      <c r="B516">
        <v>683</v>
      </c>
      <c r="C516" t="s">
        <v>8445</v>
      </c>
      <c r="F516">
        <v>1024096</v>
      </c>
      <c r="G516" t="s">
        <v>4451</v>
      </c>
      <c r="H516" t="s">
        <v>1812</v>
      </c>
      <c r="I516" t="s">
        <v>8446</v>
      </c>
      <c r="J516">
        <v>0</v>
      </c>
      <c r="K516">
        <v>6</v>
      </c>
      <c r="L516">
        <v>0</v>
      </c>
      <c r="M516">
        <v>119900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510</v>
      </c>
      <c r="T516">
        <v>0</v>
      </c>
      <c r="U516">
        <v>0</v>
      </c>
      <c r="V516">
        <v>0</v>
      </c>
      <c r="W516" t="s">
        <v>8447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12</v>
      </c>
      <c r="AR516">
        <v>0</v>
      </c>
      <c r="AS516">
        <v>0</v>
      </c>
      <c r="AT516" t="s">
        <v>8448</v>
      </c>
      <c r="AU516">
        <v>0</v>
      </c>
      <c r="AV516">
        <v>0</v>
      </c>
      <c r="AW516" t="s">
        <v>8449</v>
      </c>
      <c r="AX516">
        <v>1</v>
      </c>
      <c r="AY516" t="s">
        <v>8450</v>
      </c>
      <c r="AZ516">
        <v>0</v>
      </c>
      <c r="BA516" t="s">
        <v>8451</v>
      </c>
      <c r="BB516">
        <v>1</v>
      </c>
      <c r="BC516" t="s">
        <v>8452</v>
      </c>
      <c r="BD516">
        <v>0</v>
      </c>
      <c r="BE516" t="s">
        <v>8453</v>
      </c>
      <c r="BF516" t="s">
        <v>8454</v>
      </c>
      <c r="BG516" t="s">
        <v>8455</v>
      </c>
      <c r="BH516">
        <v>0.272727</v>
      </c>
    </row>
    <row r="517" spans="1:63" x14ac:dyDescent="0.25">
      <c r="A517">
        <v>698</v>
      </c>
      <c r="B517">
        <v>690</v>
      </c>
      <c r="C517" t="s">
        <v>8445</v>
      </c>
      <c r="F517">
        <v>1024685</v>
      </c>
      <c r="G517" t="s">
        <v>3697</v>
      </c>
      <c r="H517" t="s">
        <v>9215</v>
      </c>
      <c r="I517" t="s">
        <v>8446</v>
      </c>
      <c r="J517">
        <v>0</v>
      </c>
      <c r="K517">
        <v>6</v>
      </c>
      <c r="L517">
        <v>0</v>
      </c>
      <c r="M517">
        <v>119900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510</v>
      </c>
      <c r="T517">
        <v>0</v>
      </c>
      <c r="U517">
        <v>0</v>
      </c>
      <c r="V517">
        <v>0</v>
      </c>
      <c r="W517" t="s">
        <v>8447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8</v>
      </c>
      <c r="AR517">
        <v>0</v>
      </c>
      <c r="AS517">
        <v>0</v>
      </c>
      <c r="AT517" t="s">
        <v>8448</v>
      </c>
      <c r="AU517">
        <v>0</v>
      </c>
      <c r="AV517">
        <v>0</v>
      </c>
      <c r="AW517" t="s">
        <v>8449</v>
      </c>
      <c r="AX517">
        <v>1</v>
      </c>
      <c r="AY517" t="s">
        <v>8450</v>
      </c>
      <c r="AZ517">
        <v>0</v>
      </c>
      <c r="BA517" t="s">
        <v>8451</v>
      </c>
      <c r="BB517">
        <v>1</v>
      </c>
      <c r="BC517" t="s">
        <v>8452</v>
      </c>
      <c r="BD517">
        <v>0</v>
      </c>
      <c r="BE517" t="s">
        <v>8453</v>
      </c>
      <c r="BF517" t="s">
        <v>8454</v>
      </c>
      <c r="BG517" t="s">
        <v>8455</v>
      </c>
      <c r="BH517">
        <v>0.18181800000000001</v>
      </c>
    </row>
    <row r="518" spans="1:63" x14ac:dyDescent="0.25">
      <c r="A518">
        <v>699</v>
      </c>
      <c r="B518">
        <v>697</v>
      </c>
      <c r="C518" t="s">
        <v>8445</v>
      </c>
      <c r="F518">
        <v>1023017</v>
      </c>
      <c r="G518" t="s">
        <v>9216</v>
      </c>
      <c r="H518" t="s">
        <v>9217</v>
      </c>
      <c r="I518" t="s">
        <v>8548</v>
      </c>
      <c r="J518">
        <v>0</v>
      </c>
      <c r="K518">
        <v>6</v>
      </c>
      <c r="L518">
        <v>0</v>
      </c>
      <c r="M518">
        <v>119900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510</v>
      </c>
      <c r="T518">
        <v>0</v>
      </c>
      <c r="U518">
        <v>0</v>
      </c>
      <c r="V518">
        <v>0</v>
      </c>
      <c r="W518" t="s">
        <v>8457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22</v>
      </c>
      <c r="AR518">
        <v>0</v>
      </c>
      <c r="AS518">
        <v>0</v>
      </c>
      <c r="AT518" t="s">
        <v>8549</v>
      </c>
      <c r="AU518">
        <v>0</v>
      </c>
      <c r="AV518">
        <v>0</v>
      </c>
      <c r="AW518" t="s">
        <v>8450</v>
      </c>
      <c r="AX518">
        <v>1</v>
      </c>
      <c r="AY518" t="s">
        <v>8497</v>
      </c>
      <c r="AZ518">
        <v>0</v>
      </c>
      <c r="BA518" t="s">
        <v>8449</v>
      </c>
      <c r="BB518">
        <v>1</v>
      </c>
      <c r="BC518" t="s">
        <v>8471</v>
      </c>
      <c r="BD518">
        <v>0</v>
      </c>
      <c r="BE518" t="s">
        <v>8546</v>
      </c>
      <c r="BF518" t="s">
        <v>8534</v>
      </c>
      <c r="BG518" t="s">
        <v>8495</v>
      </c>
      <c r="BH518">
        <v>0.5</v>
      </c>
    </row>
    <row r="519" spans="1:63" x14ac:dyDescent="0.25">
      <c r="A519">
        <v>700</v>
      </c>
      <c r="B519">
        <v>700</v>
      </c>
      <c r="C519" t="s">
        <v>8445</v>
      </c>
      <c r="F519">
        <v>1013996</v>
      </c>
      <c r="G519" t="s">
        <v>2755</v>
      </c>
      <c r="H519" t="s">
        <v>9218</v>
      </c>
      <c r="I519" t="s">
        <v>8548</v>
      </c>
      <c r="J519">
        <v>0</v>
      </c>
      <c r="K519">
        <v>6</v>
      </c>
      <c r="L519">
        <v>0</v>
      </c>
      <c r="M519">
        <v>119900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510</v>
      </c>
      <c r="T519">
        <v>0</v>
      </c>
      <c r="U519">
        <v>0</v>
      </c>
      <c r="V519">
        <v>0</v>
      </c>
      <c r="W519" t="s">
        <v>8457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9</v>
      </c>
      <c r="AR519">
        <v>0</v>
      </c>
      <c r="AS519">
        <v>0</v>
      </c>
      <c r="AT519" t="s">
        <v>8549</v>
      </c>
      <c r="AU519">
        <v>0</v>
      </c>
      <c r="AV519">
        <v>0</v>
      </c>
      <c r="AW519" t="s">
        <v>8450</v>
      </c>
      <c r="AX519">
        <v>1</v>
      </c>
      <c r="AY519" t="s">
        <v>8497</v>
      </c>
      <c r="AZ519">
        <v>0</v>
      </c>
      <c r="BA519" t="s">
        <v>8449</v>
      </c>
      <c r="BB519">
        <v>1</v>
      </c>
      <c r="BC519" t="s">
        <v>8471</v>
      </c>
      <c r="BD519">
        <v>0</v>
      </c>
      <c r="BE519" t="s">
        <v>8546</v>
      </c>
      <c r="BF519" t="s">
        <v>8534</v>
      </c>
      <c r="BG519" t="s">
        <v>8495</v>
      </c>
      <c r="BH519">
        <v>0.204545</v>
      </c>
    </row>
    <row r="520" spans="1:63" x14ac:dyDescent="0.25">
      <c r="A520">
        <v>701</v>
      </c>
      <c r="B520">
        <v>729</v>
      </c>
      <c r="C520" t="s">
        <v>8445</v>
      </c>
      <c r="F520">
        <v>1027702</v>
      </c>
      <c r="G520" t="s">
        <v>1658</v>
      </c>
      <c r="H520" t="s">
        <v>1538</v>
      </c>
      <c r="I520" t="s">
        <v>8548</v>
      </c>
      <c r="J520">
        <v>0</v>
      </c>
      <c r="K520">
        <v>6</v>
      </c>
      <c r="L520">
        <v>0</v>
      </c>
      <c r="M520">
        <v>119900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510</v>
      </c>
      <c r="T520">
        <v>0</v>
      </c>
      <c r="U520">
        <v>0</v>
      </c>
      <c r="V520">
        <v>0</v>
      </c>
      <c r="W520" t="s">
        <v>8457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8</v>
      </c>
      <c r="AR520">
        <v>0</v>
      </c>
      <c r="AS520">
        <v>0</v>
      </c>
      <c r="AT520" t="s">
        <v>8549</v>
      </c>
      <c r="AU520">
        <v>0</v>
      </c>
      <c r="AV520">
        <v>0</v>
      </c>
      <c r="AW520" t="s">
        <v>8450</v>
      </c>
      <c r="AX520">
        <v>1</v>
      </c>
      <c r="AY520" t="s">
        <v>8497</v>
      </c>
      <c r="AZ520">
        <v>0</v>
      </c>
      <c r="BA520" t="s">
        <v>8449</v>
      </c>
      <c r="BB520">
        <v>1</v>
      </c>
      <c r="BC520" t="s">
        <v>8471</v>
      </c>
      <c r="BD520">
        <v>0</v>
      </c>
      <c r="BE520" t="s">
        <v>8546</v>
      </c>
      <c r="BF520" t="s">
        <v>8534</v>
      </c>
      <c r="BG520" t="s">
        <v>8495</v>
      </c>
      <c r="BH520">
        <v>0.18181800000000001</v>
      </c>
    </row>
    <row r="521" spans="1:63" x14ac:dyDescent="0.25">
      <c r="A521">
        <v>702</v>
      </c>
      <c r="B521">
        <v>739</v>
      </c>
      <c r="C521" t="s">
        <v>8445</v>
      </c>
      <c r="F521">
        <v>1020057</v>
      </c>
      <c r="G521" t="s">
        <v>2192</v>
      </c>
      <c r="H521" t="s">
        <v>9219</v>
      </c>
      <c r="I521" t="s">
        <v>8456</v>
      </c>
      <c r="J521">
        <v>0</v>
      </c>
      <c r="K521">
        <v>6</v>
      </c>
      <c r="L521">
        <v>0</v>
      </c>
      <c r="M521">
        <v>119900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510</v>
      </c>
      <c r="T521">
        <v>0</v>
      </c>
      <c r="U521">
        <v>0</v>
      </c>
      <c r="V521">
        <v>0</v>
      </c>
      <c r="W521" t="s">
        <v>8457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14</v>
      </c>
      <c r="AR521">
        <v>0</v>
      </c>
      <c r="AS521">
        <v>0</v>
      </c>
      <c r="AT521" t="s">
        <v>8458</v>
      </c>
      <c r="AU521">
        <v>0</v>
      </c>
      <c r="AV521">
        <v>0</v>
      </c>
      <c r="AW521" t="s">
        <v>8459</v>
      </c>
      <c r="AX521">
        <v>1</v>
      </c>
      <c r="AY521" t="s">
        <v>8460</v>
      </c>
      <c r="AZ521">
        <v>0</v>
      </c>
      <c r="BA521" t="s">
        <v>8461</v>
      </c>
      <c r="BB521">
        <v>1</v>
      </c>
      <c r="BC521" t="s">
        <v>8462</v>
      </c>
      <c r="BD521">
        <v>15</v>
      </c>
      <c r="BE521" t="s">
        <v>8455</v>
      </c>
      <c r="BF521" t="s">
        <v>8463</v>
      </c>
      <c r="BG521" t="s">
        <v>8464</v>
      </c>
      <c r="BH521">
        <v>0.31818200000000002</v>
      </c>
    </row>
    <row r="522" spans="1:63" x14ac:dyDescent="0.25">
      <c r="A522">
        <v>703</v>
      </c>
      <c r="B522">
        <v>763</v>
      </c>
      <c r="C522" t="s">
        <v>8445</v>
      </c>
      <c r="F522">
        <v>1028291</v>
      </c>
      <c r="G522" t="s">
        <v>9220</v>
      </c>
      <c r="H522" t="s">
        <v>9221</v>
      </c>
      <c r="I522" t="s">
        <v>8456</v>
      </c>
      <c r="J522">
        <v>0</v>
      </c>
      <c r="K522">
        <v>6</v>
      </c>
      <c r="L522">
        <v>0</v>
      </c>
      <c r="M522">
        <v>119900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510</v>
      </c>
      <c r="T522">
        <v>0</v>
      </c>
      <c r="U522">
        <v>0</v>
      </c>
      <c r="V522">
        <v>0</v>
      </c>
      <c r="W522" t="s">
        <v>8457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10</v>
      </c>
      <c r="AR522">
        <v>0</v>
      </c>
      <c r="AS522">
        <v>0</v>
      </c>
      <c r="AT522" t="s">
        <v>8458</v>
      </c>
      <c r="AU522">
        <v>0</v>
      </c>
      <c r="AV522">
        <v>0</v>
      </c>
      <c r="AW522" t="s">
        <v>8459</v>
      </c>
      <c r="AX522">
        <v>1</v>
      </c>
      <c r="AY522" t="s">
        <v>8460</v>
      </c>
      <c r="AZ522">
        <v>0</v>
      </c>
      <c r="BA522" t="s">
        <v>8461</v>
      </c>
      <c r="BB522">
        <v>1</v>
      </c>
      <c r="BC522" t="s">
        <v>8462</v>
      </c>
      <c r="BD522">
        <v>0</v>
      </c>
      <c r="BE522" t="s">
        <v>8455</v>
      </c>
      <c r="BF522" t="s">
        <v>8463</v>
      </c>
      <c r="BG522" t="s">
        <v>8464</v>
      </c>
      <c r="BH522">
        <v>0.227273</v>
      </c>
    </row>
    <row r="523" spans="1:63" x14ac:dyDescent="0.25">
      <c r="A523">
        <v>704</v>
      </c>
      <c r="B523">
        <v>769</v>
      </c>
      <c r="C523" t="s">
        <v>8445</v>
      </c>
      <c r="F523">
        <v>1020032</v>
      </c>
      <c r="G523" t="s">
        <v>9222</v>
      </c>
      <c r="H523" t="s">
        <v>9223</v>
      </c>
      <c r="I523" t="s">
        <v>8456</v>
      </c>
      <c r="J523">
        <v>0</v>
      </c>
      <c r="K523">
        <v>6</v>
      </c>
      <c r="L523">
        <v>0</v>
      </c>
      <c r="M523">
        <v>119900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510</v>
      </c>
      <c r="T523">
        <v>0</v>
      </c>
      <c r="U523">
        <v>0</v>
      </c>
      <c r="V523">
        <v>0</v>
      </c>
      <c r="W523" t="s">
        <v>8457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10</v>
      </c>
      <c r="AR523">
        <v>0</v>
      </c>
      <c r="AS523">
        <v>0</v>
      </c>
      <c r="AT523" t="s">
        <v>8458</v>
      </c>
      <c r="AU523">
        <v>0</v>
      </c>
      <c r="AV523">
        <v>0</v>
      </c>
      <c r="AW523" t="s">
        <v>8459</v>
      </c>
      <c r="AX523">
        <v>1</v>
      </c>
      <c r="AY523" t="s">
        <v>8460</v>
      </c>
      <c r="AZ523">
        <v>0</v>
      </c>
      <c r="BA523" t="s">
        <v>8461</v>
      </c>
      <c r="BB523">
        <v>1</v>
      </c>
      <c r="BC523" t="s">
        <v>8462</v>
      </c>
      <c r="BD523">
        <v>0</v>
      </c>
      <c r="BE523" t="s">
        <v>8455</v>
      </c>
      <c r="BF523" t="s">
        <v>8463</v>
      </c>
      <c r="BG523" t="s">
        <v>8464</v>
      </c>
      <c r="BH523">
        <v>0.227273</v>
      </c>
    </row>
    <row r="524" spans="1:63" x14ac:dyDescent="0.25">
      <c r="A524">
        <v>705</v>
      </c>
      <c r="B524">
        <v>770</v>
      </c>
      <c r="C524" t="s">
        <v>8445</v>
      </c>
      <c r="F524">
        <v>1027693</v>
      </c>
      <c r="G524" t="s">
        <v>6230</v>
      </c>
      <c r="H524" t="s">
        <v>3256</v>
      </c>
      <c r="I524" t="s">
        <v>8456</v>
      </c>
      <c r="J524">
        <v>0</v>
      </c>
      <c r="K524">
        <v>6</v>
      </c>
      <c r="L524">
        <v>0</v>
      </c>
      <c r="M524">
        <v>219200</v>
      </c>
      <c r="N524">
        <v>251</v>
      </c>
      <c r="O524">
        <v>0</v>
      </c>
      <c r="P524">
        <v>5</v>
      </c>
      <c r="Q524">
        <v>0</v>
      </c>
      <c r="R524">
        <v>99300</v>
      </c>
      <c r="S524">
        <v>305</v>
      </c>
      <c r="T524">
        <v>0</v>
      </c>
      <c r="U524">
        <v>0</v>
      </c>
      <c r="V524">
        <v>454</v>
      </c>
      <c r="W524" t="s">
        <v>8475</v>
      </c>
      <c r="X524">
        <v>0</v>
      </c>
      <c r="Y524">
        <v>21</v>
      </c>
      <c r="Z524">
        <v>0</v>
      </c>
      <c r="AA524">
        <v>15</v>
      </c>
      <c r="AB524">
        <v>0</v>
      </c>
      <c r="AC524">
        <v>13</v>
      </c>
      <c r="AD524">
        <v>0</v>
      </c>
      <c r="AE524">
        <v>5</v>
      </c>
      <c r="AF524">
        <v>0</v>
      </c>
      <c r="AG524">
        <v>5</v>
      </c>
      <c r="AH524">
        <v>0</v>
      </c>
      <c r="AI524">
        <v>-1</v>
      </c>
      <c r="AJ524">
        <v>0</v>
      </c>
      <c r="AK524">
        <v>28</v>
      </c>
      <c r="AL524">
        <v>0</v>
      </c>
      <c r="AM524">
        <v>4</v>
      </c>
      <c r="AN524">
        <v>0</v>
      </c>
      <c r="AO524">
        <v>5</v>
      </c>
      <c r="AP524">
        <v>50.2</v>
      </c>
      <c r="AQ524">
        <v>538</v>
      </c>
      <c r="AR524">
        <v>50.2</v>
      </c>
      <c r="AS524">
        <v>66</v>
      </c>
      <c r="AT524" t="s">
        <v>8458</v>
      </c>
      <c r="AU524">
        <v>0</v>
      </c>
      <c r="AV524">
        <v>0</v>
      </c>
      <c r="AW524" t="s">
        <v>8459</v>
      </c>
      <c r="AX524">
        <v>1</v>
      </c>
      <c r="AY524" t="s">
        <v>8460</v>
      </c>
      <c r="AZ524">
        <v>0</v>
      </c>
      <c r="BA524" t="s">
        <v>8461</v>
      </c>
      <c r="BB524">
        <v>1</v>
      </c>
      <c r="BC524" t="s">
        <v>8462</v>
      </c>
      <c r="BD524">
        <v>65</v>
      </c>
      <c r="BE524" t="s">
        <v>8455</v>
      </c>
      <c r="BF524" t="s">
        <v>8463</v>
      </c>
      <c r="BG524" t="s">
        <v>8464</v>
      </c>
      <c r="BH524">
        <v>12.2273</v>
      </c>
      <c r="BJ524">
        <v>0.55286343612334798</v>
      </c>
      <c r="BK524" s="1" t="s">
        <v>9224</v>
      </c>
    </row>
    <row r="525" spans="1:63" x14ac:dyDescent="0.25">
      <c r="A525">
        <v>706</v>
      </c>
      <c r="B525">
        <v>788</v>
      </c>
      <c r="C525" t="s">
        <v>8445</v>
      </c>
      <c r="F525">
        <v>1021200</v>
      </c>
      <c r="G525" t="s">
        <v>1658</v>
      </c>
      <c r="H525" t="s">
        <v>9225</v>
      </c>
      <c r="I525" t="s">
        <v>8511</v>
      </c>
      <c r="J525">
        <v>0</v>
      </c>
      <c r="K525">
        <v>6</v>
      </c>
      <c r="L525">
        <v>0</v>
      </c>
      <c r="M525">
        <v>119900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510</v>
      </c>
      <c r="T525">
        <v>0</v>
      </c>
      <c r="U525">
        <v>0</v>
      </c>
      <c r="V525">
        <v>0</v>
      </c>
      <c r="W525" t="s">
        <v>8457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28</v>
      </c>
      <c r="AR525">
        <v>0</v>
      </c>
      <c r="AS525">
        <v>0</v>
      </c>
      <c r="AT525" t="s">
        <v>8512</v>
      </c>
      <c r="AU525">
        <v>0</v>
      </c>
      <c r="AV525">
        <v>0</v>
      </c>
      <c r="AW525" t="s">
        <v>8513</v>
      </c>
      <c r="AX525">
        <v>1</v>
      </c>
      <c r="AY525" t="s">
        <v>8514</v>
      </c>
      <c r="AZ525">
        <v>0</v>
      </c>
      <c r="BA525" t="s">
        <v>8497</v>
      </c>
      <c r="BB525">
        <v>1</v>
      </c>
      <c r="BC525" t="s">
        <v>8515</v>
      </c>
      <c r="BD525">
        <v>0</v>
      </c>
      <c r="BE525" t="s">
        <v>8463</v>
      </c>
      <c r="BF525" t="s">
        <v>8472</v>
      </c>
      <c r="BG525" t="s">
        <v>8472</v>
      </c>
      <c r="BH525">
        <v>0.63636400000000004</v>
      </c>
    </row>
    <row r="526" spans="1:63" x14ac:dyDescent="0.25">
      <c r="A526">
        <v>707</v>
      </c>
      <c r="B526">
        <v>712</v>
      </c>
      <c r="C526" t="s">
        <v>8445</v>
      </c>
      <c r="F526">
        <v>1029456</v>
      </c>
      <c r="G526" t="s">
        <v>8011</v>
      </c>
      <c r="H526" t="s">
        <v>9226</v>
      </c>
      <c r="I526" t="s">
        <v>8548</v>
      </c>
      <c r="J526">
        <v>0</v>
      </c>
      <c r="K526">
        <v>6</v>
      </c>
      <c r="L526">
        <v>0</v>
      </c>
      <c r="M526">
        <v>118000</v>
      </c>
      <c r="N526">
        <v>16</v>
      </c>
      <c r="O526">
        <v>0</v>
      </c>
      <c r="P526">
        <v>1</v>
      </c>
      <c r="Q526">
        <v>0</v>
      </c>
      <c r="R526">
        <v>0</v>
      </c>
      <c r="S526">
        <v>505</v>
      </c>
      <c r="T526">
        <v>0</v>
      </c>
      <c r="U526">
        <v>0</v>
      </c>
      <c r="V526">
        <v>78</v>
      </c>
      <c r="W526" t="s">
        <v>8466</v>
      </c>
      <c r="X526">
        <v>0</v>
      </c>
      <c r="Y526">
        <v>1</v>
      </c>
      <c r="Z526">
        <v>0</v>
      </c>
      <c r="AA526">
        <v>2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16</v>
      </c>
      <c r="AQ526">
        <v>59</v>
      </c>
      <c r="AR526">
        <v>16</v>
      </c>
      <c r="AS526">
        <v>16</v>
      </c>
      <c r="AT526" t="s">
        <v>8549</v>
      </c>
      <c r="AU526">
        <v>0</v>
      </c>
      <c r="AV526">
        <v>0</v>
      </c>
      <c r="AW526" t="s">
        <v>8450</v>
      </c>
      <c r="AX526">
        <v>1</v>
      </c>
      <c r="AY526" t="s">
        <v>8497</v>
      </c>
      <c r="AZ526">
        <v>0</v>
      </c>
      <c r="BA526" t="s">
        <v>8449</v>
      </c>
      <c r="BB526">
        <v>1</v>
      </c>
      <c r="BC526" t="s">
        <v>8471</v>
      </c>
      <c r="BD526">
        <v>0</v>
      </c>
      <c r="BE526" t="s">
        <v>8546</v>
      </c>
      <c r="BF526" t="s">
        <v>8534</v>
      </c>
      <c r="BG526" t="s">
        <v>8495</v>
      </c>
      <c r="BH526">
        <v>1.34091</v>
      </c>
      <c r="BJ526" s="1" t="s">
        <v>9227</v>
      </c>
      <c r="BK526">
        <v>7375</v>
      </c>
    </row>
    <row r="527" spans="1:63" x14ac:dyDescent="0.25">
      <c r="A527">
        <v>708</v>
      </c>
      <c r="B527">
        <v>42</v>
      </c>
      <c r="C527" t="s">
        <v>8445</v>
      </c>
      <c r="F527">
        <v>1022447</v>
      </c>
      <c r="G527" t="s">
        <v>4269</v>
      </c>
      <c r="H527" t="s">
        <v>9228</v>
      </c>
      <c r="I527" t="s">
        <v>8511</v>
      </c>
      <c r="J527">
        <v>0</v>
      </c>
      <c r="K527">
        <v>6</v>
      </c>
      <c r="L527">
        <v>0</v>
      </c>
      <c r="M527">
        <v>113500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510</v>
      </c>
      <c r="T527">
        <v>0</v>
      </c>
      <c r="U527">
        <v>0</v>
      </c>
      <c r="V527">
        <v>0</v>
      </c>
      <c r="W527" t="s">
        <v>8466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18</v>
      </c>
      <c r="AR527">
        <v>0</v>
      </c>
      <c r="AS527">
        <v>0</v>
      </c>
      <c r="AT527" t="s">
        <v>8512</v>
      </c>
      <c r="AU527">
        <v>0</v>
      </c>
      <c r="AV527">
        <v>0</v>
      </c>
      <c r="AW527" t="s">
        <v>8513</v>
      </c>
      <c r="AX527">
        <v>1</v>
      </c>
      <c r="AY527" t="s">
        <v>8514</v>
      </c>
      <c r="AZ527">
        <v>0</v>
      </c>
      <c r="BA527" t="s">
        <v>8497</v>
      </c>
      <c r="BB527">
        <v>1</v>
      </c>
      <c r="BC527" t="s">
        <v>8515</v>
      </c>
      <c r="BD527">
        <v>0</v>
      </c>
      <c r="BE527" t="s">
        <v>8463</v>
      </c>
      <c r="BF527" t="s">
        <v>8472</v>
      </c>
      <c r="BG527" t="s">
        <v>8472</v>
      </c>
      <c r="BH527">
        <v>0.40909099999999998</v>
      </c>
    </row>
    <row r="528" spans="1:63" x14ac:dyDescent="0.25">
      <c r="A528">
        <v>709</v>
      </c>
      <c r="B528">
        <v>61</v>
      </c>
      <c r="C528" t="s">
        <v>8445</v>
      </c>
      <c r="F528">
        <v>1034411</v>
      </c>
      <c r="G528" t="s">
        <v>9229</v>
      </c>
      <c r="H528" t="s">
        <v>9230</v>
      </c>
      <c r="I528" t="s">
        <v>8524</v>
      </c>
      <c r="J528">
        <v>0</v>
      </c>
      <c r="K528">
        <v>6</v>
      </c>
      <c r="L528">
        <v>0</v>
      </c>
      <c r="M528">
        <v>113500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510</v>
      </c>
      <c r="T528">
        <v>0</v>
      </c>
      <c r="U528">
        <v>0</v>
      </c>
      <c r="V528">
        <v>0</v>
      </c>
      <c r="W528" t="s">
        <v>8466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7</v>
      </c>
      <c r="AR528">
        <v>0</v>
      </c>
      <c r="AS528">
        <v>0</v>
      </c>
      <c r="AT528" t="s">
        <v>8525</v>
      </c>
      <c r="AU528">
        <v>0</v>
      </c>
      <c r="AV528">
        <v>0</v>
      </c>
      <c r="AW528" t="s">
        <v>8470</v>
      </c>
      <c r="AX528">
        <v>1</v>
      </c>
      <c r="AY528" t="s">
        <v>8449</v>
      </c>
      <c r="AZ528">
        <v>0</v>
      </c>
      <c r="BA528" t="s">
        <v>8526</v>
      </c>
      <c r="BB528">
        <v>1</v>
      </c>
      <c r="BC528" t="s">
        <v>8527</v>
      </c>
      <c r="BD528">
        <v>0</v>
      </c>
      <c r="BE528" t="s">
        <v>8455</v>
      </c>
      <c r="BF528" t="s">
        <v>8494</v>
      </c>
      <c r="BG528" t="s">
        <v>8498</v>
      </c>
      <c r="BH528">
        <v>0.15909100000000001</v>
      </c>
    </row>
    <row r="529" spans="1:63" x14ac:dyDescent="0.25">
      <c r="A529">
        <v>710</v>
      </c>
      <c r="B529">
        <v>68</v>
      </c>
      <c r="C529" t="s">
        <v>8445</v>
      </c>
      <c r="F529">
        <v>1028520</v>
      </c>
      <c r="G529" t="s">
        <v>958</v>
      </c>
      <c r="H529" t="s">
        <v>6085</v>
      </c>
      <c r="I529" t="s">
        <v>8524</v>
      </c>
      <c r="J529">
        <v>0</v>
      </c>
      <c r="K529">
        <v>6</v>
      </c>
      <c r="L529">
        <v>0</v>
      </c>
      <c r="M529">
        <v>113500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510</v>
      </c>
      <c r="T529">
        <v>0</v>
      </c>
      <c r="U529">
        <v>0</v>
      </c>
      <c r="V529">
        <v>0</v>
      </c>
      <c r="W529" t="s">
        <v>8466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62</v>
      </c>
      <c r="AR529">
        <v>0</v>
      </c>
      <c r="AS529">
        <v>0</v>
      </c>
      <c r="AT529" t="s">
        <v>8525</v>
      </c>
      <c r="AU529">
        <v>0</v>
      </c>
      <c r="AV529">
        <v>0</v>
      </c>
      <c r="AW529" t="s">
        <v>8470</v>
      </c>
      <c r="AX529">
        <v>1</v>
      </c>
      <c r="AY529" t="s">
        <v>8449</v>
      </c>
      <c r="AZ529">
        <v>0</v>
      </c>
      <c r="BA529" t="s">
        <v>8526</v>
      </c>
      <c r="BB529">
        <v>1</v>
      </c>
      <c r="BC529" t="s">
        <v>8527</v>
      </c>
      <c r="BD529">
        <v>0</v>
      </c>
      <c r="BE529" t="s">
        <v>8455</v>
      </c>
      <c r="BF529" t="s">
        <v>8494</v>
      </c>
      <c r="BG529" t="s">
        <v>8498</v>
      </c>
      <c r="BH529">
        <v>1.40909</v>
      </c>
    </row>
    <row r="530" spans="1:63" x14ac:dyDescent="0.25">
      <c r="A530">
        <v>711</v>
      </c>
      <c r="B530">
        <v>91</v>
      </c>
      <c r="C530" t="s">
        <v>8445</v>
      </c>
      <c r="F530">
        <v>1027282</v>
      </c>
      <c r="G530" t="s">
        <v>670</v>
      </c>
      <c r="H530" t="s">
        <v>9231</v>
      </c>
      <c r="I530" t="s">
        <v>8465</v>
      </c>
      <c r="J530">
        <v>0</v>
      </c>
      <c r="K530">
        <v>6</v>
      </c>
      <c r="L530">
        <v>0</v>
      </c>
      <c r="M530">
        <v>113500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510</v>
      </c>
      <c r="T530">
        <v>0</v>
      </c>
      <c r="U530">
        <v>0</v>
      </c>
      <c r="V530">
        <v>0</v>
      </c>
      <c r="W530" t="s">
        <v>8466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51</v>
      </c>
      <c r="AR530">
        <v>0</v>
      </c>
      <c r="AS530">
        <v>0</v>
      </c>
      <c r="AT530" t="s">
        <v>8467</v>
      </c>
      <c r="AU530">
        <v>0</v>
      </c>
      <c r="AV530">
        <v>1</v>
      </c>
      <c r="AW530" t="s">
        <v>8468</v>
      </c>
      <c r="AX530">
        <v>0</v>
      </c>
      <c r="AY530" t="s">
        <v>8469</v>
      </c>
      <c r="AZ530">
        <v>1</v>
      </c>
      <c r="BA530" t="s">
        <v>8470</v>
      </c>
      <c r="BB530">
        <v>1</v>
      </c>
      <c r="BC530" t="s">
        <v>8471</v>
      </c>
      <c r="BD530">
        <v>0</v>
      </c>
      <c r="BE530" t="s">
        <v>8464</v>
      </c>
      <c r="BF530" t="s">
        <v>8472</v>
      </c>
      <c r="BG530" t="s">
        <v>8464</v>
      </c>
      <c r="BH530">
        <v>1.15909</v>
      </c>
    </row>
    <row r="531" spans="1:63" x14ac:dyDescent="0.25">
      <c r="A531">
        <v>712</v>
      </c>
      <c r="B531">
        <v>92</v>
      </c>
      <c r="C531" t="s">
        <v>8445</v>
      </c>
      <c r="F531">
        <v>1022452</v>
      </c>
      <c r="G531" t="s">
        <v>9232</v>
      </c>
      <c r="H531" t="s">
        <v>9231</v>
      </c>
      <c r="I531" t="s">
        <v>8465</v>
      </c>
      <c r="J531">
        <v>0</v>
      </c>
      <c r="K531">
        <v>6</v>
      </c>
      <c r="L531">
        <v>0</v>
      </c>
      <c r="M531">
        <v>113500</v>
      </c>
      <c r="N531">
        <v>108</v>
      </c>
      <c r="O531">
        <v>0</v>
      </c>
      <c r="P531">
        <v>2</v>
      </c>
      <c r="Q531">
        <v>0</v>
      </c>
      <c r="R531">
        <v>0</v>
      </c>
      <c r="S531">
        <v>436</v>
      </c>
      <c r="T531">
        <v>0</v>
      </c>
      <c r="U531">
        <v>0</v>
      </c>
      <c r="V531">
        <v>200</v>
      </c>
      <c r="W531" t="s">
        <v>8505</v>
      </c>
      <c r="X531">
        <v>0</v>
      </c>
      <c r="Y531">
        <v>14</v>
      </c>
      <c r="Z531">
        <v>0</v>
      </c>
      <c r="AA531">
        <v>15</v>
      </c>
      <c r="AB531">
        <v>0</v>
      </c>
      <c r="AC531">
        <v>5</v>
      </c>
      <c r="AD531">
        <v>0</v>
      </c>
      <c r="AE531">
        <v>5</v>
      </c>
      <c r="AF531">
        <v>0</v>
      </c>
      <c r="AG531">
        <v>2</v>
      </c>
      <c r="AH531">
        <v>0</v>
      </c>
      <c r="AI531">
        <v>-1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54</v>
      </c>
      <c r="AQ531">
        <v>86</v>
      </c>
      <c r="AR531">
        <v>54</v>
      </c>
      <c r="AS531">
        <v>54</v>
      </c>
      <c r="AT531" t="s">
        <v>8467</v>
      </c>
      <c r="AU531">
        <v>0</v>
      </c>
      <c r="AV531">
        <v>1</v>
      </c>
      <c r="AW531" t="s">
        <v>8468</v>
      </c>
      <c r="AX531">
        <v>0</v>
      </c>
      <c r="AY531" t="s">
        <v>8469</v>
      </c>
      <c r="AZ531">
        <v>1</v>
      </c>
      <c r="BA531" t="s">
        <v>8470</v>
      </c>
      <c r="BB531">
        <v>1</v>
      </c>
      <c r="BC531" t="s">
        <v>8471</v>
      </c>
      <c r="BD531">
        <v>0</v>
      </c>
      <c r="BE531" t="s">
        <v>8464</v>
      </c>
      <c r="BF531" t="s">
        <v>8472</v>
      </c>
      <c r="BG531" t="s">
        <v>8464</v>
      </c>
      <c r="BH531">
        <v>1.95455</v>
      </c>
      <c r="BJ531">
        <v>0.54</v>
      </c>
      <c r="BK531" s="1" t="s">
        <v>9233</v>
      </c>
    </row>
    <row r="532" spans="1:63" x14ac:dyDescent="0.25">
      <c r="A532">
        <v>713</v>
      </c>
      <c r="B532">
        <v>119</v>
      </c>
      <c r="C532" t="s">
        <v>8445</v>
      </c>
      <c r="F532">
        <v>1028526</v>
      </c>
      <c r="G532" t="s">
        <v>2192</v>
      </c>
      <c r="H532" t="s">
        <v>9234</v>
      </c>
      <c r="I532" t="s">
        <v>8465</v>
      </c>
      <c r="J532">
        <v>0</v>
      </c>
      <c r="K532">
        <v>6</v>
      </c>
      <c r="L532">
        <v>0</v>
      </c>
      <c r="M532">
        <v>113500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510</v>
      </c>
      <c r="T532">
        <v>0</v>
      </c>
      <c r="U532">
        <v>0</v>
      </c>
      <c r="V532">
        <v>0</v>
      </c>
      <c r="W532" t="s">
        <v>8466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7</v>
      </c>
      <c r="AR532">
        <v>0</v>
      </c>
      <c r="AS532">
        <v>0</v>
      </c>
      <c r="AT532" t="s">
        <v>8467</v>
      </c>
      <c r="AU532">
        <v>0</v>
      </c>
      <c r="AV532">
        <v>1</v>
      </c>
      <c r="AW532" t="s">
        <v>8468</v>
      </c>
      <c r="AX532">
        <v>0</v>
      </c>
      <c r="AY532" t="s">
        <v>8469</v>
      </c>
      <c r="AZ532">
        <v>1</v>
      </c>
      <c r="BA532" t="s">
        <v>8470</v>
      </c>
      <c r="BB532">
        <v>1</v>
      </c>
      <c r="BC532" t="s">
        <v>8471</v>
      </c>
      <c r="BD532">
        <v>0</v>
      </c>
      <c r="BE532" t="s">
        <v>8464</v>
      </c>
      <c r="BF532" t="s">
        <v>8472</v>
      </c>
      <c r="BG532" t="s">
        <v>8464</v>
      </c>
      <c r="BH532">
        <v>0.15909100000000001</v>
      </c>
    </row>
    <row r="533" spans="1:63" x14ac:dyDescent="0.25">
      <c r="A533">
        <v>714</v>
      </c>
      <c r="B533">
        <v>132</v>
      </c>
      <c r="C533" t="s">
        <v>8445</v>
      </c>
      <c r="F533">
        <v>1029000</v>
      </c>
      <c r="G533" t="s">
        <v>1087</v>
      </c>
      <c r="H533" t="s">
        <v>9235</v>
      </c>
      <c r="I533" t="s">
        <v>8525</v>
      </c>
      <c r="J533">
        <v>0</v>
      </c>
      <c r="K533">
        <v>6</v>
      </c>
      <c r="L533">
        <v>0</v>
      </c>
      <c r="M533">
        <v>113500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510</v>
      </c>
      <c r="T533">
        <v>0</v>
      </c>
      <c r="U533">
        <v>0</v>
      </c>
      <c r="V533">
        <v>0</v>
      </c>
      <c r="W533" t="s">
        <v>8466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24</v>
      </c>
      <c r="AR533">
        <v>0</v>
      </c>
      <c r="AS533">
        <v>0</v>
      </c>
      <c r="AT533" t="s">
        <v>8524</v>
      </c>
      <c r="AU533">
        <v>0</v>
      </c>
      <c r="AV533">
        <v>1</v>
      </c>
      <c r="AW533" t="s">
        <v>8451</v>
      </c>
      <c r="AX533">
        <v>0</v>
      </c>
      <c r="AY533" t="s">
        <v>8468</v>
      </c>
      <c r="AZ533">
        <v>0</v>
      </c>
      <c r="BA533" t="s">
        <v>8513</v>
      </c>
      <c r="BB533">
        <v>1</v>
      </c>
      <c r="BC533" t="s">
        <v>8527</v>
      </c>
      <c r="BD533">
        <v>0</v>
      </c>
      <c r="BE533" t="s">
        <v>8464</v>
      </c>
      <c r="BF533" t="s">
        <v>8464</v>
      </c>
      <c r="BG533" t="s">
        <v>8463</v>
      </c>
      <c r="BH533">
        <v>0.54545500000000002</v>
      </c>
    </row>
    <row r="534" spans="1:63" x14ac:dyDescent="0.25">
      <c r="A534">
        <v>715</v>
      </c>
      <c r="B534">
        <v>143</v>
      </c>
      <c r="C534" t="s">
        <v>8445</v>
      </c>
      <c r="F534">
        <v>1032922</v>
      </c>
      <c r="G534" t="s">
        <v>9171</v>
      </c>
      <c r="H534" t="s">
        <v>9140</v>
      </c>
      <c r="I534" t="s">
        <v>8525</v>
      </c>
      <c r="J534">
        <v>0</v>
      </c>
      <c r="K534">
        <v>6</v>
      </c>
      <c r="L534">
        <v>0</v>
      </c>
      <c r="M534">
        <v>113500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510</v>
      </c>
      <c r="T534">
        <v>0</v>
      </c>
      <c r="U534">
        <v>0</v>
      </c>
      <c r="V534">
        <v>0</v>
      </c>
      <c r="W534" t="s">
        <v>8466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8</v>
      </c>
      <c r="AR534">
        <v>0</v>
      </c>
      <c r="AS534">
        <v>0</v>
      </c>
      <c r="AT534" t="s">
        <v>8524</v>
      </c>
      <c r="AU534">
        <v>0</v>
      </c>
      <c r="AV534">
        <v>1</v>
      </c>
      <c r="AW534" t="s">
        <v>8451</v>
      </c>
      <c r="AX534">
        <v>0</v>
      </c>
      <c r="AY534" t="s">
        <v>8468</v>
      </c>
      <c r="AZ534">
        <v>0</v>
      </c>
      <c r="BA534" t="s">
        <v>8513</v>
      </c>
      <c r="BB534">
        <v>1</v>
      </c>
      <c r="BC534" t="s">
        <v>8527</v>
      </c>
      <c r="BD534">
        <v>0</v>
      </c>
      <c r="BE534" t="s">
        <v>8464</v>
      </c>
      <c r="BF534" t="s">
        <v>8464</v>
      </c>
      <c r="BG534" t="s">
        <v>8463</v>
      </c>
      <c r="BH534">
        <v>0.18181800000000001</v>
      </c>
    </row>
    <row r="535" spans="1:63" x14ac:dyDescent="0.25">
      <c r="A535">
        <v>716</v>
      </c>
      <c r="B535">
        <v>172</v>
      </c>
      <c r="C535" t="s">
        <v>8445</v>
      </c>
      <c r="F535">
        <v>1027382</v>
      </c>
      <c r="G535" t="s">
        <v>5306</v>
      </c>
      <c r="H535" t="s">
        <v>4699</v>
      </c>
      <c r="I535" t="s">
        <v>8525</v>
      </c>
      <c r="J535">
        <v>0</v>
      </c>
      <c r="K535">
        <v>6</v>
      </c>
      <c r="L535">
        <v>0</v>
      </c>
      <c r="M535">
        <v>113500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510</v>
      </c>
      <c r="T535">
        <v>0</v>
      </c>
      <c r="U535">
        <v>0</v>
      </c>
      <c r="V535">
        <v>0</v>
      </c>
      <c r="W535" t="s">
        <v>8466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9</v>
      </c>
      <c r="AR535">
        <v>0</v>
      </c>
      <c r="AS535">
        <v>0</v>
      </c>
      <c r="AT535" t="s">
        <v>8524</v>
      </c>
      <c r="AU535">
        <v>0</v>
      </c>
      <c r="AV535">
        <v>1</v>
      </c>
      <c r="AW535" t="s">
        <v>8451</v>
      </c>
      <c r="AX535">
        <v>0</v>
      </c>
      <c r="AY535" t="s">
        <v>8468</v>
      </c>
      <c r="AZ535">
        <v>0</v>
      </c>
      <c r="BA535" t="s">
        <v>8513</v>
      </c>
      <c r="BB535">
        <v>1</v>
      </c>
      <c r="BC535" t="s">
        <v>8527</v>
      </c>
      <c r="BD535">
        <v>0</v>
      </c>
      <c r="BE535" t="s">
        <v>8464</v>
      </c>
      <c r="BF535" t="s">
        <v>8464</v>
      </c>
      <c r="BG535" t="s">
        <v>8463</v>
      </c>
      <c r="BH535">
        <v>0.204545</v>
      </c>
    </row>
    <row r="536" spans="1:63" x14ac:dyDescent="0.25">
      <c r="A536">
        <v>717</v>
      </c>
      <c r="B536">
        <v>176</v>
      </c>
      <c r="C536" t="s">
        <v>8445</v>
      </c>
      <c r="F536">
        <v>1027284</v>
      </c>
      <c r="G536" t="s">
        <v>1561</v>
      </c>
      <c r="H536" t="s">
        <v>200</v>
      </c>
      <c r="I536" t="s">
        <v>8458</v>
      </c>
      <c r="J536">
        <v>0</v>
      </c>
      <c r="K536">
        <v>6</v>
      </c>
      <c r="L536">
        <v>0</v>
      </c>
      <c r="M536">
        <v>113500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510</v>
      </c>
      <c r="T536">
        <v>0</v>
      </c>
      <c r="U536">
        <v>0</v>
      </c>
      <c r="V536">
        <v>0</v>
      </c>
      <c r="W536" t="s">
        <v>8466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10</v>
      </c>
      <c r="AR536">
        <v>0</v>
      </c>
      <c r="AS536">
        <v>0</v>
      </c>
      <c r="AT536" t="s">
        <v>8456</v>
      </c>
      <c r="AU536">
        <v>0</v>
      </c>
      <c r="AV536">
        <v>1</v>
      </c>
      <c r="AW536" t="s">
        <v>8530</v>
      </c>
      <c r="AX536">
        <v>1</v>
      </c>
      <c r="AY536" t="s">
        <v>8526</v>
      </c>
      <c r="AZ536">
        <v>0</v>
      </c>
      <c r="BA536" t="s">
        <v>8491</v>
      </c>
      <c r="BB536">
        <v>0</v>
      </c>
      <c r="BC536" t="s">
        <v>8462</v>
      </c>
      <c r="BD536">
        <v>0</v>
      </c>
      <c r="BE536" t="s">
        <v>8464</v>
      </c>
      <c r="BF536" t="s">
        <v>8455</v>
      </c>
      <c r="BG536" t="s">
        <v>8455</v>
      </c>
      <c r="BH536">
        <v>0.227273</v>
      </c>
    </row>
    <row r="537" spans="1:63" x14ac:dyDescent="0.25">
      <c r="A537">
        <v>718</v>
      </c>
      <c r="B537">
        <v>184</v>
      </c>
      <c r="C537" t="s">
        <v>8445</v>
      </c>
      <c r="F537">
        <v>1029159</v>
      </c>
      <c r="G537" t="s">
        <v>9236</v>
      </c>
      <c r="H537" t="s">
        <v>9237</v>
      </c>
      <c r="I537" t="s">
        <v>8458</v>
      </c>
      <c r="J537">
        <v>0</v>
      </c>
      <c r="K537">
        <v>6</v>
      </c>
      <c r="L537">
        <v>0</v>
      </c>
      <c r="M537">
        <v>113500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510</v>
      </c>
      <c r="T537">
        <v>0</v>
      </c>
      <c r="U537">
        <v>0</v>
      </c>
      <c r="V537">
        <v>0</v>
      </c>
      <c r="W537" t="s">
        <v>8466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14</v>
      </c>
      <c r="AR537">
        <v>0</v>
      </c>
      <c r="AS537">
        <v>0</v>
      </c>
      <c r="AT537" t="s">
        <v>8456</v>
      </c>
      <c r="AU537">
        <v>0</v>
      </c>
      <c r="AV537">
        <v>1</v>
      </c>
      <c r="AW537" t="s">
        <v>8530</v>
      </c>
      <c r="AX537">
        <v>1</v>
      </c>
      <c r="AY537" t="s">
        <v>8526</v>
      </c>
      <c r="AZ537">
        <v>0</v>
      </c>
      <c r="BA537" t="s">
        <v>8491</v>
      </c>
      <c r="BB537">
        <v>0</v>
      </c>
      <c r="BC537" t="s">
        <v>8462</v>
      </c>
      <c r="BD537">
        <v>0</v>
      </c>
      <c r="BE537" t="s">
        <v>8464</v>
      </c>
      <c r="BF537" t="s">
        <v>8455</v>
      </c>
      <c r="BG537" t="s">
        <v>8455</v>
      </c>
      <c r="BH537">
        <v>0.31818200000000002</v>
      </c>
    </row>
    <row r="538" spans="1:63" x14ac:dyDescent="0.25">
      <c r="A538">
        <v>719</v>
      </c>
      <c r="B538">
        <v>190</v>
      </c>
      <c r="C538" t="s">
        <v>8445</v>
      </c>
      <c r="F538">
        <v>1028519</v>
      </c>
      <c r="G538" t="s">
        <v>8070</v>
      </c>
      <c r="H538" t="s">
        <v>1881</v>
      </c>
      <c r="I538" t="s">
        <v>8458</v>
      </c>
      <c r="J538">
        <v>0</v>
      </c>
      <c r="K538">
        <v>6</v>
      </c>
      <c r="L538">
        <v>0</v>
      </c>
      <c r="M538">
        <v>113500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510</v>
      </c>
      <c r="T538">
        <v>0</v>
      </c>
      <c r="U538">
        <v>0</v>
      </c>
      <c r="V538">
        <v>0</v>
      </c>
      <c r="W538" t="s">
        <v>8466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16</v>
      </c>
      <c r="AR538">
        <v>0</v>
      </c>
      <c r="AS538">
        <v>0</v>
      </c>
      <c r="AT538" t="s">
        <v>8456</v>
      </c>
      <c r="AU538">
        <v>0</v>
      </c>
      <c r="AV538">
        <v>1</v>
      </c>
      <c r="AW538" t="s">
        <v>8530</v>
      </c>
      <c r="AX538">
        <v>1</v>
      </c>
      <c r="AY538" t="s">
        <v>8526</v>
      </c>
      <c r="AZ538">
        <v>0</v>
      </c>
      <c r="BA538" t="s">
        <v>8491</v>
      </c>
      <c r="BB538">
        <v>0</v>
      </c>
      <c r="BC538" t="s">
        <v>8462</v>
      </c>
      <c r="BD538">
        <v>0</v>
      </c>
      <c r="BE538" t="s">
        <v>8464</v>
      </c>
      <c r="BF538" t="s">
        <v>8455</v>
      </c>
      <c r="BG538" t="s">
        <v>8455</v>
      </c>
      <c r="BH538">
        <v>0.36363600000000001</v>
      </c>
    </row>
    <row r="539" spans="1:63" x14ac:dyDescent="0.25">
      <c r="A539">
        <v>720</v>
      </c>
      <c r="B539">
        <v>212</v>
      </c>
      <c r="C539" t="s">
        <v>8445</v>
      </c>
      <c r="F539">
        <v>1032023</v>
      </c>
      <c r="G539" t="s">
        <v>1169</v>
      </c>
      <c r="H539" t="s">
        <v>9238</v>
      </c>
      <c r="I539" t="s">
        <v>8458</v>
      </c>
      <c r="J539">
        <v>0</v>
      </c>
      <c r="K539">
        <v>6</v>
      </c>
      <c r="L539">
        <v>0</v>
      </c>
      <c r="M539">
        <v>113500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510</v>
      </c>
      <c r="T539">
        <v>0</v>
      </c>
      <c r="U539">
        <v>0</v>
      </c>
      <c r="V539">
        <v>0</v>
      </c>
      <c r="W539" t="s">
        <v>8466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12</v>
      </c>
      <c r="AR539">
        <v>0</v>
      </c>
      <c r="AS539">
        <v>0</v>
      </c>
      <c r="AT539" t="s">
        <v>8456</v>
      </c>
      <c r="AU539">
        <v>0</v>
      </c>
      <c r="AV539">
        <v>1</v>
      </c>
      <c r="AW539" t="s">
        <v>8530</v>
      </c>
      <c r="AX539">
        <v>1</v>
      </c>
      <c r="AY539" t="s">
        <v>8526</v>
      </c>
      <c r="AZ539">
        <v>0</v>
      </c>
      <c r="BA539" t="s">
        <v>8491</v>
      </c>
      <c r="BB539">
        <v>0</v>
      </c>
      <c r="BC539" t="s">
        <v>8462</v>
      </c>
      <c r="BD539">
        <v>0</v>
      </c>
      <c r="BE539" t="s">
        <v>8464</v>
      </c>
      <c r="BF539" t="s">
        <v>8455</v>
      </c>
      <c r="BG539" t="s">
        <v>8455</v>
      </c>
      <c r="BH539">
        <v>0.272727</v>
      </c>
    </row>
    <row r="540" spans="1:63" x14ac:dyDescent="0.25">
      <c r="A540">
        <v>721</v>
      </c>
      <c r="B540">
        <v>221</v>
      </c>
      <c r="C540" t="s">
        <v>8445</v>
      </c>
      <c r="F540">
        <v>1023047</v>
      </c>
      <c r="G540" t="s">
        <v>9239</v>
      </c>
      <c r="H540" t="s">
        <v>9240</v>
      </c>
      <c r="I540" t="s">
        <v>8502</v>
      </c>
      <c r="J540">
        <v>0</v>
      </c>
      <c r="K540">
        <v>6</v>
      </c>
      <c r="L540">
        <v>0</v>
      </c>
      <c r="M540">
        <v>113500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510</v>
      </c>
      <c r="T540">
        <v>0</v>
      </c>
      <c r="U540">
        <v>0</v>
      </c>
      <c r="V540">
        <v>0</v>
      </c>
      <c r="W540" t="s">
        <v>8466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6</v>
      </c>
      <c r="AR540">
        <v>0</v>
      </c>
      <c r="AS540">
        <v>0</v>
      </c>
      <c r="AT540" t="s">
        <v>8501</v>
      </c>
      <c r="AU540">
        <v>0</v>
      </c>
      <c r="AV540">
        <v>1</v>
      </c>
      <c r="AW540" t="s">
        <v>8469</v>
      </c>
      <c r="AX540">
        <v>0</v>
      </c>
      <c r="AY540" t="s">
        <v>8470</v>
      </c>
      <c r="AZ540">
        <v>1</v>
      </c>
      <c r="BA540" t="s">
        <v>8530</v>
      </c>
      <c r="BB540">
        <v>0</v>
      </c>
      <c r="BC540" t="s">
        <v>8484</v>
      </c>
      <c r="BD540">
        <v>0</v>
      </c>
      <c r="BE540" t="s">
        <v>8463</v>
      </c>
      <c r="BF540" t="s">
        <v>8455</v>
      </c>
      <c r="BG540" t="s">
        <v>8463</v>
      </c>
      <c r="BH540">
        <v>0.13636400000000001</v>
      </c>
    </row>
    <row r="541" spans="1:63" x14ac:dyDescent="0.25">
      <c r="A541">
        <v>722</v>
      </c>
      <c r="B541">
        <v>238</v>
      </c>
      <c r="C541" t="s">
        <v>8445</v>
      </c>
      <c r="F541">
        <v>1027155</v>
      </c>
      <c r="G541" t="s">
        <v>5306</v>
      </c>
      <c r="H541" t="s">
        <v>777</v>
      </c>
      <c r="I541" t="s">
        <v>8502</v>
      </c>
      <c r="J541">
        <v>0</v>
      </c>
      <c r="K541">
        <v>6</v>
      </c>
      <c r="L541">
        <v>0</v>
      </c>
      <c r="M541">
        <v>113500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510</v>
      </c>
      <c r="T541">
        <v>0</v>
      </c>
      <c r="U541">
        <v>0</v>
      </c>
      <c r="V541">
        <v>0</v>
      </c>
      <c r="W541" t="s">
        <v>8466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</v>
      </c>
      <c r="AR541">
        <v>0</v>
      </c>
      <c r="AS541">
        <v>0</v>
      </c>
      <c r="AT541" t="s">
        <v>8501</v>
      </c>
      <c r="AU541">
        <v>0</v>
      </c>
      <c r="AV541">
        <v>1</v>
      </c>
      <c r="AW541" t="s">
        <v>8469</v>
      </c>
      <c r="AX541">
        <v>0</v>
      </c>
      <c r="AY541" t="s">
        <v>8470</v>
      </c>
      <c r="AZ541">
        <v>1</v>
      </c>
      <c r="BA541" t="s">
        <v>8530</v>
      </c>
      <c r="BB541">
        <v>0</v>
      </c>
      <c r="BC541" t="s">
        <v>8484</v>
      </c>
      <c r="BD541">
        <v>0</v>
      </c>
      <c r="BE541" t="s">
        <v>8463</v>
      </c>
      <c r="BF541" t="s">
        <v>8455</v>
      </c>
      <c r="BG541" t="s">
        <v>8463</v>
      </c>
      <c r="BH541">
        <v>9.0909100000000007E-2</v>
      </c>
    </row>
    <row r="542" spans="1:63" x14ac:dyDescent="0.25">
      <c r="A542">
        <v>723</v>
      </c>
      <c r="B542">
        <v>262</v>
      </c>
      <c r="C542" t="s">
        <v>8445</v>
      </c>
      <c r="F542">
        <v>1029065</v>
      </c>
      <c r="G542" t="s">
        <v>8011</v>
      </c>
      <c r="H542" t="s">
        <v>1894</v>
      </c>
      <c r="I542" t="s">
        <v>8489</v>
      </c>
      <c r="J542">
        <v>0</v>
      </c>
      <c r="K542">
        <v>6</v>
      </c>
      <c r="L542">
        <v>0</v>
      </c>
      <c r="M542">
        <v>113500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510</v>
      </c>
      <c r="T542">
        <v>0</v>
      </c>
      <c r="U542">
        <v>0</v>
      </c>
      <c r="V542">
        <v>0</v>
      </c>
      <c r="W542" t="s">
        <v>8466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6</v>
      </c>
      <c r="AR542">
        <v>0</v>
      </c>
      <c r="AS542">
        <v>0</v>
      </c>
      <c r="AT542" t="s">
        <v>8490</v>
      </c>
      <c r="AU542">
        <v>0</v>
      </c>
      <c r="AV542">
        <v>1</v>
      </c>
      <c r="AW542" t="s">
        <v>8491</v>
      </c>
      <c r="AX542">
        <v>0</v>
      </c>
      <c r="AY542" t="s">
        <v>8492</v>
      </c>
      <c r="AZ542">
        <v>1</v>
      </c>
      <c r="BA542" t="s">
        <v>8493</v>
      </c>
      <c r="BB542">
        <v>0</v>
      </c>
      <c r="BC542" t="s">
        <v>8471</v>
      </c>
      <c r="BD542">
        <v>0</v>
      </c>
      <c r="BE542" t="s">
        <v>8453</v>
      </c>
      <c r="BF542" t="s">
        <v>8494</v>
      </c>
      <c r="BG542" t="s">
        <v>8495</v>
      </c>
      <c r="BH542">
        <v>0.13636400000000001</v>
      </c>
    </row>
    <row r="543" spans="1:63" x14ac:dyDescent="0.25">
      <c r="A543">
        <v>724</v>
      </c>
      <c r="B543">
        <v>321</v>
      </c>
      <c r="C543" t="s">
        <v>8445</v>
      </c>
      <c r="F543">
        <v>1032114</v>
      </c>
      <c r="G543" t="s">
        <v>9241</v>
      </c>
      <c r="H543" t="s">
        <v>9242</v>
      </c>
      <c r="I543" t="s">
        <v>8482</v>
      </c>
      <c r="J543">
        <v>0</v>
      </c>
      <c r="K543">
        <v>6</v>
      </c>
      <c r="L543">
        <v>0</v>
      </c>
      <c r="M543">
        <v>113500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510</v>
      </c>
      <c r="T543">
        <v>0</v>
      </c>
      <c r="U543">
        <v>0</v>
      </c>
      <c r="V543">
        <v>0</v>
      </c>
      <c r="W543" t="s">
        <v>8447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11</v>
      </c>
      <c r="AR543">
        <v>0</v>
      </c>
      <c r="AS543">
        <v>0</v>
      </c>
      <c r="AT543" t="s">
        <v>8480</v>
      </c>
      <c r="AU543">
        <v>0</v>
      </c>
      <c r="AV543">
        <v>0</v>
      </c>
      <c r="AW543" t="s">
        <v>8514</v>
      </c>
      <c r="AX543">
        <v>1</v>
      </c>
      <c r="AY543" t="s">
        <v>8530</v>
      </c>
      <c r="AZ543">
        <v>1</v>
      </c>
      <c r="BA543" t="s">
        <v>8450</v>
      </c>
      <c r="BB543">
        <v>0</v>
      </c>
      <c r="BC543" t="s">
        <v>8484</v>
      </c>
      <c r="BD543">
        <v>0</v>
      </c>
      <c r="BE543" t="s">
        <v>8464</v>
      </c>
      <c r="BF543" t="s">
        <v>8464</v>
      </c>
      <c r="BG543" t="s">
        <v>8531</v>
      </c>
      <c r="BH543">
        <v>0.25</v>
      </c>
    </row>
    <row r="544" spans="1:63" x14ac:dyDescent="0.25">
      <c r="A544">
        <v>725</v>
      </c>
      <c r="B544">
        <v>329</v>
      </c>
      <c r="C544" t="s">
        <v>8445</v>
      </c>
      <c r="F544">
        <v>1032141</v>
      </c>
      <c r="G544" t="s">
        <v>9243</v>
      </c>
      <c r="H544" t="s">
        <v>9244</v>
      </c>
      <c r="I544" t="s">
        <v>8482</v>
      </c>
      <c r="J544">
        <v>0</v>
      </c>
      <c r="K544">
        <v>6</v>
      </c>
      <c r="L544">
        <v>0</v>
      </c>
      <c r="M544">
        <v>113500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510</v>
      </c>
      <c r="T544">
        <v>0</v>
      </c>
      <c r="U544">
        <v>0</v>
      </c>
      <c r="V544">
        <v>0</v>
      </c>
      <c r="W544" t="s">
        <v>8447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15</v>
      </c>
      <c r="AR544">
        <v>0</v>
      </c>
      <c r="AS544">
        <v>0</v>
      </c>
      <c r="AT544" t="s">
        <v>8480</v>
      </c>
      <c r="AU544">
        <v>0</v>
      </c>
      <c r="AV544">
        <v>0</v>
      </c>
      <c r="AW544" t="s">
        <v>8514</v>
      </c>
      <c r="AX544">
        <v>1</v>
      </c>
      <c r="AY544" t="s">
        <v>8530</v>
      </c>
      <c r="AZ544">
        <v>1</v>
      </c>
      <c r="BA544" t="s">
        <v>8450</v>
      </c>
      <c r="BB544">
        <v>0</v>
      </c>
      <c r="BC544" t="s">
        <v>8484</v>
      </c>
      <c r="BD544">
        <v>0</v>
      </c>
      <c r="BE544" t="s">
        <v>8464</v>
      </c>
      <c r="BF544" t="s">
        <v>8464</v>
      </c>
      <c r="BG544" t="s">
        <v>8531</v>
      </c>
      <c r="BH544">
        <v>0.34090900000000002</v>
      </c>
    </row>
    <row r="545" spans="1:63" x14ac:dyDescent="0.25">
      <c r="A545">
        <v>726</v>
      </c>
      <c r="B545">
        <v>331</v>
      </c>
      <c r="C545" t="s">
        <v>8445</v>
      </c>
      <c r="F545">
        <v>1027006</v>
      </c>
      <c r="G545" t="s">
        <v>3830</v>
      </c>
      <c r="H545" t="s">
        <v>9245</v>
      </c>
      <c r="I545" t="s">
        <v>8482</v>
      </c>
      <c r="J545">
        <v>0</v>
      </c>
      <c r="K545">
        <v>6</v>
      </c>
      <c r="L545">
        <v>0</v>
      </c>
      <c r="M545">
        <v>113500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510</v>
      </c>
      <c r="T545">
        <v>0</v>
      </c>
      <c r="U545">
        <v>0</v>
      </c>
      <c r="V545">
        <v>0</v>
      </c>
      <c r="W545" t="s">
        <v>8447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9</v>
      </c>
      <c r="AR545">
        <v>0</v>
      </c>
      <c r="AS545">
        <v>0</v>
      </c>
      <c r="AT545" t="s">
        <v>8480</v>
      </c>
      <c r="AU545">
        <v>0</v>
      </c>
      <c r="AV545">
        <v>0</v>
      </c>
      <c r="AW545" t="s">
        <v>8514</v>
      </c>
      <c r="AX545">
        <v>1</v>
      </c>
      <c r="AY545" t="s">
        <v>8530</v>
      </c>
      <c r="AZ545">
        <v>1</v>
      </c>
      <c r="BA545" t="s">
        <v>8450</v>
      </c>
      <c r="BB545">
        <v>0</v>
      </c>
      <c r="BC545" t="s">
        <v>8484</v>
      </c>
      <c r="BD545">
        <v>0</v>
      </c>
      <c r="BE545" t="s">
        <v>8464</v>
      </c>
      <c r="BF545" t="s">
        <v>8464</v>
      </c>
      <c r="BG545" t="s">
        <v>8531</v>
      </c>
      <c r="BH545">
        <v>0.204545</v>
      </c>
    </row>
    <row r="546" spans="1:63" x14ac:dyDescent="0.25">
      <c r="A546">
        <v>727</v>
      </c>
      <c r="B546">
        <v>337</v>
      </c>
      <c r="C546" t="s">
        <v>8445</v>
      </c>
      <c r="F546">
        <v>1027428</v>
      </c>
      <c r="G546" t="s">
        <v>933</v>
      </c>
      <c r="H546" t="s">
        <v>9246</v>
      </c>
      <c r="I546" t="s">
        <v>8482</v>
      </c>
      <c r="J546">
        <v>0</v>
      </c>
      <c r="K546">
        <v>6</v>
      </c>
      <c r="L546">
        <v>0</v>
      </c>
      <c r="M546">
        <v>113500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510</v>
      </c>
      <c r="T546">
        <v>0</v>
      </c>
      <c r="U546">
        <v>0</v>
      </c>
      <c r="V546">
        <v>0</v>
      </c>
      <c r="W546" t="s">
        <v>8447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7</v>
      </c>
      <c r="AR546">
        <v>0</v>
      </c>
      <c r="AS546">
        <v>0</v>
      </c>
      <c r="AT546" t="s">
        <v>8480</v>
      </c>
      <c r="AU546">
        <v>0</v>
      </c>
      <c r="AV546">
        <v>0</v>
      </c>
      <c r="AW546" t="s">
        <v>8514</v>
      </c>
      <c r="AX546">
        <v>1</v>
      </c>
      <c r="AY546" t="s">
        <v>8530</v>
      </c>
      <c r="AZ546">
        <v>1</v>
      </c>
      <c r="BA546" t="s">
        <v>8450</v>
      </c>
      <c r="BB546">
        <v>0</v>
      </c>
      <c r="BC546" t="s">
        <v>8484</v>
      </c>
      <c r="BD546">
        <v>0</v>
      </c>
      <c r="BE546" t="s">
        <v>8464</v>
      </c>
      <c r="BF546" t="s">
        <v>8464</v>
      </c>
      <c r="BG546" t="s">
        <v>8531</v>
      </c>
      <c r="BH546">
        <v>0.15909100000000001</v>
      </c>
    </row>
    <row r="547" spans="1:63" x14ac:dyDescent="0.25">
      <c r="A547">
        <v>728</v>
      </c>
      <c r="B547">
        <v>346</v>
      </c>
      <c r="C547" t="s">
        <v>8445</v>
      </c>
      <c r="F547">
        <v>1032619</v>
      </c>
      <c r="G547" t="s">
        <v>6030</v>
      </c>
      <c r="H547" t="s">
        <v>9247</v>
      </c>
      <c r="I547" t="s">
        <v>8512</v>
      </c>
      <c r="J547">
        <v>0</v>
      </c>
      <c r="K547">
        <v>6</v>
      </c>
      <c r="L547">
        <v>0</v>
      </c>
      <c r="M547">
        <v>113500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510</v>
      </c>
      <c r="T547">
        <v>0</v>
      </c>
      <c r="U547">
        <v>0</v>
      </c>
      <c r="V547">
        <v>0</v>
      </c>
      <c r="W547" t="s">
        <v>8447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33</v>
      </c>
      <c r="AR547">
        <v>0</v>
      </c>
      <c r="AS547">
        <v>0</v>
      </c>
      <c r="AT547" t="s">
        <v>8511</v>
      </c>
      <c r="AU547">
        <v>0</v>
      </c>
      <c r="AV547">
        <v>1</v>
      </c>
      <c r="AW547" t="s">
        <v>8493</v>
      </c>
      <c r="AX547">
        <v>0</v>
      </c>
      <c r="AY547" t="s">
        <v>8491</v>
      </c>
      <c r="AZ547">
        <v>1</v>
      </c>
      <c r="BA547" t="s">
        <v>8468</v>
      </c>
      <c r="BB547">
        <v>1</v>
      </c>
      <c r="BC547" t="s">
        <v>8515</v>
      </c>
      <c r="BD547">
        <v>0</v>
      </c>
      <c r="BE547" t="s">
        <v>8546</v>
      </c>
      <c r="BF547" t="s">
        <v>8454</v>
      </c>
      <c r="BG547" t="s">
        <v>8531</v>
      </c>
      <c r="BH547">
        <v>0.75</v>
      </c>
    </row>
    <row r="548" spans="1:63" x14ac:dyDescent="0.25">
      <c r="A548">
        <v>729</v>
      </c>
      <c r="B548">
        <v>377</v>
      </c>
      <c r="C548" t="s">
        <v>8445</v>
      </c>
      <c r="F548">
        <v>1028539</v>
      </c>
      <c r="G548" t="s">
        <v>1127</v>
      </c>
      <c r="H548" t="s">
        <v>9248</v>
      </c>
      <c r="I548" t="s">
        <v>8512</v>
      </c>
      <c r="J548">
        <v>0</v>
      </c>
      <c r="K548">
        <v>6</v>
      </c>
      <c r="L548">
        <v>0</v>
      </c>
      <c r="M548">
        <v>113500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510</v>
      </c>
      <c r="T548">
        <v>0</v>
      </c>
      <c r="U548">
        <v>0</v>
      </c>
      <c r="V548">
        <v>0</v>
      </c>
      <c r="W548" t="s">
        <v>8447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18</v>
      </c>
      <c r="AR548">
        <v>0</v>
      </c>
      <c r="AS548">
        <v>0</v>
      </c>
      <c r="AT548" t="s">
        <v>8511</v>
      </c>
      <c r="AU548">
        <v>0</v>
      </c>
      <c r="AV548">
        <v>1</v>
      </c>
      <c r="AW548" t="s">
        <v>8493</v>
      </c>
      <c r="AX548">
        <v>0</v>
      </c>
      <c r="AY548" t="s">
        <v>8491</v>
      </c>
      <c r="AZ548">
        <v>1</v>
      </c>
      <c r="BA548" t="s">
        <v>8468</v>
      </c>
      <c r="BB548">
        <v>1</v>
      </c>
      <c r="BC548" t="s">
        <v>8515</v>
      </c>
      <c r="BD548">
        <v>0</v>
      </c>
      <c r="BE548" t="s">
        <v>8546</v>
      </c>
      <c r="BF548" t="s">
        <v>8454</v>
      </c>
      <c r="BG548" t="s">
        <v>8531</v>
      </c>
      <c r="BH548">
        <v>0.40909099999999998</v>
      </c>
    </row>
    <row r="549" spans="1:63" x14ac:dyDescent="0.25">
      <c r="A549">
        <v>730</v>
      </c>
      <c r="B549">
        <v>380</v>
      </c>
      <c r="C549" t="s">
        <v>8445</v>
      </c>
      <c r="F549">
        <v>1032161</v>
      </c>
      <c r="G549" t="s">
        <v>6149</v>
      </c>
      <c r="H549" t="s">
        <v>1538</v>
      </c>
      <c r="I549" t="s">
        <v>8512</v>
      </c>
      <c r="J549">
        <v>0</v>
      </c>
      <c r="K549">
        <v>6</v>
      </c>
      <c r="L549">
        <v>0</v>
      </c>
      <c r="M549">
        <v>113500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510</v>
      </c>
      <c r="T549">
        <v>0</v>
      </c>
      <c r="U549">
        <v>0</v>
      </c>
      <c r="V549">
        <v>0</v>
      </c>
      <c r="W549" t="s">
        <v>8447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7</v>
      </c>
      <c r="AR549">
        <v>0</v>
      </c>
      <c r="AS549">
        <v>0</v>
      </c>
      <c r="AT549" t="s">
        <v>8511</v>
      </c>
      <c r="AU549">
        <v>0</v>
      </c>
      <c r="AV549">
        <v>1</v>
      </c>
      <c r="AW549" t="s">
        <v>8493</v>
      </c>
      <c r="AX549">
        <v>0</v>
      </c>
      <c r="AY549" t="s">
        <v>8491</v>
      </c>
      <c r="AZ549">
        <v>1</v>
      </c>
      <c r="BA549" t="s">
        <v>8468</v>
      </c>
      <c r="BB549">
        <v>1</v>
      </c>
      <c r="BC549" t="s">
        <v>8515</v>
      </c>
      <c r="BD549">
        <v>0</v>
      </c>
      <c r="BE549" t="s">
        <v>8546</v>
      </c>
      <c r="BF549" t="s">
        <v>8454</v>
      </c>
      <c r="BG549" t="s">
        <v>8531</v>
      </c>
      <c r="BH549">
        <v>0.15909100000000001</v>
      </c>
    </row>
    <row r="550" spans="1:63" x14ac:dyDescent="0.25">
      <c r="A550">
        <v>731</v>
      </c>
      <c r="B550">
        <v>390</v>
      </c>
      <c r="C550" t="s">
        <v>8445</v>
      </c>
      <c r="F550">
        <v>1028566</v>
      </c>
      <c r="G550" t="s">
        <v>6030</v>
      </c>
      <c r="H550" t="s">
        <v>4419</v>
      </c>
      <c r="I550" t="s">
        <v>8480</v>
      </c>
      <c r="J550">
        <v>0</v>
      </c>
      <c r="K550">
        <v>6</v>
      </c>
      <c r="L550">
        <v>0</v>
      </c>
      <c r="M550">
        <v>113500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510</v>
      </c>
      <c r="T550">
        <v>0</v>
      </c>
      <c r="U550">
        <v>0</v>
      </c>
      <c r="V550">
        <v>0</v>
      </c>
      <c r="W550" t="s">
        <v>8447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15</v>
      </c>
      <c r="AR550">
        <v>0</v>
      </c>
      <c r="AS550">
        <v>0</v>
      </c>
      <c r="AT550" t="s">
        <v>8482</v>
      </c>
      <c r="AU550">
        <v>0</v>
      </c>
      <c r="AV550">
        <v>1</v>
      </c>
      <c r="AW550" t="s">
        <v>8483</v>
      </c>
      <c r="AX550">
        <v>0</v>
      </c>
      <c r="AY550" t="s">
        <v>8461</v>
      </c>
      <c r="AZ550">
        <v>0</v>
      </c>
      <c r="BA550" t="s">
        <v>8460</v>
      </c>
      <c r="BB550">
        <v>1</v>
      </c>
      <c r="BC550" t="s">
        <v>8484</v>
      </c>
      <c r="BD550">
        <v>0</v>
      </c>
      <c r="BE550" t="s">
        <v>8455</v>
      </c>
      <c r="BF550" t="s">
        <v>8464</v>
      </c>
      <c r="BG550" t="s">
        <v>8464</v>
      </c>
      <c r="BH550">
        <v>0.34090900000000002</v>
      </c>
    </row>
    <row r="551" spans="1:63" x14ac:dyDescent="0.25">
      <c r="A551">
        <v>732</v>
      </c>
      <c r="B551">
        <v>418</v>
      </c>
      <c r="C551" t="s">
        <v>8445</v>
      </c>
      <c r="F551">
        <v>1028643</v>
      </c>
      <c r="G551" t="s">
        <v>5462</v>
      </c>
      <c r="H551" t="s">
        <v>9249</v>
      </c>
      <c r="I551" t="s">
        <v>8480</v>
      </c>
      <c r="J551">
        <v>0</v>
      </c>
      <c r="K551">
        <v>6</v>
      </c>
      <c r="L551">
        <v>0</v>
      </c>
      <c r="M551">
        <v>113500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510</v>
      </c>
      <c r="T551">
        <v>0</v>
      </c>
      <c r="U551">
        <v>0</v>
      </c>
      <c r="V551">
        <v>0</v>
      </c>
      <c r="W551" t="s">
        <v>8447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17</v>
      </c>
      <c r="AR551">
        <v>0</v>
      </c>
      <c r="AS551">
        <v>0</v>
      </c>
      <c r="AT551" t="s">
        <v>8482</v>
      </c>
      <c r="AU551">
        <v>0</v>
      </c>
      <c r="AV551">
        <v>1</v>
      </c>
      <c r="AW551" t="s">
        <v>8483</v>
      </c>
      <c r="AX551">
        <v>0</v>
      </c>
      <c r="AY551" t="s">
        <v>8461</v>
      </c>
      <c r="AZ551">
        <v>0</v>
      </c>
      <c r="BA551" t="s">
        <v>8460</v>
      </c>
      <c r="BB551">
        <v>1</v>
      </c>
      <c r="BC551" t="s">
        <v>8484</v>
      </c>
      <c r="BD551">
        <v>0</v>
      </c>
      <c r="BE551" t="s">
        <v>8455</v>
      </c>
      <c r="BF551" t="s">
        <v>8464</v>
      </c>
      <c r="BG551" t="s">
        <v>8464</v>
      </c>
      <c r="BH551">
        <v>0.38636399999999999</v>
      </c>
    </row>
    <row r="552" spans="1:63" x14ac:dyDescent="0.25">
      <c r="A552">
        <v>733</v>
      </c>
      <c r="B552">
        <v>445</v>
      </c>
      <c r="C552" t="s">
        <v>8445</v>
      </c>
      <c r="F552">
        <v>1024173</v>
      </c>
      <c r="G552" t="s">
        <v>7115</v>
      </c>
      <c r="H552" t="s">
        <v>1881</v>
      </c>
      <c r="I552" t="s">
        <v>8501</v>
      </c>
      <c r="J552">
        <v>0</v>
      </c>
      <c r="K552">
        <v>6</v>
      </c>
      <c r="L552">
        <v>0</v>
      </c>
      <c r="M552">
        <v>113500</v>
      </c>
      <c r="N552">
        <v>91</v>
      </c>
      <c r="O552">
        <v>0</v>
      </c>
      <c r="P552">
        <v>2</v>
      </c>
      <c r="Q552">
        <v>0</v>
      </c>
      <c r="R552">
        <v>0</v>
      </c>
      <c r="S552">
        <v>444</v>
      </c>
      <c r="T552">
        <v>0</v>
      </c>
      <c r="U552">
        <v>0</v>
      </c>
      <c r="V552">
        <v>187</v>
      </c>
      <c r="W552" t="s">
        <v>8505</v>
      </c>
      <c r="X552">
        <v>0</v>
      </c>
      <c r="Y552">
        <v>7</v>
      </c>
      <c r="Z552">
        <v>0</v>
      </c>
      <c r="AA552">
        <v>5</v>
      </c>
      <c r="AB552">
        <v>0</v>
      </c>
      <c r="AC552">
        <v>2</v>
      </c>
      <c r="AD552">
        <v>0</v>
      </c>
      <c r="AE552">
        <v>9</v>
      </c>
      <c r="AF552">
        <v>0</v>
      </c>
      <c r="AG552">
        <v>0</v>
      </c>
      <c r="AH552">
        <v>0</v>
      </c>
      <c r="AI552">
        <v>-6</v>
      </c>
      <c r="AJ552">
        <v>0</v>
      </c>
      <c r="AK552">
        <v>10</v>
      </c>
      <c r="AL552">
        <v>0</v>
      </c>
      <c r="AM552">
        <v>1</v>
      </c>
      <c r="AN552">
        <v>0</v>
      </c>
      <c r="AO552">
        <v>2</v>
      </c>
      <c r="AP552">
        <v>45.5</v>
      </c>
      <c r="AQ552">
        <v>15</v>
      </c>
      <c r="AR552">
        <v>45.5</v>
      </c>
      <c r="AS552">
        <v>45.5</v>
      </c>
      <c r="AT552" t="s">
        <v>8502</v>
      </c>
      <c r="AU552">
        <v>0</v>
      </c>
      <c r="AV552">
        <v>0</v>
      </c>
      <c r="AW552" t="s">
        <v>8461</v>
      </c>
      <c r="AX552">
        <v>0</v>
      </c>
      <c r="AY552" t="s">
        <v>8483</v>
      </c>
      <c r="AZ552">
        <v>1</v>
      </c>
      <c r="BA552" t="s">
        <v>8459</v>
      </c>
      <c r="BB552">
        <v>0</v>
      </c>
      <c r="BC552" t="s">
        <v>8484</v>
      </c>
      <c r="BD552">
        <v>45.5</v>
      </c>
      <c r="BE552" t="s">
        <v>8464</v>
      </c>
      <c r="BF552" t="s">
        <v>8463</v>
      </c>
      <c r="BG552" t="s">
        <v>8464</v>
      </c>
      <c r="BH552">
        <v>0.34090900000000002</v>
      </c>
      <c r="BJ552" s="1" t="s">
        <v>9250</v>
      </c>
      <c r="BK552" s="1" t="s">
        <v>9251</v>
      </c>
    </row>
    <row r="553" spans="1:63" x14ac:dyDescent="0.25">
      <c r="A553">
        <v>734</v>
      </c>
      <c r="B553">
        <v>512</v>
      </c>
      <c r="C553" t="s">
        <v>8445</v>
      </c>
      <c r="F553">
        <v>1031989</v>
      </c>
      <c r="G553" t="s">
        <v>9252</v>
      </c>
      <c r="H553" t="s">
        <v>1904</v>
      </c>
      <c r="I553" t="s">
        <v>8467</v>
      </c>
      <c r="J553">
        <v>0</v>
      </c>
      <c r="K553">
        <v>6</v>
      </c>
      <c r="L553">
        <v>0</v>
      </c>
      <c r="M553">
        <v>113500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510</v>
      </c>
      <c r="T553">
        <v>0</v>
      </c>
      <c r="U553">
        <v>0</v>
      </c>
      <c r="V553">
        <v>0</v>
      </c>
      <c r="W553" t="s">
        <v>8447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10</v>
      </c>
      <c r="AR553">
        <v>0</v>
      </c>
      <c r="AS553">
        <v>0</v>
      </c>
      <c r="AT553" t="s">
        <v>8465</v>
      </c>
      <c r="AU553">
        <v>0</v>
      </c>
      <c r="AV553">
        <v>0</v>
      </c>
      <c r="AW553" t="s">
        <v>8497</v>
      </c>
      <c r="AX553">
        <v>1</v>
      </c>
      <c r="AY553" t="s">
        <v>8451</v>
      </c>
      <c r="AZ553">
        <v>1</v>
      </c>
      <c r="BA553" t="s">
        <v>8492</v>
      </c>
      <c r="BB553">
        <v>0</v>
      </c>
      <c r="BC553" t="s">
        <v>8471</v>
      </c>
      <c r="BD553">
        <v>0</v>
      </c>
      <c r="BE553" t="s">
        <v>8472</v>
      </c>
      <c r="BF553" t="s">
        <v>8455</v>
      </c>
      <c r="BG553" t="s">
        <v>8498</v>
      </c>
      <c r="BH553">
        <v>0.227273</v>
      </c>
    </row>
    <row r="554" spans="1:63" x14ac:dyDescent="0.25">
      <c r="A554">
        <v>735</v>
      </c>
      <c r="B554">
        <v>515</v>
      </c>
      <c r="C554" t="s">
        <v>8445</v>
      </c>
      <c r="F554">
        <v>1029281</v>
      </c>
      <c r="G554" t="s">
        <v>176</v>
      </c>
      <c r="H554" t="s">
        <v>9253</v>
      </c>
      <c r="I554" t="s">
        <v>8467</v>
      </c>
      <c r="J554">
        <v>0</v>
      </c>
      <c r="K554">
        <v>6</v>
      </c>
      <c r="L554">
        <v>0</v>
      </c>
      <c r="M554">
        <v>113500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510</v>
      </c>
      <c r="T554">
        <v>0</v>
      </c>
      <c r="U554">
        <v>0</v>
      </c>
      <c r="V554">
        <v>0</v>
      </c>
      <c r="W554" t="s">
        <v>8447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11</v>
      </c>
      <c r="AR554">
        <v>0</v>
      </c>
      <c r="AS554">
        <v>0</v>
      </c>
      <c r="AT554" t="s">
        <v>8465</v>
      </c>
      <c r="AU554">
        <v>0</v>
      </c>
      <c r="AV554">
        <v>0</v>
      </c>
      <c r="AW554" t="s">
        <v>8497</v>
      </c>
      <c r="AX554">
        <v>1</v>
      </c>
      <c r="AY554" t="s">
        <v>8451</v>
      </c>
      <c r="AZ554">
        <v>1</v>
      </c>
      <c r="BA554" t="s">
        <v>8492</v>
      </c>
      <c r="BB554">
        <v>0</v>
      </c>
      <c r="BC554" t="s">
        <v>8471</v>
      </c>
      <c r="BD554">
        <v>0</v>
      </c>
      <c r="BE554" t="s">
        <v>8472</v>
      </c>
      <c r="BF554" t="s">
        <v>8455</v>
      </c>
      <c r="BG554" t="s">
        <v>8498</v>
      </c>
      <c r="BH554">
        <v>0.25</v>
      </c>
    </row>
    <row r="555" spans="1:63" x14ac:dyDescent="0.25">
      <c r="A555">
        <v>736</v>
      </c>
      <c r="B555">
        <v>517</v>
      </c>
      <c r="C555" t="s">
        <v>8445</v>
      </c>
      <c r="F555">
        <v>1028547</v>
      </c>
      <c r="G555" t="s">
        <v>889</v>
      </c>
      <c r="H555" t="s">
        <v>9254</v>
      </c>
      <c r="I555" t="s">
        <v>8467</v>
      </c>
      <c r="J555">
        <v>0</v>
      </c>
      <c r="K555">
        <v>6</v>
      </c>
      <c r="L555">
        <v>0</v>
      </c>
      <c r="M555">
        <v>113500</v>
      </c>
      <c r="N555">
        <v>29</v>
      </c>
      <c r="O555">
        <v>0</v>
      </c>
      <c r="P555">
        <v>1</v>
      </c>
      <c r="Q555">
        <v>0</v>
      </c>
      <c r="R555">
        <v>0</v>
      </c>
      <c r="S555">
        <v>500</v>
      </c>
      <c r="T555">
        <v>0</v>
      </c>
      <c r="U555">
        <v>0</v>
      </c>
      <c r="V555">
        <v>70</v>
      </c>
      <c r="W555" t="s">
        <v>8466</v>
      </c>
      <c r="X555">
        <v>0</v>
      </c>
      <c r="Y555">
        <v>6</v>
      </c>
      <c r="Z555">
        <v>0</v>
      </c>
      <c r="AA555">
        <v>4</v>
      </c>
      <c r="AB555">
        <v>0</v>
      </c>
      <c r="AC555">
        <v>3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-1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29</v>
      </c>
      <c r="AQ555">
        <v>33</v>
      </c>
      <c r="AR555">
        <v>29</v>
      </c>
      <c r="AS555">
        <v>29</v>
      </c>
      <c r="AT555" t="s">
        <v>8465</v>
      </c>
      <c r="AU555">
        <v>0</v>
      </c>
      <c r="AV555">
        <v>0</v>
      </c>
      <c r="AW555" t="s">
        <v>8497</v>
      </c>
      <c r="AX555">
        <v>1</v>
      </c>
      <c r="AY555" t="s">
        <v>8451</v>
      </c>
      <c r="AZ555">
        <v>1</v>
      </c>
      <c r="BA555" t="s">
        <v>8492</v>
      </c>
      <c r="BB555">
        <v>0</v>
      </c>
      <c r="BC555" t="s">
        <v>8471</v>
      </c>
      <c r="BD555">
        <v>29</v>
      </c>
      <c r="BE555" t="s">
        <v>8472</v>
      </c>
      <c r="BF555" t="s">
        <v>8455</v>
      </c>
      <c r="BG555" t="s">
        <v>8498</v>
      </c>
      <c r="BH555">
        <v>0.75</v>
      </c>
      <c r="BJ555" s="1" t="s">
        <v>9255</v>
      </c>
      <c r="BK555" s="1" t="s">
        <v>9256</v>
      </c>
    </row>
    <row r="556" spans="1:63" x14ac:dyDescent="0.25">
      <c r="A556">
        <v>737</v>
      </c>
      <c r="B556">
        <v>547</v>
      </c>
      <c r="C556" t="s">
        <v>8445</v>
      </c>
      <c r="F556">
        <v>1028563</v>
      </c>
      <c r="G556" t="s">
        <v>7612</v>
      </c>
      <c r="H556" t="s">
        <v>9257</v>
      </c>
      <c r="I556" t="s">
        <v>8448</v>
      </c>
      <c r="J556">
        <v>0</v>
      </c>
      <c r="K556">
        <v>6</v>
      </c>
      <c r="L556">
        <v>0</v>
      </c>
      <c r="M556">
        <v>201800</v>
      </c>
      <c r="N556">
        <v>231</v>
      </c>
      <c r="O556">
        <v>0</v>
      </c>
      <c r="P556">
        <v>4</v>
      </c>
      <c r="Q556">
        <v>0</v>
      </c>
      <c r="R556">
        <v>88300</v>
      </c>
      <c r="S556">
        <v>326</v>
      </c>
      <c r="T556">
        <v>0</v>
      </c>
      <c r="U556">
        <v>0</v>
      </c>
      <c r="V556">
        <v>368</v>
      </c>
      <c r="W556" t="s">
        <v>8475</v>
      </c>
      <c r="X556">
        <v>0</v>
      </c>
      <c r="Y556">
        <v>35</v>
      </c>
      <c r="Z556">
        <v>0</v>
      </c>
      <c r="AA556">
        <v>35</v>
      </c>
      <c r="AB556">
        <v>0</v>
      </c>
      <c r="AC556">
        <v>18</v>
      </c>
      <c r="AD556">
        <v>0</v>
      </c>
      <c r="AE556">
        <v>4</v>
      </c>
      <c r="AF556">
        <v>0</v>
      </c>
      <c r="AG556">
        <v>4</v>
      </c>
      <c r="AH556">
        <v>0</v>
      </c>
      <c r="AI556">
        <v>-1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57.75</v>
      </c>
      <c r="AQ556">
        <v>210</v>
      </c>
      <c r="AR556">
        <v>57.75</v>
      </c>
      <c r="AS556">
        <v>59.666699999999999</v>
      </c>
      <c r="AT556" t="s">
        <v>8446</v>
      </c>
      <c r="AU556">
        <v>0</v>
      </c>
      <c r="AV556">
        <v>1</v>
      </c>
      <c r="AW556" t="s">
        <v>8526</v>
      </c>
      <c r="AX556">
        <v>0</v>
      </c>
      <c r="AY556" t="s">
        <v>8493</v>
      </c>
      <c r="AZ556">
        <v>1</v>
      </c>
      <c r="BA556" t="s">
        <v>8469</v>
      </c>
      <c r="BB556">
        <v>0</v>
      </c>
      <c r="BC556" t="s">
        <v>8452</v>
      </c>
      <c r="BD556">
        <v>0</v>
      </c>
      <c r="BE556" t="s">
        <v>8472</v>
      </c>
      <c r="BF556" t="s">
        <v>8534</v>
      </c>
      <c r="BG556" t="s">
        <v>8472</v>
      </c>
      <c r="BH556">
        <v>4.7727300000000001</v>
      </c>
      <c r="BJ556" s="1" t="s">
        <v>9258</v>
      </c>
      <c r="BK556" s="1" t="s">
        <v>9259</v>
      </c>
    </row>
    <row r="557" spans="1:63" x14ac:dyDescent="0.25">
      <c r="A557">
        <v>738</v>
      </c>
      <c r="B557">
        <v>559</v>
      </c>
      <c r="C557" t="s">
        <v>8445</v>
      </c>
      <c r="F557">
        <v>1032053</v>
      </c>
      <c r="G557" t="s">
        <v>1127</v>
      </c>
      <c r="H557" t="s">
        <v>9254</v>
      </c>
      <c r="I557" t="s">
        <v>8448</v>
      </c>
      <c r="J557">
        <v>0</v>
      </c>
      <c r="K557">
        <v>6</v>
      </c>
      <c r="L557">
        <v>0</v>
      </c>
      <c r="M557">
        <v>113500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510</v>
      </c>
      <c r="T557">
        <v>0</v>
      </c>
      <c r="U557">
        <v>0</v>
      </c>
      <c r="V557">
        <v>0</v>
      </c>
      <c r="W557" t="s">
        <v>8447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12</v>
      </c>
      <c r="AR557">
        <v>0</v>
      </c>
      <c r="AS557">
        <v>0</v>
      </c>
      <c r="AT557" t="s">
        <v>8446</v>
      </c>
      <c r="AU557">
        <v>0</v>
      </c>
      <c r="AV557">
        <v>1</v>
      </c>
      <c r="AW557" t="s">
        <v>8526</v>
      </c>
      <c r="AX557">
        <v>0</v>
      </c>
      <c r="AY557" t="s">
        <v>8493</v>
      </c>
      <c r="AZ557">
        <v>1</v>
      </c>
      <c r="BA557" t="s">
        <v>8469</v>
      </c>
      <c r="BB557">
        <v>0</v>
      </c>
      <c r="BC557" t="s">
        <v>8452</v>
      </c>
      <c r="BD557">
        <v>0</v>
      </c>
      <c r="BE557" t="s">
        <v>8472</v>
      </c>
      <c r="BF557" t="s">
        <v>8534</v>
      </c>
      <c r="BG557" t="s">
        <v>8472</v>
      </c>
      <c r="BH557">
        <v>0.272727</v>
      </c>
    </row>
    <row r="558" spans="1:63" x14ac:dyDescent="0.25">
      <c r="A558">
        <v>739</v>
      </c>
      <c r="B558">
        <v>563</v>
      </c>
      <c r="C558" t="s">
        <v>8445</v>
      </c>
      <c r="F558">
        <v>1028537</v>
      </c>
      <c r="G558" t="s">
        <v>3222</v>
      </c>
      <c r="H558" t="s">
        <v>9260</v>
      </c>
      <c r="I558" t="s">
        <v>8490</v>
      </c>
      <c r="J558">
        <v>0</v>
      </c>
      <c r="K558">
        <v>6</v>
      </c>
      <c r="L558">
        <v>0</v>
      </c>
      <c r="M558">
        <v>113500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510</v>
      </c>
      <c r="T558">
        <v>0</v>
      </c>
      <c r="U558">
        <v>0</v>
      </c>
      <c r="V558">
        <v>0</v>
      </c>
      <c r="W558" t="s">
        <v>8447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4</v>
      </c>
      <c r="AR558">
        <v>0</v>
      </c>
      <c r="AS558">
        <v>0</v>
      </c>
      <c r="AT558" t="s">
        <v>8489</v>
      </c>
      <c r="AU558">
        <v>0</v>
      </c>
      <c r="AV558">
        <v>0</v>
      </c>
      <c r="AW558" t="s">
        <v>8460</v>
      </c>
      <c r="AX558">
        <v>1</v>
      </c>
      <c r="AY558" t="s">
        <v>8459</v>
      </c>
      <c r="AZ558">
        <v>1</v>
      </c>
      <c r="BA558" t="s">
        <v>8483</v>
      </c>
      <c r="BB558">
        <v>0</v>
      </c>
      <c r="BC558" t="s">
        <v>8471</v>
      </c>
      <c r="BD558">
        <v>0</v>
      </c>
      <c r="BE558" t="s">
        <v>8464</v>
      </c>
      <c r="BF558" t="s">
        <v>8464</v>
      </c>
      <c r="BG558" t="s">
        <v>8464</v>
      </c>
      <c r="BH558">
        <v>9.0909100000000007E-2</v>
      </c>
    </row>
    <row r="559" spans="1:63" x14ac:dyDescent="0.25">
      <c r="A559">
        <v>740</v>
      </c>
      <c r="B559">
        <v>564</v>
      </c>
      <c r="C559" t="s">
        <v>8445</v>
      </c>
      <c r="F559">
        <v>1028525</v>
      </c>
      <c r="G559" t="s">
        <v>2192</v>
      </c>
      <c r="H559" t="s">
        <v>9261</v>
      </c>
      <c r="I559" t="s">
        <v>8490</v>
      </c>
      <c r="J559">
        <v>0</v>
      </c>
      <c r="K559">
        <v>6</v>
      </c>
      <c r="L559">
        <v>0</v>
      </c>
      <c r="M559">
        <v>125900</v>
      </c>
      <c r="N559">
        <v>122</v>
      </c>
      <c r="O559">
        <v>0</v>
      </c>
      <c r="P559">
        <v>4</v>
      </c>
      <c r="Q559">
        <v>0</v>
      </c>
      <c r="R559">
        <v>12400</v>
      </c>
      <c r="S559">
        <v>427</v>
      </c>
      <c r="T559">
        <v>0</v>
      </c>
      <c r="U559">
        <v>0</v>
      </c>
      <c r="V559">
        <v>347</v>
      </c>
      <c r="W559" t="s">
        <v>8505</v>
      </c>
      <c r="X559">
        <v>0</v>
      </c>
      <c r="Y559">
        <v>16</v>
      </c>
      <c r="Z559">
        <v>0</v>
      </c>
      <c r="AA559">
        <v>14</v>
      </c>
      <c r="AB559">
        <v>0</v>
      </c>
      <c r="AC559">
        <v>12</v>
      </c>
      <c r="AD559">
        <v>0</v>
      </c>
      <c r="AE559">
        <v>3</v>
      </c>
      <c r="AF559">
        <v>0</v>
      </c>
      <c r="AG559">
        <v>1</v>
      </c>
      <c r="AH559">
        <v>0</v>
      </c>
      <c r="AI559">
        <v>-1</v>
      </c>
      <c r="AJ559">
        <v>0</v>
      </c>
      <c r="AK559">
        <v>0</v>
      </c>
      <c r="AL559">
        <v>0</v>
      </c>
      <c r="AM559">
        <v>4</v>
      </c>
      <c r="AN559">
        <v>0</v>
      </c>
      <c r="AO559">
        <v>3</v>
      </c>
      <c r="AP559">
        <v>30.5</v>
      </c>
      <c r="AQ559">
        <v>32</v>
      </c>
      <c r="AR559">
        <v>30.5</v>
      </c>
      <c r="AS559">
        <v>28</v>
      </c>
      <c r="AT559" t="s">
        <v>8489</v>
      </c>
      <c r="AU559">
        <v>0</v>
      </c>
      <c r="AV559">
        <v>0</v>
      </c>
      <c r="AW559" t="s">
        <v>8460</v>
      </c>
      <c r="AX559">
        <v>1</v>
      </c>
      <c r="AY559" t="s">
        <v>8459</v>
      </c>
      <c r="AZ559">
        <v>1</v>
      </c>
      <c r="BA559" t="s">
        <v>8483</v>
      </c>
      <c r="BB559">
        <v>0</v>
      </c>
      <c r="BC559" t="s">
        <v>8471</v>
      </c>
      <c r="BD559">
        <v>-3</v>
      </c>
      <c r="BE559" t="s">
        <v>8464</v>
      </c>
      <c r="BF559" t="s">
        <v>8464</v>
      </c>
      <c r="BG559" t="s">
        <v>8464</v>
      </c>
      <c r="BH559">
        <v>0.72727299999999995</v>
      </c>
      <c r="BJ559" s="1" t="s">
        <v>9262</v>
      </c>
      <c r="BK559" s="1" t="s">
        <v>9263</v>
      </c>
    </row>
    <row r="560" spans="1:63" x14ac:dyDescent="0.25">
      <c r="A560">
        <v>741</v>
      </c>
      <c r="B560">
        <v>598</v>
      </c>
      <c r="C560" t="s">
        <v>8445</v>
      </c>
      <c r="F560">
        <v>1018996</v>
      </c>
      <c r="G560" t="s">
        <v>2222</v>
      </c>
      <c r="H560" t="s">
        <v>9264</v>
      </c>
      <c r="I560" t="s">
        <v>8490</v>
      </c>
      <c r="J560">
        <v>0</v>
      </c>
      <c r="K560">
        <v>6</v>
      </c>
      <c r="L560">
        <v>0</v>
      </c>
      <c r="M560">
        <v>113500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510</v>
      </c>
      <c r="T560">
        <v>0</v>
      </c>
      <c r="U560">
        <v>0</v>
      </c>
      <c r="V560">
        <v>0</v>
      </c>
      <c r="W560" t="s">
        <v>8447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36</v>
      </c>
      <c r="AR560">
        <v>0</v>
      </c>
      <c r="AS560">
        <v>0</v>
      </c>
      <c r="AT560" t="s">
        <v>8489</v>
      </c>
      <c r="AU560">
        <v>0</v>
      </c>
      <c r="AV560">
        <v>0</v>
      </c>
      <c r="AW560" t="s">
        <v>8460</v>
      </c>
      <c r="AX560">
        <v>1</v>
      </c>
      <c r="AY560" t="s">
        <v>8459</v>
      </c>
      <c r="AZ560">
        <v>1</v>
      </c>
      <c r="BA560" t="s">
        <v>8483</v>
      </c>
      <c r="BB560">
        <v>0</v>
      </c>
      <c r="BC560" t="s">
        <v>8471</v>
      </c>
      <c r="BD560">
        <v>0</v>
      </c>
      <c r="BE560" t="s">
        <v>8464</v>
      </c>
      <c r="BF560" t="s">
        <v>8464</v>
      </c>
      <c r="BG560" t="s">
        <v>8464</v>
      </c>
      <c r="BH560">
        <v>0.81818199999999996</v>
      </c>
    </row>
    <row r="561" spans="1:63" x14ac:dyDescent="0.25">
      <c r="A561">
        <v>742</v>
      </c>
      <c r="B561">
        <v>603</v>
      </c>
      <c r="C561" t="s">
        <v>8445</v>
      </c>
      <c r="F561">
        <v>1028521</v>
      </c>
      <c r="G561" t="s">
        <v>176</v>
      </c>
      <c r="H561" t="s">
        <v>9265</v>
      </c>
      <c r="I561" t="s">
        <v>8490</v>
      </c>
      <c r="J561">
        <v>0</v>
      </c>
      <c r="K561">
        <v>6</v>
      </c>
      <c r="L561">
        <v>0</v>
      </c>
      <c r="M561">
        <v>259500</v>
      </c>
      <c r="N561">
        <v>326</v>
      </c>
      <c r="O561">
        <v>0</v>
      </c>
      <c r="P561">
        <v>5</v>
      </c>
      <c r="Q561">
        <v>0</v>
      </c>
      <c r="R561">
        <v>146000</v>
      </c>
      <c r="S561">
        <v>215</v>
      </c>
      <c r="T561">
        <v>0</v>
      </c>
      <c r="U561">
        <v>0</v>
      </c>
      <c r="V561">
        <v>524</v>
      </c>
      <c r="W561" t="s">
        <v>8475</v>
      </c>
      <c r="X561">
        <v>0</v>
      </c>
      <c r="Y561">
        <v>65</v>
      </c>
      <c r="Z561">
        <v>0</v>
      </c>
      <c r="AA561">
        <v>19</v>
      </c>
      <c r="AB561">
        <v>0</v>
      </c>
      <c r="AC561">
        <v>27</v>
      </c>
      <c r="AD561">
        <v>0</v>
      </c>
      <c r="AE561">
        <v>7</v>
      </c>
      <c r="AF561">
        <v>0</v>
      </c>
      <c r="AG561">
        <v>6</v>
      </c>
      <c r="AH561">
        <v>0</v>
      </c>
      <c r="AI561">
        <v>-4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65.2</v>
      </c>
      <c r="AQ561">
        <v>318</v>
      </c>
      <c r="AR561">
        <v>65.2</v>
      </c>
      <c r="AS561">
        <v>84</v>
      </c>
      <c r="AT561" t="s">
        <v>8489</v>
      </c>
      <c r="AU561">
        <v>0</v>
      </c>
      <c r="AV561">
        <v>0</v>
      </c>
      <c r="AW561" t="s">
        <v>8460</v>
      </c>
      <c r="AX561">
        <v>1</v>
      </c>
      <c r="AY561" t="s">
        <v>8459</v>
      </c>
      <c r="AZ561">
        <v>1</v>
      </c>
      <c r="BA561" t="s">
        <v>8483</v>
      </c>
      <c r="BB561">
        <v>0</v>
      </c>
      <c r="BC561" t="s">
        <v>8471</v>
      </c>
      <c r="BD561">
        <v>90</v>
      </c>
      <c r="BE561" t="s">
        <v>8464</v>
      </c>
      <c r="BF561" t="s">
        <v>8464</v>
      </c>
      <c r="BG561" t="s">
        <v>8464</v>
      </c>
      <c r="BH561">
        <v>7.2272699999999999</v>
      </c>
      <c r="BJ561" s="1" t="s">
        <v>9266</v>
      </c>
      <c r="BK561" s="1" t="s">
        <v>9267</v>
      </c>
    </row>
    <row r="562" spans="1:63" x14ac:dyDescent="0.25">
      <c r="A562">
        <v>743</v>
      </c>
      <c r="B562">
        <v>608</v>
      </c>
      <c r="C562" t="s">
        <v>8445</v>
      </c>
      <c r="F562">
        <v>1028545</v>
      </c>
      <c r="G562" t="s">
        <v>617</v>
      </c>
      <c r="H562" t="s">
        <v>9268</v>
      </c>
      <c r="I562" t="s">
        <v>8549</v>
      </c>
      <c r="J562">
        <v>0</v>
      </c>
      <c r="K562">
        <v>6</v>
      </c>
      <c r="L562">
        <v>0</v>
      </c>
      <c r="M562">
        <v>113500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510</v>
      </c>
      <c r="T562">
        <v>0</v>
      </c>
      <c r="U562">
        <v>0</v>
      </c>
      <c r="V562">
        <v>0</v>
      </c>
      <c r="W562" t="s">
        <v>8447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12</v>
      </c>
      <c r="AR562">
        <v>0</v>
      </c>
      <c r="AS562">
        <v>0</v>
      </c>
      <c r="AT562" t="s">
        <v>8548</v>
      </c>
      <c r="AU562">
        <v>0</v>
      </c>
      <c r="AV562">
        <v>1</v>
      </c>
      <c r="AW562" t="s">
        <v>8492</v>
      </c>
      <c r="AX562">
        <v>0</v>
      </c>
      <c r="AY562" t="s">
        <v>8513</v>
      </c>
      <c r="AZ562">
        <v>0</v>
      </c>
      <c r="BA562" t="s">
        <v>8514</v>
      </c>
      <c r="BB562">
        <v>0</v>
      </c>
      <c r="BC562" t="s">
        <v>8471</v>
      </c>
      <c r="BD562">
        <v>0</v>
      </c>
      <c r="BE562" t="s">
        <v>8455</v>
      </c>
      <c r="BF562" t="s">
        <v>8455</v>
      </c>
      <c r="BG562" t="s">
        <v>8464</v>
      </c>
      <c r="BH562">
        <v>0.272727</v>
      </c>
    </row>
    <row r="563" spans="1:63" x14ac:dyDescent="0.25">
      <c r="A563">
        <v>744</v>
      </c>
      <c r="B563">
        <v>609</v>
      </c>
      <c r="C563" t="s">
        <v>8445</v>
      </c>
      <c r="F563">
        <v>1029148</v>
      </c>
      <c r="G563" t="s">
        <v>5274</v>
      </c>
      <c r="H563" t="s">
        <v>9269</v>
      </c>
      <c r="I563" t="s">
        <v>8549</v>
      </c>
      <c r="J563">
        <v>0</v>
      </c>
      <c r="K563">
        <v>6</v>
      </c>
      <c r="L563">
        <v>0</v>
      </c>
      <c r="M563">
        <v>113500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510</v>
      </c>
      <c r="T563">
        <v>0</v>
      </c>
      <c r="U563">
        <v>0</v>
      </c>
      <c r="V563">
        <v>0</v>
      </c>
      <c r="W563" t="s">
        <v>8447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57</v>
      </c>
      <c r="AR563">
        <v>0</v>
      </c>
      <c r="AS563">
        <v>0</v>
      </c>
      <c r="AT563" t="s">
        <v>8548</v>
      </c>
      <c r="AU563">
        <v>0</v>
      </c>
      <c r="AV563">
        <v>1</v>
      </c>
      <c r="AW563" t="s">
        <v>8492</v>
      </c>
      <c r="AX563">
        <v>0</v>
      </c>
      <c r="AY563" t="s">
        <v>8513</v>
      </c>
      <c r="AZ563">
        <v>0</v>
      </c>
      <c r="BA563" t="s">
        <v>8514</v>
      </c>
      <c r="BB563">
        <v>0</v>
      </c>
      <c r="BC563" t="s">
        <v>8471</v>
      </c>
      <c r="BD563">
        <v>0</v>
      </c>
      <c r="BE563" t="s">
        <v>8455</v>
      </c>
      <c r="BF563" t="s">
        <v>8455</v>
      </c>
      <c r="BG563" t="s">
        <v>8464</v>
      </c>
      <c r="BH563">
        <v>1.29545</v>
      </c>
    </row>
    <row r="564" spans="1:63" x14ac:dyDescent="0.25">
      <c r="A564">
        <v>745</v>
      </c>
      <c r="B564">
        <v>617</v>
      </c>
      <c r="C564" t="s">
        <v>8445</v>
      </c>
      <c r="F564">
        <v>1027011</v>
      </c>
      <c r="G564" t="s">
        <v>1450</v>
      </c>
      <c r="H564" t="s">
        <v>9270</v>
      </c>
      <c r="I564" t="s">
        <v>8549</v>
      </c>
      <c r="J564">
        <v>0</v>
      </c>
      <c r="K564">
        <v>6</v>
      </c>
      <c r="L564">
        <v>0</v>
      </c>
      <c r="M564">
        <v>113500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510</v>
      </c>
      <c r="T564">
        <v>0</v>
      </c>
      <c r="U564">
        <v>0</v>
      </c>
      <c r="V564">
        <v>0</v>
      </c>
      <c r="W564" t="s">
        <v>8447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32</v>
      </c>
      <c r="AR564">
        <v>0</v>
      </c>
      <c r="AS564">
        <v>0</v>
      </c>
      <c r="AT564" t="s">
        <v>8548</v>
      </c>
      <c r="AU564">
        <v>0</v>
      </c>
      <c r="AV564">
        <v>1</v>
      </c>
      <c r="AW564" t="s">
        <v>8492</v>
      </c>
      <c r="AX564">
        <v>0</v>
      </c>
      <c r="AY564" t="s">
        <v>8513</v>
      </c>
      <c r="AZ564">
        <v>0</v>
      </c>
      <c r="BA564" t="s">
        <v>8514</v>
      </c>
      <c r="BB564">
        <v>0</v>
      </c>
      <c r="BC564" t="s">
        <v>8471</v>
      </c>
      <c r="BD564">
        <v>0</v>
      </c>
      <c r="BE564" t="s">
        <v>8455</v>
      </c>
      <c r="BF564" t="s">
        <v>8455</v>
      </c>
      <c r="BG564" t="s">
        <v>8464</v>
      </c>
      <c r="BH564">
        <v>0.72727299999999995</v>
      </c>
    </row>
    <row r="565" spans="1:63" x14ac:dyDescent="0.25">
      <c r="A565">
        <v>746</v>
      </c>
      <c r="B565">
        <v>636</v>
      </c>
      <c r="C565" t="s">
        <v>8445</v>
      </c>
      <c r="F565">
        <v>1028514</v>
      </c>
      <c r="G565" t="s">
        <v>3697</v>
      </c>
      <c r="H565" t="s">
        <v>9271</v>
      </c>
      <c r="I565" t="s">
        <v>8549</v>
      </c>
      <c r="J565">
        <v>0</v>
      </c>
      <c r="K565">
        <v>6</v>
      </c>
      <c r="L565">
        <v>0</v>
      </c>
      <c r="M565">
        <v>113500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510</v>
      </c>
      <c r="T565">
        <v>0</v>
      </c>
      <c r="U565">
        <v>0</v>
      </c>
      <c r="V565">
        <v>0</v>
      </c>
      <c r="W565" t="s">
        <v>8447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8</v>
      </c>
      <c r="AR565">
        <v>0</v>
      </c>
      <c r="AS565">
        <v>0</v>
      </c>
      <c r="AT565" t="s">
        <v>8548</v>
      </c>
      <c r="AU565">
        <v>0</v>
      </c>
      <c r="AV565">
        <v>1</v>
      </c>
      <c r="AW565" t="s">
        <v>8492</v>
      </c>
      <c r="AX565">
        <v>0</v>
      </c>
      <c r="AY565" t="s">
        <v>8513</v>
      </c>
      <c r="AZ565">
        <v>0</v>
      </c>
      <c r="BA565" t="s">
        <v>8514</v>
      </c>
      <c r="BB565">
        <v>0</v>
      </c>
      <c r="BC565" t="s">
        <v>8471</v>
      </c>
      <c r="BD565">
        <v>0</v>
      </c>
      <c r="BE565" t="s">
        <v>8455</v>
      </c>
      <c r="BF565" t="s">
        <v>8455</v>
      </c>
      <c r="BG565" t="s">
        <v>8464</v>
      </c>
      <c r="BH565">
        <v>0.18181800000000001</v>
      </c>
    </row>
    <row r="566" spans="1:63" x14ac:dyDescent="0.25">
      <c r="A566">
        <v>747</v>
      </c>
      <c r="B566">
        <v>652</v>
      </c>
      <c r="C566" t="s">
        <v>8445</v>
      </c>
      <c r="F566">
        <v>1027659</v>
      </c>
      <c r="G566" t="s">
        <v>9272</v>
      </c>
      <c r="H566" t="s">
        <v>247</v>
      </c>
      <c r="I566" t="s">
        <v>8446</v>
      </c>
      <c r="J566">
        <v>0</v>
      </c>
      <c r="K566">
        <v>6</v>
      </c>
      <c r="L566">
        <v>0</v>
      </c>
      <c r="M566">
        <v>113500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510</v>
      </c>
      <c r="T566">
        <v>0</v>
      </c>
      <c r="U566">
        <v>0</v>
      </c>
      <c r="V566">
        <v>0</v>
      </c>
      <c r="W566" t="s">
        <v>8447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12</v>
      </c>
      <c r="AR566">
        <v>0</v>
      </c>
      <c r="AS566">
        <v>0</v>
      </c>
      <c r="AT566" t="s">
        <v>8448</v>
      </c>
      <c r="AU566">
        <v>0</v>
      </c>
      <c r="AV566">
        <v>0</v>
      </c>
      <c r="AW566" t="s">
        <v>8449</v>
      </c>
      <c r="AX566">
        <v>1</v>
      </c>
      <c r="AY566" t="s">
        <v>8450</v>
      </c>
      <c r="AZ566">
        <v>0</v>
      </c>
      <c r="BA566" t="s">
        <v>8451</v>
      </c>
      <c r="BB566">
        <v>1</v>
      </c>
      <c r="BC566" t="s">
        <v>8452</v>
      </c>
      <c r="BD566">
        <v>0</v>
      </c>
      <c r="BE566" t="s">
        <v>8453</v>
      </c>
      <c r="BF566" t="s">
        <v>8454</v>
      </c>
      <c r="BG566" t="s">
        <v>8455</v>
      </c>
      <c r="BH566">
        <v>0.272727</v>
      </c>
    </row>
    <row r="567" spans="1:63" x14ac:dyDescent="0.25">
      <c r="A567">
        <v>749</v>
      </c>
      <c r="B567">
        <v>655</v>
      </c>
      <c r="C567" t="s">
        <v>8445</v>
      </c>
      <c r="F567">
        <v>1027406</v>
      </c>
      <c r="G567" t="s">
        <v>5352</v>
      </c>
      <c r="H567" t="s">
        <v>9273</v>
      </c>
      <c r="I567" t="s">
        <v>8446</v>
      </c>
      <c r="J567">
        <v>0</v>
      </c>
      <c r="K567">
        <v>6</v>
      </c>
      <c r="L567">
        <v>0</v>
      </c>
      <c r="M567">
        <v>113500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510</v>
      </c>
      <c r="T567">
        <v>0</v>
      </c>
      <c r="U567">
        <v>0</v>
      </c>
      <c r="V567">
        <v>0</v>
      </c>
      <c r="W567" t="s">
        <v>8447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10</v>
      </c>
      <c r="AR567">
        <v>0</v>
      </c>
      <c r="AS567">
        <v>0</v>
      </c>
      <c r="AT567" t="s">
        <v>8448</v>
      </c>
      <c r="AU567">
        <v>0</v>
      </c>
      <c r="AV567">
        <v>0</v>
      </c>
      <c r="AW567" t="s">
        <v>8449</v>
      </c>
      <c r="AX567">
        <v>1</v>
      </c>
      <c r="AY567" t="s">
        <v>8450</v>
      </c>
      <c r="AZ567">
        <v>0</v>
      </c>
      <c r="BA567" t="s">
        <v>8451</v>
      </c>
      <c r="BB567">
        <v>1</v>
      </c>
      <c r="BC567" t="s">
        <v>8452</v>
      </c>
      <c r="BD567">
        <v>0</v>
      </c>
      <c r="BE567" t="s">
        <v>8453</v>
      </c>
      <c r="BF567" t="s">
        <v>8454</v>
      </c>
      <c r="BG567" t="s">
        <v>8455</v>
      </c>
      <c r="BH567">
        <v>0.227273</v>
      </c>
    </row>
    <row r="568" spans="1:63" x14ac:dyDescent="0.25">
      <c r="A568">
        <v>750</v>
      </c>
      <c r="B568">
        <v>660</v>
      </c>
      <c r="C568" t="s">
        <v>8445</v>
      </c>
      <c r="F568">
        <v>1029589</v>
      </c>
      <c r="G568" t="s">
        <v>1184</v>
      </c>
      <c r="H568" t="s">
        <v>9274</v>
      </c>
      <c r="I568" t="s">
        <v>8446</v>
      </c>
      <c r="J568">
        <v>0</v>
      </c>
      <c r="K568">
        <v>6</v>
      </c>
      <c r="L568">
        <v>0</v>
      </c>
      <c r="M568">
        <v>113500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510</v>
      </c>
      <c r="T568">
        <v>0</v>
      </c>
      <c r="U568">
        <v>0</v>
      </c>
      <c r="V568">
        <v>0</v>
      </c>
      <c r="W568" t="s">
        <v>8447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38</v>
      </c>
      <c r="AR568">
        <v>0</v>
      </c>
      <c r="AS568">
        <v>0</v>
      </c>
      <c r="AT568" t="s">
        <v>8448</v>
      </c>
      <c r="AU568">
        <v>0</v>
      </c>
      <c r="AV568">
        <v>0</v>
      </c>
      <c r="AW568" t="s">
        <v>8449</v>
      </c>
      <c r="AX568">
        <v>1</v>
      </c>
      <c r="AY568" t="s">
        <v>8450</v>
      </c>
      <c r="AZ568">
        <v>0</v>
      </c>
      <c r="BA568" t="s">
        <v>8451</v>
      </c>
      <c r="BB568">
        <v>1</v>
      </c>
      <c r="BC568" t="s">
        <v>8452</v>
      </c>
      <c r="BD568">
        <v>0</v>
      </c>
      <c r="BE568" t="s">
        <v>8453</v>
      </c>
      <c r="BF568" t="s">
        <v>8454</v>
      </c>
      <c r="BG568" t="s">
        <v>8455</v>
      </c>
      <c r="BH568">
        <v>0.86363599999999996</v>
      </c>
    </row>
    <row r="569" spans="1:63" x14ac:dyDescent="0.25">
      <c r="A569">
        <v>751</v>
      </c>
      <c r="B569">
        <v>703</v>
      </c>
      <c r="C569" t="s">
        <v>8473</v>
      </c>
      <c r="D569">
        <v>118554</v>
      </c>
      <c r="E569" t="s">
        <v>8474</v>
      </c>
      <c r="F569">
        <v>1036123</v>
      </c>
      <c r="G569" t="s">
        <v>958</v>
      </c>
      <c r="H569" t="s">
        <v>9275</v>
      </c>
      <c r="I569" t="s">
        <v>8548</v>
      </c>
      <c r="J569">
        <v>0</v>
      </c>
      <c r="K569">
        <v>6</v>
      </c>
      <c r="L569">
        <v>0</v>
      </c>
      <c r="M569">
        <v>293200</v>
      </c>
      <c r="N569">
        <v>355</v>
      </c>
      <c r="O569">
        <v>0</v>
      </c>
      <c r="P569">
        <v>5</v>
      </c>
      <c r="Q569">
        <v>0</v>
      </c>
      <c r="R569">
        <v>179700</v>
      </c>
      <c r="S569">
        <v>170</v>
      </c>
      <c r="T569">
        <v>0</v>
      </c>
      <c r="U569">
        <v>0</v>
      </c>
      <c r="V569">
        <v>496</v>
      </c>
      <c r="W569" t="s">
        <v>8481</v>
      </c>
      <c r="X569">
        <v>0</v>
      </c>
      <c r="Y569">
        <v>51</v>
      </c>
      <c r="Z569">
        <v>0</v>
      </c>
      <c r="AA569">
        <v>37</v>
      </c>
      <c r="AB569">
        <v>0</v>
      </c>
      <c r="AC569">
        <v>24</v>
      </c>
      <c r="AD569">
        <v>0</v>
      </c>
      <c r="AE569">
        <v>15</v>
      </c>
      <c r="AF569">
        <v>0</v>
      </c>
      <c r="AG569">
        <v>2</v>
      </c>
      <c r="AH569">
        <v>0</v>
      </c>
      <c r="AI569">
        <v>-5</v>
      </c>
      <c r="AJ569">
        <v>0</v>
      </c>
      <c r="AK569">
        <v>0</v>
      </c>
      <c r="AL569">
        <v>0</v>
      </c>
      <c r="AM569">
        <v>2</v>
      </c>
      <c r="AN569">
        <v>0</v>
      </c>
      <c r="AO569">
        <v>2</v>
      </c>
      <c r="AP569">
        <v>71</v>
      </c>
      <c r="AQ569">
        <v>1735</v>
      </c>
      <c r="AR569">
        <v>71</v>
      </c>
      <c r="AS569">
        <v>81.333299999999994</v>
      </c>
      <c r="AT569" t="s">
        <v>8549</v>
      </c>
      <c r="AU569">
        <v>0</v>
      </c>
      <c r="AV569">
        <v>0</v>
      </c>
      <c r="AW569" t="s">
        <v>8450</v>
      </c>
      <c r="AX569">
        <v>1</v>
      </c>
      <c r="AY569" t="s">
        <v>8497</v>
      </c>
      <c r="AZ569">
        <v>0</v>
      </c>
      <c r="BA569" t="s">
        <v>8449</v>
      </c>
      <c r="BB569">
        <v>1</v>
      </c>
      <c r="BC569" t="s">
        <v>8471</v>
      </c>
      <c r="BD569">
        <v>84</v>
      </c>
      <c r="BE569" t="s">
        <v>8546</v>
      </c>
      <c r="BF569" t="s">
        <v>8534</v>
      </c>
      <c r="BG569" t="s">
        <v>8495</v>
      </c>
      <c r="BH569">
        <v>39.431800000000003</v>
      </c>
      <c r="BJ569" s="1" t="s">
        <v>9276</v>
      </c>
      <c r="BK569" s="1" t="s">
        <v>9277</v>
      </c>
    </row>
    <row r="570" spans="1:63" x14ac:dyDescent="0.25">
      <c r="A570">
        <v>752</v>
      </c>
      <c r="B570">
        <v>704</v>
      </c>
      <c r="C570" t="s">
        <v>8445</v>
      </c>
      <c r="F570">
        <v>1034235</v>
      </c>
      <c r="G570" t="s">
        <v>1318</v>
      </c>
      <c r="H570" t="s">
        <v>9278</v>
      </c>
      <c r="I570" t="s">
        <v>8548</v>
      </c>
      <c r="J570">
        <v>0</v>
      </c>
      <c r="K570">
        <v>6</v>
      </c>
      <c r="L570">
        <v>0</v>
      </c>
      <c r="M570">
        <v>120600</v>
      </c>
      <c r="N570">
        <v>133</v>
      </c>
      <c r="O570">
        <v>0</v>
      </c>
      <c r="P570">
        <v>5</v>
      </c>
      <c r="Q570">
        <v>0</v>
      </c>
      <c r="R570">
        <v>7100</v>
      </c>
      <c r="S570">
        <v>411</v>
      </c>
      <c r="T570">
        <v>0</v>
      </c>
      <c r="U570">
        <v>0</v>
      </c>
      <c r="V570">
        <v>376</v>
      </c>
      <c r="W570" t="s">
        <v>8505</v>
      </c>
      <c r="X570">
        <v>0</v>
      </c>
      <c r="Y570">
        <v>20</v>
      </c>
      <c r="Z570">
        <v>0</v>
      </c>
      <c r="AA570">
        <v>16</v>
      </c>
      <c r="AB570">
        <v>0</v>
      </c>
      <c r="AC570">
        <v>8</v>
      </c>
      <c r="AD570">
        <v>0</v>
      </c>
      <c r="AE570">
        <v>5</v>
      </c>
      <c r="AF570">
        <v>0</v>
      </c>
      <c r="AG570">
        <v>0</v>
      </c>
      <c r="AH570">
        <v>0</v>
      </c>
      <c r="AI570">
        <v>-2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2</v>
      </c>
      <c r="AP570">
        <v>26.6</v>
      </c>
      <c r="AQ570">
        <v>22</v>
      </c>
      <c r="AR570">
        <v>26.6</v>
      </c>
      <c r="AS570">
        <v>30</v>
      </c>
      <c r="AT570" t="s">
        <v>8549</v>
      </c>
      <c r="AU570">
        <v>0</v>
      </c>
      <c r="AV570">
        <v>0</v>
      </c>
      <c r="AW570" t="s">
        <v>8450</v>
      </c>
      <c r="AX570">
        <v>1</v>
      </c>
      <c r="AY570" t="s">
        <v>8497</v>
      </c>
      <c r="AZ570">
        <v>0</v>
      </c>
      <c r="BA570" t="s">
        <v>8449</v>
      </c>
      <c r="BB570">
        <v>1</v>
      </c>
      <c r="BC570" t="s">
        <v>8471</v>
      </c>
      <c r="BD570">
        <v>23</v>
      </c>
      <c r="BE570" t="s">
        <v>8546</v>
      </c>
      <c r="BF570" t="s">
        <v>8534</v>
      </c>
      <c r="BG570" t="s">
        <v>8495</v>
      </c>
      <c r="BH570">
        <v>0.5</v>
      </c>
      <c r="BJ570" s="1" t="s">
        <v>9279</v>
      </c>
      <c r="BK570" s="1" t="s">
        <v>9280</v>
      </c>
    </row>
    <row r="571" spans="1:63" x14ac:dyDescent="0.25">
      <c r="A571">
        <v>753</v>
      </c>
      <c r="B571">
        <v>713</v>
      </c>
      <c r="C571" t="s">
        <v>8445</v>
      </c>
      <c r="F571">
        <v>1028493</v>
      </c>
      <c r="G571" t="s">
        <v>4008</v>
      </c>
      <c r="H571" t="s">
        <v>9281</v>
      </c>
      <c r="I571" t="s">
        <v>8548</v>
      </c>
      <c r="J571">
        <v>0</v>
      </c>
      <c r="K571">
        <v>6</v>
      </c>
      <c r="L571">
        <v>0</v>
      </c>
      <c r="M571">
        <v>113500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510</v>
      </c>
      <c r="T571">
        <v>0</v>
      </c>
      <c r="U571">
        <v>0</v>
      </c>
      <c r="V571">
        <v>0</v>
      </c>
      <c r="W571" t="s">
        <v>8457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18</v>
      </c>
      <c r="AR571">
        <v>0</v>
      </c>
      <c r="AS571">
        <v>0</v>
      </c>
      <c r="AT571" t="s">
        <v>8549</v>
      </c>
      <c r="AU571">
        <v>0</v>
      </c>
      <c r="AV571">
        <v>0</v>
      </c>
      <c r="AW571" t="s">
        <v>8450</v>
      </c>
      <c r="AX571">
        <v>1</v>
      </c>
      <c r="AY571" t="s">
        <v>8497</v>
      </c>
      <c r="AZ571">
        <v>0</v>
      </c>
      <c r="BA571" t="s">
        <v>8449</v>
      </c>
      <c r="BB571">
        <v>1</v>
      </c>
      <c r="BC571" t="s">
        <v>8471</v>
      </c>
      <c r="BD571">
        <v>0</v>
      </c>
      <c r="BE571" t="s">
        <v>8546</v>
      </c>
      <c r="BF571" t="s">
        <v>8534</v>
      </c>
      <c r="BG571" t="s">
        <v>8495</v>
      </c>
      <c r="BH571">
        <v>0.40909099999999998</v>
      </c>
    </row>
    <row r="572" spans="1:63" x14ac:dyDescent="0.25">
      <c r="A572">
        <v>754</v>
      </c>
      <c r="B572">
        <v>717</v>
      </c>
      <c r="C572" t="s">
        <v>8445</v>
      </c>
      <c r="F572">
        <v>1032112</v>
      </c>
      <c r="G572" t="s">
        <v>176</v>
      </c>
      <c r="H572" t="s">
        <v>671</v>
      </c>
      <c r="I572" t="s">
        <v>8548</v>
      </c>
      <c r="J572">
        <v>0</v>
      </c>
      <c r="K572">
        <v>6</v>
      </c>
      <c r="L572">
        <v>0</v>
      </c>
      <c r="M572">
        <v>113500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510</v>
      </c>
      <c r="T572">
        <v>0</v>
      </c>
      <c r="U572">
        <v>0</v>
      </c>
      <c r="V572">
        <v>0</v>
      </c>
      <c r="W572" t="s">
        <v>8457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16</v>
      </c>
      <c r="AR572">
        <v>0</v>
      </c>
      <c r="AS572">
        <v>0</v>
      </c>
      <c r="AT572" t="s">
        <v>8549</v>
      </c>
      <c r="AU572">
        <v>0</v>
      </c>
      <c r="AV572">
        <v>0</v>
      </c>
      <c r="AW572" t="s">
        <v>8450</v>
      </c>
      <c r="AX572">
        <v>1</v>
      </c>
      <c r="AY572" t="s">
        <v>8497</v>
      </c>
      <c r="AZ572">
        <v>0</v>
      </c>
      <c r="BA572" t="s">
        <v>8449</v>
      </c>
      <c r="BB572">
        <v>1</v>
      </c>
      <c r="BC572" t="s">
        <v>8471</v>
      </c>
      <c r="BD572">
        <v>0</v>
      </c>
      <c r="BE572" t="s">
        <v>8546</v>
      </c>
      <c r="BF572" t="s">
        <v>8534</v>
      </c>
      <c r="BG572" t="s">
        <v>8495</v>
      </c>
      <c r="BH572">
        <v>0.36363600000000001</v>
      </c>
    </row>
    <row r="573" spans="1:63" x14ac:dyDescent="0.25">
      <c r="A573">
        <v>755</v>
      </c>
      <c r="B573">
        <v>746</v>
      </c>
      <c r="C573" t="s">
        <v>8445</v>
      </c>
      <c r="F573">
        <v>1032624</v>
      </c>
      <c r="G573" t="s">
        <v>3746</v>
      </c>
      <c r="H573" t="s">
        <v>1409</v>
      </c>
      <c r="I573" t="s">
        <v>8456</v>
      </c>
      <c r="J573">
        <v>0</v>
      </c>
      <c r="K573">
        <v>6</v>
      </c>
      <c r="L573">
        <v>0</v>
      </c>
      <c r="M573">
        <v>113500</v>
      </c>
      <c r="N573">
        <v>34</v>
      </c>
      <c r="O573">
        <v>0</v>
      </c>
      <c r="P573">
        <v>2</v>
      </c>
      <c r="Q573">
        <v>0</v>
      </c>
      <c r="R573">
        <v>0</v>
      </c>
      <c r="S573">
        <v>494</v>
      </c>
      <c r="T573">
        <v>0</v>
      </c>
      <c r="U573">
        <v>0</v>
      </c>
      <c r="V573">
        <v>81</v>
      </c>
      <c r="W573" t="s">
        <v>8466</v>
      </c>
      <c r="X573">
        <v>0</v>
      </c>
      <c r="Y573">
        <v>5</v>
      </c>
      <c r="Z573">
        <v>0</v>
      </c>
      <c r="AA573">
        <v>5</v>
      </c>
      <c r="AB573">
        <v>0</v>
      </c>
      <c r="AC573">
        <v>4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17</v>
      </c>
      <c r="AQ573">
        <v>23</v>
      </c>
      <c r="AR573">
        <v>17</v>
      </c>
      <c r="AS573">
        <v>17</v>
      </c>
      <c r="AT573" t="s">
        <v>8458</v>
      </c>
      <c r="AU573">
        <v>0</v>
      </c>
      <c r="AV573">
        <v>0</v>
      </c>
      <c r="AW573" t="s">
        <v>8459</v>
      </c>
      <c r="AX573">
        <v>1</v>
      </c>
      <c r="AY573" t="s">
        <v>8460</v>
      </c>
      <c r="AZ573">
        <v>0</v>
      </c>
      <c r="BA573" t="s">
        <v>8461</v>
      </c>
      <c r="BB573">
        <v>1</v>
      </c>
      <c r="BC573" t="s">
        <v>8462</v>
      </c>
      <c r="BD573">
        <v>0</v>
      </c>
      <c r="BE573" t="s">
        <v>8455</v>
      </c>
      <c r="BF573" t="s">
        <v>8463</v>
      </c>
      <c r="BG573" t="s">
        <v>8464</v>
      </c>
      <c r="BH573">
        <v>0.52272700000000005</v>
      </c>
      <c r="BJ573" s="1" t="s">
        <v>9282</v>
      </c>
      <c r="BK573" s="1" t="s">
        <v>9283</v>
      </c>
    </row>
    <row r="574" spans="1:63" x14ac:dyDescent="0.25">
      <c r="A574">
        <v>756</v>
      </c>
      <c r="B574">
        <v>753</v>
      </c>
      <c r="C574" t="s">
        <v>8445</v>
      </c>
      <c r="F574">
        <v>1018992</v>
      </c>
      <c r="G574" t="s">
        <v>9284</v>
      </c>
      <c r="H574" t="s">
        <v>9285</v>
      </c>
      <c r="I574" t="s">
        <v>8456</v>
      </c>
      <c r="J574">
        <v>0</v>
      </c>
      <c r="K574">
        <v>6</v>
      </c>
      <c r="L574">
        <v>0</v>
      </c>
      <c r="M574">
        <v>113500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510</v>
      </c>
      <c r="T574">
        <v>0</v>
      </c>
      <c r="U574">
        <v>0</v>
      </c>
      <c r="V574">
        <v>0</v>
      </c>
      <c r="W574" t="s">
        <v>8457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16</v>
      </c>
      <c r="AR574">
        <v>0</v>
      </c>
      <c r="AS574">
        <v>0</v>
      </c>
      <c r="AT574" t="s">
        <v>8458</v>
      </c>
      <c r="AU574">
        <v>0</v>
      </c>
      <c r="AV574">
        <v>0</v>
      </c>
      <c r="AW574" t="s">
        <v>8459</v>
      </c>
      <c r="AX574">
        <v>1</v>
      </c>
      <c r="AY574" t="s">
        <v>8460</v>
      </c>
      <c r="AZ574">
        <v>0</v>
      </c>
      <c r="BA574" t="s">
        <v>8461</v>
      </c>
      <c r="BB574">
        <v>1</v>
      </c>
      <c r="BC574" t="s">
        <v>8462</v>
      </c>
      <c r="BD574">
        <v>0</v>
      </c>
      <c r="BE574" t="s">
        <v>8455</v>
      </c>
      <c r="BF574" t="s">
        <v>8463</v>
      </c>
      <c r="BG574" t="s">
        <v>8464</v>
      </c>
      <c r="BH574">
        <v>0.36363600000000001</v>
      </c>
    </row>
    <row r="575" spans="1:63" x14ac:dyDescent="0.25">
      <c r="A575">
        <v>757</v>
      </c>
      <c r="B575">
        <v>754</v>
      </c>
      <c r="C575" t="s">
        <v>8445</v>
      </c>
      <c r="F575">
        <v>1028561</v>
      </c>
      <c r="G575" t="s">
        <v>776</v>
      </c>
      <c r="H575" t="s">
        <v>9286</v>
      </c>
      <c r="I575" t="s">
        <v>8456</v>
      </c>
      <c r="J575">
        <v>0</v>
      </c>
      <c r="K575">
        <v>6</v>
      </c>
      <c r="L575">
        <v>0</v>
      </c>
      <c r="M575">
        <v>113500</v>
      </c>
      <c r="N575">
        <v>133</v>
      </c>
      <c r="O575">
        <v>0</v>
      </c>
      <c r="P575">
        <v>2</v>
      </c>
      <c r="Q575">
        <v>0</v>
      </c>
      <c r="R575">
        <v>0</v>
      </c>
      <c r="S575">
        <v>411</v>
      </c>
      <c r="T575">
        <v>0</v>
      </c>
      <c r="U575">
        <v>0</v>
      </c>
      <c r="V575">
        <v>190</v>
      </c>
      <c r="W575" t="s">
        <v>8505</v>
      </c>
      <c r="X575">
        <v>0</v>
      </c>
      <c r="Y575">
        <v>21</v>
      </c>
      <c r="Z575">
        <v>0</v>
      </c>
      <c r="AA575">
        <v>14</v>
      </c>
      <c r="AB575">
        <v>0</v>
      </c>
      <c r="AC575">
        <v>8</v>
      </c>
      <c r="AD575">
        <v>0</v>
      </c>
      <c r="AE575">
        <v>4</v>
      </c>
      <c r="AF575">
        <v>0</v>
      </c>
      <c r="AG575">
        <v>4</v>
      </c>
      <c r="AH575">
        <v>0</v>
      </c>
      <c r="AI575">
        <v>-3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2</v>
      </c>
      <c r="AP575">
        <v>66.5</v>
      </c>
      <c r="AQ575">
        <v>128</v>
      </c>
      <c r="AR575">
        <v>66.5</v>
      </c>
      <c r="AS575">
        <v>66.5</v>
      </c>
      <c r="AT575" t="s">
        <v>8458</v>
      </c>
      <c r="AU575">
        <v>0</v>
      </c>
      <c r="AV575">
        <v>0</v>
      </c>
      <c r="AW575" t="s">
        <v>8459</v>
      </c>
      <c r="AX575">
        <v>1</v>
      </c>
      <c r="AY575" t="s">
        <v>8460</v>
      </c>
      <c r="AZ575">
        <v>0</v>
      </c>
      <c r="BA575" t="s">
        <v>8461</v>
      </c>
      <c r="BB575">
        <v>1</v>
      </c>
      <c r="BC575" t="s">
        <v>8462</v>
      </c>
      <c r="BD575">
        <v>0</v>
      </c>
      <c r="BE575" t="s">
        <v>8455</v>
      </c>
      <c r="BF575" t="s">
        <v>8463</v>
      </c>
      <c r="BG575" t="s">
        <v>8464</v>
      </c>
      <c r="BH575">
        <v>2.90909</v>
      </c>
      <c r="BJ575">
        <v>0.7</v>
      </c>
      <c r="BK575" s="1" t="s">
        <v>9287</v>
      </c>
    </row>
    <row r="576" spans="1:63" x14ac:dyDescent="0.25">
      <c r="A576">
        <v>758</v>
      </c>
      <c r="B576">
        <v>773</v>
      </c>
      <c r="C576" t="s">
        <v>8445</v>
      </c>
      <c r="F576">
        <v>1031913</v>
      </c>
      <c r="G576" t="s">
        <v>1796</v>
      </c>
      <c r="H576" t="s">
        <v>9288</v>
      </c>
      <c r="I576" t="s">
        <v>8456</v>
      </c>
      <c r="J576">
        <v>0</v>
      </c>
      <c r="K576">
        <v>6</v>
      </c>
      <c r="L576">
        <v>0</v>
      </c>
      <c r="M576">
        <v>113500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510</v>
      </c>
      <c r="T576">
        <v>0</v>
      </c>
      <c r="U576">
        <v>0</v>
      </c>
      <c r="V576">
        <v>0</v>
      </c>
      <c r="W576" t="s">
        <v>8457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15</v>
      </c>
      <c r="AR576">
        <v>0</v>
      </c>
      <c r="AS576">
        <v>0</v>
      </c>
      <c r="AT576" t="s">
        <v>8458</v>
      </c>
      <c r="AU576">
        <v>0</v>
      </c>
      <c r="AV576">
        <v>0</v>
      </c>
      <c r="AW576" t="s">
        <v>8459</v>
      </c>
      <c r="AX576">
        <v>1</v>
      </c>
      <c r="AY576" t="s">
        <v>8460</v>
      </c>
      <c r="AZ576">
        <v>0</v>
      </c>
      <c r="BA576" t="s">
        <v>8461</v>
      </c>
      <c r="BB576">
        <v>1</v>
      </c>
      <c r="BC576" t="s">
        <v>8462</v>
      </c>
      <c r="BD576">
        <v>0</v>
      </c>
      <c r="BE576" t="s">
        <v>8455</v>
      </c>
      <c r="BF576" t="s">
        <v>8463</v>
      </c>
      <c r="BG576" t="s">
        <v>8464</v>
      </c>
      <c r="BH576">
        <v>0.34090900000000002</v>
      </c>
    </row>
    <row r="577" spans="1:60" x14ac:dyDescent="0.25">
      <c r="A577">
        <v>759</v>
      </c>
      <c r="B577">
        <v>94</v>
      </c>
      <c r="C577" t="s">
        <v>8445</v>
      </c>
      <c r="F577">
        <v>1028496</v>
      </c>
      <c r="G577" t="s">
        <v>2192</v>
      </c>
      <c r="H577" t="s">
        <v>9191</v>
      </c>
      <c r="I577" t="s">
        <v>8465</v>
      </c>
      <c r="J577">
        <v>0</v>
      </c>
      <c r="K577">
        <v>6</v>
      </c>
      <c r="L577">
        <v>0</v>
      </c>
      <c r="M577">
        <v>99100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510</v>
      </c>
      <c r="T577">
        <v>0</v>
      </c>
      <c r="U577">
        <v>0</v>
      </c>
      <c r="V577">
        <v>0</v>
      </c>
      <c r="W577" t="s">
        <v>8466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26</v>
      </c>
      <c r="AR577">
        <v>0</v>
      </c>
      <c r="AS577">
        <v>0</v>
      </c>
      <c r="AT577" t="s">
        <v>8467</v>
      </c>
      <c r="AU577">
        <v>0</v>
      </c>
      <c r="AV577">
        <v>1</v>
      </c>
      <c r="AW577" t="s">
        <v>8468</v>
      </c>
      <c r="AX577">
        <v>0</v>
      </c>
      <c r="AY577" t="s">
        <v>8469</v>
      </c>
      <c r="AZ577">
        <v>1</v>
      </c>
      <c r="BA577" t="s">
        <v>8470</v>
      </c>
      <c r="BB577">
        <v>1</v>
      </c>
      <c r="BC577" t="s">
        <v>8471</v>
      </c>
      <c r="BD577">
        <v>0</v>
      </c>
      <c r="BE577" t="s">
        <v>8464</v>
      </c>
      <c r="BF577" t="s">
        <v>8472</v>
      </c>
      <c r="BG577" t="s">
        <v>8464</v>
      </c>
      <c r="BH577">
        <v>0.59090900000000002</v>
      </c>
    </row>
    <row r="578" spans="1:60" x14ac:dyDescent="0.25">
      <c r="A578">
        <v>760</v>
      </c>
      <c r="B578">
        <v>102</v>
      </c>
      <c r="C578" t="s">
        <v>8445</v>
      </c>
      <c r="F578">
        <v>1039720</v>
      </c>
      <c r="G578" t="s">
        <v>889</v>
      </c>
      <c r="H578" t="s">
        <v>9289</v>
      </c>
      <c r="I578" t="s">
        <v>8465</v>
      </c>
      <c r="J578">
        <v>0</v>
      </c>
      <c r="K578">
        <v>6</v>
      </c>
      <c r="L578">
        <v>0</v>
      </c>
      <c r="M578">
        <v>99100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510</v>
      </c>
      <c r="T578">
        <v>0</v>
      </c>
      <c r="U578">
        <v>0</v>
      </c>
      <c r="V578">
        <v>0</v>
      </c>
      <c r="W578" t="s">
        <v>8466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19</v>
      </c>
      <c r="AR578">
        <v>0</v>
      </c>
      <c r="AS578">
        <v>0</v>
      </c>
      <c r="AT578" t="s">
        <v>8467</v>
      </c>
      <c r="AU578">
        <v>0</v>
      </c>
      <c r="AV578">
        <v>1</v>
      </c>
      <c r="AW578" t="s">
        <v>8468</v>
      </c>
      <c r="AX578">
        <v>0</v>
      </c>
      <c r="AY578" t="s">
        <v>8469</v>
      </c>
      <c r="AZ578">
        <v>1</v>
      </c>
      <c r="BA578" t="s">
        <v>8470</v>
      </c>
      <c r="BB578">
        <v>1</v>
      </c>
      <c r="BC578" t="s">
        <v>8471</v>
      </c>
      <c r="BD578">
        <v>0</v>
      </c>
      <c r="BE578" t="s">
        <v>8464</v>
      </c>
      <c r="BF578" t="s">
        <v>8472</v>
      </c>
      <c r="BG578" t="s">
        <v>8464</v>
      </c>
      <c r="BH578">
        <v>0.43181799999999998</v>
      </c>
    </row>
    <row r="579" spans="1:60" x14ac:dyDescent="0.25">
      <c r="A579">
        <v>761</v>
      </c>
      <c r="B579">
        <v>179</v>
      </c>
      <c r="C579" t="s">
        <v>8445</v>
      </c>
      <c r="F579">
        <v>1029265</v>
      </c>
      <c r="G579" t="s">
        <v>6230</v>
      </c>
      <c r="H579" t="s">
        <v>9290</v>
      </c>
      <c r="I579" t="s">
        <v>8458</v>
      </c>
      <c r="J579">
        <v>0</v>
      </c>
      <c r="K579">
        <v>6</v>
      </c>
      <c r="L579">
        <v>0</v>
      </c>
      <c r="M579">
        <v>99100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510</v>
      </c>
      <c r="T579">
        <v>0</v>
      </c>
      <c r="U579">
        <v>0</v>
      </c>
      <c r="V579">
        <v>0</v>
      </c>
      <c r="W579" t="s">
        <v>8466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35</v>
      </c>
      <c r="AR579">
        <v>0</v>
      </c>
      <c r="AS579">
        <v>0</v>
      </c>
      <c r="AT579" t="s">
        <v>8456</v>
      </c>
      <c r="AU579">
        <v>0</v>
      </c>
      <c r="AV579">
        <v>1</v>
      </c>
      <c r="AW579" t="s">
        <v>8530</v>
      </c>
      <c r="AX579">
        <v>1</v>
      </c>
      <c r="AY579" t="s">
        <v>8526</v>
      </c>
      <c r="AZ579">
        <v>0</v>
      </c>
      <c r="BA579" t="s">
        <v>8491</v>
      </c>
      <c r="BB579">
        <v>0</v>
      </c>
      <c r="BC579" t="s">
        <v>8462</v>
      </c>
      <c r="BD579">
        <v>0</v>
      </c>
      <c r="BE579" t="s">
        <v>8464</v>
      </c>
      <c r="BF579" t="s">
        <v>8455</v>
      </c>
      <c r="BG579" t="s">
        <v>8455</v>
      </c>
      <c r="BH579">
        <v>0.79545500000000002</v>
      </c>
    </row>
    <row r="580" spans="1:60" x14ac:dyDescent="0.25">
      <c r="A580">
        <v>762</v>
      </c>
      <c r="B580">
        <v>201</v>
      </c>
      <c r="C580" t="s">
        <v>8445</v>
      </c>
      <c r="F580">
        <v>1018987</v>
      </c>
      <c r="G580" t="s">
        <v>5806</v>
      </c>
      <c r="H580" t="s">
        <v>9291</v>
      </c>
      <c r="I580" t="s">
        <v>8458</v>
      </c>
      <c r="J580">
        <v>0</v>
      </c>
      <c r="K580">
        <v>6</v>
      </c>
      <c r="L580">
        <v>0</v>
      </c>
      <c r="M580">
        <v>99100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510</v>
      </c>
      <c r="T580">
        <v>0</v>
      </c>
      <c r="U580">
        <v>0</v>
      </c>
      <c r="V580">
        <v>0</v>
      </c>
      <c r="W580" t="s">
        <v>8466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31</v>
      </c>
      <c r="AR580">
        <v>0</v>
      </c>
      <c r="AS580">
        <v>0</v>
      </c>
      <c r="AT580" t="s">
        <v>8456</v>
      </c>
      <c r="AU580">
        <v>0</v>
      </c>
      <c r="AV580">
        <v>1</v>
      </c>
      <c r="AW580" t="s">
        <v>8530</v>
      </c>
      <c r="AX580">
        <v>1</v>
      </c>
      <c r="AY580" t="s">
        <v>8526</v>
      </c>
      <c r="AZ580">
        <v>0</v>
      </c>
      <c r="BA580" t="s">
        <v>8491</v>
      </c>
      <c r="BB580">
        <v>0</v>
      </c>
      <c r="BC580" t="s">
        <v>8462</v>
      </c>
      <c r="BD580">
        <v>0</v>
      </c>
      <c r="BE580" t="s">
        <v>8464</v>
      </c>
      <c r="BF580" t="s">
        <v>8455</v>
      </c>
      <c r="BG580" t="s">
        <v>8455</v>
      </c>
      <c r="BH580">
        <v>0.70454499999999998</v>
      </c>
    </row>
    <row r="581" spans="1:60" x14ac:dyDescent="0.25">
      <c r="A581">
        <v>763</v>
      </c>
      <c r="B581">
        <v>244</v>
      </c>
      <c r="C581" t="s">
        <v>8445</v>
      </c>
      <c r="F581">
        <v>1028228</v>
      </c>
      <c r="G581" t="s">
        <v>4602</v>
      </c>
      <c r="H581" t="s">
        <v>9292</v>
      </c>
      <c r="I581" t="s">
        <v>8502</v>
      </c>
      <c r="J581">
        <v>0</v>
      </c>
      <c r="K581">
        <v>6</v>
      </c>
      <c r="L581">
        <v>0</v>
      </c>
      <c r="M581">
        <v>99100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510</v>
      </c>
      <c r="T581">
        <v>0</v>
      </c>
      <c r="U581">
        <v>0</v>
      </c>
      <c r="V581">
        <v>0</v>
      </c>
      <c r="W581" t="s">
        <v>8466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18</v>
      </c>
      <c r="AR581">
        <v>0</v>
      </c>
      <c r="AS581">
        <v>0</v>
      </c>
      <c r="AT581" t="s">
        <v>8501</v>
      </c>
      <c r="AU581">
        <v>0</v>
      </c>
      <c r="AV581">
        <v>1</v>
      </c>
      <c r="AW581" t="s">
        <v>8469</v>
      </c>
      <c r="AX581">
        <v>0</v>
      </c>
      <c r="AY581" t="s">
        <v>8470</v>
      </c>
      <c r="AZ581">
        <v>1</v>
      </c>
      <c r="BA581" t="s">
        <v>8530</v>
      </c>
      <c r="BB581">
        <v>0</v>
      </c>
      <c r="BC581" t="s">
        <v>8484</v>
      </c>
      <c r="BD581">
        <v>0</v>
      </c>
      <c r="BE581" t="s">
        <v>8463</v>
      </c>
      <c r="BF581" t="s">
        <v>8455</v>
      </c>
      <c r="BG581" t="s">
        <v>8463</v>
      </c>
      <c r="BH581">
        <v>0.40909099999999998</v>
      </c>
    </row>
    <row r="582" spans="1:60" x14ac:dyDescent="0.25">
      <c r="A582">
        <v>764</v>
      </c>
      <c r="B582">
        <v>268</v>
      </c>
      <c r="C582" t="s">
        <v>8445</v>
      </c>
      <c r="F582">
        <v>1028541</v>
      </c>
      <c r="G582" t="s">
        <v>9293</v>
      </c>
      <c r="H582" t="s">
        <v>9294</v>
      </c>
      <c r="I582" t="s">
        <v>8489</v>
      </c>
      <c r="J582">
        <v>0</v>
      </c>
      <c r="K582">
        <v>6</v>
      </c>
      <c r="L582">
        <v>0</v>
      </c>
      <c r="M582">
        <v>99100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510</v>
      </c>
      <c r="T582">
        <v>0</v>
      </c>
      <c r="U582">
        <v>0</v>
      </c>
      <c r="V582">
        <v>0</v>
      </c>
      <c r="W582" t="s">
        <v>8466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19</v>
      </c>
      <c r="AR582">
        <v>0</v>
      </c>
      <c r="AS582">
        <v>0</v>
      </c>
      <c r="AT582" t="s">
        <v>8490</v>
      </c>
      <c r="AU582">
        <v>0</v>
      </c>
      <c r="AV582">
        <v>1</v>
      </c>
      <c r="AW582" t="s">
        <v>8491</v>
      </c>
      <c r="AX582">
        <v>0</v>
      </c>
      <c r="AY582" t="s">
        <v>8492</v>
      </c>
      <c r="AZ582">
        <v>1</v>
      </c>
      <c r="BA582" t="s">
        <v>8493</v>
      </c>
      <c r="BB582">
        <v>0</v>
      </c>
      <c r="BC582" t="s">
        <v>8471</v>
      </c>
      <c r="BD582">
        <v>0</v>
      </c>
      <c r="BE582" t="s">
        <v>8453</v>
      </c>
      <c r="BF582" t="s">
        <v>8494</v>
      </c>
      <c r="BG582" t="s">
        <v>8495</v>
      </c>
      <c r="BH582">
        <v>0.43181799999999998</v>
      </c>
    </row>
    <row r="583" spans="1:60" x14ac:dyDescent="0.25">
      <c r="A583">
        <v>765</v>
      </c>
      <c r="B583">
        <v>269</v>
      </c>
      <c r="C583" t="s">
        <v>8445</v>
      </c>
      <c r="F583">
        <v>1038801</v>
      </c>
      <c r="G583" t="s">
        <v>8070</v>
      </c>
      <c r="H583" t="s">
        <v>6385</v>
      </c>
      <c r="I583" t="s">
        <v>8489</v>
      </c>
      <c r="J583">
        <v>0</v>
      </c>
      <c r="K583">
        <v>6</v>
      </c>
      <c r="L583">
        <v>0</v>
      </c>
      <c r="M583">
        <v>99100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510</v>
      </c>
      <c r="T583">
        <v>0</v>
      </c>
      <c r="U583">
        <v>0</v>
      </c>
      <c r="V583">
        <v>0</v>
      </c>
      <c r="W583" t="s">
        <v>8466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22</v>
      </c>
      <c r="AR583">
        <v>0</v>
      </c>
      <c r="AS583">
        <v>0</v>
      </c>
      <c r="AT583" t="s">
        <v>8490</v>
      </c>
      <c r="AU583">
        <v>0</v>
      </c>
      <c r="AV583">
        <v>1</v>
      </c>
      <c r="AW583" t="s">
        <v>8491</v>
      </c>
      <c r="AX583">
        <v>0</v>
      </c>
      <c r="AY583" t="s">
        <v>8492</v>
      </c>
      <c r="AZ583">
        <v>1</v>
      </c>
      <c r="BA583" t="s">
        <v>8493</v>
      </c>
      <c r="BB583">
        <v>0</v>
      </c>
      <c r="BC583" t="s">
        <v>8471</v>
      </c>
      <c r="BD583">
        <v>0</v>
      </c>
      <c r="BE583" t="s">
        <v>8453</v>
      </c>
      <c r="BF583" t="s">
        <v>8494</v>
      </c>
      <c r="BG583" t="s">
        <v>8495</v>
      </c>
      <c r="BH583">
        <v>0.5</v>
      </c>
    </row>
    <row r="584" spans="1:60" x14ac:dyDescent="0.25">
      <c r="A584">
        <v>766</v>
      </c>
      <c r="B584">
        <v>275</v>
      </c>
      <c r="C584" t="s">
        <v>8445</v>
      </c>
      <c r="F584">
        <v>1029304</v>
      </c>
      <c r="G584" t="s">
        <v>1658</v>
      </c>
      <c r="H584" t="s">
        <v>9295</v>
      </c>
      <c r="I584" t="s">
        <v>8489</v>
      </c>
      <c r="J584">
        <v>0</v>
      </c>
      <c r="K584">
        <v>6</v>
      </c>
      <c r="L584">
        <v>0</v>
      </c>
      <c r="M584">
        <v>99100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510</v>
      </c>
      <c r="T584">
        <v>0</v>
      </c>
      <c r="U584">
        <v>0</v>
      </c>
      <c r="V584">
        <v>0</v>
      </c>
      <c r="W584" t="s">
        <v>8466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27</v>
      </c>
      <c r="AR584">
        <v>0</v>
      </c>
      <c r="AS584">
        <v>0</v>
      </c>
      <c r="AT584" t="s">
        <v>8490</v>
      </c>
      <c r="AU584">
        <v>0</v>
      </c>
      <c r="AV584">
        <v>1</v>
      </c>
      <c r="AW584" t="s">
        <v>8491</v>
      </c>
      <c r="AX584">
        <v>0</v>
      </c>
      <c r="AY584" t="s">
        <v>8492</v>
      </c>
      <c r="AZ584">
        <v>1</v>
      </c>
      <c r="BA584" t="s">
        <v>8493</v>
      </c>
      <c r="BB584">
        <v>0</v>
      </c>
      <c r="BC584" t="s">
        <v>8471</v>
      </c>
      <c r="BD584">
        <v>0</v>
      </c>
      <c r="BE584" t="s">
        <v>8453</v>
      </c>
      <c r="BF584" t="s">
        <v>8494</v>
      </c>
      <c r="BG584" t="s">
        <v>8495</v>
      </c>
      <c r="BH584">
        <v>0.61363599999999996</v>
      </c>
    </row>
    <row r="585" spans="1:60" x14ac:dyDescent="0.25">
      <c r="A585">
        <v>767</v>
      </c>
      <c r="B585">
        <v>306</v>
      </c>
      <c r="C585" t="s">
        <v>8445</v>
      </c>
      <c r="F585">
        <v>1039509</v>
      </c>
      <c r="G585" t="s">
        <v>9296</v>
      </c>
      <c r="H585" t="s">
        <v>9297</v>
      </c>
      <c r="I585" t="s">
        <v>8482</v>
      </c>
      <c r="J585">
        <v>0</v>
      </c>
      <c r="K585">
        <v>6</v>
      </c>
      <c r="L585">
        <v>0</v>
      </c>
      <c r="M585">
        <v>99100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510</v>
      </c>
      <c r="T585">
        <v>0</v>
      </c>
      <c r="U585">
        <v>0</v>
      </c>
      <c r="V585">
        <v>0</v>
      </c>
      <c r="W585" t="s">
        <v>8447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17</v>
      </c>
      <c r="AR585">
        <v>0</v>
      </c>
      <c r="AS585">
        <v>0</v>
      </c>
      <c r="AT585" t="s">
        <v>8480</v>
      </c>
      <c r="AU585">
        <v>0</v>
      </c>
      <c r="AV585">
        <v>0</v>
      </c>
      <c r="AW585" t="s">
        <v>8514</v>
      </c>
      <c r="AX585">
        <v>1</v>
      </c>
      <c r="AY585" t="s">
        <v>8530</v>
      </c>
      <c r="AZ585">
        <v>1</v>
      </c>
      <c r="BA585" t="s">
        <v>8450</v>
      </c>
      <c r="BB585">
        <v>0</v>
      </c>
      <c r="BC585" t="s">
        <v>8484</v>
      </c>
      <c r="BD585">
        <v>0</v>
      </c>
      <c r="BE585" t="s">
        <v>8464</v>
      </c>
      <c r="BF585" t="s">
        <v>8464</v>
      </c>
      <c r="BG585" t="s">
        <v>8531</v>
      </c>
      <c r="BH585">
        <v>0.38636399999999999</v>
      </c>
    </row>
    <row r="586" spans="1:60" x14ac:dyDescent="0.25">
      <c r="A586">
        <v>768</v>
      </c>
      <c r="B586">
        <v>324</v>
      </c>
      <c r="C586" t="s">
        <v>8445</v>
      </c>
      <c r="F586">
        <v>1028489</v>
      </c>
      <c r="G586" t="s">
        <v>580</v>
      </c>
      <c r="H586" t="s">
        <v>9298</v>
      </c>
      <c r="I586" t="s">
        <v>8482</v>
      </c>
      <c r="J586">
        <v>0</v>
      </c>
      <c r="K586">
        <v>6</v>
      </c>
      <c r="L586">
        <v>0</v>
      </c>
      <c r="M586">
        <v>99100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510</v>
      </c>
      <c r="T586">
        <v>0</v>
      </c>
      <c r="U586">
        <v>0</v>
      </c>
      <c r="V586">
        <v>0</v>
      </c>
      <c r="W586" t="s">
        <v>8447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62</v>
      </c>
      <c r="AR586">
        <v>0</v>
      </c>
      <c r="AS586">
        <v>0</v>
      </c>
      <c r="AT586" t="s">
        <v>8480</v>
      </c>
      <c r="AU586">
        <v>0</v>
      </c>
      <c r="AV586">
        <v>0</v>
      </c>
      <c r="AW586" t="s">
        <v>8514</v>
      </c>
      <c r="AX586">
        <v>1</v>
      </c>
      <c r="AY586" t="s">
        <v>8530</v>
      </c>
      <c r="AZ586">
        <v>1</v>
      </c>
      <c r="BA586" t="s">
        <v>8450</v>
      </c>
      <c r="BB586">
        <v>0</v>
      </c>
      <c r="BC586" t="s">
        <v>8484</v>
      </c>
      <c r="BD586">
        <v>0</v>
      </c>
      <c r="BE586" t="s">
        <v>8464</v>
      </c>
      <c r="BF586" t="s">
        <v>8464</v>
      </c>
      <c r="BG586" t="s">
        <v>8531</v>
      </c>
      <c r="BH586">
        <v>1.40909</v>
      </c>
    </row>
    <row r="587" spans="1:60" x14ac:dyDescent="0.25">
      <c r="A587">
        <v>769</v>
      </c>
      <c r="B587">
        <v>336</v>
      </c>
      <c r="C587" t="s">
        <v>8445</v>
      </c>
      <c r="F587">
        <v>1027854</v>
      </c>
      <c r="G587" t="s">
        <v>6163</v>
      </c>
      <c r="H587" t="s">
        <v>9299</v>
      </c>
      <c r="I587" t="s">
        <v>8482</v>
      </c>
      <c r="J587">
        <v>0</v>
      </c>
      <c r="K587">
        <v>6</v>
      </c>
      <c r="L587">
        <v>0</v>
      </c>
      <c r="M587">
        <v>99100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510</v>
      </c>
      <c r="T587">
        <v>0</v>
      </c>
      <c r="U587">
        <v>0</v>
      </c>
      <c r="V587">
        <v>0</v>
      </c>
      <c r="W587" t="s">
        <v>8447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41</v>
      </c>
      <c r="AR587">
        <v>0</v>
      </c>
      <c r="AS587">
        <v>0</v>
      </c>
      <c r="AT587" t="s">
        <v>8480</v>
      </c>
      <c r="AU587">
        <v>0</v>
      </c>
      <c r="AV587">
        <v>0</v>
      </c>
      <c r="AW587" t="s">
        <v>8514</v>
      </c>
      <c r="AX587">
        <v>1</v>
      </c>
      <c r="AY587" t="s">
        <v>8530</v>
      </c>
      <c r="AZ587">
        <v>1</v>
      </c>
      <c r="BA587" t="s">
        <v>8450</v>
      </c>
      <c r="BB587">
        <v>0</v>
      </c>
      <c r="BC587" t="s">
        <v>8484</v>
      </c>
      <c r="BD587">
        <v>0</v>
      </c>
      <c r="BE587" t="s">
        <v>8464</v>
      </c>
      <c r="BF587" t="s">
        <v>8464</v>
      </c>
      <c r="BG587" t="s">
        <v>8531</v>
      </c>
      <c r="BH587">
        <v>0.93181800000000004</v>
      </c>
    </row>
    <row r="588" spans="1:60" x14ac:dyDescent="0.25">
      <c r="A588">
        <v>770</v>
      </c>
      <c r="B588">
        <v>338</v>
      </c>
      <c r="C588" t="s">
        <v>8445</v>
      </c>
      <c r="F588">
        <v>1032081</v>
      </c>
      <c r="G588" t="s">
        <v>3697</v>
      </c>
      <c r="H588" t="s">
        <v>9300</v>
      </c>
      <c r="I588" t="s">
        <v>8482</v>
      </c>
      <c r="J588">
        <v>0</v>
      </c>
      <c r="K588">
        <v>6</v>
      </c>
      <c r="L588">
        <v>0</v>
      </c>
      <c r="M588">
        <v>99100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510</v>
      </c>
      <c r="T588">
        <v>0</v>
      </c>
      <c r="U588">
        <v>0</v>
      </c>
      <c r="V588">
        <v>0</v>
      </c>
      <c r="W588" t="s">
        <v>8447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69</v>
      </c>
      <c r="AR588">
        <v>0</v>
      </c>
      <c r="AS588">
        <v>0</v>
      </c>
      <c r="AT588" t="s">
        <v>8480</v>
      </c>
      <c r="AU588">
        <v>0</v>
      </c>
      <c r="AV588">
        <v>0</v>
      </c>
      <c r="AW588" t="s">
        <v>8514</v>
      </c>
      <c r="AX588">
        <v>1</v>
      </c>
      <c r="AY588" t="s">
        <v>8530</v>
      </c>
      <c r="AZ588">
        <v>1</v>
      </c>
      <c r="BA588" t="s">
        <v>8450</v>
      </c>
      <c r="BB588">
        <v>0</v>
      </c>
      <c r="BC588" t="s">
        <v>8484</v>
      </c>
      <c r="BD588">
        <v>0</v>
      </c>
      <c r="BE588" t="s">
        <v>8464</v>
      </c>
      <c r="BF588" t="s">
        <v>8464</v>
      </c>
      <c r="BG588" t="s">
        <v>8531</v>
      </c>
      <c r="BH588">
        <v>1.5681799999999999</v>
      </c>
    </row>
    <row r="589" spans="1:60" x14ac:dyDescent="0.25">
      <c r="A589">
        <v>771</v>
      </c>
      <c r="B589">
        <v>357</v>
      </c>
      <c r="C589" t="s">
        <v>8445</v>
      </c>
      <c r="F589">
        <v>1029030</v>
      </c>
      <c r="G589" t="s">
        <v>9301</v>
      </c>
      <c r="H589" t="s">
        <v>9302</v>
      </c>
      <c r="I589" t="s">
        <v>8512</v>
      </c>
      <c r="J589">
        <v>0</v>
      </c>
      <c r="K589">
        <v>6</v>
      </c>
      <c r="L589">
        <v>0</v>
      </c>
      <c r="M589">
        <v>99100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510</v>
      </c>
      <c r="T589">
        <v>0</v>
      </c>
      <c r="U589">
        <v>0</v>
      </c>
      <c r="V589">
        <v>0</v>
      </c>
      <c r="W589" t="s">
        <v>8447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45</v>
      </c>
      <c r="AR589">
        <v>0</v>
      </c>
      <c r="AS589">
        <v>0</v>
      </c>
      <c r="AT589" t="s">
        <v>8511</v>
      </c>
      <c r="AU589">
        <v>0</v>
      </c>
      <c r="AV589">
        <v>1</v>
      </c>
      <c r="AW589" t="s">
        <v>8493</v>
      </c>
      <c r="AX589">
        <v>0</v>
      </c>
      <c r="AY589" t="s">
        <v>8491</v>
      </c>
      <c r="AZ589">
        <v>1</v>
      </c>
      <c r="BA589" t="s">
        <v>8468</v>
      </c>
      <c r="BB589">
        <v>1</v>
      </c>
      <c r="BC589" t="s">
        <v>8515</v>
      </c>
      <c r="BD589">
        <v>0</v>
      </c>
      <c r="BE589" t="s">
        <v>8546</v>
      </c>
      <c r="BF589" t="s">
        <v>8454</v>
      </c>
      <c r="BG589" t="s">
        <v>8531</v>
      </c>
      <c r="BH589">
        <v>1.0227299999999999</v>
      </c>
    </row>
    <row r="590" spans="1:60" x14ac:dyDescent="0.25">
      <c r="A590">
        <v>772</v>
      </c>
      <c r="B590">
        <v>404</v>
      </c>
      <c r="C590" t="s">
        <v>8445</v>
      </c>
      <c r="F590">
        <v>1039500</v>
      </c>
      <c r="G590" t="s">
        <v>889</v>
      </c>
      <c r="H590" t="s">
        <v>1378</v>
      </c>
      <c r="I590" t="s">
        <v>8480</v>
      </c>
      <c r="J590">
        <v>0</v>
      </c>
      <c r="K590">
        <v>6</v>
      </c>
      <c r="L590">
        <v>0</v>
      </c>
      <c r="M590">
        <v>99100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510</v>
      </c>
      <c r="T590">
        <v>0</v>
      </c>
      <c r="U590">
        <v>0</v>
      </c>
      <c r="V590">
        <v>0</v>
      </c>
      <c r="W590" t="s">
        <v>8447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50</v>
      </c>
      <c r="AR590">
        <v>0</v>
      </c>
      <c r="AS590">
        <v>0</v>
      </c>
      <c r="AT590" t="s">
        <v>8482</v>
      </c>
      <c r="AU590">
        <v>0</v>
      </c>
      <c r="AV590">
        <v>1</v>
      </c>
      <c r="AW590" t="s">
        <v>8483</v>
      </c>
      <c r="AX590">
        <v>0</v>
      </c>
      <c r="AY590" t="s">
        <v>8461</v>
      </c>
      <c r="AZ590">
        <v>0</v>
      </c>
      <c r="BA590" t="s">
        <v>8460</v>
      </c>
      <c r="BB590">
        <v>1</v>
      </c>
      <c r="BC590" t="s">
        <v>8484</v>
      </c>
      <c r="BD590">
        <v>0</v>
      </c>
      <c r="BE590" t="s">
        <v>8455</v>
      </c>
      <c r="BF590" t="s">
        <v>8464</v>
      </c>
      <c r="BG590" t="s">
        <v>8464</v>
      </c>
      <c r="BH590">
        <v>1.13636</v>
      </c>
    </row>
    <row r="591" spans="1:60" x14ac:dyDescent="0.25">
      <c r="A591">
        <v>773</v>
      </c>
      <c r="B591">
        <v>428</v>
      </c>
      <c r="C591" t="s">
        <v>8445</v>
      </c>
      <c r="F591">
        <v>1039499</v>
      </c>
      <c r="G591" t="s">
        <v>9303</v>
      </c>
      <c r="H591" t="s">
        <v>9304</v>
      </c>
      <c r="I591" t="s">
        <v>8480</v>
      </c>
      <c r="J591">
        <v>0</v>
      </c>
      <c r="K591">
        <v>6</v>
      </c>
      <c r="L591">
        <v>0</v>
      </c>
      <c r="M591">
        <v>99100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510</v>
      </c>
      <c r="T591">
        <v>0</v>
      </c>
      <c r="U591">
        <v>0</v>
      </c>
      <c r="V591">
        <v>0</v>
      </c>
      <c r="W591" t="s">
        <v>8447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77</v>
      </c>
      <c r="AR591">
        <v>0</v>
      </c>
      <c r="AS591">
        <v>0</v>
      </c>
      <c r="AT591" t="s">
        <v>8482</v>
      </c>
      <c r="AU591">
        <v>0</v>
      </c>
      <c r="AV591">
        <v>1</v>
      </c>
      <c r="AW591" t="s">
        <v>8483</v>
      </c>
      <c r="AX591">
        <v>0</v>
      </c>
      <c r="AY591" t="s">
        <v>8461</v>
      </c>
      <c r="AZ591">
        <v>0</v>
      </c>
      <c r="BA591" t="s">
        <v>8460</v>
      </c>
      <c r="BB591">
        <v>1</v>
      </c>
      <c r="BC591" t="s">
        <v>8484</v>
      </c>
      <c r="BD591">
        <v>0</v>
      </c>
      <c r="BE591" t="s">
        <v>8455</v>
      </c>
      <c r="BF591" t="s">
        <v>8464</v>
      </c>
      <c r="BG591" t="s">
        <v>8464</v>
      </c>
      <c r="BH591">
        <v>1.75</v>
      </c>
    </row>
    <row r="592" spans="1:60" x14ac:dyDescent="0.25">
      <c r="A592">
        <v>774</v>
      </c>
      <c r="B592">
        <v>457</v>
      </c>
      <c r="C592" t="s">
        <v>8445</v>
      </c>
      <c r="F592">
        <v>1029211</v>
      </c>
      <c r="G592" t="s">
        <v>3142</v>
      </c>
      <c r="H592" t="s">
        <v>9305</v>
      </c>
      <c r="I592" t="s">
        <v>8501</v>
      </c>
      <c r="J592">
        <v>0</v>
      </c>
      <c r="K592">
        <v>6</v>
      </c>
      <c r="L592">
        <v>0</v>
      </c>
      <c r="M592">
        <v>99100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510</v>
      </c>
      <c r="T592">
        <v>0</v>
      </c>
      <c r="U592">
        <v>0</v>
      </c>
      <c r="V592">
        <v>0</v>
      </c>
      <c r="W592" t="s">
        <v>8447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51</v>
      </c>
      <c r="AR592">
        <v>0</v>
      </c>
      <c r="AS592">
        <v>0</v>
      </c>
      <c r="AT592" t="s">
        <v>8502</v>
      </c>
      <c r="AU592">
        <v>0</v>
      </c>
      <c r="AV592">
        <v>0</v>
      </c>
      <c r="AW592" t="s">
        <v>8461</v>
      </c>
      <c r="AX592">
        <v>0</v>
      </c>
      <c r="AY592" t="s">
        <v>8483</v>
      </c>
      <c r="AZ592">
        <v>1</v>
      </c>
      <c r="BA592" t="s">
        <v>8459</v>
      </c>
      <c r="BB592">
        <v>0</v>
      </c>
      <c r="BC592" t="s">
        <v>8484</v>
      </c>
      <c r="BD592">
        <v>0</v>
      </c>
      <c r="BE592" t="s">
        <v>8464</v>
      </c>
      <c r="BF592" t="s">
        <v>8463</v>
      </c>
      <c r="BG592" t="s">
        <v>8464</v>
      </c>
      <c r="BH592">
        <v>1.15909</v>
      </c>
    </row>
    <row r="593" spans="1:63" x14ac:dyDescent="0.25">
      <c r="A593">
        <v>775</v>
      </c>
      <c r="B593">
        <v>523</v>
      </c>
      <c r="C593" t="s">
        <v>8445</v>
      </c>
      <c r="F593">
        <v>1022601</v>
      </c>
      <c r="G593" t="s">
        <v>9306</v>
      </c>
      <c r="H593" t="s">
        <v>2235</v>
      </c>
      <c r="I593" t="s">
        <v>8448</v>
      </c>
      <c r="J593">
        <v>0</v>
      </c>
      <c r="K593">
        <v>6</v>
      </c>
      <c r="L593">
        <v>0</v>
      </c>
      <c r="M593">
        <v>99100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510</v>
      </c>
      <c r="T593">
        <v>0</v>
      </c>
      <c r="U593">
        <v>0</v>
      </c>
      <c r="V593">
        <v>0</v>
      </c>
      <c r="W593" t="s">
        <v>8447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62</v>
      </c>
      <c r="AR593">
        <v>0</v>
      </c>
      <c r="AS593">
        <v>0</v>
      </c>
      <c r="AT593" t="s">
        <v>8446</v>
      </c>
      <c r="AU593">
        <v>0</v>
      </c>
      <c r="AV593">
        <v>1</v>
      </c>
      <c r="AW593" t="s">
        <v>8526</v>
      </c>
      <c r="AX593">
        <v>0</v>
      </c>
      <c r="AY593" t="s">
        <v>8493</v>
      </c>
      <c r="AZ593">
        <v>1</v>
      </c>
      <c r="BA593" t="s">
        <v>8469</v>
      </c>
      <c r="BB593">
        <v>0</v>
      </c>
      <c r="BC593" t="s">
        <v>8452</v>
      </c>
      <c r="BD593">
        <v>0</v>
      </c>
      <c r="BE593" t="s">
        <v>8472</v>
      </c>
      <c r="BF593" t="s">
        <v>8534</v>
      </c>
      <c r="BG593" t="s">
        <v>8472</v>
      </c>
      <c r="BH593">
        <v>1.40909</v>
      </c>
    </row>
    <row r="594" spans="1:63" x14ac:dyDescent="0.25">
      <c r="A594">
        <v>776</v>
      </c>
      <c r="B594">
        <v>532</v>
      </c>
      <c r="C594" t="s">
        <v>8445</v>
      </c>
      <c r="F594">
        <v>1022371</v>
      </c>
      <c r="G594" t="s">
        <v>776</v>
      </c>
      <c r="H594" t="s">
        <v>9307</v>
      </c>
      <c r="I594" t="s">
        <v>8448</v>
      </c>
      <c r="J594">
        <v>0</v>
      </c>
      <c r="K594">
        <v>6</v>
      </c>
      <c r="L594">
        <v>0</v>
      </c>
      <c r="M594">
        <v>99100</v>
      </c>
      <c r="N594">
        <v>65</v>
      </c>
      <c r="O594">
        <v>0</v>
      </c>
      <c r="P594">
        <v>2</v>
      </c>
      <c r="Q594">
        <v>0</v>
      </c>
      <c r="R594">
        <v>0</v>
      </c>
      <c r="S594">
        <v>467</v>
      </c>
      <c r="T594">
        <v>0</v>
      </c>
      <c r="U594">
        <v>0</v>
      </c>
      <c r="V594">
        <v>117</v>
      </c>
      <c r="W594" t="s">
        <v>8505</v>
      </c>
      <c r="X594">
        <v>0</v>
      </c>
      <c r="Y594">
        <v>9</v>
      </c>
      <c r="Z594">
        <v>0</v>
      </c>
      <c r="AA594">
        <v>4</v>
      </c>
      <c r="AB594">
        <v>0</v>
      </c>
      <c r="AC594">
        <v>3</v>
      </c>
      <c r="AD594">
        <v>0</v>
      </c>
      <c r="AE594">
        <v>2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1</v>
      </c>
      <c r="AP594">
        <v>32.5</v>
      </c>
      <c r="AQ594">
        <v>57</v>
      </c>
      <c r="AR594">
        <v>32.5</v>
      </c>
      <c r="AS594">
        <v>32.5</v>
      </c>
      <c r="AT594" t="s">
        <v>8446</v>
      </c>
      <c r="AU594">
        <v>0</v>
      </c>
      <c r="AV594">
        <v>1</v>
      </c>
      <c r="AW594" t="s">
        <v>8526</v>
      </c>
      <c r="AX594">
        <v>0</v>
      </c>
      <c r="AY594" t="s">
        <v>8493</v>
      </c>
      <c r="AZ594">
        <v>1</v>
      </c>
      <c r="BA594" t="s">
        <v>8469</v>
      </c>
      <c r="BB594">
        <v>0</v>
      </c>
      <c r="BC594" t="s">
        <v>8452</v>
      </c>
      <c r="BD594">
        <v>0</v>
      </c>
      <c r="BE594" t="s">
        <v>8472</v>
      </c>
      <c r="BF594" t="s">
        <v>8534</v>
      </c>
      <c r="BG594" t="s">
        <v>8472</v>
      </c>
      <c r="BH594">
        <v>1.29545</v>
      </c>
      <c r="BJ594" s="1" t="s">
        <v>9308</v>
      </c>
      <c r="BK594" s="1" t="s">
        <v>9309</v>
      </c>
    </row>
    <row r="595" spans="1:63" x14ac:dyDescent="0.25">
      <c r="A595">
        <v>777</v>
      </c>
      <c r="B595">
        <v>548</v>
      </c>
      <c r="C595" t="s">
        <v>8445</v>
      </c>
      <c r="F595">
        <v>1038914</v>
      </c>
      <c r="G595" t="s">
        <v>3830</v>
      </c>
      <c r="H595" t="s">
        <v>9310</v>
      </c>
      <c r="I595" t="s">
        <v>8448</v>
      </c>
      <c r="J595">
        <v>0</v>
      </c>
      <c r="K595">
        <v>6</v>
      </c>
      <c r="L595">
        <v>0</v>
      </c>
      <c r="M595">
        <v>99100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510</v>
      </c>
      <c r="T595">
        <v>0</v>
      </c>
      <c r="U595">
        <v>0</v>
      </c>
      <c r="V595">
        <v>0</v>
      </c>
      <c r="W595" t="s">
        <v>8447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57</v>
      </c>
      <c r="AR595">
        <v>0</v>
      </c>
      <c r="AS595">
        <v>0</v>
      </c>
      <c r="AT595" t="s">
        <v>8446</v>
      </c>
      <c r="AU595">
        <v>0</v>
      </c>
      <c r="AV595">
        <v>1</v>
      </c>
      <c r="AW595" t="s">
        <v>8526</v>
      </c>
      <c r="AX595">
        <v>0</v>
      </c>
      <c r="AY595" t="s">
        <v>8493</v>
      </c>
      <c r="AZ595">
        <v>1</v>
      </c>
      <c r="BA595" t="s">
        <v>8469</v>
      </c>
      <c r="BB595">
        <v>0</v>
      </c>
      <c r="BC595" t="s">
        <v>8452</v>
      </c>
      <c r="BD595">
        <v>0</v>
      </c>
      <c r="BE595" t="s">
        <v>8472</v>
      </c>
      <c r="BF595" t="s">
        <v>8534</v>
      </c>
      <c r="BG595" t="s">
        <v>8472</v>
      </c>
      <c r="BH595">
        <v>1.29545</v>
      </c>
    </row>
    <row r="596" spans="1:63" x14ac:dyDescent="0.25">
      <c r="A596">
        <v>778</v>
      </c>
      <c r="B596">
        <v>607</v>
      </c>
      <c r="C596" t="s">
        <v>8445</v>
      </c>
      <c r="F596">
        <v>1039730</v>
      </c>
      <c r="G596" t="s">
        <v>9311</v>
      </c>
      <c r="H596" t="s">
        <v>9261</v>
      </c>
      <c r="I596" t="s">
        <v>8549</v>
      </c>
      <c r="J596">
        <v>0</v>
      </c>
      <c r="K596">
        <v>6</v>
      </c>
      <c r="L596">
        <v>0</v>
      </c>
      <c r="M596">
        <v>99100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510</v>
      </c>
      <c r="T596">
        <v>0</v>
      </c>
      <c r="U596">
        <v>0</v>
      </c>
      <c r="V596">
        <v>0</v>
      </c>
      <c r="W596" t="s">
        <v>8447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71</v>
      </c>
      <c r="AR596">
        <v>0</v>
      </c>
      <c r="AS596">
        <v>0</v>
      </c>
      <c r="AT596" t="s">
        <v>8548</v>
      </c>
      <c r="AU596">
        <v>0</v>
      </c>
      <c r="AV596">
        <v>1</v>
      </c>
      <c r="AW596" t="s">
        <v>8492</v>
      </c>
      <c r="AX596">
        <v>0</v>
      </c>
      <c r="AY596" t="s">
        <v>8513</v>
      </c>
      <c r="AZ596">
        <v>0</v>
      </c>
      <c r="BA596" t="s">
        <v>8514</v>
      </c>
      <c r="BB596">
        <v>0</v>
      </c>
      <c r="BC596" t="s">
        <v>8471</v>
      </c>
      <c r="BD596">
        <v>0</v>
      </c>
      <c r="BE596" t="s">
        <v>8455</v>
      </c>
      <c r="BF596" t="s">
        <v>8455</v>
      </c>
      <c r="BG596" t="s">
        <v>8464</v>
      </c>
      <c r="BH596">
        <v>1.61364</v>
      </c>
    </row>
    <row r="597" spans="1:63" x14ac:dyDescent="0.25">
      <c r="A597">
        <v>779</v>
      </c>
      <c r="B597">
        <v>675</v>
      </c>
      <c r="C597" t="s">
        <v>8445</v>
      </c>
      <c r="F597">
        <v>1028564</v>
      </c>
      <c r="G597" t="s">
        <v>6512</v>
      </c>
      <c r="H597" t="s">
        <v>9312</v>
      </c>
      <c r="I597" t="s">
        <v>8446</v>
      </c>
      <c r="J597">
        <v>0</v>
      </c>
      <c r="K597">
        <v>6</v>
      </c>
      <c r="L597">
        <v>0</v>
      </c>
      <c r="M597">
        <v>99100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510</v>
      </c>
      <c r="T597">
        <v>0</v>
      </c>
      <c r="U597">
        <v>0</v>
      </c>
      <c r="V597">
        <v>0</v>
      </c>
      <c r="W597" t="s">
        <v>8447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67</v>
      </c>
      <c r="AR597">
        <v>0</v>
      </c>
      <c r="AS597">
        <v>0</v>
      </c>
      <c r="AT597" t="s">
        <v>8448</v>
      </c>
      <c r="AU597">
        <v>0</v>
      </c>
      <c r="AV597">
        <v>0</v>
      </c>
      <c r="AW597" t="s">
        <v>8449</v>
      </c>
      <c r="AX597">
        <v>1</v>
      </c>
      <c r="AY597" t="s">
        <v>8450</v>
      </c>
      <c r="AZ597">
        <v>0</v>
      </c>
      <c r="BA597" t="s">
        <v>8451</v>
      </c>
      <c r="BB597">
        <v>1</v>
      </c>
      <c r="BC597" t="s">
        <v>8452</v>
      </c>
      <c r="BD597">
        <v>0</v>
      </c>
      <c r="BE597" t="s">
        <v>8453</v>
      </c>
      <c r="BF597" t="s">
        <v>8454</v>
      </c>
      <c r="BG597" t="s">
        <v>8455</v>
      </c>
      <c r="BH597">
        <v>1.5227299999999999</v>
      </c>
    </row>
    <row r="598" spans="1:63" x14ac:dyDescent="0.25">
      <c r="A598">
        <v>780</v>
      </c>
      <c r="B598">
        <v>742</v>
      </c>
      <c r="C598" t="s">
        <v>8445</v>
      </c>
      <c r="F598">
        <v>1029136</v>
      </c>
      <c r="G598" t="s">
        <v>9313</v>
      </c>
      <c r="H598" t="s">
        <v>9314</v>
      </c>
      <c r="I598" t="s">
        <v>8456</v>
      </c>
      <c r="J598">
        <v>0</v>
      </c>
      <c r="K598">
        <v>6</v>
      </c>
      <c r="L598">
        <v>0</v>
      </c>
      <c r="M598">
        <v>99100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510</v>
      </c>
      <c r="T598">
        <v>0</v>
      </c>
      <c r="U598">
        <v>0</v>
      </c>
      <c r="V598">
        <v>0</v>
      </c>
      <c r="W598" t="s">
        <v>8457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65</v>
      </c>
      <c r="AR598">
        <v>0</v>
      </c>
      <c r="AS598">
        <v>0</v>
      </c>
      <c r="AT598" t="s">
        <v>8458</v>
      </c>
      <c r="AU598">
        <v>0</v>
      </c>
      <c r="AV598">
        <v>0</v>
      </c>
      <c r="AW598" t="s">
        <v>8459</v>
      </c>
      <c r="AX598">
        <v>1</v>
      </c>
      <c r="AY598" t="s">
        <v>8460</v>
      </c>
      <c r="AZ598">
        <v>0</v>
      </c>
      <c r="BA598" t="s">
        <v>8461</v>
      </c>
      <c r="BB598">
        <v>1</v>
      </c>
      <c r="BC598" t="s">
        <v>8462</v>
      </c>
      <c r="BD598">
        <v>0</v>
      </c>
      <c r="BE598" t="s">
        <v>8455</v>
      </c>
      <c r="BF598" t="s">
        <v>8463</v>
      </c>
      <c r="BG598" t="s">
        <v>8464</v>
      </c>
      <c r="BH598">
        <v>1.4772700000000001</v>
      </c>
    </row>
    <row r="599" spans="1:63" x14ac:dyDescent="0.25">
      <c r="A599">
        <v>781</v>
      </c>
      <c r="B599">
        <v>779</v>
      </c>
      <c r="C599" t="s">
        <v>8445</v>
      </c>
      <c r="F599">
        <v>1000958</v>
      </c>
      <c r="G599" t="s">
        <v>2192</v>
      </c>
      <c r="H599" t="s">
        <v>1605</v>
      </c>
      <c r="I599" t="s">
        <v>8549</v>
      </c>
      <c r="J599">
        <v>0</v>
      </c>
      <c r="K599">
        <v>6</v>
      </c>
      <c r="L599">
        <v>0</v>
      </c>
      <c r="M599">
        <v>99100</v>
      </c>
      <c r="N599">
        <v>63</v>
      </c>
      <c r="O599">
        <v>0</v>
      </c>
      <c r="P599">
        <v>1</v>
      </c>
      <c r="Q599">
        <v>0</v>
      </c>
      <c r="R599">
        <v>0</v>
      </c>
      <c r="S599">
        <v>471</v>
      </c>
      <c r="T599">
        <v>0</v>
      </c>
      <c r="U599">
        <v>0</v>
      </c>
      <c r="V599">
        <v>103</v>
      </c>
      <c r="W599" t="s">
        <v>8505</v>
      </c>
      <c r="X599">
        <v>0</v>
      </c>
      <c r="Y599">
        <v>4</v>
      </c>
      <c r="Z599">
        <v>0</v>
      </c>
      <c r="AA599">
        <v>8</v>
      </c>
      <c r="AB599">
        <v>0</v>
      </c>
      <c r="AC599">
        <v>1</v>
      </c>
      <c r="AD599">
        <v>0</v>
      </c>
      <c r="AE599">
        <v>2</v>
      </c>
      <c r="AF599">
        <v>0</v>
      </c>
      <c r="AG599">
        <v>2</v>
      </c>
      <c r="AH599">
        <v>0</v>
      </c>
      <c r="AI599">
        <v>0</v>
      </c>
      <c r="AJ599">
        <v>0</v>
      </c>
      <c r="AK599">
        <v>27</v>
      </c>
      <c r="AL599">
        <v>0</v>
      </c>
      <c r="AM599">
        <v>0</v>
      </c>
      <c r="AN599">
        <v>0</v>
      </c>
      <c r="AO599">
        <v>0</v>
      </c>
      <c r="AP599">
        <v>63</v>
      </c>
      <c r="AQ599">
        <v>254</v>
      </c>
      <c r="AR599">
        <v>63</v>
      </c>
      <c r="AS599">
        <v>63</v>
      </c>
      <c r="AT599" t="s">
        <v>8548</v>
      </c>
      <c r="AU599">
        <v>0</v>
      </c>
      <c r="AV599">
        <v>1</v>
      </c>
      <c r="AW599" t="s">
        <v>8492</v>
      </c>
      <c r="AX599">
        <v>0</v>
      </c>
      <c r="AY599" t="s">
        <v>8513</v>
      </c>
      <c r="AZ599">
        <v>0</v>
      </c>
      <c r="BA599" t="s">
        <v>8514</v>
      </c>
      <c r="BB599">
        <v>0</v>
      </c>
      <c r="BC599" t="s">
        <v>8471</v>
      </c>
      <c r="BD599">
        <v>0</v>
      </c>
      <c r="BE599" t="s">
        <v>8455</v>
      </c>
      <c r="BF599" t="s">
        <v>8455</v>
      </c>
      <c r="BG599" t="s">
        <v>8464</v>
      </c>
      <c r="BH599">
        <v>5.7727300000000001</v>
      </c>
      <c r="BJ599" s="1" t="s">
        <v>9315</v>
      </c>
      <c r="BK599" s="1" t="s">
        <v>9316</v>
      </c>
    </row>
    <row r="600" spans="1:63" x14ac:dyDescent="0.25">
      <c r="A600">
        <v>782</v>
      </c>
      <c r="B600">
        <v>780</v>
      </c>
      <c r="C600" t="s">
        <v>8445</v>
      </c>
      <c r="F600">
        <v>1011950</v>
      </c>
      <c r="G600" t="s">
        <v>670</v>
      </c>
      <c r="H600" t="s">
        <v>9317</v>
      </c>
      <c r="I600" t="s">
        <v>8489</v>
      </c>
      <c r="J600">
        <v>0</v>
      </c>
      <c r="K600">
        <v>6</v>
      </c>
      <c r="L600">
        <v>0</v>
      </c>
      <c r="M600">
        <v>99100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510</v>
      </c>
      <c r="T600">
        <v>0</v>
      </c>
      <c r="U600">
        <v>0</v>
      </c>
      <c r="V600">
        <v>0</v>
      </c>
      <c r="W600" t="s">
        <v>8457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75</v>
      </c>
      <c r="AR600">
        <v>0</v>
      </c>
      <c r="AS600">
        <v>0</v>
      </c>
      <c r="AT600" t="s">
        <v>8490</v>
      </c>
      <c r="AU600">
        <v>0</v>
      </c>
      <c r="AV600">
        <v>1</v>
      </c>
      <c r="AW600" t="s">
        <v>8491</v>
      </c>
      <c r="AX600">
        <v>0</v>
      </c>
      <c r="AY600" t="s">
        <v>8492</v>
      </c>
      <c r="AZ600">
        <v>1</v>
      </c>
      <c r="BA600" t="s">
        <v>8493</v>
      </c>
      <c r="BB600">
        <v>0</v>
      </c>
      <c r="BC600" t="s">
        <v>8471</v>
      </c>
      <c r="BD600">
        <v>0</v>
      </c>
      <c r="BE600" t="s">
        <v>8453</v>
      </c>
      <c r="BF600" t="s">
        <v>8494</v>
      </c>
      <c r="BG600" t="s">
        <v>8495</v>
      </c>
      <c r="BH600">
        <v>1.70455</v>
      </c>
    </row>
    <row r="601" spans="1:63" x14ac:dyDescent="0.25">
      <c r="A601">
        <v>783</v>
      </c>
      <c r="B601">
        <v>781</v>
      </c>
      <c r="C601" t="s">
        <v>8445</v>
      </c>
      <c r="F601">
        <v>1027964</v>
      </c>
      <c r="G601" t="s">
        <v>1002</v>
      </c>
      <c r="H601" t="s">
        <v>8958</v>
      </c>
      <c r="I601" t="s">
        <v>8465</v>
      </c>
      <c r="J601">
        <v>0</v>
      </c>
      <c r="K601">
        <v>6</v>
      </c>
      <c r="L601">
        <v>0</v>
      </c>
      <c r="M601">
        <v>99100</v>
      </c>
      <c r="N601">
        <v>60</v>
      </c>
      <c r="O601">
        <v>0</v>
      </c>
      <c r="P601">
        <v>1</v>
      </c>
      <c r="Q601">
        <v>0</v>
      </c>
      <c r="R601">
        <v>0</v>
      </c>
      <c r="S601">
        <v>473</v>
      </c>
      <c r="T601">
        <v>0</v>
      </c>
      <c r="U601">
        <v>0</v>
      </c>
      <c r="V601">
        <v>104</v>
      </c>
      <c r="W601" t="s">
        <v>8505</v>
      </c>
      <c r="X601">
        <v>0</v>
      </c>
      <c r="Y601">
        <v>12</v>
      </c>
      <c r="Z601">
        <v>0</v>
      </c>
      <c r="AA601">
        <v>0</v>
      </c>
      <c r="AB601">
        <v>0</v>
      </c>
      <c r="AC601">
        <v>8</v>
      </c>
      <c r="AD601">
        <v>0</v>
      </c>
      <c r="AE601">
        <v>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60</v>
      </c>
      <c r="AQ601">
        <v>91</v>
      </c>
      <c r="AR601">
        <v>60</v>
      </c>
      <c r="AS601">
        <v>60</v>
      </c>
      <c r="AT601" t="s">
        <v>8467</v>
      </c>
      <c r="AU601">
        <v>0</v>
      </c>
      <c r="AV601">
        <v>1</v>
      </c>
      <c r="AW601" t="s">
        <v>8468</v>
      </c>
      <c r="AX601">
        <v>0</v>
      </c>
      <c r="AY601" t="s">
        <v>8469</v>
      </c>
      <c r="AZ601">
        <v>1</v>
      </c>
      <c r="BA601" t="s">
        <v>8470</v>
      </c>
      <c r="BB601">
        <v>1</v>
      </c>
      <c r="BC601" t="s">
        <v>8471</v>
      </c>
      <c r="BD601">
        <v>0</v>
      </c>
      <c r="BE601" t="s">
        <v>8464</v>
      </c>
      <c r="BF601" t="s">
        <v>8472</v>
      </c>
      <c r="BG601" t="s">
        <v>8464</v>
      </c>
      <c r="BH601">
        <v>2.0681799999999999</v>
      </c>
      <c r="BJ601" s="1" t="s">
        <v>9318</v>
      </c>
      <c r="BK601" s="1" t="s">
        <v>1492</v>
      </c>
    </row>
    <row r="602" spans="1:63" x14ac:dyDescent="0.25">
      <c r="A602">
        <v>784</v>
      </c>
      <c r="B602">
        <v>782</v>
      </c>
      <c r="C602" t="s">
        <v>8445</v>
      </c>
      <c r="F602">
        <v>1040300</v>
      </c>
      <c r="G602" t="s">
        <v>1318</v>
      </c>
      <c r="H602" t="s">
        <v>9319</v>
      </c>
      <c r="I602" t="s">
        <v>8448</v>
      </c>
      <c r="J602">
        <v>0</v>
      </c>
      <c r="K602">
        <v>6</v>
      </c>
      <c r="L602">
        <v>0</v>
      </c>
      <c r="M602">
        <v>99100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510</v>
      </c>
      <c r="T602">
        <v>0</v>
      </c>
      <c r="U602">
        <v>0</v>
      </c>
      <c r="V602">
        <v>0</v>
      </c>
      <c r="W602" t="s">
        <v>8457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61</v>
      </c>
      <c r="AR602">
        <v>0</v>
      </c>
      <c r="AS602">
        <v>0</v>
      </c>
      <c r="AT602" t="s">
        <v>8446</v>
      </c>
      <c r="AU602">
        <v>0</v>
      </c>
      <c r="AV602">
        <v>1</v>
      </c>
      <c r="AW602" t="s">
        <v>8526</v>
      </c>
      <c r="AX602">
        <v>0</v>
      </c>
      <c r="AY602" t="s">
        <v>8493</v>
      </c>
      <c r="AZ602">
        <v>1</v>
      </c>
      <c r="BA602" t="s">
        <v>8469</v>
      </c>
      <c r="BB602">
        <v>0</v>
      </c>
      <c r="BC602" t="s">
        <v>8452</v>
      </c>
      <c r="BD602">
        <v>0</v>
      </c>
      <c r="BE602" t="s">
        <v>8472</v>
      </c>
      <c r="BF602" t="s">
        <v>8534</v>
      </c>
      <c r="BG602" t="s">
        <v>8472</v>
      </c>
      <c r="BH602">
        <v>1.38636</v>
      </c>
    </row>
    <row r="603" spans="1:63" x14ac:dyDescent="0.25">
      <c r="A603">
        <v>785</v>
      </c>
      <c r="B603">
        <v>783</v>
      </c>
      <c r="C603" t="s">
        <v>8445</v>
      </c>
      <c r="F603">
        <v>1018323</v>
      </c>
      <c r="G603" t="s">
        <v>2222</v>
      </c>
      <c r="H603" t="s">
        <v>4546</v>
      </c>
      <c r="I603" t="s">
        <v>8458</v>
      </c>
      <c r="J603">
        <v>0</v>
      </c>
      <c r="K603">
        <v>6</v>
      </c>
      <c r="L603">
        <v>0</v>
      </c>
      <c r="M603">
        <v>99100</v>
      </c>
      <c r="N603">
        <v>58</v>
      </c>
      <c r="O603">
        <v>0</v>
      </c>
      <c r="P603">
        <v>2</v>
      </c>
      <c r="Q603">
        <v>0</v>
      </c>
      <c r="R603">
        <v>0</v>
      </c>
      <c r="S603">
        <v>475</v>
      </c>
      <c r="T603">
        <v>0</v>
      </c>
      <c r="U603">
        <v>0</v>
      </c>
      <c r="V603">
        <v>163</v>
      </c>
      <c r="W603" t="s">
        <v>8505</v>
      </c>
      <c r="X603">
        <v>0</v>
      </c>
      <c r="Y603">
        <v>10</v>
      </c>
      <c r="Z603">
        <v>0</v>
      </c>
      <c r="AA603">
        <v>4</v>
      </c>
      <c r="AB603">
        <v>0</v>
      </c>
      <c r="AC603">
        <v>4</v>
      </c>
      <c r="AD603">
        <v>0</v>
      </c>
      <c r="AE603">
        <v>4</v>
      </c>
      <c r="AF603">
        <v>0</v>
      </c>
      <c r="AG603">
        <v>3</v>
      </c>
      <c r="AH603">
        <v>0</v>
      </c>
      <c r="AI603">
        <v>-3</v>
      </c>
      <c r="AJ603">
        <v>0</v>
      </c>
      <c r="AK603">
        <v>0</v>
      </c>
      <c r="AL603">
        <v>0</v>
      </c>
      <c r="AM603">
        <v>3</v>
      </c>
      <c r="AN603">
        <v>0</v>
      </c>
      <c r="AO603">
        <v>2</v>
      </c>
      <c r="AP603">
        <v>29</v>
      </c>
      <c r="AQ603">
        <v>51</v>
      </c>
      <c r="AR603">
        <v>29</v>
      </c>
      <c r="AS603">
        <v>29</v>
      </c>
      <c r="AT603" t="s">
        <v>8456</v>
      </c>
      <c r="AU603">
        <v>0</v>
      </c>
      <c r="AV603">
        <v>1</v>
      </c>
      <c r="AW603" t="s">
        <v>8530</v>
      </c>
      <c r="AX603">
        <v>1</v>
      </c>
      <c r="AY603" t="s">
        <v>8526</v>
      </c>
      <c r="AZ603">
        <v>0</v>
      </c>
      <c r="BA603" t="s">
        <v>8491</v>
      </c>
      <c r="BB603">
        <v>0</v>
      </c>
      <c r="BC603" t="s">
        <v>8462</v>
      </c>
      <c r="BD603">
        <v>0</v>
      </c>
      <c r="BE603" t="s">
        <v>8464</v>
      </c>
      <c r="BF603" t="s">
        <v>8455</v>
      </c>
      <c r="BG603" t="s">
        <v>8455</v>
      </c>
      <c r="BH603">
        <v>1.15909</v>
      </c>
      <c r="BJ603" s="1" t="s">
        <v>9320</v>
      </c>
      <c r="BK603" s="1" t="s">
        <v>9321</v>
      </c>
    </row>
    <row r="604" spans="1:63" x14ac:dyDescent="0.25">
      <c r="A604">
        <v>786</v>
      </c>
      <c r="B604">
        <v>784</v>
      </c>
      <c r="C604" t="s">
        <v>8445</v>
      </c>
      <c r="F604">
        <v>1013315</v>
      </c>
      <c r="G604" t="s">
        <v>9322</v>
      </c>
      <c r="H604" t="s">
        <v>9323</v>
      </c>
      <c r="I604" t="s">
        <v>8456</v>
      </c>
      <c r="J604">
        <v>0</v>
      </c>
      <c r="K604">
        <v>6</v>
      </c>
      <c r="L604">
        <v>0</v>
      </c>
      <c r="M604">
        <v>99100</v>
      </c>
      <c r="N604">
        <v>119</v>
      </c>
      <c r="O604">
        <v>0</v>
      </c>
      <c r="P604">
        <v>2</v>
      </c>
      <c r="Q604">
        <v>0</v>
      </c>
      <c r="R604">
        <v>0</v>
      </c>
      <c r="S604">
        <v>430</v>
      </c>
      <c r="T604">
        <v>0</v>
      </c>
      <c r="U604">
        <v>0</v>
      </c>
      <c r="V604">
        <v>231</v>
      </c>
      <c r="W604" t="s">
        <v>8505</v>
      </c>
      <c r="X604">
        <v>0</v>
      </c>
      <c r="Y604">
        <v>15</v>
      </c>
      <c r="Z604">
        <v>0</v>
      </c>
      <c r="AA604">
        <v>4</v>
      </c>
      <c r="AB604">
        <v>0</v>
      </c>
      <c r="AC604">
        <v>10</v>
      </c>
      <c r="AD604">
        <v>0</v>
      </c>
      <c r="AE604">
        <v>2</v>
      </c>
      <c r="AF604">
        <v>0</v>
      </c>
      <c r="AG604">
        <v>3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59.5</v>
      </c>
      <c r="AQ604">
        <v>100</v>
      </c>
      <c r="AR604">
        <v>59.5</v>
      </c>
      <c r="AS604">
        <v>59.5</v>
      </c>
      <c r="AT604" t="s">
        <v>8458</v>
      </c>
      <c r="AU604">
        <v>0</v>
      </c>
      <c r="AV604">
        <v>0</v>
      </c>
      <c r="AW604" t="s">
        <v>8459</v>
      </c>
      <c r="AX604">
        <v>1</v>
      </c>
      <c r="AY604" t="s">
        <v>8460</v>
      </c>
      <c r="AZ604">
        <v>0</v>
      </c>
      <c r="BA604" t="s">
        <v>8461</v>
      </c>
      <c r="BB604">
        <v>1</v>
      </c>
      <c r="BC604" t="s">
        <v>8462</v>
      </c>
      <c r="BD604">
        <v>0</v>
      </c>
      <c r="BE604" t="s">
        <v>8455</v>
      </c>
      <c r="BF604" t="s">
        <v>8463</v>
      </c>
      <c r="BG604" t="s">
        <v>8464</v>
      </c>
      <c r="BH604">
        <v>2.2727300000000001</v>
      </c>
      <c r="BJ604" s="1" t="s">
        <v>9324</v>
      </c>
      <c r="BK604" s="1" t="s">
        <v>9325</v>
      </c>
    </row>
    <row r="605" spans="1:63" x14ac:dyDescent="0.25">
      <c r="A605">
        <v>787</v>
      </c>
      <c r="B605">
        <v>785</v>
      </c>
      <c r="C605" t="s">
        <v>8445</v>
      </c>
      <c r="F605">
        <v>1008183</v>
      </c>
      <c r="G605" t="s">
        <v>1127</v>
      </c>
      <c r="H605" t="s">
        <v>3143</v>
      </c>
      <c r="I605" t="s">
        <v>8501</v>
      </c>
      <c r="J605">
        <v>0</v>
      </c>
      <c r="K605">
        <v>6</v>
      </c>
      <c r="L605">
        <v>0</v>
      </c>
      <c r="M605">
        <v>166900</v>
      </c>
      <c r="N605">
        <v>215</v>
      </c>
      <c r="O605">
        <v>0</v>
      </c>
      <c r="P605">
        <v>5</v>
      </c>
      <c r="Q605">
        <v>0</v>
      </c>
      <c r="R605">
        <v>67800</v>
      </c>
      <c r="S605">
        <v>341</v>
      </c>
      <c r="T605">
        <v>0</v>
      </c>
      <c r="U605">
        <v>0</v>
      </c>
      <c r="V605">
        <v>445</v>
      </c>
      <c r="W605" t="s">
        <v>8505</v>
      </c>
      <c r="X605">
        <v>0</v>
      </c>
      <c r="Y605">
        <v>25</v>
      </c>
      <c r="Z605">
        <v>0</v>
      </c>
      <c r="AA605">
        <v>25</v>
      </c>
      <c r="AB605">
        <v>0</v>
      </c>
      <c r="AC605">
        <v>11</v>
      </c>
      <c r="AD605">
        <v>0</v>
      </c>
      <c r="AE605">
        <v>10</v>
      </c>
      <c r="AF605">
        <v>0</v>
      </c>
      <c r="AG605">
        <v>4</v>
      </c>
      <c r="AH605">
        <v>0</v>
      </c>
      <c r="AI605">
        <v>-3</v>
      </c>
      <c r="AJ605">
        <v>0</v>
      </c>
      <c r="AK605">
        <v>0</v>
      </c>
      <c r="AL605">
        <v>0</v>
      </c>
      <c r="AM605">
        <v>2</v>
      </c>
      <c r="AN605">
        <v>0</v>
      </c>
      <c r="AO605">
        <v>2</v>
      </c>
      <c r="AP605">
        <v>43</v>
      </c>
      <c r="AQ605">
        <v>105</v>
      </c>
      <c r="AR605">
        <v>43</v>
      </c>
      <c r="AS605">
        <v>29.333300000000001</v>
      </c>
      <c r="AT605" t="s">
        <v>8502</v>
      </c>
      <c r="AU605">
        <v>0</v>
      </c>
      <c r="AV605">
        <v>0</v>
      </c>
      <c r="AW605" t="s">
        <v>8461</v>
      </c>
      <c r="AX605">
        <v>0</v>
      </c>
      <c r="AY605" t="s">
        <v>8483</v>
      </c>
      <c r="AZ605">
        <v>1</v>
      </c>
      <c r="BA605" t="s">
        <v>8459</v>
      </c>
      <c r="BB605">
        <v>0</v>
      </c>
      <c r="BC605" t="s">
        <v>8484</v>
      </c>
      <c r="BD605">
        <v>49</v>
      </c>
      <c r="BE605" t="s">
        <v>8464</v>
      </c>
      <c r="BF605" t="s">
        <v>8463</v>
      </c>
      <c r="BG605" t="s">
        <v>8464</v>
      </c>
      <c r="BH605">
        <v>2.3863599999999998</v>
      </c>
      <c r="BJ605" s="1" t="s">
        <v>9326</v>
      </c>
      <c r="BK605" s="1" t="s">
        <v>9327</v>
      </c>
    </row>
    <row r="606" spans="1:63" x14ac:dyDescent="0.25">
      <c r="A606">
        <v>788</v>
      </c>
      <c r="B606">
        <v>787</v>
      </c>
      <c r="C606" t="s">
        <v>8445</v>
      </c>
      <c r="F606">
        <v>1011558</v>
      </c>
      <c r="G606" t="s">
        <v>9328</v>
      </c>
      <c r="H606" t="s">
        <v>9329</v>
      </c>
      <c r="I606" t="s">
        <v>8502</v>
      </c>
      <c r="J606">
        <v>0</v>
      </c>
      <c r="K606">
        <v>6</v>
      </c>
      <c r="L606">
        <v>0</v>
      </c>
      <c r="M606">
        <v>136900</v>
      </c>
      <c r="N606">
        <v>145</v>
      </c>
      <c r="O606">
        <v>0</v>
      </c>
      <c r="P606">
        <v>3</v>
      </c>
      <c r="Q606">
        <v>0</v>
      </c>
      <c r="R606">
        <v>37800</v>
      </c>
      <c r="S606">
        <v>403</v>
      </c>
      <c r="T606">
        <v>0</v>
      </c>
      <c r="U606">
        <v>0</v>
      </c>
      <c r="V606">
        <v>208</v>
      </c>
      <c r="W606" t="s">
        <v>8505</v>
      </c>
      <c r="X606">
        <v>0</v>
      </c>
      <c r="Y606">
        <v>18</v>
      </c>
      <c r="Z606">
        <v>0</v>
      </c>
      <c r="AA606">
        <v>10</v>
      </c>
      <c r="AB606">
        <v>0</v>
      </c>
      <c r="AC606">
        <v>9</v>
      </c>
      <c r="AD606">
        <v>0</v>
      </c>
      <c r="AE606">
        <v>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3</v>
      </c>
      <c r="AN606">
        <v>0</v>
      </c>
      <c r="AO606">
        <v>1</v>
      </c>
      <c r="AP606">
        <v>48.333300000000001</v>
      </c>
      <c r="AQ606">
        <v>156</v>
      </c>
      <c r="AR606">
        <v>48.333300000000001</v>
      </c>
      <c r="AS606">
        <v>48.333300000000001</v>
      </c>
      <c r="AT606" t="s">
        <v>8501</v>
      </c>
      <c r="AU606">
        <v>0</v>
      </c>
      <c r="AV606">
        <v>1</v>
      </c>
      <c r="AW606" t="s">
        <v>8469</v>
      </c>
      <c r="AX606">
        <v>0</v>
      </c>
      <c r="AY606" t="s">
        <v>8470</v>
      </c>
      <c r="AZ606">
        <v>1</v>
      </c>
      <c r="BA606" t="s">
        <v>8530</v>
      </c>
      <c r="BB606">
        <v>0</v>
      </c>
      <c r="BC606" t="s">
        <v>8484</v>
      </c>
      <c r="BD606">
        <v>0</v>
      </c>
      <c r="BE606" t="s">
        <v>8463</v>
      </c>
      <c r="BF606" t="s">
        <v>8455</v>
      </c>
      <c r="BG606" t="s">
        <v>8463</v>
      </c>
      <c r="BH606">
        <v>3.5454500000000002</v>
      </c>
      <c r="BJ606" s="1" t="s">
        <v>9330</v>
      </c>
      <c r="BK606" s="1" t="s">
        <v>9331</v>
      </c>
    </row>
    <row r="607" spans="1:63" x14ac:dyDescent="0.25">
      <c r="A607">
        <v>789</v>
      </c>
      <c r="B607">
        <v>789</v>
      </c>
      <c r="C607" t="s">
        <v>8445</v>
      </c>
      <c r="F607">
        <v>1027713</v>
      </c>
      <c r="G607" t="s">
        <v>2115</v>
      </c>
      <c r="H607" t="s">
        <v>1185</v>
      </c>
      <c r="I607" t="s">
        <v>8465</v>
      </c>
      <c r="J607">
        <v>0</v>
      </c>
      <c r="K607">
        <v>6</v>
      </c>
      <c r="L607">
        <v>0</v>
      </c>
      <c r="M607">
        <v>99100</v>
      </c>
      <c r="N607">
        <v>82</v>
      </c>
      <c r="O607">
        <v>0</v>
      </c>
      <c r="P607">
        <v>2</v>
      </c>
      <c r="Q607">
        <v>0</v>
      </c>
      <c r="R607">
        <v>0</v>
      </c>
      <c r="S607">
        <v>454</v>
      </c>
      <c r="T607">
        <v>0</v>
      </c>
      <c r="U607">
        <v>0</v>
      </c>
      <c r="V607">
        <v>189</v>
      </c>
      <c r="W607" t="s">
        <v>8505</v>
      </c>
      <c r="X607">
        <v>0</v>
      </c>
      <c r="Y607">
        <v>18</v>
      </c>
      <c r="Z607">
        <v>0</v>
      </c>
      <c r="AA607">
        <v>7</v>
      </c>
      <c r="AB607">
        <v>0</v>
      </c>
      <c r="AC607">
        <v>11</v>
      </c>
      <c r="AD607">
        <v>0</v>
      </c>
      <c r="AE607">
        <v>2</v>
      </c>
      <c r="AF607">
        <v>0</v>
      </c>
      <c r="AG607">
        <v>1</v>
      </c>
      <c r="AH607">
        <v>0</v>
      </c>
      <c r="AI607">
        <v>-2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4</v>
      </c>
      <c r="AP607">
        <v>41</v>
      </c>
      <c r="AQ607">
        <v>84</v>
      </c>
      <c r="AR607">
        <v>41</v>
      </c>
      <c r="AS607">
        <v>41</v>
      </c>
      <c r="AT607" t="s">
        <v>8467</v>
      </c>
      <c r="AU607">
        <v>0</v>
      </c>
      <c r="AV607">
        <v>1</v>
      </c>
      <c r="AW607" t="s">
        <v>8468</v>
      </c>
      <c r="AX607">
        <v>0</v>
      </c>
      <c r="AY607" t="s">
        <v>8469</v>
      </c>
      <c r="AZ607">
        <v>1</v>
      </c>
      <c r="BA607" t="s">
        <v>8470</v>
      </c>
      <c r="BB607">
        <v>1</v>
      </c>
      <c r="BC607" t="s">
        <v>8471</v>
      </c>
      <c r="BD607">
        <v>0</v>
      </c>
      <c r="BE607" t="s">
        <v>8464</v>
      </c>
      <c r="BF607" t="s">
        <v>8472</v>
      </c>
      <c r="BG607" t="s">
        <v>8464</v>
      </c>
      <c r="BH607">
        <v>1.90909</v>
      </c>
      <c r="BJ607" s="1" t="s">
        <v>9332</v>
      </c>
      <c r="BK607" s="1" t="s">
        <v>9333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predict_current_sc_score_202504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Richards</dc:creator>
  <cp:lastModifiedBy>Mark Richards</cp:lastModifiedBy>
  <dcterms:created xsi:type="dcterms:W3CDTF">2025-04-16T13:11:43Z</dcterms:created>
  <dcterms:modified xsi:type="dcterms:W3CDTF">2025-04-16T13:11:43Z</dcterms:modified>
</cp:coreProperties>
</file>