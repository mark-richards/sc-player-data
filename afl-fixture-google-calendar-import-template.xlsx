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9_{E40D2F70-4CAE-4FD1-A7AF-ECC863E5D9C5}" xr6:coauthVersionLast="47" xr6:coauthVersionMax="47" xr10:uidLastSave="{00000000-0000-0000-0000-000000000000}"/>
  <bookViews>
    <workbookView xWindow="-120" yWindow="-120" windowWidth="38640" windowHeight="21120" xr2:uid="{22E83919-3DF6-4CE2-BACC-2B35E7CAE840}"/>
  </bookViews>
  <sheets>
    <sheet name="afl-2026-up to round 15 combine" sheetId="1" r:id="rId1"/>
  </sheets>
  <calcPr calcId="0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</calcChain>
</file>

<file path=xl/sharedStrings.xml><?xml version="1.0" encoding="utf-8"?>
<sst xmlns="http://schemas.openxmlformats.org/spreadsheetml/2006/main" count="98" uniqueCount="37">
  <si>
    <t>Match Number</t>
  </si>
  <si>
    <t>Round Number</t>
  </si>
  <si>
    <t>Date</t>
  </si>
  <si>
    <t>Location</t>
  </si>
  <si>
    <t>Home Team</t>
  </si>
  <si>
    <t>Away Team</t>
  </si>
  <si>
    <t>Result</t>
  </si>
  <si>
    <t>MCG</t>
  </si>
  <si>
    <t>Melbourne</t>
  </si>
  <si>
    <t>St Kilda</t>
  </si>
  <si>
    <t>Optus Stadium</t>
  </si>
  <si>
    <t>Fremantle</t>
  </si>
  <si>
    <t>Carlton</t>
  </si>
  <si>
    <t>Gold Coast SUNS</t>
  </si>
  <si>
    <t>Adelaide Oval</t>
  </si>
  <si>
    <t>Essendon</t>
  </si>
  <si>
    <t>Brisbane Lions</t>
  </si>
  <si>
    <t>Richmond</t>
  </si>
  <si>
    <t>SCG</t>
  </si>
  <si>
    <t>Sydney Swans</t>
  </si>
  <si>
    <t>Marvel Stadium</t>
  </si>
  <si>
    <t>West Coast Eagles</t>
  </si>
  <si>
    <t>Hawthorn</t>
  </si>
  <si>
    <t>Western Bulldogs</t>
  </si>
  <si>
    <t>TIO Traeger Park</t>
  </si>
  <si>
    <t>GWS GIANTS</t>
  </si>
  <si>
    <t>Collingwood</t>
  </si>
  <si>
    <t>Adelaide Crows</t>
  </si>
  <si>
    <t>OR</t>
  </si>
  <si>
    <t>North Melbourne</t>
  </si>
  <si>
    <t>Gabba</t>
  </si>
  <si>
    <t>Port Adelaide</t>
  </si>
  <si>
    <t>Geelong Cats</t>
  </si>
  <si>
    <t>ENGIE Stadium</t>
  </si>
  <si>
    <t>Start Time</t>
  </si>
  <si>
    <t>Subject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</si>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</sst>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279A3-B35D-4CDF-9898-97D3D6BFEC60}" name="Table1" displayName="Table1" ref="A1:J30" totalsRowShown="0">
  <autoFilter ref="A1:J30" xr:uid="{9CD279A3-B35D-4CDF-9898-97D3D6BFEC60}"/>
  <tableColumns count="10">
    <tableColumn id="1" xr3:uid="{4885B12D-29BA-442F-9CCF-F81C798C5E58}" name="Match Number"/>
    <tableColumn id="2" xr3:uid="{B5F852F1-9FCB-4063-BA3C-AC59D2AAFE2F}" name="Round Number"/>
    <tableColumn id="3" xr3:uid="{A4FC1B5A-89A9-4D00-913D-54DB56D0BBD0}" name="Date" dataDxfId="3"/>
    <tableColumn id="4" xr3:uid="{67496207-90F3-4003-8CDD-41ADB258E9D5}" name="Location"/>
    <tableColumn id="5" xr3:uid="{37C3EB5A-FF56-40DA-A1D8-EAACB16CF781}" name="Home Team"/>
    <tableColumn id="6" xr3:uid="{47ADDD07-CD42-48F8-A22A-E3E073EF2924}" name="Away Team"/>
    <tableColumn id="7" xr3:uid="{4E2000D6-7181-4B14-A17D-E254150F69D6}" name="Result"/>
    <tableColumn id="8" xr3:uid="{ED49D5F7-2ECA-4B11-8E32-60AEFD6501EB}" name="Start Date" dataDxfId="2">
      <calculatedColumnFormula>TEXT(Table1[[#This Row],[Date]],"DD/MM/YYYY")</calculatedColumnFormula>
    </tableColumn>
    <tableColumn id="12" xr3:uid="{C66A7987-0391-4ED6-A653-BB4602E83711}" name="Start Time" dataDxfId="1">
      <calculatedColumnFormula>TEXT(Table1[[#This Row],[Date]],"HH:mm:SS AM/PM")</calculatedColumnFormula>
    </tableColumn>
    <tableColumn id="9" xr3:uid="{D32002C4-EEB7-4172-B12E-594E28C241EC}" name="Subject" dataDxfId="0">
      <calculatedColumnFormula>Table1[[#This Row],[Home Team]] &amp; " vs " &amp; Table1[[#This Row],[Away Team]] &amp; " @ " &amp; Table1[[#This Row],[Location]]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3CA4-9826-4B14-AD8F-5947B9E38D04}">
  <dimension ref="A1:J30"/>
  <sheetViews>
    <sheetView tabSelected="1" workbookViewId="0">
      <selection activeCell="J2" sqref="J2"/>
    </sheetView>
  </sheetViews>
  <sheetFormatPr defaultRowHeight="15" x14ac:dyDescent="0.25"/>
  <cols>
    <col min="1" max="1" width="16.140625" customWidth="1"/>
    <col min="2" max="2" width="16.42578125" customWidth="1"/>
    <col min="3" max="4" width="15.5703125" bestFit="1" customWidth="1"/>
    <col min="5" max="5" width="16.42578125" bestFit="1" customWidth="1"/>
    <col min="6" max="6" width="17" bestFit="1" customWidth="1"/>
    <col min="7" max="7" width="9.140625" bestFit="1" customWidth="1"/>
    <col min="8" max="8" width="12.42578125" bestFit="1" customWidth="1"/>
    <col min="9" max="9" width="12.42578125" customWidth="1"/>
    <col min="10" max="10" width="46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36</v>
      </c>
      <c r="I1" s="2" t="s">
        <v>34</v>
      </c>
      <c r="J1" s="2" t="s">
        <v>35</v>
      </c>
    </row>
    <row r="2" spans="1:10" x14ac:dyDescent="0.25">
      <c r="A2">
        <v>13</v>
      </c>
      <c r="B2">
        <v>1</v>
      </c>
      <c r="C2" s="1">
        <v>46096.635416666664</v>
      </c>
      <c r="D2" t="s">
        <v>7</v>
      </c>
      <c r="E2" t="s">
        <v>8</v>
      </c>
      <c r="F2" t="s">
        <v>9</v>
      </c>
      <c r="H2" t="str">
        <f>TEXT(Table1[[#This Row],[Date]],"DD/MM/YYYY")</f>
        <v>15/03/2026</v>
      </c>
      <c r="I2" t="str">
        <f>TEXT(Table1[[#This Row],[Date]],"HH:mm:SS AM/PM")</f>
        <v>03:15:00 PM</v>
      </c>
      <c r="J2" t="str">
        <f>Table1[[#This Row],[Home Team]] &amp; " vs " &amp; Table1[[#This Row],[Away Team]] &amp; " @ " &amp; Table1[[#This Row],[Location]]</f>
        <v>Melbourne vs St Kilda @ MCG</v>
      </c>
    </row>
    <row r="3" spans="1:10" x14ac:dyDescent="0.25">
      <c r="A3">
        <v>19</v>
      </c>
      <c r="B3">
        <v>2</v>
      </c>
      <c r="C3" s="1">
        <v>46102.815972222219</v>
      </c>
      <c r="D3" t="s">
        <v>10</v>
      </c>
      <c r="E3" t="s">
        <v>11</v>
      </c>
      <c r="F3" t="s">
        <v>8</v>
      </c>
      <c r="H3" t="str">
        <f>TEXT(Table1[[#This Row],[Date]],"DD/MM/YYYY")</f>
        <v>21/03/2026</v>
      </c>
      <c r="I3" t="str">
        <f>TEXT(Table1[[#This Row],[Date]],"HH:mm:SS AM/PM")</f>
        <v>07:35:00 PM</v>
      </c>
      <c r="J3" t="str">
        <f>Table1[[#This Row],[Home Team]] &amp; " vs " &amp; Table1[[#This Row],[Away Team]] &amp; " @ " &amp; Table1[[#This Row],[Location]]</f>
        <v>Fremantle vs Melbourne @ Optus Stadium</v>
      </c>
    </row>
    <row r="4" spans="1:10" x14ac:dyDescent="0.25">
      <c r="A4">
        <v>28</v>
      </c>
      <c r="B4">
        <v>3</v>
      </c>
      <c r="C4" s="1">
        <v>46110.635416666664</v>
      </c>
      <c r="D4" t="s">
        <v>7</v>
      </c>
      <c r="E4" t="s">
        <v>12</v>
      </c>
      <c r="F4" t="s">
        <v>8</v>
      </c>
      <c r="H4" t="str">
        <f>TEXT(Table1[[#This Row],[Date]],"DD/MM/YYYY")</f>
        <v>29/03/2026</v>
      </c>
      <c r="I4" t="str">
        <f>TEXT(Table1[[#This Row],[Date]],"HH:mm:SS AM/PM")</f>
        <v>03:15:00 PM</v>
      </c>
      <c r="J4" t="str">
        <f>Table1[[#This Row],[Home Team]] &amp; " vs " &amp; Table1[[#This Row],[Away Team]] &amp; " @ " &amp; Table1[[#This Row],[Location]]</f>
        <v>Carlton vs Melbourne @ MCG</v>
      </c>
    </row>
    <row r="5" spans="1:10" x14ac:dyDescent="0.25">
      <c r="A5">
        <v>34</v>
      </c>
      <c r="B5">
        <v>4</v>
      </c>
      <c r="C5" s="1">
        <v>46117.635416666664</v>
      </c>
      <c r="D5" t="s">
        <v>7</v>
      </c>
      <c r="E5" t="s">
        <v>8</v>
      </c>
      <c r="F5" t="s">
        <v>13</v>
      </c>
      <c r="H5" t="str">
        <f>TEXT(Table1[[#This Row],[Date]],"DD/MM/YYYY")</f>
        <v>05/04/2026</v>
      </c>
      <c r="I5" t="str">
        <f>TEXT(Table1[[#This Row],[Date]],"HH:mm:SS AM/PM")</f>
        <v>03:15:00 PM</v>
      </c>
      <c r="J5" t="str">
        <f>Table1[[#This Row],[Home Team]] &amp; " vs " &amp; Table1[[#This Row],[Away Team]] &amp; " @ " &amp; Table1[[#This Row],[Location]]</f>
        <v>Melbourne vs Gold Coast SUNS @ MCG</v>
      </c>
    </row>
    <row r="6" spans="1:10" x14ac:dyDescent="0.25">
      <c r="A6">
        <v>40</v>
      </c>
      <c r="B6">
        <v>5</v>
      </c>
      <c r="C6" s="1">
        <v>46123.552083333336</v>
      </c>
      <c r="D6" t="s">
        <v>14</v>
      </c>
      <c r="E6" t="s">
        <v>15</v>
      </c>
      <c r="F6" t="s">
        <v>8</v>
      </c>
      <c r="H6" t="str">
        <f>TEXT(Table1[[#This Row],[Date]],"DD/MM/YYYY")</f>
        <v>11/04/2026</v>
      </c>
      <c r="I6" t="str">
        <f>TEXT(Table1[[#This Row],[Date]],"HH:mm:SS AM/PM")</f>
        <v>01:15:00 PM</v>
      </c>
      <c r="J6" t="str">
        <f>Table1[[#This Row],[Home Team]] &amp; " vs " &amp; Table1[[#This Row],[Away Team]] &amp; " @ " &amp; Table1[[#This Row],[Location]]</f>
        <v>Essendon vs Melbourne @ Adelaide Oval</v>
      </c>
    </row>
    <row r="7" spans="1:10" x14ac:dyDescent="0.25">
      <c r="A7">
        <v>53</v>
      </c>
      <c r="B7">
        <v>6</v>
      </c>
      <c r="C7" s="1">
        <v>46131.635416666664</v>
      </c>
      <c r="D7" t="s">
        <v>7</v>
      </c>
      <c r="E7" t="s">
        <v>8</v>
      </c>
      <c r="F7" t="s">
        <v>16</v>
      </c>
      <c r="H7" t="str">
        <f>TEXT(Table1[[#This Row],[Date]],"DD/MM/YYYY")</f>
        <v>19/04/2026</v>
      </c>
      <c r="I7" t="str">
        <f>TEXT(Table1[[#This Row],[Date]],"HH:mm:SS AM/PM")</f>
        <v>03:15:00 PM</v>
      </c>
      <c r="J7" t="str">
        <f>Table1[[#This Row],[Home Team]] &amp; " vs " &amp; Table1[[#This Row],[Away Team]] &amp; " @ " &amp; Table1[[#This Row],[Location]]</f>
        <v>Melbourne vs Brisbane Lions @ MCG</v>
      </c>
    </row>
    <row r="8" spans="1:10" x14ac:dyDescent="0.25">
      <c r="A8">
        <v>56</v>
      </c>
      <c r="B8">
        <v>7</v>
      </c>
      <c r="C8" s="1">
        <v>46136.819444444445</v>
      </c>
      <c r="D8" t="s">
        <v>7</v>
      </c>
      <c r="E8" t="s">
        <v>17</v>
      </c>
      <c r="F8" t="s">
        <v>8</v>
      </c>
      <c r="H8" t="str">
        <f>TEXT(Table1[[#This Row],[Date]],"DD/MM/YYYY")</f>
        <v>24/04/2026</v>
      </c>
      <c r="I8" t="str">
        <f>TEXT(Table1[[#This Row],[Date]],"HH:mm:SS AM/PM")</f>
        <v>07:40:00 PM</v>
      </c>
      <c r="J8" t="str">
        <f>Table1[[#This Row],[Home Team]] &amp; " vs " &amp; Table1[[#This Row],[Away Team]] &amp; " @ " &amp; Table1[[#This Row],[Location]]</f>
        <v>Richmond vs Melbourne @ MCG</v>
      </c>
    </row>
    <row r="9" spans="1:10" x14ac:dyDescent="0.25">
      <c r="A9">
        <v>71</v>
      </c>
      <c r="B9">
        <v>8</v>
      </c>
      <c r="C9" s="1">
        <v>46145.635416666664</v>
      </c>
      <c r="D9" t="s">
        <v>18</v>
      </c>
      <c r="E9" t="s">
        <v>19</v>
      </c>
      <c r="F9" t="s">
        <v>8</v>
      </c>
      <c r="H9" t="str">
        <f>TEXT(Table1[[#This Row],[Date]],"DD/MM/YYYY")</f>
        <v>03/05/2026</v>
      </c>
      <c r="I9" t="str">
        <f>TEXT(Table1[[#This Row],[Date]],"HH:mm:SS AM/PM")</f>
        <v>03:15:00 PM</v>
      </c>
      <c r="J9" t="str">
        <f>Table1[[#This Row],[Home Team]] &amp; " vs " &amp; Table1[[#This Row],[Away Team]] &amp; " @ " &amp; Table1[[#This Row],[Location]]</f>
        <v>Sydney Swans vs Melbourne @ SCG</v>
      </c>
    </row>
    <row r="10" spans="1:10" x14ac:dyDescent="0.25">
      <c r="A10">
        <v>80</v>
      </c>
      <c r="B10">
        <v>9</v>
      </c>
      <c r="C10" s="1">
        <v>46152.548611111109</v>
      </c>
      <c r="D10" t="s">
        <v>20</v>
      </c>
      <c r="E10" t="s">
        <v>8</v>
      </c>
      <c r="F10" t="s">
        <v>21</v>
      </c>
      <c r="H10" t="str">
        <f>TEXT(Table1[[#This Row],[Date]],"DD/MM/YYYY")</f>
        <v>10/05/2026</v>
      </c>
      <c r="I10" t="str">
        <f>TEXT(Table1[[#This Row],[Date]],"HH:mm:SS AM/PM")</f>
        <v>01:10:00 PM</v>
      </c>
      <c r="J10" t="str">
        <f>Table1[[#This Row],[Home Team]] &amp; " vs " &amp; Table1[[#This Row],[Away Team]] &amp; " @ " &amp; Table1[[#This Row],[Location]]</f>
        <v>Melbourne vs West Coast Eagles @ Marvel Stadium</v>
      </c>
    </row>
    <row r="11" spans="1:10" x14ac:dyDescent="0.25">
      <c r="A11">
        <v>86</v>
      </c>
      <c r="B11">
        <v>10</v>
      </c>
      <c r="C11" s="1">
        <v>46158.677083333336</v>
      </c>
      <c r="D11" t="s">
        <v>7</v>
      </c>
      <c r="E11" t="s">
        <v>8</v>
      </c>
      <c r="F11" t="s">
        <v>22</v>
      </c>
      <c r="H11" t="str">
        <f>TEXT(Table1[[#This Row],[Date]],"DD/MM/YYYY")</f>
        <v>16/05/2026</v>
      </c>
      <c r="I11" t="str">
        <f>TEXT(Table1[[#This Row],[Date]],"HH:mm:SS AM/PM")</f>
        <v>04:15:00 PM</v>
      </c>
      <c r="J11" t="str">
        <f>Table1[[#This Row],[Home Team]] &amp; " vs " &amp; Table1[[#This Row],[Away Team]] &amp; " @ " &amp; Table1[[#This Row],[Location]]</f>
        <v>Melbourne vs Hawthorn @ MCG</v>
      </c>
    </row>
    <row r="12" spans="1:10" x14ac:dyDescent="0.25">
      <c r="A12">
        <v>99</v>
      </c>
      <c r="B12">
        <v>11</v>
      </c>
      <c r="C12" s="1">
        <v>46166.635416666664</v>
      </c>
      <c r="D12" t="s">
        <v>20</v>
      </c>
      <c r="E12" t="s">
        <v>23</v>
      </c>
      <c r="F12" t="s">
        <v>8</v>
      </c>
      <c r="H12" t="str">
        <f>TEXT(Table1[[#This Row],[Date]],"DD/MM/YYYY")</f>
        <v>24/05/2026</v>
      </c>
      <c r="I12" t="str">
        <f>TEXT(Table1[[#This Row],[Date]],"HH:mm:SS AM/PM")</f>
        <v>03:15:00 PM</v>
      </c>
      <c r="J12" t="str">
        <f>Table1[[#This Row],[Home Team]] &amp; " vs " &amp; Table1[[#This Row],[Away Team]] &amp; " @ " &amp; Table1[[#This Row],[Location]]</f>
        <v>Western Bulldogs vs Melbourne @ Marvel Stadium</v>
      </c>
    </row>
    <row r="13" spans="1:10" x14ac:dyDescent="0.25">
      <c r="A13">
        <v>105</v>
      </c>
      <c r="B13">
        <v>12</v>
      </c>
      <c r="C13" s="1">
        <v>46173.635416666664</v>
      </c>
      <c r="D13" t="s">
        <v>24</v>
      </c>
      <c r="E13" t="s">
        <v>8</v>
      </c>
      <c r="F13" t="s">
        <v>25</v>
      </c>
      <c r="H13" t="str">
        <f>TEXT(Table1[[#This Row],[Date]],"DD/MM/YYYY")</f>
        <v>31/05/2026</v>
      </c>
      <c r="I13" t="str">
        <f>TEXT(Table1[[#This Row],[Date]],"HH:mm:SS AM/PM")</f>
        <v>03:15:00 PM</v>
      </c>
      <c r="J13" t="str">
        <f>Table1[[#This Row],[Home Team]] &amp; " vs " &amp; Table1[[#This Row],[Away Team]] &amp; " @ " &amp; Table1[[#This Row],[Location]]</f>
        <v>Melbourne vs GWS GIANTS @ TIO Traeger Park</v>
      </c>
    </row>
    <row r="14" spans="1:10" x14ac:dyDescent="0.25">
      <c r="A14">
        <v>114</v>
      </c>
      <c r="B14">
        <v>13</v>
      </c>
      <c r="C14" s="1">
        <v>46181.635416666664</v>
      </c>
      <c r="D14" t="s">
        <v>7</v>
      </c>
      <c r="E14" t="s">
        <v>26</v>
      </c>
      <c r="F14" t="s">
        <v>8</v>
      </c>
      <c r="H14" t="str">
        <f>TEXT(Table1[[#This Row],[Date]],"DD/MM/YYYY")</f>
        <v>08/06/2026</v>
      </c>
      <c r="I14" t="str">
        <f>TEXT(Table1[[#This Row],[Date]],"HH:mm:SS AM/PM")</f>
        <v>03:15:00 PM</v>
      </c>
      <c r="J14" t="str">
        <f>Table1[[#This Row],[Home Team]] &amp; " vs " &amp; Table1[[#This Row],[Away Team]] &amp; " @ " &amp; Table1[[#This Row],[Location]]</f>
        <v>Collingwood vs Melbourne @ MCG</v>
      </c>
    </row>
    <row r="15" spans="1:10" x14ac:dyDescent="0.25">
      <c r="A15">
        <v>117</v>
      </c>
      <c r="B15">
        <v>14</v>
      </c>
      <c r="C15" s="1">
        <v>46186.552083333336</v>
      </c>
      <c r="D15" t="s">
        <v>7</v>
      </c>
      <c r="E15" t="s">
        <v>8</v>
      </c>
      <c r="F15" t="s">
        <v>15</v>
      </c>
      <c r="H15" t="str">
        <f>TEXT(Table1[[#This Row],[Date]],"DD/MM/YYYY")</f>
        <v>13/06/2026</v>
      </c>
      <c r="I15" t="str">
        <f>TEXT(Table1[[#This Row],[Date]],"HH:mm:SS AM/PM")</f>
        <v>01:15:00 PM</v>
      </c>
      <c r="J15" t="str">
        <f>Table1[[#This Row],[Home Team]] &amp; " vs " &amp; Table1[[#This Row],[Away Team]] &amp; " @ " &amp; Table1[[#This Row],[Location]]</f>
        <v>Melbourne vs Essendon @ MCG</v>
      </c>
    </row>
    <row r="16" spans="1:10" x14ac:dyDescent="0.25">
      <c r="A16">
        <v>124</v>
      </c>
      <c r="B16">
        <v>15</v>
      </c>
      <c r="C16" s="1">
        <v>46193.552083333336</v>
      </c>
      <c r="D16" t="s">
        <v>14</v>
      </c>
      <c r="E16" t="s">
        <v>27</v>
      </c>
      <c r="F16" t="s">
        <v>8</v>
      </c>
      <c r="H16" t="str">
        <f>TEXT(Table1[[#This Row],[Date]],"DD/MM/YYYY")</f>
        <v>20/06/2026</v>
      </c>
      <c r="I16" t="str">
        <f>TEXT(Table1[[#This Row],[Date]],"HH:mm:SS AM/PM")</f>
        <v>01:15:00 PM</v>
      </c>
      <c r="J16" t="str">
        <f>Table1[[#This Row],[Home Team]] &amp; " vs " &amp; Table1[[#This Row],[Away Team]] &amp; " @ " &amp; Table1[[#This Row],[Location]]</f>
        <v>Adelaide Crows vs Melbourne @ Adelaide Oval</v>
      </c>
    </row>
    <row r="17" spans="1:10" x14ac:dyDescent="0.25">
      <c r="A17">
        <v>1</v>
      </c>
      <c r="B17" t="s">
        <v>28</v>
      </c>
      <c r="C17" s="1">
        <v>46086.8125</v>
      </c>
      <c r="D17" t="s">
        <v>18</v>
      </c>
      <c r="E17" t="s">
        <v>19</v>
      </c>
      <c r="F17" t="s">
        <v>12</v>
      </c>
      <c r="H17" t="str">
        <f>TEXT(Table1[[#This Row],[Date]],"DD/MM/YYYY")</f>
        <v>05/03/2026</v>
      </c>
      <c r="I17" t="str">
        <f>TEXT(Table1[[#This Row],[Date]],"HH:mm:SS AM/PM")</f>
        <v>07:30:00 PM</v>
      </c>
      <c r="J17" t="str">
        <f>Table1[[#This Row],[Home Team]] &amp; " vs " &amp; Table1[[#This Row],[Away Team]] &amp; " @ " &amp; Table1[[#This Row],[Location]]</f>
        <v>Sydney Swans vs Carlton @ SCG</v>
      </c>
    </row>
    <row r="18" spans="1:10" x14ac:dyDescent="0.25">
      <c r="A18">
        <v>6</v>
      </c>
      <c r="B18">
        <v>1</v>
      </c>
      <c r="C18" s="1">
        <v>46093.8125</v>
      </c>
      <c r="D18" t="s">
        <v>7</v>
      </c>
      <c r="E18" t="s">
        <v>12</v>
      </c>
      <c r="F18" t="s">
        <v>17</v>
      </c>
      <c r="H18" t="str">
        <f>TEXT(Table1[[#This Row],[Date]],"DD/MM/YYYY")</f>
        <v>12/03/2026</v>
      </c>
      <c r="I18" t="str">
        <f>TEXT(Table1[[#This Row],[Date]],"HH:mm:SS AM/PM")</f>
        <v>07:30:00 PM</v>
      </c>
      <c r="J18" t="str">
        <f>Table1[[#This Row],[Home Team]] &amp; " vs " &amp; Table1[[#This Row],[Away Team]] &amp; " @ " &amp; Table1[[#This Row],[Location]]</f>
        <v>Carlton vs Richmond @ MCG</v>
      </c>
    </row>
    <row r="19" spans="1:10" x14ac:dyDescent="0.25">
      <c r="A19">
        <v>28</v>
      </c>
      <c r="B19">
        <v>3</v>
      </c>
      <c r="C19" s="1">
        <v>46110.635416666664</v>
      </c>
      <c r="D19" t="s">
        <v>7</v>
      </c>
      <c r="E19" t="s">
        <v>12</v>
      </c>
      <c r="F19" t="s">
        <v>8</v>
      </c>
      <c r="H19" t="str">
        <f>TEXT(Table1[[#This Row],[Date]],"DD/MM/YYYY")</f>
        <v>29/03/2026</v>
      </c>
      <c r="I19" t="str">
        <f>TEXT(Table1[[#This Row],[Date]],"HH:mm:SS AM/PM")</f>
        <v>03:15:00 PM</v>
      </c>
      <c r="J19" t="str">
        <f>Table1[[#This Row],[Home Team]] &amp; " vs " &amp; Table1[[#This Row],[Away Team]] &amp; " @ " &amp; Table1[[#This Row],[Location]]</f>
        <v>Carlton vs Melbourne @ MCG</v>
      </c>
    </row>
    <row r="20" spans="1:10" x14ac:dyDescent="0.25">
      <c r="A20">
        <v>30</v>
      </c>
      <c r="B20">
        <v>4</v>
      </c>
      <c r="C20" s="1">
        <v>46115.635416666664</v>
      </c>
      <c r="D20" t="s">
        <v>20</v>
      </c>
      <c r="E20" t="s">
        <v>29</v>
      </c>
      <c r="F20" t="s">
        <v>12</v>
      </c>
      <c r="H20" t="str">
        <f>TEXT(Table1[[#This Row],[Date]],"DD/MM/YYYY")</f>
        <v>03/04/2026</v>
      </c>
      <c r="I20" t="str">
        <f>TEXT(Table1[[#This Row],[Date]],"HH:mm:SS AM/PM")</f>
        <v>03:15:00 PM</v>
      </c>
      <c r="J20" t="str">
        <f>Table1[[#This Row],[Home Team]] &amp; " vs " &amp; Table1[[#This Row],[Away Team]] &amp; " @ " &amp; Table1[[#This Row],[Location]]</f>
        <v>North Melbourne vs Carlton @ Marvel Stadium</v>
      </c>
    </row>
    <row r="21" spans="1:10" x14ac:dyDescent="0.25">
      <c r="A21">
        <v>37</v>
      </c>
      <c r="B21">
        <v>5</v>
      </c>
      <c r="C21" s="1">
        <v>46121.819444444445</v>
      </c>
      <c r="D21" t="s">
        <v>14</v>
      </c>
      <c r="E21" t="s">
        <v>27</v>
      </c>
      <c r="F21" t="s">
        <v>12</v>
      </c>
      <c r="H21" t="str">
        <f>TEXT(Table1[[#This Row],[Date]],"DD/MM/YYYY")</f>
        <v>09/04/2026</v>
      </c>
      <c r="I21" t="str">
        <f>TEXT(Table1[[#This Row],[Date]],"HH:mm:SS AM/PM")</f>
        <v>07:40:00 PM</v>
      </c>
      <c r="J21" t="str">
        <f>Table1[[#This Row],[Home Team]] &amp; " vs " &amp; Table1[[#This Row],[Away Team]] &amp; " @ " &amp; Table1[[#This Row],[Location]]</f>
        <v>Adelaide Crows vs Carlton @ Adelaide Oval</v>
      </c>
    </row>
    <row r="22" spans="1:10" x14ac:dyDescent="0.25">
      <c r="A22">
        <v>46</v>
      </c>
      <c r="B22">
        <v>6</v>
      </c>
      <c r="C22" s="1">
        <v>46128.8125</v>
      </c>
      <c r="D22" t="s">
        <v>7</v>
      </c>
      <c r="E22" t="s">
        <v>12</v>
      </c>
      <c r="F22" t="s">
        <v>26</v>
      </c>
      <c r="H22" t="str">
        <f>TEXT(Table1[[#This Row],[Date]],"DD/MM/YYYY")</f>
        <v>16/04/2026</v>
      </c>
      <c r="I22" t="str">
        <f>TEXT(Table1[[#This Row],[Date]],"HH:mm:SS AM/PM")</f>
        <v>07:30:00 PM</v>
      </c>
      <c r="J22" t="str">
        <f>Table1[[#This Row],[Home Team]] &amp; " vs " &amp; Table1[[#This Row],[Away Team]] &amp; " @ " &amp; Table1[[#This Row],[Location]]</f>
        <v>Carlton vs Collingwood @ MCG</v>
      </c>
    </row>
    <row r="23" spans="1:10" x14ac:dyDescent="0.25">
      <c r="A23">
        <v>60</v>
      </c>
      <c r="B23">
        <v>7</v>
      </c>
      <c r="C23" s="1">
        <v>46137.84375</v>
      </c>
      <c r="D23" t="s">
        <v>10</v>
      </c>
      <c r="E23" t="s">
        <v>11</v>
      </c>
      <c r="F23" t="s">
        <v>12</v>
      </c>
      <c r="H23" t="str">
        <f>TEXT(Table1[[#This Row],[Date]],"DD/MM/YYYY")</f>
        <v>25/04/2026</v>
      </c>
      <c r="I23" t="str">
        <f>TEXT(Table1[[#This Row],[Date]],"HH:mm:SS AM/PM")</f>
        <v>08:15:00 PM</v>
      </c>
      <c r="J23" t="str">
        <f>Table1[[#This Row],[Home Team]] &amp; " vs " &amp; Table1[[#This Row],[Away Team]] &amp; " @ " &amp; Table1[[#This Row],[Location]]</f>
        <v>Fremantle vs Carlton @ Optus Stadium</v>
      </c>
    </row>
    <row r="24" spans="1:10" x14ac:dyDescent="0.25">
      <c r="A24">
        <v>70</v>
      </c>
      <c r="B24">
        <v>8</v>
      </c>
      <c r="C24" s="1">
        <v>46144.815972222219</v>
      </c>
      <c r="D24" t="s">
        <v>20</v>
      </c>
      <c r="E24" t="s">
        <v>12</v>
      </c>
      <c r="F24" t="s">
        <v>9</v>
      </c>
      <c r="H24" t="str">
        <f>TEXT(Table1[[#This Row],[Date]],"DD/MM/YYYY")</f>
        <v>02/05/2026</v>
      </c>
      <c r="I24" t="str">
        <f>TEXT(Table1[[#This Row],[Date]],"HH:mm:SS AM/PM")</f>
        <v>07:35:00 PM</v>
      </c>
      <c r="J24" t="str">
        <f>Table1[[#This Row],[Home Team]] &amp; " vs " &amp; Table1[[#This Row],[Away Team]] &amp; " @ " &amp; Table1[[#This Row],[Location]]</f>
        <v>Carlton vs St Kilda @ Marvel Stadium</v>
      </c>
    </row>
    <row r="25" spans="1:10" x14ac:dyDescent="0.25">
      <c r="A25">
        <v>74</v>
      </c>
      <c r="B25">
        <v>9</v>
      </c>
      <c r="C25" s="1">
        <v>46150.8125</v>
      </c>
      <c r="D25" t="s">
        <v>30</v>
      </c>
      <c r="E25" t="s">
        <v>16</v>
      </c>
      <c r="F25" t="s">
        <v>12</v>
      </c>
      <c r="H25" t="str">
        <f>TEXT(Table1[[#This Row],[Date]],"DD/MM/YYYY")</f>
        <v>08/05/2026</v>
      </c>
      <c r="I25" t="str">
        <f>TEXT(Table1[[#This Row],[Date]],"HH:mm:SS AM/PM")</f>
        <v>07:30:00 PM</v>
      </c>
      <c r="J25" t="str">
        <f>Table1[[#This Row],[Home Team]] &amp; " vs " &amp; Table1[[#This Row],[Away Team]] &amp; " @ " &amp; Table1[[#This Row],[Location]]</f>
        <v>Brisbane Lions vs Carlton @ Gabba</v>
      </c>
    </row>
    <row r="26" spans="1:10" x14ac:dyDescent="0.25">
      <c r="A26">
        <v>87</v>
      </c>
      <c r="B26">
        <v>10</v>
      </c>
      <c r="C26" s="1">
        <v>46158.815972222219</v>
      </c>
      <c r="D26" t="s">
        <v>20</v>
      </c>
      <c r="E26" t="s">
        <v>12</v>
      </c>
      <c r="F26" t="s">
        <v>23</v>
      </c>
      <c r="H26" t="str">
        <f>TEXT(Table1[[#This Row],[Date]],"DD/MM/YYYY")</f>
        <v>16/05/2026</v>
      </c>
      <c r="I26" t="str">
        <f>TEXT(Table1[[#This Row],[Date]],"HH:mm:SS AM/PM")</f>
        <v>07:35:00 PM</v>
      </c>
      <c r="J26" t="str">
        <f>Table1[[#This Row],[Home Team]] &amp; " vs " &amp; Table1[[#This Row],[Away Team]] &amp; " @ " &amp; Table1[[#This Row],[Location]]</f>
        <v>Carlton vs Western Bulldogs @ Marvel Stadium</v>
      </c>
    </row>
    <row r="27" spans="1:10" x14ac:dyDescent="0.25">
      <c r="A27">
        <v>97</v>
      </c>
      <c r="B27">
        <v>11</v>
      </c>
      <c r="C27" s="1">
        <v>46165.815972222219</v>
      </c>
      <c r="D27" t="s">
        <v>14</v>
      </c>
      <c r="E27" t="s">
        <v>31</v>
      </c>
      <c r="F27" t="s">
        <v>12</v>
      </c>
      <c r="H27" t="str">
        <f>TEXT(Table1[[#This Row],[Date]],"DD/MM/YYYY")</f>
        <v>23/05/2026</v>
      </c>
      <c r="I27" t="str">
        <f>TEXT(Table1[[#This Row],[Date]],"HH:mm:SS AM/PM")</f>
        <v>07:35:00 PM</v>
      </c>
      <c r="J27" t="str">
        <f>Table1[[#This Row],[Home Team]] &amp; " vs " &amp; Table1[[#This Row],[Away Team]] &amp; " @ " &amp; Table1[[#This Row],[Location]]</f>
        <v>Port Adelaide vs Carlton @ Adelaide Oval</v>
      </c>
    </row>
    <row r="28" spans="1:10" x14ac:dyDescent="0.25">
      <c r="A28">
        <v>101</v>
      </c>
      <c r="B28">
        <v>12</v>
      </c>
      <c r="C28" s="1">
        <v>46171.819444444445</v>
      </c>
      <c r="D28" t="s">
        <v>7</v>
      </c>
      <c r="E28" t="s">
        <v>12</v>
      </c>
      <c r="F28" t="s">
        <v>32</v>
      </c>
      <c r="H28" t="str">
        <f>TEXT(Table1[[#This Row],[Date]],"DD/MM/YYYY")</f>
        <v>29/05/2026</v>
      </c>
      <c r="I28" t="str">
        <f>TEXT(Table1[[#This Row],[Date]],"HH:mm:SS AM/PM")</f>
        <v>07:40:00 PM</v>
      </c>
      <c r="J28" t="str">
        <f>Table1[[#This Row],[Home Team]] &amp; " vs " &amp; Table1[[#This Row],[Away Team]] &amp; " @ " &amp; Table1[[#This Row],[Location]]</f>
        <v>Carlton vs Geelong Cats @ MCG</v>
      </c>
    </row>
    <row r="29" spans="1:10" x14ac:dyDescent="0.25">
      <c r="A29">
        <v>113</v>
      </c>
      <c r="B29">
        <v>13</v>
      </c>
      <c r="C29" s="1">
        <v>46180.805555555555</v>
      </c>
      <c r="D29" t="s">
        <v>7</v>
      </c>
      <c r="E29" t="s">
        <v>15</v>
      </c>
      <c r="F29" t="s">
        <v>12</v>
      </c>
      <c r="H29" t="str">
        <f>TEXT(Table1[[#This Row],[Date]],"DD/MM/YYYY")</f>
        <v>07/06/2026</v>
      </c>
      <c r="I29" t="str">
        <f>TEXT(Table1[[#This Row],[Date]],"HH:mm:SS AM/PM")</f>
        <v>07:20:00 PM</v>
      </c>
      <c r="J29" t="str">
        <f>Table1[[#This Row],[Home Team]] &amp; " vs " &amp; Table1[[#This Row],[Away Team]] &amp; " @ " &amp; Table1[[#This Row],[Location]]</f>
        <v>Essendon vs Carlton @ MCG</v>
      </c>
    </row>
    <row r="30" spans="1:10" x14ac:dyDescent="0.25">
      <c r="A30">
        <v>125</v>
      </c>
      <c r="B30">
        <v>15</v>
      </c>
      <c r="C30" s="1">
        <v>46193.677083333336</v>
      </c>
      <c r="D30" t="s">
        <v>33</v>
      </c>
      <c r="E30" t="s">
        <v>25</v>
      </c>
      <c r="F30" t="s">
        <v>12</v>
      </c>
      <c r="H30" t="str">
        <f>TEXT(Table1[[#This Row],[Date]],"DD/MM/YYYY")</f>
        <v>20/06/2026</v>
      </c>
      <c r="I30" t="str">
        <f>TEXT(Table1[[#This Row],[Date]],"HH:mm:SS AM/PM")</f>
        <v>04:15:00 PM</v>
      </c>
      <c r="J30" t="str">
        <f>Table1[[#This Row],[Home Team]] &amp; " vs " &amp; Table1[[#This Row],[Away Team]] &amp; " @ " &amp; Table1[[#This Row],[Location]]</f>
        <v>GWS GIANTS vs Carlton @ ENGIE Stadium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afl-2026-up to round 15 combine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Richards</dc:creator>
  <cp:lastModifiedBy>Mark Richards</cp:lastModifiedBy>
  <dcterms:created xsi:type="dcterms:W3CDTF">2026-01-16T00:01:29Z</dcterms:created>
  <dcterms:modified xsi:type="dcterms:W3CDTF">2026-01-16T00:07:34Z</dcterms:modified>
</cp:coreProperties>
</file>